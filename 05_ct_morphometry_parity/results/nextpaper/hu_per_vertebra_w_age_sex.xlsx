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rego\OneDrive\Desktop\NextPaper\"/>
    </mc:Choice>
  </mc:AlternateContent>
  <xr:revisionPtr revIDLastSave="0" documentId="13_ncr:1_{16CDC571-E4C3-41EB-92B2-37E8B18E3332}" xr6:coauthVersionLast="47" xr6:coauthVersionMax="47" xr10:uidLastSave="{00000000-0000-0000-0000-000000000000}"/>
  <bookViews>
    <workbookView xWindow="-96" yWindow="-96" windowWidth="23232" windowHeight="13152" xr2:uid="{FA1F08A1-1EAE-F24C-BE44-29F33BFE32D8}"/>
  </bookViews>
  <sheets>
    <sheet name="hu_per_vertebra" sheetId="1" r:id="rId1"/>
    <sheet name="demographics" sheetId="3" r:id="rId2"/>
    <sheet name="manifest" sheetId="2" r:id="rId3"/>
  </sheets>
  <definedNames>
    <definedName name="_xlnm._FilterDatabase" localSheetId="0" hidden="1">hu_per_vertebra!$G$1:$G$3914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H1059" i="1"/>
  <c r="I1059" i="1"/>
  <c r="H1060" i="1"/>
  <c r="I1060" i="1"/>
  <c r="H1061" i="1"/>
  <c r="I1061" i="1"/>
  <c r="H1062" i="1"/>
  <c r="I1062" i="1"/>
  <c r="H1063" i="1"/>
  <c r="I1063" i="1"/>
  <c r="H1064" i="1"/>
  <c r="I1064" i="1"/>
  <c r="H1065" i="1"/>
  <c r="I1065" i="1"/>
  <c r="H1066" i="1"/>
  <c r="I1066" i="1"/>
  <c r="H1067" i="1"/>
  <c r="I1067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H1074" i="1"/>
  <c r="I1074" i="1"/>
  <c r="H1075" i="1"/>
  <c r="I1075" i="1"/>
  <c r="H1076" i="1"/>
  <c r="I1076" i="1"/>
  <c r="H1077" i="1"/>
  <c r="I1077" i="1"/>
  <c r="H1078" i="1"/>
  <c r="I1078" i="1"/>
  <c r="H1079" i="1"/>
  <c r="I1079" i="1"/>
  <c r="H1080" i="1"/>
  <c r="I1080" i="1"/>
  <c r="H1081" i="1"/>
  <c r="I1081" i="1"/>
  <c r="H1082" i="1"/>
  <c r="I1082" i="1"/>
  <c r="H1083" i="1"/>
  <c r="I1083" i="1"/>
  <c r="H1084" i="1"/>
  <c r="I1084" i="1"/>
  <c r="H1085" i="1"/>
  <c r="I1085" i="1"/>
  <c r="H1086" i="1"/>
  <c r="I1086" i="1"/>
  <c r="H1087" i="1"/>
  <c r="I1087" i="1"/>
  <c r="H1088" i="1"/>
  <c r="I1088" i="1"/>
  <c r="H1089" i="1"/>
  <c r="I1089" i="1"/>
  <c r="H1090" i="1"/>
  <c r="I1090" i="1"/>
  <c r="H1091" i="1"/>
  <c r="I1091" i="1"/>
  <c r="H1092" i="1"/>
  <c r="I1092" i="1"/>
  <c r="H1093" i="1"/>
  <c r="I1093" i="1"/>
  <c r="H1094" i="1"/>
  <c r="I1094" i="1"/>
  <c r="H1095" i="1"/>
  <c r="I1095" i="1"/>
  <c r="H1096" i="1"/>
  <c r="I1096" i="1"/>
  <c r="H1097" i="1"/>
  <c r="I1097" i="1"/>
  <c r="H1098" i="1"/>
  <c r="I1098" i="1"/>
  <c r="H1099" i="1"/>
  <c r="I1099" i="1"/>
  <c r="H1100" i="1"/>
  <c r="I1100" i="1"/>
  <c r="H1101" i="1"/>
  <c r="I1101" i="1"/>
  <c r="H1102" i="1"/>
  <c r="I1102" i="1"/>
  <c r="H1103" i="1"/>
  <c r="I1103" i="1"/>
  <c r="H1104" i="1"/>
  <c r="I1104" i="1"/>
  <c r="H1105" i="1"/>
  <c r="I1105" i="1"/>
  <c r="H1106" i="1"/>
  <c r="I1106" i="1"/>
  <c r="H1107" i="1"/>
  <c r="I1107" i="1"/>
  <c r="H1108" i="1"/>
  <c r="I1108" i="1"/>
  <c r="H1109" i="1"/>
  <c r="I1109" i="1"/>
  <c r="H1110" i="1"/>
  <c r="I1110" i="1"/>
  <c r="H1111" i="1"/>
  <c r="I1111" i="1"/>
  <c r="H1112" i="1"/>
  <c r="I1112" i="1"/>
  <c r="H1113" i="1"/>
  <c r="I1113" i="1"/>
  <c r="H1114" i="1"/>
  <c r="I1114" i="1"/>
  <c r="H1115" i="1"/>
  <c r="I1115" i="1"/>
  <c r="H1116" i="1"/>
  <c r="I1116" i="1"/>
  <c r="H1117" i="1"/>
  <c r="I1117" i="1"/>
  <c r="H1118" i="1"/>
  <c r="I1118" i="1"/>
  <c r="H1119" i="1"/>
  <c r="I1119" i="1"/>
  <c r="H1120" i="1"/>
  <c r="I1120" i="1"/>
  <c r="H1121" i="1"/>
  <c r="I1121" i="1"/>
  <c r="H1122" i="1"/>
  <c r="I1122" i="1"/>
  <c r="H1123" i="1"/>
  <c r="I1123" i="1"/>
  <c r="H1124" i="1"/>
  <c r="I1124" i="1"/>
  <c r="H1125" i="1"/>
  <c r="I1125" i="1"/>
  <c r="H1126" i="1"/>
  <c r="I1126" i="1"/>
  <c r="H1127" i="1"/>
  <c r="I1127" i="1"/>
  <c r="H1128" i="1"/>
  <c r="I1128" i="1"/>
  <c r="H1129" i="1"/>
  <c r="I1129" i="1"/>
  <c r="H1130" i="1"/>
  <c r="I1130" i="1"/>
  <c r="H1131" i="1"/>
  <c r="I1131" i="1"/>
  <c r="H1132" i="1"/>
  <c r="I1132" i="1"/>
  <c r="H1133" i="1"/>
  <c r="I1133" i="1"/>
  <c r="H1134" i="1"/>
  <c r="I1134" i="1"/>
  <c r="H1135" i="1"/>
  <c r="I1135" i="1"/>
  <c r="H1136" i="1"/>
  <c r="I1136" i="1"/>
  <c r="H1137" i="1"/>
  <c r="I1137" i="1"/>
  <c r="H1138" i="1"/>
  <c r="I1138" i="1"/>
  <c r="H1139" i="1"/>
  <c r="I1139" i="1"/>
  <c r="H1140" i="1"/>
  <c r="I1140" i="1"/>
  <c r="H1141" i="1"/>
  <c r="I1141" i="1"/>
  <c r="H1142" i="1"/>
  <c r="I1142" i="1"/>
  <c r="H1143" i="1"/>
  <c r="I1143" i="1"/>
  <c r="H1144" i="1"/>
  <c r="I1144" i="1"/>
  <c r="H1145" i="1"/>
  <c r="I1145" i="1"/>
  <c r="H1146" i="1"/>
  <c r="I1146" i="1"/>
  <c r="H1147" i="1"/>
  <c r="I1147" i="1"/>
  <c r="H1148" i="1"/>
  <c r="I1148" i="1"/>
  <c r="H1149" i="1"/>
  <c r="I1149" i="1"/>
  <c r="H1150" i="1"/>
  <c r="I1150" i="1"/>
  <c r="H1151" i="1"/>
  <c r="I1151" i="1"/>
  <c r="H1152" i="1"/>
  <c r="I1152" i="1"/>
  <c r="H1153" i="1"/>
  <c r="I1153" i="1"/>
  <c r="H1154" i="1"/>
  <c r="I1154" i="1"/>
  <c r="H1155" i="1"/>
  <c r="I1155" i="1"/>
  <c r="H1156" i="1"/>
  <c r="I1156" i="1"/>
  <c r="H1157" i="1"/>
  <c r="I1157" i="1"/>
  <c r="H1158" i="1"/>
  <c r="I1158" i="1"/>
  <c r="H1159" i="1"/>
  <c r="I1159" i="1"/>
  <c r="H1160" i="1"/>
  <c r="I1160" i="1"/>
  <c r="H1161" i="1"/>
  <c r="I1161" i="1"/>
  <c r="H1162" i="1"/>
  <c r="I1162" i="1"/>
  <c r="H1163" i="1"/>
  <c r="I1163" i="1"/>
  <c r="H1164" i="1"/>
  <c r="I1164" i="1"/>
  <c r="H1165" i="1"/>
  <c r="I1165" i="1"/>
  <c r="H1166" i="1"/>
  <c r="I1166" i="1"/>
  <c r="H1167" i="1"/>
  <c r="I1167" i="1"/>
  <c r="H1168" i="1"/>
  <c r="I1168" i="1"/>
  <c r="H1169" i="1"/>
  <c r="I1169" i="1"/>
  <c r="H1170" i="1"/>
  <c r="I1170" i="1"/>
  <c r="H1171" i="1"/>
  <c r="I1171" i="1"/>
  <c r="H1172" i="1"/>
  <c r="I1172" i="1"/>
  <c r="H1173" i="1"/>
  <c r="I1173" i="1"/>
  <c r="H1174" i="1"/>
  <c r="I1174" i="1"/>
  <c r="H1175" i="1"/>
  <c r="I1175" i="1"/>
  <c r="H1176" i="1"/>
  <c r="I1176" i="1"/>
  <c r="H1177" i="1"/>
  <c r="I1177" i="1"/>
  <c r="H1178" i="1"/>
  <c r="I1178" i="1"/>
  <c r="H1179" i="1"/>
  <c r="I1179" i="1"/>
  <c r="H1180" i="1"/>
  <c r="I1180" i="1"/>
  <c r="H1181" i="1"/>
  <c r="I1181" i="1"/>
  <c r="H1182" i="1"/>
  <c r="I1182" i="1"/>
  <c r="H1183" i="1"/>
  <c r="I1183" i="1"/>
  <c r="H1184" i="1"/>
  <c r="I1184" i="1"/>
  <c r="H1185" i="1"/>
  <c r="I1185" i="1"/>
  <c r="H1186" i="1"/>
  <c r="I1186" i="1"/>
  <c r="H1187" i="1"/>
  <c r="I1187" i="1"/>
  <c r="H1188" i="1"/>
  <c r="I1188" i="1"/>
  <c r="H1189" i="1"/>
  <c r="I1189" i="1"/>
  <c r="H1190" i="1"/>
  <c r="I1190" i="1"/>
  <c r="H1191" i="1"/>
  <c r="I1191" i="1"/>
  <c r="H1192" i="1"/>
  <c r="I1192" i="1"/>
  <c r="H1193" i="1"/>
  <c r="I1193" i="1"/>
  <c r="H1194" i="1"/>
  <c r="I1194" i="1"/>
  <c r="H1195" i="1"/>
  <c r="I1195" i="1"/>
  <c r="H1196" i="1"/>
  <c r="I1196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H1207" i="1"/>
  <c r="I1207" i="1"/>
  <c r="H1208" i="1"/>
  <c r="I1208" i="1"/>
  <c r="H1209" i="1"/>
  <c r="I1209" i="1"/>
  <c r="H1210" i="1"/>
  <c r="I1210" i="1"/>
  <c r="H1211" i="1"/>
  <c r="I1211" i="1"/>
  <c r="H1212" i="1"/>
  <c r="I1212" i="1"/>
  <c r="H1213" i="1"/>
  <c r="I1213" i="1"/>
  <c r="H1214" i="1"/>
  <c r="I1214" i="1"/>
  <c r="H1215" i="1"/>
  <c r="I1215" i="1"/>
  <c r="H1216" i="1"/>
  <c r="I1216" i="1"/>
  <c r="H1217" i="1"/>
  <c r="I1217" i="1"/>
  <c r="H1218" i="1"/>
  <c r="I1218" i="1"/>
  <c r="H1219" i="1"/>
  <c r="I1219" i="1"/>
  <c r="H1220" i="1"/>
  <c r="I1220" i="1"/>
  <c r="H1221" i="1"/>
  <c r="I1221" i="1"/>
  <c r="H1222" i="1"/>
  <c r="I1222" i="1"/>
  <c r="H1223" i="1"/>
  <c r="I1223" i="1"/>
  <c r="H1224" i="1"/>
  <c r="I1224" i="1"/>
  <c r="H1225" i="1"/>
  <c r="I1225" i="1"/>
  <c r="H1226" i="1"/>
  <c r="I1226" i="1"/>
  <c r="H1227" i="1"/>
  <c r="I1227" i="1"/>
  <c r="H1228" i="1"/>
  <c r="I1228" i="1"/>
  <c r="H1229" i="1"/>
  <c r="I1229" i="1"/>
  <c r="H1230" i="1"/>
  <c r="I1230" i="1"/>
  <c r="H1231" i="1"/>
  <c r="I1231" i="1"/>
  <c r="H1232" i="1"/>
  <c r="I1232" i="1"/>
  <c r="H1233" i="1"/>
  <c r="I1233" i="1"/>
  <c r="H1234" i="1"/>
  <c r="I1234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H1277" i="1"/>
  <c r="I1277" i="1"/>
  <c r="H1278" i="1"/>
  <c r="I1278" i="1"/>
  <c r="H1279" i="1"/>
  <c r="I1279" i="1"/>
  <c r="H1280" i="1"/>
  <c r="I1280" i="1"/>
  <c r="H1281" i="1"/>
  <c r="I1281" i="1"/>
  <c r="H1282" i="1"/>
  <c r="I1282" i="1"/>
  <c r="H1283" i="1"/>
  <c r="I1283" i="1"/>
  <c r="H1284" i="1"/>
  <c r="I1284" i="1"/>
  <c r="H1285" i="1"/>
  <c r="I1285" i="1"/>
  <c r="H1286" i="1"/>
  <c r="I1286" i="1"/>
  <c r="H1287" i="1"/>
  <c r="I1287" i="1"/>
  <c r="H1288" i="1"/>
  <c r="I1288" i="1"/>
  <c r="H1289" i="1"/>
  <c r="I1289" i="1"/>
  <c r="H1290" i="1"/>
  <c r="I1290" i="1"/>
  <c r="H1291" i="1"/>
  <c r="I1291" i="1"/>
  <c r="H1292" i="1"/>
  <c r="I1292" i="1"/>
  <c r="H1293" i="1"/>
  <c r="I1293" i="1"/>
  <c r="H1294" i="1"/>
  <c r="I1294" i="1"/>
  <c r="H1295" i="1"/>
  <c r="I1295" i="1"/>
  <c r="H1296" i="1"/>
  <c r="I1296" i="1"/>
  <c r="H1297" i="1"/>
  <c r="I1297" i="1"/>
  <c r="H1298" i="1"/>
  <c r="I1298" i="1"/>
  <c r="H1299" i="1"/>
  <c r="I1299" i="1"/>
  <c r="H1300" i="1"/>
  <c r="I1300" i="1"/>
  <c r="H1301" i="1"/>
  <c r="I1301" i="1"/>
  <c r="H1302" i="1"/>
  <c r="I1302" i="1"/>
  <c r="H1303" i="1"/>
  <c r="I1303" i="1"/>
  <c r="H1304" i="1"/>
  <c r="I1304" i="1"/>
  <c r="H1305" i="1"/>
  <c r="I1305" i="1"/>
  <c r="H1306" i="1"/>
  <c r="I1306" i="1"/>
  <c r="H1307" i="1"/>
  <c r="I1307" i="1"/>
  <c r="H1308" i="1"/>
  <c r="I1308" i="1"/>
  <c r="H1309" i="1"/>
  <c r="I1309" i="1"/>
  <c r="H1310" i="1"/>
  <c r="I1310" i="1"/>
  <c r="H1311" i="1"/>
  <c r="I1311" i="1"/>
  <c r="H1312" i="1"/>
  <c r="I1312" i="1"/>
  <c r="H1313" i="1"/>
  <c r="I1313" i="1"/>
  <c r="H1314" i="1"/>
  <c r="I1314" i="1"/>
  <c r="H1315" i="1"/>
  <c r="I1315" i="1"/>
  <c r="H1316" i="1"/>
  <c r="I1316" i="1"/>
  <c r="H1317" i="1"/>
  <c r="I1317" i="1"/>
  <c r="H1318" i="1"/>
  <c r="I1318" i="1"/>
  <c r="H1319" i="1"/>
  <c r="I1319" i="1"/>
  <c r="H1320" i="1"/>
  <c r="I1320" i="1"/>
  <c r="H1321" i="1"/>
  <c r="I1321" i="1"/>
  <c r="H1322" i="1"/>
  <c r="I1322" i="1"/>
  <c r="H1323" i="1"/>
  <c r="I1323" i="1"/>
  <c r="H1324" i="1"/>
  <c r="I1324" i="1"/>
  <c r="H1325" i="1"/>
  <c r="I1325" i="1"/>
  <c r="H1326" i="1"/>
  <c r="I1326" i="1"/>
  <c r="H1327" i="1"/>
  <c r="I1327" i="1"/>
  <c r="H1328" i="1"/>
  <c r="I1328" i="1"/>
  <c r="H1329" i="1"/>
  <c r="I1329" i="1"/>
  <c r="H1330" i="1"/>
  <c r="I1330" i="1"/>
  <c r="H1331" i="1"/>
  <c r="I1331" i="1"/>
  <c r="H1332" i="1"/>
  <c r="I1332" i="1"/>
  <c r="H1333" i="1"/>
  <c r="I1333" i="1"/>
  <c r="H1334" i="1"/>
  <c r="I1334" i="1"/>
  <c r="H1335" i="1"/>
  <c r="I1335" i="1"/>
  <c r="H1336" i="1"/>
  <c r="I1336" i="1"/>
  <c r="H1337" i="1"/>
  <c r="I1337" i="1"/>
  <c r="H1338" i="1"/>
  <c r="I1338" i="1"/>
  <c r="H1339" i="1"/>
  <c r="I1339" i="1"/>
  <c r="H1340" i="1"/>
  <c r="I1340" i="1"/>
  <c r="H1341" i="1"/>
  <c r="I1341" i="1"/>
  <c r="H1342" i="1"/>
  <c r="I1342" i="1"/>
  <c r="H1343" i="1"/>
  <c r="I1343" i="1"/>
  <c r="H1344" i="1"/>
  <c r="I1344" i="1"/>
  <c r="H1345" i="1"/>
  <c r="I1345" i="1"/>
  <c r="H1346" i="1"/>
  <c r="I1346" i="1"/>
  <c r="H1347" i="1"/>
  <c r="I1347" i="1"/>
  <c r="H1348" i="1"/>
  <c r="I1348" i="1"/>
  <c r="H1349" i="1"/>
  <c r="I1349" i="1"/>
  <c r="H1350" i="1"/>
  <c r="I1350" i="1"/>
  <c r="H1351" i="1"/>
  <c r="I1351" i="1"/>
  <c r="H1352" i="1"/>
  <c r="I1352" i="1"/>
  <c r="H1353" i="1"/>
  <c r="I1353" i="1"/>
  <c r="H1354" i="1"/>
  <c r="I1354" i="1"/>
  <c r="H1355" i="1"/>
  <c r="I1355" i="1"/>
  <c r="H1356" i="1"/>
  <c r="I1356" i="1"/>
  <c r="H1357" i="1"/>
  <c r="I1357" i="1"/>
  <c r="H1358" i="1"/>
  <c r="I1358" i="1"/>
  <c r="H1359" i="1"/>
  <c r="I1359" i="1"/>
  <c r="H1360" i="1"/>
  <c r="I1360" i="1"/>
  <c r="H1361" i="1"/>
  <c r="I1361" i="1"/>
  <c r="H1362" i="1"/>
  <c r="I1362" i="1"/>
  <c r="H1363" i="1"/>
  <c r="I1363" i="1"/>
  <c r="H1364" i="1"/>
  <c r="I1364" i="1"/>
  <c r="H1365" i="1"/>
  <c r="I1365" i="1"/>
  <c r="H1366" i="1"/>
  <c r="I1366" i="1"/>
  <c r="H1367" i="1"/>
  <c r="I1367" i="1"/>
  <c r="H1368" i="1"/>
  <c r="I1368" i="1"/>
  <c r="H1369" i="1"/>
  <c r="I1369" i="1"/>
  <c r="H1370" i="1"/>
  <c r="I1370" i="1"/>
  <c r="H1371" i="1"/>
  <c r="I1371" i="1"/>
  <c r="H1372" i="1"/>
  <c r="I1372" i="1"/>
  <c r="H1373" i="1"/>
  <c r="I1373" i="1"/>
  <c r="H1374" i="1"/>
  <c r="I1374" i="1"/>
  <c r="H1375" i="1"/>
  <c r="I1375" i="1"/>
  <c r="H1376" i="1"/>
  <c r="I1376" i="1"/>
  <c r="H1377" i="1"/>
  <c r="I1377" i="1"/>
  <c r="H1378" i="1"/>
  <c r="I1378" i="1"/>
  <c r="H1379" i="1"/>
  <c r="I1379" i="1"/>
  <c r="H1380" i="1"/>
  <c r="I1380" i="1"/>
  <c r="H1381" i="1"/>
  <c r="I1381" i="1"/>
  <c r="H1382" i="1"/>
  <c r="I1382" i="1"/>
  <c r="H1383" i="1"/>
  <c r="I1383" i="1"/>
  <c r="H1384" i="1"/>
  <c r="I1384" i="1"/>
  <c r="H1385" i="1"/>
  <c r="I1385" i="1"/>
  <c r="H1386" i="1"/>
  <c r="I1386" i="1"/>
  <c r="H1387" i="1"/>
  <c r="I1387" i="1"/>
  <c r="H1388" i="1"/>
  <c r="I1388" i="1"/>
  <c r="H1389" i="1"/>
  <c r="I1389" i="1"/>
  <c r="H1390" i="1"/>
  <c r="I1390" i="1"/>
  <c r="H1391" i="1"/>
  <c r="I1391" i="1"/>
  <c r="H1392" i="1"/>
  <c r="I1392" i="1"/>
  <c r="H1393" i="1"/>
  <c r="I1393" i="1"/>
  <c r="H1394" i="1"/>
  <c r="I1394" i="1"/>
  <c r="H1395" i="1"/>
  <c r="I1395" i="1"/>
  <c r="H1396" i="1"/>
  <c r="I1396" i="1"/>
  <c r="H1397" i="1"/>
  <c r="I1397" i="1"/>
  <c r="H1398" i="1"/>
  <c r="I1398" i="1"/>
  <c r="H1399" i="1"/>
  <c r="I1399" i="1"/>
  <c r="H1400" i="1"/>
  <c r="I1400" i="1"/>
  <c r="H1401" i="1"/>
  <c r="I1401" i="1"/>
  <c r="H1402" i="1"/>
  <c r="I1402" i="1"/>
  <c r="H1403" i="1"/>
  <c r="I1403" i="1"/>
  <c r="H1404" i="1"/>
  <c r="I1404" i="1"/>
  <c r="H1405" i="1"/>
  <c r="I1405" i="1"/>
  <c r="H1406" i="1"/>
  <c r="I1406" i="1"/>
  <c r="H1407" i="1"/>
  <c r="I1407" i="1"/>
  <c r="H1408" i="1"/>
  <c r="I1408" i="1"/>
  <c r="H1409" i="1"/>
  <c r="I1409" i="1"/>
  <c r="H1410" i="1"/>
  <c r="I1410" i="1"/>
  <c r="H1411" i="1"/>
  <c r="I1411" i="1"/>
  <c r="H1412" i="1"/>
  <c r="I1412" i="1"/>
  <c r="H1413" i="1"/>
  <c r="I1413" i="1"/>
  <c r="H1414" i="1"/>
  <c r="I1414" i="1"/>
  <c r="H1415" i="1"/>
  <c r="I1415" i="1"/>
  <c r="H1416" i="1"/>
  <c r="I1416" i="1"/>
  <c r="H1417" i="1"/>
  <c r="I1417" i="1"/>
  <c r="H1418" i="1"/>
  <c r="I1418" i="1"/>
  <c r="H1419" i="1"/>
  <c r="I1419" i="1"/>
  <c r="H1420" i="1"/>
  <c r="I1420" i="1"/>
  <c r="H1421" i="1"/>
  <c r="I1421" i="1"/>
  <c r="H1422" i="1"/>
  <c r="I1422" i="1"/>
  <c r="H1423" i="1"/>
  <c r="I1423" i="1"/>
  <c r="H1424" i="1"/>
  <c r="I1424" i="1"/>
  <c r="H1425" i="1"/>
  <c r="I1425" i="1"/>
  <c r="H1426" i="1"/>
  <c r="I1426" i="1"/>
  <c r="H1427" i="1"/>
  <c r="I1427" i="1"/>
  <c r="H1428" i="1"/>
  <c r="I1428" i="1"/>
  <c r="H1429" i="1"/>
  <c r="I1429" i="1"/>
  <c r="H1430" i="1"/>
  <c r="I1430" i="1"/>
  <c r="H1431" i="1"/>
  <c r="I1431" i="1"/>
  <c r="H1432" i="1"/>
  <c r="I1432" i="1"/>
  <c r="H1433" i="1"/>
  <c r="I1433" i="1"/>
  <c r="H1434" i="1"/>
  <c r="I1434" i="1"/>
  <c r="H1435" i="1"/>
  <c r="I1435" i="1"/>
  <c r="H1436" i="1"/>
  <c r="I1436" i="1"/>
  <c r="H1437" i="1"/>
  <c r="I1437" i="1"/>
  <c r="H1438" i="1"/>
  <c r="I1438" i="1"/>
  <c r="H1439" i="1"/>
  <c r="I1439" i="1"/>
  <c r="H1440" i="1"/>
  <c r="I1440" i="1"/>
  <c r="H1441" i="1"/>
  <c r="I1441" i="1"/>
  <c r="H1442" i="1"/>
  <c r="I1442" i="1"/>
  <c r="H1443" i="1"/>
  <c r="I1443" i="1"/>
  <c r="H1444" i="1"/>
  <c r="I1444" i="1"/>
  <c r="H1445" i="1"/>
  <c r="I1445" i="1"/>
  <c r="H1446" i="1"/>
  <c r="I1446" i="1"/>
  <c r="H1447" i="1"/>
  <c r="I1447" i="1"/>
  <c r="H1448" i="1"/>
  <c r="I1448" i="1"/>
  <c r="H1449" i="1"/>
  <c r="I1449" i="1"/>
  <c r="H1450" i="1"/>
  <c r="I1450" i="1"/>
  <c r="H1451" i="1"/>
  <c r="I1451" i="1"/>
  <c r="H1452" i="1"/>
  <c r="I1452" i="1"/>
  <c r="H1453" i="1"/>
  <c r="I1453" i="1"/>
  <c r="H1454" i="1"/>
  <c r="I1454" i="1"/>
  <c r="H1455" i="1"/>
  <c r="I1455" i="1"/>
  <c r="H1456" i="1"/>
  <c r="I1456" i="1"/>
  <c r="H1457" i="1"/>
  <c r="I1457" i="1"/>
  <c r="H1458" i="1"/>
  <c r="I1458" i="1"/>
  <c r="H1459" i="1"/>
  <c r="I1459" i="1"/>
  <c r="H1460" i="1"/>
  <c r="I1460" i="1"/>
  <c r="H1461" i="1"/>
  <c r="I1461" i="1"/>
  <c r="H1462" i="1"/>
  <c r="I1462" i="1"/>
  <c r="H1463" i="1"/>
  <c r="I1463" i="1"/>
  <c r="H1464" i="1"/>
  <c r="I1464" i="1"/>
  <c r="H1465" i="1"/>
  <c r="I1465" i="1"/>
  <c r="H1466" i="1"/>
  <c r="I1466" i="1"/>
  <c r="H1467" i="1"/>
  <c r="I1467" i="1"/>
  <c r="H1468" i="1"/>
  <c r="I1468" i="1"/>
  <c r="H1469" i="1"/>
  <c r="I1469" i="1"/>
  <c r="H1470" i="1"/>
  <c r="I1470" i="1"/>
  <c r="H1471" i="1"/>
  <c r="I1471" i="1"/>
  <c r="H1472" i="1"/>
  <c r="I1472" i="1"/>
  <c r="H1473" i="1"/>
  <c r="I1473" i="1"/>
  <c r="H1474" i="1"/>
  <c r="I1474" i="1"/>
  <c r="H1475" i="1"/>
  <c r="I1475" i="1"/>
  <c r="H1476" i="1"/>
  <c r="I1476" i="1"/>
  <c r="H1477" i="1"/>
  <c r="I1477" i="1"/>
  <c r="H1478" i="1"/>
  <c r="I1478" i="1"/>
  <c r="H1479" i="1"/>
  <c r="I1479" i="1"/>
  <c r="H1480" i="1"/>
  <c r="I1480" i="1"/>
  <c r="H1481" i="1"/>
  <c r="I1481" i="1"/>
  <c r="H1482" i="1"/>
  <c r="I1482" i="1"/>
  <c r="H1483" i="1"/>
  <c r="I1483" i="1"/>
  <c r="H1484" i="1"/>
  <c r="I1484" i="1"/>
  <c r="H1485" i="1"/>
  <c r="I1485" i="1"/>
  <c r="H1486" i="1"/>
  <c r="I1486" i="1"/>
  <c r="H1487" i="1"/>
  <c r="I1487" i="1"/>
  <c r="H1488" i="1"/>
  <c r="I1488" i="1"/>
  <c r="H1489" i="1"/>
  <c r="I1489" i="1"/>
  <c r="H1490" i="1"/>
  <c r="I1490" i="1"/>
  <c r="H1491" i="1"/>
  <c r="I1491" i="1"/>
  <c r="H1492" i="1"/>
  <c r="I1492" i="1"/>
  <c r="H1493" i="1"/>
  <c r="I1493" i="1"/>
  <c r="H1494" i="1"/>
  <c r="I1494" i="1"/>
  <c r="H1495" i="1"/>
  <c r="I1495" i="1"/>
  <c r="H1496" i="1"/>
  <c r="I1496" i="1"/>
  <c r="H1497" i="1"/>
  <c r="I1497" i="1"/>
  <c r="H1498" i="1"/>
  <c r="I1498" i="1"/>
  <c r="H1499" i="1"/>
  <c r="I1499" i="1"/>
  <c r="H1500" i="1"/>
  <c r="I1500" i="1"/>
  <c r="H1501" i="1"/>
  <c r="I1501" i="1"/>
  <c r="H1502" i="1"/>
  <c r="I1502" i="1"/>
  <c r="H1503" i="1"/>
  <c r="I1503" i="1"/>
  <c r="H1504" i="1"/>
  <c r="I1504" i="1"/>
  <c r="H1505" i="1"/>
  <c r="I1505" i="1"/>
  <c r="H1506" i="1"/>
  <c r="I1506" i="1"/>
  <c r="H1507" i="1"/>
  <c r="I1507" i="1"/>
  <c r="H1508" i="1"/>
  <c r="I1508" i="1"/>
  <c r="H1509" i="1"/>
  <c r="I1509" i="1"/>
  <c r="H1510" i="1"/>
  <c r="I1510" i="1"/>
  <c r="H1511" i="1"/>
  <c r="I1511" i="1"/>
  <c r="H1512" i="1"/>
  <c r="I1512" i="1"/>
  <c r="H1513" i="1"/>
  <c r="I1513" i="1"/>
  <c r="H1514" i="1"/>
  <c r="I1514" i="1"/>
  <c r="H1515" i="1"/>
  <c r="I1515" i="1"/>
  <c r="H1516" i="1"/>
  <c r="I1516" i="1"/>
  <c r="H1517" i="1"/>
  <c r="I1517" i="1"/>
  <c r="H1518" i="1"/>
  <c r="I1518" i="1"/>
  <c r="H1519" i="1"/>
  <c r="I1519" i="1"/>
  <c r="H1520" i="1"/>
  <c r="I1520" i="1"/>
  <c r="H1521" i="1"/>
  <c r="I1521" i="1"/>
  <c r="H1522" i="1"/>
  <c r="I1522" i="1"/>
  <c r="H1523" i="1"/>
  <c r="I1523" i="1"/>
  <c r="H1524" i="1"/>
  <c r="I1524" i="1"/>
  <c r="H1525" i="1"/>
  <c r="I1525" i="1"/>
  <c r="H1526" i="1"/>
  <c r="I1526" i="1"/>
  <c r="H1527" i="1"/>
  <c r="I1527" i="1"/>
  <c r="H1528" i="1"/>
  <c r="I1528" i="1"/>
  <c r="H1529" i="1"/>
  <c r="I1529" i="1"/>
  <c r="H1530" i="1"/>
  <c r="I1530" i="1"/>
  <c r="H1531" i="1"/>
  <c r="I1531" i="1"/>
  <c r="H1532" i="1"/>
  <c r="I1532" i="1"/>
  <c r="H1533" i="1"/>
  <c r="I1533" i="1"/>
  <c r="H1534" i="1"/>
  <c r="I1534" i="1"/>
  <c r="H1535" i="1"/>
  <c r="I1535" i="1"/>
  <c r="H1536" i="1"/>
  <c r="I1536" i="1"/>
  <c r="H1537" i="1"/>
  <c r="I1537" i="1"/>
  <c r="H1538" i="1"/>
  <c r="I1538" i="1"/>
  <c r="H1539" i="1"/>
  <c r="I1539" i="1"/>
  <c r="H1540" i="1"/>
  <c r="I1540" i="1"/>
  <c r="H1541" i="1"/>
  <c r="I1541" i="1"/>
  <c r="H1542" i="1"/>
  <c r="I1542" i="1"/>
  <c r="H1543" i="1"/>
  <c r="I1543" i="1"/>
  <c r="H1544" i="1"/>
  <c r="I1544" i="1"/>
  <c r="H1545" i="1"/>
  <c r="I1545" i="1"/>
  <c r="H1546" i="1"/>
  <c r="I1546" i="1"/>
  <c r="H1547" i="1"/>
  <c r="I1547" i="1"/>
  <c r="H1548" i="1"/>
  <c r="I1548" i="1"/>
  <c r="H1549" i="1"/>
  <c r="I1549" i="1"/>
  <c r="H1550" i="1"/>
  <c r="I1550" i="1"/>
  <c r="H1551" i="1"/>
  <c r="I1551" i="1"/>
  <c r="H1552" i="1"/>
  <c r="I1552" i="1"/>
  <c r="H1553" i="1"/>
  <c r="I1553" i="1"/>
  <c r="H1554" i="1"/>
  <c r="I1554" i="1"/>
  <c r="H1555" i="1"/>
  <c r="I1555" i="1"/>
  <c r="H1556" i="1"/>
  <c r="I1556" i="1"/>
  <c r="H1557" i="1"/>
  <c r="I1557" i="1"/>
  <c r="H1558" i="1"/>
  <c r="I1558" i="1"/>
  <c r="H1559" i="1"/>
  <c r="I1559" i="1"/>
  <c r="H1560" i="1"/>
  <c r="I1560" i="1"/>
  <c r="H1561" i="1"/>
  <c r="I1561" i="1"/>
  <c r="H1562" i="1"/>
  <c r="I1562" i="1"/>
  <c r="H1563" i="1"/>
  <c r="I1563" i="1"/>
  <c r="H1564" i="1"/>
  <c r="I1564" i="1"/>
  <c r="H1565" i="1"/>
  <c r="I1565" i="1"/>
  <c r="H1566" i="1"/>
  <c r="I1566" i="1"/>
  <c r="H1567" i="1"/>
  <c r="I1567" i="1"/>
  <c r="H1568" i="1"/>
  <c r="I1568" i="1"/>
  <c r="H1569" i="1"/>
  <c r="I1569" i="1"/>
  <c r="H1570" i="1"/>
  <c r="I1570" i="1"/>
  <c r="H1571" i="1"/>
  <c r="I1571" i="1"/>
  <c r="H1572" i="1"/>
  <c r="I1572" i="1"/>
  <c r="H1573" i="1"/>
  <c r="I1573" i="1"/>
  <c r="H1574" i="1"/>
  <c r="I1574" i="1"/>
  <c r="H1575" i="1"/>
  <c r="I1575" i="1"/>
  <c r="H1576" i="1"/>
  <c r="I1576" i="1"/>
  <c r="H1577" i="1"/>
  <c r="I1577" i="1"/>
  <c r="H1578" i="1"/>
  <c r="I1578" i="1"/>
  <c r="H1579" i="1"/>
  <c r="I1579" i="1"/>
  <c r="H1580" i="1"/>
  <c r="I1580" i="1"/>
  <c r="H1581" i="1"/>
  <c r="I1581" i="1"/>
  <c r="H1582" i="1"/>
  <c r="I1582" i="1"/>
  <c r="H1583" i="1"/>
  <c r="I1583" i="1"/>
  <c r="H1584" i="1"/>
  <c r="I1584" i="1"/>
  <c r="H1585" i="1"/>
  <c r="I1585" i="1"/>
  <c r="H1586" i="1"/>
  <c r="I1586" i="1"/>
  <c r="H1587" i="1"/>
  <c r="I1587" i="1"/>
  <c r="H1588" i="1"/>
  <c r="I1588" i="1"/>
  <c r="H1589" i="1"/>
  <c r="I1589" i="1"/>
  <c r="H1590" i="1"/>
  <c r="I1590" i="1"/>
  <c r="H1591" i="1"/>
  <c r="I1591" i="1"/>
  <c r="H1592" i="1"/>
  <c r="I1592" i="1"/>
  <c r="H1593" i="1"/>
  <c r="I1593" i="1"/>
  <c r="H1594" i="1"/>
  <c r="I1594" i="1"/>
  <c r="H1595" i="1"/>
  <c r="I1595" i="1"/>
  <c r="H1596" i="1"/>
  <c r="I1596" i="1"/>
  <c r="H1597" i="1"/>
  <c r="I1597" i="1"/>
  <c r="H1598" i="1"/>
  <c r="I1598" i="1"/>
  <c r="H1599" i="1"/>
  <c r="I1599" i="1"/>
  <c r="H1600" i="1"/>
  <c r="I1600" i="1"/>
  <c r="H1601" i="1"/>
  <c r="I1601" i="1"/>
  <c r="H1602" i="1"/>
  <c r="I1602" i="1"/>
  <c r="H1603" i="1"/>
  <c r="I1603" i="1"/>
  <c r="H1604" i="1"/>
  <c r="I1604" i="1"/>
  <c r="H1605" i="1"/>
  <c r="I1605" i="1"/>
  <c r="H1606" i="1"/>
  <c r="I1606" i="1"/>
  <c r="H1607" i="1"/>
  <c r="I1607" i="1"/>
  <c r="H1608" i="1"/>
  <c r="I1608" i="1"/>
  <c r="H1609" i="1"/>
  <c r="I1609" i="1"/>
  <c r="H1610" i="1"/>
  <c r="I1610" i="1"/>
  <c r="H1611" i="1"/>
  <c r="I1611" i="1"/>
  <c r="H1612" i="1"/>
  <c r="I1612" i="1"/>
  <c r="H1613" i="1"/>
  <c r="I1613" i="1"/>
  <c r="H1614" i="1"/>
  <c r="I1614" i="1"/>
  <c r="H1615" i="1"/>
  <c r="I1615" i="1"/>
  <c r="H1616" i="1"/>
  <c r="I1616" i="1"/>
  <c r="H1617" i="1"/>
  <c r="I1617" i="1"/>
  <c r="H1618" i="1"/>
  <c r="I1618" i="1"/>
  <c r="H1619" i="1"/>
  <c r="I1619" i="1"/>
  <c r="H1620" i="1"/>
  <c r="I1620" i="1"/>
  <c r="H1621" i="1"/>
  <c r="I1621" i="1"/>
  <c r="H1622" i="1"/>
  <c r="I1622" i="1"/>
  <c r="H1623" i="1"/>
  <c r="I1623" i="1"/>
  <c r="H1624" i="1"/>
  <c r="I1624" i="1"/>
  <c r="H1625" i="1"/>
  <c r="I1625" i="1"/>
  <c r="H1626" i="1"/>
  <c r="I1626" i="1"/>
  <c r="H1627" i="1"/>
  <c r="I1627" i="1"/>
  <c r="H1628" i="1"/>
  <c r="I1628" i="1"/>
  <c r="H1629" i="1"/>
  <c r="I1629" i="1"/>
  <c r="H1630" i="1"/>
  <c r="I1630" i="1"/>
  <c r="H1631" i="1"/>
  <c r="I1631" i="1"/>
  <c r="H1632" i="1"/>
  <c r="I1632" i="1"/>
  <c r="H1633" i="1"/>
  <c r="I1633" i="1"/>
  <c r="H1634" i="1"/>
  <c r="I1634" i="1"/>
  <c r="H1635" i="1"/>
  <c r="I1635" i="1"/>
  <c r="H1636" i="1"/>
  <c r="I1636" i="1"/>
  <c r="H1637" i="1"/>
  <c r="I1637" i="1"/>
  <c r="H1638" i="1"/>
  <c r="I1638" i="1"/>
  <c r="H1639" i="1"/>
  <c r="I1639" i="1"/>
  <c r="H1640" i="1"/>
  <c r="I1640" i="1"/>
  <c r="H1641" i="1"/>
  <c r="I1641" i="1"/>
  <c r="H1642" i="1"/>
  <c r="I1642" i="1"/>
  <c r="H1643" i="1"/>
  <c r="I1643" i="1"/>
  <c r="H1644" i="1"/>
  <c r="I1644" i="1"/>
  <c r="H1645" i="1"/>
  <c r="I1645" i="1"/>
  <c r="H1646" i="1"/>
  <c r="I1646" i="1"/>
  <c r="H1647" i="1"/>
  <c r="I1647" i="1"/>
  <c r="H1648" i="1"/>
  <c r="I1648" i="1"/>
  <c r="H1649" i="1"/>
  <c r="I1649" i="1"/>
  <c r="H1650" i="1"/>
  <c r="I1650" i="1"/>
  <c r="H1651" i="1"/>
  <c r="I1651" i="1"/>
  <c r="H1652" i="1"/>
  <c r="I1652" i="1"/>
  <c r="H1653" i="1"/>
  <c r="I1653" i="1"/>
  <c r="H1654" i="1"/>
  <c r="I1654" i="1"/>
  <c r="H1655" i="1"/>
  <c r="I1655" i="1"/>
  <c r="H1656" i="1"/>
  <c r="I1656" i="1"/>
  <c r="H1657" i="1"/>
  <c r="I1657" i="1"/>
  <c r="H1658" i="1"/>
  <c r="I1658" i="1"/>
  <c r="H1659" i="1"/>
  <c r="I1659" i="1"/>
  <c r="H1660" i="1"/>
  <c r="I1660" i="1"/>
  <c r="H1661" i="1"/>
  <c r="I1661" i="1"/>
  <c r="H1662" i="1"/>
  <c r="I1662" i="1"/>
  <c r="H1663" i="1"/>
  <c r="I1663" i="1"/>
  <c r="H1664" i="1"/>
  <c r="I1664" i="1"/>
  <c r="H1665" i="1"/>
  <c r="I1665" i="1"/>
  <c r="H1666" i="1"/>
  <c r="I1666" i="1"/>
  <c r="H1667" i="1"/>
  <c r="I1667" i="1"/>
  <c r="H1668" i="1"/>
  <c r="I1668" i="1"/>
  <c r="H1669" i="1"/>
  <c r="I1669" i="1"/>
  <c r="H1670" i="1"/>
  <c r="I1670" i="1"/>
  <c r="H1671" i="1"/>
  <c r="I1671" i="1"/>
  <c r="H1672" i="1"/>
  <c r="I1672" i="1"/>
  <c r="H1673" i="1"/>
  <c r="I1673" i="1"/>
  <c r="H1674" i="1"/>
  <c r="I1674" i="1"/>
  <c r="H1675" i="1"/>
  <c r="I1675" i="1"/>
  <c r="H1676" i="1"/>
  <c r="I1676" i="1"/>
  <c r="H1677" i="1"/>
  <c r="I1677" i="1"/>
  <c r="H1678" i="1"/>
  <c r="I1678" i="1"/>
  <c r="H1679" i="1"/>
  <c r="I1679" i="1"/>
  <c r="H1680" i="1"/>
  <c r="I1680" i="1"/>
  <c r="H1681" i="1"/>
  <c r="I1681" i="1"/>
  <c r="H1682" i="1"/>
  <c r="I1682" i="1"/>
  <c r="H1683" i="1"/>
  <c r="I1683" i="1"/>
  <c r="H1684" i="1"/>
  <c r="I1684" i="1"/>
  <c r="H1685" i="1"/>
  <c r="I1685" i="1"/>
  <c r="H1686" i="1"/>
  <c r="I1686" i="1"/>
  <c r="H1687" i="1"/>
  <c r="I1687" i="1"/>
  <c r="H1688" i="1"/>
  <c r="I1688" i="1"/>
  <c r="H1689" i="1"/>
  <c r="I1689" i="1"/>
  <c r="H1690" i="1"/>
  <c r="I1690" i="1"/>
  <c r="H1691" i="1"/>
  <c r="I1691" i="1"/>
  <c r="H1692" i="1"/>
  <c r="I1692" i="1"/>
  <c r="H1693" i="1"/>
  <c r="I1693" i="1"/>
  <c r="H1694" i="1"/>
  <c r="I1694" i="1"/>
  <c r="H1695" i="1"/>
  <c r="I1695" i="1"/>
  <c r="H1696" i="1"/>
  <c r="I1696" i="1"/>
  <c r="H1697" i="1"/>
  <c r="I1697" i="1"/>
  <c r="H1698" i="1"/>
  <c r="I1698" i="1"/>
  <c r="H1699" i="1"/>
  <c r="I1699" i="1"/>
  <c r="H1700" i="1"/>
  <c r="I1700" i="1"/>
  <c r="H1701" i="1"/>
  <c r="I1701" i="1"/>
  <c r="H1702" i="1"/>
  <c r="I1702" i="1"/>
  <c r="H1703" i="1"/>
  <c r="I1703" i="1"/>
  <c r="H1704" i="1"/>
  <c r="I1704" i="1"/>
  <c r="H1705" i="1"/>
  <c r="I1705" i="1"/>
  <c r="H1706" i="1"/>
  <c r="I1706" i="1"/>
  <c r="H1707" i="1"/>
  <c r="I1707" i="1"/>
  <c r="H1708" i="1"/>
  <c r="I1708" i="1"/>
  <c r="H1709" i="1"/>
  <c r="I1709" i="1"/>
  <c r="H1710" i="1"/>
  <c r="I1710" i="1"/>
  <c r="H1711" i="1"/>
  <c r="I1711" i="1"/>
  <c r="H1712" i="1"/>
  <c r="I1712" i="1"/>
  <c r="H1713" i="1"/>
  <c r="I1713" i="1"/>
  <c r="H1714" i="1"/>
  <c r="I1714" i="1"/>
  <c r="H1715" i="1"/>
  <c r="I1715" i="1"/>
  <c r="H1716" i="1"/>
  <c r="I1716" i="1"/>
  <c r="H1717" i="1"/>
  <c r="I1717" i="1"/>
  <c r="H1718" i="1"/>
  <c r="I1718" i="1"/>
  <c r="H1719" i="1"/>
  <c r="I1719" i="1"/>
  <c r="H1720" i="1"/>
  <c r="I1720" i="1"/>
  <c r="H1721" i="1"/>
  <c r="I1721" i="1"/>
  <c r="H1722" i="1"/>
  <c r="I1722" i="1"/>
  <c r="H1723" i="1"/>
  <c r="I1723" i="1"/>
  <c r="H1724" i="1"/>
  <c r="I1724" i="1"/>
  <c r="H1725" i="1"/>
  <c r="I1725" i="1"/>
  <c r="H1726" i="1"/>
  <c r="I1726" i="1"/>
  <c r="H1727" i="1"/>
  <c r="I1727" i="1"/>
  <c r="H1728" i="1"/>
  <c r="I1728" i="1"/>
  <c r="H1729" i="1"/>
  <c r="I1729" i="1"/>
  <c r="H1730" i="1"/>
  <c r="I1730" i="1"/>
  <c r="H1731" i="1"/>
  <c r="I1731" i="1"/>
  <c r="H1732" i="1"/>
  <c r="I1732" i="1"/>
  <c r="H1733" i="1"/>
  <c r="I1733" i="1"/>
  <c r="H1734" i="1"/>
  <c r="I1734" i="1"/>
  <c r="H1735" i="1"/>
  <c r="I1735" i="1"/>
  <c r="H1736" i="1"/>
  <c r="I1736" i="1"/>
  <c r="H1737" i="1"/>
  <c r="I1737" i="1"/>
  <c r="H1738" i="1"/>
  <c r="I1738" i="1"/>
  <c r="H1739" i="1"/>
  <c r="I1739" i="1"/>
  <c r="H1740" i="1"/>
  <c r="I1740" i="1"/>
  <c r="H1741" i="1"/>
  <c r="I1741" i="1"/>
  <c r="H1742" i="1"/>
  <c r="I1742" i="1"/>
  <c r="H1743" i="1"/>
  <c r="I1743" i="1"/>
  <c r="H1744" i="1"/>
  <c r="I1744" i="1"/>
  <c r="H1745" i="1"/>
  <c r="I1745" i="1"/>
  <c r="H1746" i="1"/>
  <c r="I1746" i="1"/>
  <c r="H1747" i="1"/>
  <c r="I1747" i="1"/>
  <c r="H1748" i="1"/>
  <c r="I1748" i="1"/>
  <c r="H1749" i="1"/>
  <c r="I1749" i="1"/>
  <c r="H1750" i="1"/>
  <c r="I1750" i="1"/>
  <c r="H1751" i="1"/>
  <c r="I1751" i="1"/>
  <c r="H1752" i="1"/>
  <c r="I1752" i="1"/>
  <c r="H1753" i="1"/>
  <c r="I1753" i="1"/>
  <c r="H1754" i="1"/>
  <c r="I1754" i="1"/>
  <c r="H1755" i="1"/>
  <c r="I1755" i="1"/>
  <c r="H1756" i="1"/>
  <c r="I1756" i="1"/>
  <c r="H1757" i="1"/>
  <c r="I1757" i="1"/>
  <c r="H1758" i="1"/>
  <c r="I1758" i="1"/>
  <c r="H1759" i="1"/>
  <c r="I1759" i="1"/>
  <c r="H1760" i="1"/>
  <c r="I1760" i="1"/>
  <c r="H1761" i="1"/>
  <c r="I1761" i="1"/>
  <c r="H1762" i="1"/>
  <c r="I1762" i="1"/>
  <c r="H1763" i="1"/>
  <c r="I1763" i="1"/>
  <c r="H1764" i="1"/>
  <c r="I1764" i="1"/>
  <c r="H1765" i="1"/>
  <c r="I1765" i="1"/>
  <c r="H1766" i="1"/>
  <c r="I1766" i="1"/>
  <c r="H1767" i="1"/>
  <c r="I1767" i="1"/>
  <c r="H1768" i="1"/>
  <c r="I1768" i="1"/>
  <c r="H1769" i="1"/>
  <c r="I1769" i="1"/>
  <c r="H1770" i="1"/>
  <c r="I1770" i="1"/>
  <c r="H1771" i="1"/>
  <c r="I1771" i="1"/>
  <c r="H1772" i="1"/>
  <c r="I1772" i="1"/>
  <c r="H1773" i="1"/>
  <c r="I1773" i="1"/>
  <c r="H1774" i="1"/>
  <c r="I1774" i="1"/>
  <c r="H1775" i="1"/>
  <c r="I1775" i="1"/>
  <c r="H1776" i="1"/>
  <c r="I1776" i="1"/>
  <c r="H1777" i="1"/>
  <c r="I1777" i="1"/>
  <c r="H1778" i="1"/>
  <c r="I1778" i="1"/>
  <c r="H1779" i="1"/>
  <c r="I1779" i="1"/>
  <c r="H1780" i="1"/>
  <c r="I1780" i="1"/>
  <c r="H1781" i="1"/>
  <c r="I1781" i="1"/>
  <c r="H1782" i="1"/>
  <c r="I1782" i="1"/>
  <c r="H1783" i="1"/>
  <c r="I1783" i="1"/>
  <c r="H1784" i="1"/>
  <c r="I1784" i="1"/>
  <c r="H1785" i="1"/>
  <c r="I1785" i="1"/>
  <c r="H1786" i="1"/>
  <c r="I1786" i="1"/>
  <c r="H1787" i="1"/>
  <c r="I1787" i="1"/>
  <c r="H1788" i="1"/>
  <c r="I1788" i="1"/>
  <c r="H1789" i="1"/>
  <c r="I1789" i="1"/>
  <c r="H1790" i="1"/>
  <c r="I1790" i="1"/>
  <c r="H1791" i="1"/>
  <c r="I1791" i="1"/>
  <c r="H1792" i="1"/>
  <c r="I1792" i="1"/>
  <c r="H1793" i="1"/>
  <c r="I1793" i="1"/>
  <c r="H1794" i="1"/>
  <c r="I1794" i="1"/>
  <c r="H1795" i="1"/>
  <c r="I1795" i="1"/>
  <c r="H1796" i="1"/>
  <c r="I1796" i="1"/>
  <c r="H1797" i="1"/>
  <c r="I1797" i="1"/>
  <c r="H1798" i="1"/>
  <c r="I1798" i="1"/>
  <c r="H1799" i="1"/>
  <c r="I1799" i="1"/>
  <c r="H1800" i="1"/>
  <c r="I1800" i="1"/>
  <c r="H1801" i="1"/>
  <c r="I1801" i="1"/>
  <c r="H1802" i="1"/>
  <c r="I1802" i="1"/>
  <c r="H1803" i="1"/>
  <c r="I1803" i="1"/>
  <c r="H1804" i="1"/>
  <c r="I1804" i="1"/>
  <c r="H1805" i="1"/>
  <c r="I1805" i="1"/>
  <c r="H1806" i="1"/>
  <c r="I1806" i="1"/>
  <c r="H1807" i="1"/>
  <c r="I1807" i="1"/>
  <c r="H1808" i="1"/>
  <c r="I1808" i="1"/>
  <c r="H1809" i="1"/>
  <c r="I1809" i="1"/>
  <c r="H1810" i="1"/>
  <c r="I1810" i="1"/>
  <c r="H1811" i="1"/>
  <c r="I1811" i="1"/>
  <c r="H1812" i="1"/>
  <c r="I1812" i="1"/>
  <c r="H1813" i="1"/>
  <c r="I1813" i="1"/>
  <c r="H1814" i="1"/>
  <c r="I1814" i="1"/>
  <c r="H1815" i="1"/>
  <c r="I1815" i="1"/>
  <c r="H1816" i="1"/>
  <c r="I1816" i="1"/>
  <c r="H1817" i="1"/>
  <c r="I1817" i="1"/>
  <c r="H1818" i="1"/>
  <c r="I1818" i="1"/>
  <c r="H1819" i="1"/>
  <c r="I1819" i="1"/>
  <c r="H1820" i="1"/>
  <c r="I1820" i="1"/>
  <c r="H1821" i="1"/>
  <c r="I1821" i="1"/>
  <c r="H1822" i="1"/>
  <c r="I1822" i="1"/>
  <c r="H1823" i="1"/>
  <c r="I1823" i="1"/>
  <c r="H1824" i="1"/>
  <c r="I1824" i="1"/>
  <c r="H1825" i="1"/>
  <c r="I1825" i="1"/>
  <c r="H1826" i="1"/>
  <c r="I1826" i="1"/>
  <c r="H1827" i="1"/>
  <c r="I1827" i="1"/>
  <c r="H1828" i="1"/>
  <c r="I1828" i="1"/>
  <c r="H1829" i="1"/>
  <c r="I1829" i="1"/>
  <c r="H1830" i="1"/>
  <c r="I1830" i="1"/>
  <c r="H1831" i="1"/>
  <c r="I1831" i="1"/>
  <c r="H1832" i="1"/>
  <c r="I1832" i="1"/>
  <c r="H1833" i="1"/>
  <c r="I1833" i="1"/>
  <c r="H1834" i="1"/>
  <c r="I1834" i="1"/>
  <c r="H1835" i="1"/>
  <c r="I1835" i="1"/>
  <c r="H1836" i="1"/>
  <c r="I1836" i="1"/>
  <c r="H1837" i="1"/>
  <c r="I1837" i="1"/>
  <c r="H1838" i="1"/>
  <c r="I1838" i="1"/>
  <c r="H1839" i="1"/>
  <c r="I1839" i="1"/>
  <c r="H1840" i="1"/>
  <c r="I1840" i="1"/>
  <c r="H1841" i="1"/>
  <c r="I1841" i="1"/>
  <c r="H1842" i="1"/>
  <c r="I1842" i="1"/>
  <c r="H1843" i="1"/>
  <c r="I1843" i="1"/>
  <c r="H1844" i="1"/>
  <c r="I1844" i="1"/>
  <c r="H1845" i="1"/>
  <c r="I1845" i="1"/>
  <c r="H1846" i="1"/>
  <c r="I1846" i="1"/>
  <c r="H1847" i="1"/>
  <c r="I1847" i="1"/>
  <c r="H1848" i="1"/>
  <c r="I1848" i="1"/>
  <c r="H1849" i="1"/>
  <c r="I1849" i="1"/>
  <c r="H1850" i="1"/>
  <c r="I1850" i="1"/>
  <c r="H1851" i="1"/>
  <c r="I1851" i="1"/>
  <c r="H1852" i="1"/>
  <c r="I1852" i="1"/>
  <c r="H1853" i="1"/>
  <c r="I1853" i="1"/>
  <c r="H1854" i="1"/>
  <c r="I1854" i="1"/>
  <c r="H1855" i="1"/>
  <c r="I1855" i="1"/>
  <c r="H1856" i="1"/>
  <c r="I1856" i="1"/>
  <c r="H1857" i="1"/>
  <c r="I1857" i="1"/>
  <c r="H1858" i="1"/>
  <c r="I1858" i="1"/>
  <c r="H1859" i="1"/>
  <c r="I1859" i="1"/>
  <c r="H1860" i="1"/>
  <c r="I1860" i="1"/>
  <c r="H1861" i="1"/>
  <c r="I1861" i="1"/>
  <c r="H1862" i="1"/>
  <c r="I1862" i="1"/>
  <c r="H1863" i="1"/>
  <c r="I1863" i="1"/>
  <c r="H1864" i="1"/>
  <c r="I1864" i="1"/>
  <c r="H1865" i="1"/>
  <c r="I1865" i="1"/>
  <c r="H1866" i="1"/>
  <c r="I1866" i="1"/>
  <c r="H1867" i="1"/>
  <c r="I1867" i="1"/>
  <c r="H1868" i="1"/>
  <c r="I1868" i="1"/>
  <c r="H1869" i="1"/>
  <c r="I1869" i="1"/>
  <c r="H1870" i="1"/>
  <c r="I1870" i="1"/>
  <c r="H1871" i="1"/>
  <c r="I1871" i="1"/>
  <c r="H1872" i="1"/>
  <c r="I1872" i="1"/>
  <c r="H1873" i="1"/>
  <c r="I1873" i="1"/>
  <c r="H1874" i="1"/>
  <c r="I1874" i="1"/>
  <c r="H1875" i="1"/>
  <c r="I1875" i="1"/>
  <c r="H1876" i="1"/>
  <c r="I1876" i="1"/>
  <c r="H1877" i="1"/>
  <c r="I1877" i="1"/>
  <c r="H1878" i="1"/>
  <c r="I1878" i="1"/>
  <c r="H1879" i="1"/>
  <c r="I1879" i="1"/>
  <c r="H1880" i="1"/>
  <c r="I1880" i="1"/>
  <c r="H1881" i="1"/>
  <c r="I1881" i="1"/>
  <c r="H1882" i="1"/>
  <c r="I1882" i="1"/>
  <c r="H1883" i="1"/>
  <c r="I1883" i="1"/>
  <c r="H1884" i="1"/>
  <c r="I1884" i="1"/>
  <c r="H1885" i="1"/>
  <c r="I1885" i="1"/>
  <c r="H1886" i="1"/>
  <c r="I1886" i="1"/>
  <c r="H1887" i="1"/>
  <c r="I1887" i="1"/>
  <c r="H1888" i="1"/>
  <c r="I1888" i="1"/>
  <c r="H1889" i="1"/>
  <c r="I1889" i="1"/>
  <c r="H1890" i="1"/>
  <c r="I1890" i="1"/>
  <c r="H1891" i="1"/>
  <c r="I1891" i="1"/>
  <c r="H1892" i="1"/>
  <c r="I1892" i="1"/>
  <c r="H1893" i="1"/>
  <c r="I1893" i="1"/>
  <c r="H1894" i="1"/>
  <c r="I1894" i="1"/>
  <c r="H1895" i="1"/>
  <c r="I1895" i="1"/>
  <c r="H1896" i="1"/>
  <c r="I1896" i="1"/>
  <c r="H1897" i="1"/>
  <c r="I1897" i="1"/>
  <c r="H1898" i="1"/>
  <c r="I1898" i="1"/>
  <c r="H1899" i="1"/>
  <c r="I1899" i="1"/>
  <c r="H1900" i="1"/>
  <c r="I1900" i="1"/>
  <c r="H1901" i="1"/>
  <c r="I1901" i="1"/>
  <c r="H1902" i="1"/>
  <c r="I1902" i="1"/>
  <c r="H1903" i="1"/>
  <c r="I1903" i="1"/>
  <c r="H1904" i="1"/>
  <c r="I1904" i="1"/>
  <c r="H1905" i="1"/>
  <c r="I1905" i="1"/>
  <c r="H1906" i="1"/>
  <c r="I1906" i="1"/>
  <c r="H1907" i="1"/>
  <c r="I1907" i="1"/>
  <c r="H1908" i="1"/>
  <c r="I1908" i="1"/>
  <c r="H1909" i="1"/>
  <c r="I1909" i="1"/>
  <c r="H1910" i="1"/>
  <c r="I1910" i="1"/>
  <c r="H1911" i="1"/>
  <c r="I1911" i="1"/>
  <c r="H1912" i="1"/>
  <c r="I1912" i="1"/>
  <c r="H1913" i="1"/>
  <c r="I1913" i="1"/>
  <c r="H1914" i="1"/>
  <c r="I1914" i="1"/>
  <c r="H1915" i="1"/>
  <c r="I1915" i="1"/>
  <c r="H1916" i="1"/>
  <c r="I1916" i="1"/>
  <c r="H1917" i="1"/>
  <c r="I1917" i="1"/>
  <c r="H1918" i="1"/>
  <c r="I1918" i="1"/>
  <c r="H1919" i="1"/>
  <c r="I1919" i="1"/>
  <c r="H1920" i="1"/>
  <c r="I1920" i="1"/>
  <c r="H1921" i="1"/>
  <c r="I1921" i="1"/>
  <c r="H1922" i="1"/>
  <c r="I1922" i="1"/>
  <c r="H1923" i="1"/>
  <c r="I1923" i="1"/>
  <c r="H1924" i="1"/>
  <c r="I1924" i="1"/>
  <c r="H1925" i="1"/>
  <c r="I1925" i="1"/>
  <c r="H1926" i="1"/>
  <c r="I1926" i="1"/>
  <c r="H1927" i="1"/>
  <c r="I1927" i="1"/>
  <c r="H1928" i="1"/>
  <c r="I1928" i="1"/>
  <c r="H1929" i="1"/>
  <c r="I1929" i="1"/>
  <c r="H1930" i="1"/>
  <c r="I1930" i="1"/>
  <c r="H1931" i="1"/>
  <c r="I1931" i="1"/>
  <c r="H1932" i="1"/>
  <c r="I1932" i="1"/>
  <c r="H1933" i="1"/>
  <c r="I1933" i="1"/>
  <c r="H1934" i="1"/>
  <c r="I1934" i="1"/>
  <c r="H1935" i="1"/>
  <c r="I1935" i="1"/>
  <c r="H1936" i="1"/>
  <c r="I1936" i="1"/>
  <c r="H1937" i="1"/>
  <c r="I1937" i="1"/>
  <c r="H1938" i="1"/>
  <c r="I1938" i="1"/>
  <c r="H1939" i="1"/>
  <c r="I1939" i="1"/>
  <c r="H1940" i="1"/>
  <c r="I1940" i="1"/>
  <c r="H1941" i="1"/>
  <c r="I1941" i="1"/>
  <c r="H1942" i="1"/>
  <c r="I1942" i="1"/>
  <c r="H1943" i="1"/>
  <c r="I1943" i="1"/>
  <c r="H1944" i="1"/>
  <c r="I1944" i="1"/>
  <c r="H1945" i="1"/>
  <c r="I1945" i="1"/>
  <c r="H1946" i="1"/>
  <c r="I1946" i="1"/>
  <c r="H1947" i="1"/>
  <c r="I1947" i="1"/>
  <c r="H1948" i="1"/>
  <c r="I1948" i="1"/>
  <c r="H1949" i="1"/>
  <c r="I1949" i="1"/>
  <c r="H1950" i="1"/>
  <c r="I1950" i="1"/>
  <c r="H1951" i="1"/>
  <c r="I1951" i="1"/>
  <c r="H1952" i="1"/>
  <c r="I1952" i="1"/>
  <c r="H1953" i="1"/>
  <c r="I1953" i="1"/>
  <c r="H1954" i="1"/>
  <c r="I1954" i="1"/>
  <c r="H1955" i="1"/>
  <c r="I1955" i="1"/>
  <c r="H1956" i="1"/>
  <c r="I1956" i="1"/>
  <c r="H1957" i="1"/>
  <c r="I1957" i="1"/>
  <c r="H1958" i="1"/>
  <c r="I1958" i="1"/>
  <c r="H1959" i="1"/>
  <c r="I1959" i="1"/>
  <c r="H1960" i="1"/>
  <c r="I1960" i="1"/>
  <c r="H1961" i="1"/>
  <c r="I1961" i="1"/>
  <c r="H1962" i="1"/>
  <c r="I1962" i="1"/>
  <c r="H1963" i="1"/>
  <c r="I1963" i="1"/>
  <c r="H1964" i="1"/>
  <c r="I1964" i="1"/>
  <c r="H1965" i="1"/>
  <c r="I1965" i="1"/>
  <c r="H1966" i="1"/>
  <c r="I1966" i="1"/>
  <c r="H1967" i="1"/>
  <c r="I1967" i="1"/>
  <c r="H1968" i="1"/>
  <c r="I1968" i="1"/>
  <c r="H1969" i="1"/>
  <c r="I1969" i="1"/>
  <c r="H1970" i="1"/>
  <c r="I1970" i="1"/>
  <c r="H1971" i="1"/>
  <c r="I1971" i="1"/>
  <c r="H1972" i="1"/>
  <c r="I1972" i="1"/>
  <c r="H1973" i="1"/>
  <c r="I1973" i="1"/>
  <c r="H1974" i="1"/>
  <c r="I1974" i="1"/>
  <c r="H1975" i="1"/>
  <c r="I1975" i="1"/>
  <c r="H1976" i="1"/>
  <c r="I1976" i="1"/>
  <c r="H1977" i="1"/>
  <c r="I1977" i="1"/>
  <c r="H1978" i="1"/>
  <c r="I1978" i="1"/>
  <c r="H1979" i="1"/>
  <c r="I1979" i="1"/>
  <c r="H1980" i="1"/>
  <c r="I1980" i="1"/>
  <c r="H1981" i="1"/>
  <c r="I1981" i="1"/>
  <c r="H1982" i="1"/>
  <c r="I1982" i="1"/>
  <c r="H1983" i="1"/>
  <c r="I1983" i="1"/>
  <c r="H1984" i="1"/>
  <c r="I1984" i="1"/>
  <c r="H1985" i="1"/>
  <c r="I1985" i="1"/>
  <c r="H1986" i="1"/>
  <c r="I1986" i="1"/>
  <c r="H1987" i="1"/>
  <c r="I1987" i="1"/>
  <c r="H1988" i="1"/>
  <c r="I1988" i="1"/>
  <c r="H1989" i="1"/>
  <c r="I1989" i="1"/>
  <c r="H1990" i="1"/>
  <c r="I1990" i="1"/>
  <c r="H1991" i="1"/>
  <c r="I1991" i="1"/>
  <c r="H1992" i="1"/>
  <c r="I1992" i="1"/>
  <c r="H1993" i="1"/>
  <c r="I1993" i="1"/>
  <c r="H1994" i="1"/>
  <c r="I1994" i="1"/>
  <c r="H1995" i="1"/>
  <c r="I1995" i="1"/>
  <c r="H1996" i="1"/>
  <c r="I1996" i="1"/>
  <c r="H1997" i="1"/>
  <c r="I1997" i="1"/>
  <c r="H1998" i="1"/>
  <c r="I1998" i="1"/>
  <c r="H1999" i="1"/>
  <c r="I1999" i="1"/>
  <c r="H2000" i="1"/>
  <c r="I2000" i="1"/>
  <c r="H2001" i="1"/>
  <c r="I2001" i="1"/>
  <c r="H2002" i="1"/>
  <c r="I2002" i="1"/>
  <c r="H2003" i="1"/>
  <c r="I2003" i="1"/>
  <c r="H2004" i="1"/>
  <c r="I2004" i="1"/>
  <c r="H2005" i="1"/>
  <c r="I2005" i="1"/>
  <c r="H2006" i="1"/>
  <c r="I2006" i="1"/>
  <c r="H2007" i="1"/>
  <c r="I2007" i="1"/>
  <c r="H2008" i="1"/>
  <c r="I2008" i="1"/>
  <c r="H2009" i="1"/>
  <c r="I2009" i="1"/>
  <c r="H2010" i="1"/>
  <c r="I2010" i="1"/>
  <c r="H2011" i="1"/>
  <c r="I2011" i="1"/>
  <c r="H2012" i="1"/>
  <c r="I2012" i="1"/>
  <c r="H2013" i="1"/>
  <c r="I2013" i="1"/>
  <c r="H2014" i="1"/>
  <c r="I2014" i="1"/>
  <c r="H2015" i="1"/>
  <c r="I2015" i="1"/>
  <c r="H2016" i="1"/>
  <c r="I2016" i="1"/>
  <c r="H2017" i="1"/>
  <c r="I2017" i="1"/>
  <c r="H2018" i="1"/>
  <c r="I2018" i="1"/>
  <c r="H2019" i="1"/>
  <c r="I2019" i="1"/>
  <c r="H2020" i="1"/>
  <c r="I2020" i="1"/>
  <c r="H2021" i="1"/>
  <c r="I2021" i="1"/>
  <c r="H2022" i="1"/>
  <c r="I2022" i="1"/>
  <c r="H2023" i="1"/>
  <c r="I2023" i="1"/>
  <c r="H2024" i="1"/>
  <c r="I2024" i="1"/>
  <c r="H2025" i="1"/>
  <c r="I2025" i="1"/>
  <c r="H2026" i="1"/>
  <c r="I2026" i="1"/>
  <c r="H2027" i="1"/>
  <c r="I2027" i="1"/>
  <c r="H2028" i="1"/>
  <c r="I2028" i="1"/>
  <c r="H2029" i="1"/>
  <c r="I2029" i="1"/>
  <c r="H2030" i="1"/>
  <c r="I2030" i="1"/>
  <c r="H2031" i="1"/>
  <c r="I2031" i="1"/>
  <c r="H2032" i="1"/>
  <c r="I2032" i="1"/>
  <c r="H2033" i="1"/>
  <c r="I2033" i="1"/>
  <c r="H2034" i="1"/>
  <c r="I2034" i="1"/>
  <c r="H2035" i="1"/>
  <c r="I2035" i="1"/>
  <c r="H2036" i="1"/>
  <c r="I2036" i="1"/>
  <c r="H2037" i="1"/>
  <c r="I2037" i="1"/>
  <c r="H2038" i="1"/>
  <c r="I2038" i="1"/>
  <c r="H2039" i="1"/>
  <c r="I2039" i="1"/>
  <c r="H2040" i="1"/>
  <c r="I2040" i="1"/>
  <c r="H2041" i="1"/>
  <c r="I2041" i="1"/>
  <c r="H2042" i="1"/>
  <c r="I2042" i="1"/>
  <c r="H2043" i="1"/>
  <c r="I2043" i="1"/>
  <c r="H2044" i="1"/>
  <c r="I2044" i="1"/>
  <c r="H2045" i="1"/>
  <c r="I2045" i="1"/>
  <c r="H2046" i="1"/>
  <c r="I2046" i="1"/>
  <c r="H2047" i="1"/>
  <c r="I2047" i="1"/>
  <c r="H2048" i="1"/>
  <c r="I2048" i="1"/>
  <c r="H2049" i="1"/>
  <c r="I2049" i="1"/>
  <c r="H2050" i="1"/>
  <c r="I2050" i="1"/>
  <c r="H2051" i="1"/>
  <c r="I2051" i="1"/>
  <c r="H2052" i="1"/>
  <c r="I2052" i="1"/>
  <c r="H2053" i="1"/>
  <c r="I2053" i="1"/>
  <c r="H2054" i="1"/>
  <c r="I2054" i="1"/>
  <c r="H2055" i="1"/>
  <c r="I2055" i="1"/>
  <c r="H2056" i="1"/>
  <c r="I2056" i="1"/>
  <c r="H2057" i="1"/>
  <c r="I2057" i="1"/>
  <c r="H2058" i="1"/>
  <c r="I2058" i="1"/>
  <c r="H2059" i="1"/>
  <c r="I2059" i="1"/>
  <c r="H2060" i="1"/>
  <c r="I2060" i="1"/>
  <c r="H2061" i="1"/>
  <c r="I2061" i="1"/>
  <c r="H2062" i="1"/>
  <c r="I2062" i="1"/>
  <c r="H2063" i="1"/>
  <c r="I2063" i="1"/>
  <c r="H2064" i="1"/>
  <c r="I2064" i="1"/>
  <c r="H2065" i="1"/>
  <c r="I2065" i="1"/>
  <c r="H2066" i="1"/>
  <c r="I2066" i="1"/>
  <c r="H2067" i="1"/>
  <c r="I2067" i="1"/>
  <c r="H2068" i="1"/>
  <c r="I2068" i="1"/>
  <c r="H2069" i="1"/>
  <c r="I2069" i="1"/>
  <c r="H2070" i="1"/>
  <c r="I2070" i="1"/>
  <c r="H2071" i="1"/>
  <c r="I2071" i="1"/>
  <c r="H2072" i="1"/>
  <c r="I2072" i="1"/>
  <c r="H2073" i="1"/>
  <c r="I2073" i="1"/>
  <c r="H2074" i="1"/>
  <c r="I2074" i="1"/>
  <c r="H2075" i="1"/>
  <c r="I2075" i="1"/>
  <c r="H2076" i="1"/>
  <c r="I2076" i="1"/>
  <c r="H2077" i="1"/>
  <c r="I2077" i="1"/>
  <c r="H2078" i="1"/>
  <c r="I2078" i="1"/>
  <c r="H2079" i="1"/>
  <c r="I2079" i="1"/>
  <c r="H2080" i="1"/>
  <c r="I2080" i="1"/>
  <c r="H2081" i="1"/>
  <c r="I2081" i="1"/>
  <c r="H2082" i="1"/>
  <c r="I2082" i="1"/>
  <c r="H2083" i="1"/>
  <c r="I2083" i="1"/>
  <c r="H2084" i="1"/>
  <c r="I2084" i="1"/>
  <c r="H2085" i="1"/>
  <c r="I2085" i="1"/>
  <c r="H2086" i="1"/>
  <c r="I2086" i="1"/>
  <c r="H2087" i="1"/>
  <c r="I2087" i="1"/>
  <c r="H2088" i="1"/>
  <c r="I2088" i="1"/>
  <c r="H2089" i="1"/>
  <c r="I2089" i="1"/>
  <c r="H2090" i="1"/>
  <c r="I2090" i="1"/>
  <c r="H2091" i="1"/>
  <c r="I2091" i="1"/>
  <c r="H2092" i="1"/>
  <c r="I2092" i="1"/>
  <c r="H2093" i="1"/>
  <c r="I2093" i="1"/>
  <c r="H2094" i="1"/>
  <c r="I2094" i="1"/>
  <c r="H2095" i="1"/>
  <c r="I2095" i="1"/>
  <c r="H2096" i="1"/>
  <c r="I2096" i="1"/>
  <c r="H2097" i="1"/>
  <c r="I2097" i="1"/>
  <c r="H2098" i="1"/>
  <c r="I2098" i="1"/>
  <c r="H2099" i="1"/>
  <c r="I2099" i="1"/>
  <c r="H2100" i="1"/>
  <c r="I2100" i="1"/>
  <c r="H2101" i="1"/>
  <c r="I2101" i="1"/>
  <c r="H2102" i="1"/>
  <c r="I2102" i="1"/>
  <c r="H2103" i="1"/>
  <c r="I2103" i="1"/>
  <c r="H2104" i="1"/>
  <c r="I2104" i="1"/>
  <c r="H2105" i="1"/>
  <c r="I2105" i="1"/>
  <c r="H2106" i="1"/>
  <c r="I2106" i="1"/>
  <c r="H2107" i="1"/>
  <c r="I2107" i="1"/>
  <c r="H2108" i="1"/>
  <c r="I2108" i="1"/>
  <c r="H2109" i="1"/>
  <c r="I2109" i="1"/>
  <c r="H2110" i="1"/>
  <c r="I2110" i="1"/>
  <c r="H2111" i="1"/>
  <c r="I2111" i="1"/>
  <c r="H2112" i="1"/>
  <c r="I2112" i="1"/>
  <c r="H2113" i="1"/>
  <c r="I2113" i="1"/>
  <c r="H2114" i="1"/>
  <c r="I2114" i="1"/>
  <c r="H2115" i="1"/>
  <c r="I2115" i="1"/>
  <c r="H2116" i="1"/>
  <c r="I2116" i="1"/>
  <c r="H2117" i="1"/>
  <c r="I2117" i="1"/>
  <c r="H2118" i="1"/>
  <c r="I2118" i="1"/>
  <c r="H2119" i="1"/>
  <c r="I2119" i="1"/>
  <c r="H2120" i="1"/>
  <c r="I2120" i="1"/>
  <c r="H2121" i="1"/>
  <c r="I2121" i="1"/>
  <c r="H2122" i="1"/>
  <c r="I2122" i="1"/>
  <c r="H2123" i="1"/>
  <c r="I2123" i="1"/>
  <c r="H2124" i="1"/>
  <c r="I2124" i="1"/>
  <c r="H2125" i="1"/>
  <c r="I2125" i="1"/>
  <c r="H2126" i="1"/>
  <c r="I2126" i="1"/>
  <c r="H2127" i="1"/>
  <c r="I2127" i="1"/>
  <c r="H2128" i="1"/>
  <c r="I2128" i="1"/>
  <c r="H2129" i="1"/>
  <c r="I2129" i="1"/>
  <c r="H2130" i="1"/>
  <c r="I2130" i="1"/>
  <c r="H2131" i="1"/>
  <c r="I2131" i="1"/>
  <c r="H2132" i="1"/>
  <c r="I2132" i="1"/>
  <c r="H2133" i="1"/>
  <c r="I2133" i="1"/>
  <c r="H2134" i="1"/>
  <c r="I2134" i="1"/>
  <c r="H2135" i="1"/>
  <c r="I2135" i="1"/>
  <c r="H2136" i="1"/>
  <c r="I2136" i="1"/>
  <c r="H2137" i="1"/>
  <c r="I2137" i="1"/>
  <c r="H2138" i="1"/>
  <c r="I2138" i="1"/>
  <c r="H2139" i="1"/>
  <c r="I2139" i="1"/>
  <c r="H2140" i="1"/>
  <c r="I2140" i="1"/>
  <c r="H2141" i="1"/>
  <c r="I2141" i="1"/>
  <c r="H2142" i="1"/>
  <c r="I2142" i="1"/>
  <c r="H2143" i="1"/>
  <c r="I2143" i="1"/>
  <c r="H2144" i="1"/>
  <c r="I2144" i="1"/>
  <c r="H2145" i="1"/>
  <c r="I2145" i="1"/>
  <c r="H2146" i="1"/>
  <c r="I2146" i="1"/>
  <c r="H2147" i="1"/>
  <c r="I2147" i="1"/>
  <c r="H2148" i="1"/>
  <c r="I2148" i="1"/>
  <c r="H2149" i="1"/>
  <c r="I2149" i="1"/>
  <c r="H2150" i="1"/>
  <c r="I2150" i="1"/>
  <c r="H2151" i="1"/>
  <c r="I2151" i="1"/>
  <c r="H2152" i="1"/>
  <c r="I2152" i="1"/>
  <c r="H2153" i="1"/>
  <c r="I2153" i="1"/>
  <c r="H2154" i="1"/>
  <c r="I2154" i="1"/>
  <c r="H2155" i="1"/>
  <c r="I2155" i="1"/>
  <c r="H2156" i="1"/>
  <c r="I2156" i="1"/>
  <c r="H2157" i="1"/>
  <c r="I2157" i="1"/>
  <c r="H2158" i="1"/>
  <c r="I2158" i="1"/>
  <c r="H2159" i="1"/>
  <c r="I2159" i="1"/>
  <c r="H2160" i="1"/>
  <c r="I2160" i="1"/>
  <c r="H2161" i="1"/>
  <c r="I2161" i="1"/>
  <c r="H2162" i="1"/>
  <c r="I2162" i="1"/>
  <c r="H2163" i="1"/>
  <c r="I2163" i="1"/>
  <c r="H2164" i="1"/>
  <c r="I2164" i="1"/>
  <c r="H2165" i="1"/>
  <c r="I2165" i="1"/>
  <c r="H2166" i="1"/>
  <c r="I2166" i="1"/>
  <c r="H2167" i="1"/>
  <c r="I2167" i="1"/>
  <c r="H2168" i="1"/>
  <c r="I2168" i="1"/>
  <c r="H2169" i="1"/>
  <c r="I2169" i="1"/>
  <c r="H2170" i="1"/>
  <c r="I2170" i="1"/>
  <c r="H2171" i="1"/>
  <c r="I2171" i="1"/>
  <c r="H2172" i="1"/>
  <c r="I2172" i="1"/>
  <c r="H2173" i="1"/>
  <c r="I2173" i="1"/>
  <c r="H2174" i="1"/>
  <c r="I2174" i="1"/>
  <c r="H2175" i="1"/>
  <c r="I2175" i="1"/>
  <c r="H2176" i="1"/>
  <c r="I2176" i="1"/>
  <c r="H2177" i="1"/>
  <c r="I2177" i="1"/>
  <c r="H2178" i="1"/>
  <c r="I2178" i="1"/>
  <c r="H2179" i="1"/>
  <c r="I2179" i="1"/>
  <c r="H2180" i="1"/>
  <c r="I2180" i="1"/>
  <c r="H2181" i="1"/>
  <c r="I2181" i="1"/>
  <c r="H2182" i="1"/>
  <c r="I2182" i="1"/>
  <c r="H2183" i="1"/>
  <c r="I2183" i="1"/>
  <c r="H2184" i="1"/>
  <c r="I2184" i="1"/>
  <c r="H2185" i="1"/>
  <c r="I2185" i="1"/>
  <c r="H2186" i="1"/>
  <c r="I2186" i="1"/>
  <c r="H2187" i="1"/>
  <c r="I2187" i="1"/>
  <c r="H2188" i="1"/>
  <c r="I2188" i="1"/>
  <c r="H2189" i="1"/>
  <c r="I2189" i="1"/>
  <c r="H2190" i="1"/>
  <c r="I2190" i="1"/>
  <c r="H2191" i="1"/>
  <c r="I2191" i="1"/>
  <c r="H2192" i="1"/>
  <c r="I2192" i="1"/>
  <c r="H2193" i="1"/>
  <c r="I2193" i="1"/>
  <c r="H2194" i="1"/>
  <c r="I2194" i="1"/>
  <c r="H2195" i="1"/>
  <c r="I2195" i="1"/>
  <c r="H2196" i="1"/>
  <c r="I2196" i="1"/>
  <c r="H2197" i="1"/>
  <c r="I2197" i="1"/>
  <c r="H2198" i="1"/>
  <c r="I2198" i="1"/>
  <c r="H2199" i="1"/>
  <c r="I2199" i="1"/>
  <c r="H2200" i="1"/>
  <c r="I2200" i="1"/>
  <c r="H2201" i="1"/>
  <c r="I2201" i="1"/>
  <c r="H2202" i="1"/>
  <c r="I2202" i="1"/>
  <c r="H2203" i="1"/>
  <c r="I2203" i="1"/>
  <c r="H2204" i="1"/>
  <c r="I2204" i="1"/>
  <c r="H2205" i="1"/>
  <c r="I2205" i="1"/>
  <c r="H2206" i="1"/>
  <c r="I2206" i="1"/>
  <c r="H2207" i="1"/>
  <c r="I2207" i="1"/>
  <c r="H2208" i="1"/>
  <c r="I2208" i="1"/>
  <c r="H2209" i="1"/>
  <c r="I2209" i="1"/>
  <c r="H2210" i="1"/>
  <c r="I2210" i="1"/>
  <c r="H2211" i="1"/>
  <c r="I2211" i="1"/>
  <c r="H2212" i="1"/>
  <c r="I2212" i="1"/>
  <c r="H2213" i="1"/>
  <c r="I2213" i="1"/>
  <c r="H2214" i="1"/>
  <c r="I2214" i="1"/>
  <c r="H2215" i="1"/>
  <c r="I2215" i="1"/>
  <c r="H2216" i="1"/>
  <c r="I2216" i="1"/>
  <c r="H2217" i="1"/>
  <c r="I2217" i="1"/>
  <c r="H2218" i="1"/>
  <c r="I2218" i="1"/>
  <c r="H2219" i="1"/>
  <c r="I2219" i="1"/>
  <c r="H2220" i="1"/>
  <c r="I2220" i="1"/>
  <c r="H2221" i="1"/>
  <c r="I2221" i="1"/>
  <c r="H2222" i="1"/>
  <c r="I2222" i="1"/>
  <c r="H2223" i="1"/>
  <c r="I2223" i="1"/>
  <c r="H2224" i="1"/>
  <c r="I2224" i="1"/>
  <c r="H2225" i="1"/>
  <c r="I2225" i="1"/>
  <c r="H2226" i="1"/>
  <c r="I2226" i="1"/>
  <c r="H2227" i="1"/>
  <c r="I2227" i="1"/>
  <c r="H2228" i="1"/>
  <c r="I2228" i="1"/>
  <c r="H2229" i="1"/>
  <c r="I2229" i="1"/>
  <c r="H2230" i="1"/>
  <c r="I2230" i="1"/>
  <c r="H2231" i="1"/>
  <c r="I2231" i="1"/>
  <c r="H2232" i="1"/>
  <c r="I2232" i="1"/>
  <c r="H2233" i="1"/>
  <c r="I2233" i="1"/>
  <c r="H2234" i="1"/>
  <c r="I2234" i="1"/>
  <c r="H2235" i="1"/>
  <c r="I2235" i="1"/>
  <c r="H2236" i="1"/>
  <c r="I2236" i="1"/>
  <c r="H2237" i="1"/>
  <c r="I2237" i="1"/>
  <c r="H2238" i="1"/>
  <c r="I2238" i="1"/>
  <c r="H2239" i="1"/>
  <c r="I2239" i="1"/>
  <c r="H2240" i="1"/>
  <c r="I2240" i="1"/>
  <c r="H2241" i="1"/>
  <c r="I2241" i="1"/>
  <c r="H2242" i="1"/>
  <c r="I2242" i="1"/>
  <c r="H2243" i="1"/>
  <c r="I2243" i="1"/>
  <c r="H2244" i="1"/>
  <c r="I2244" i="1"/>
  <c r="H2245" i="1"/>
  <c r="I2245" i="1"/>
  <c r="H2246" i="1"/>
  <c r="I2246" i="1"/>
  <c r="H2247" i="1"/>
  <c r="I2247" i="1"/>
  <c r="H2248" i="1"/>
  <c r="I2248" i="1"/>
  <c r="H2249" i="1"/>
  <c r="I2249" i="1"/>
  <c r="H2250" i="1"/>
  <c r="I2250" i="1"/>
  <c r="H2251" i="1"/>
  <c r="I2251" i="1"/>
  <c r="H2252" i="1"/>
  <c r="I2252" i="1"/>
  <c r="H2253" i="1"/>
  <c r="I2253" i="1"/>
  <c r="H2254" i="1"/>
  <c r="I2254" i="1"/>
  <c r="H2255" i="1"/>
  <c r="I2255" i="1"/>
  <c r="H2256" i="1"/>
  <c r="I2256" i="1"/>
  <c r="H2257" i="1"/>
  <c r="I2257" i="1"/>
  <c r="H2258" i="1"/>
  <c r="I2258" i="1"/>
  <c r="H2259" i="1"/>
  <c r="I2259" i="1"/>
  <c r="H2260" i="1"/>
  <c r="I2260" i="1"/>
  <c r="H2261" i="1"/>
  <c r="I2261" i="1"/>
  <c r="H2262" i="1"/>
  <c r="I2262" i="1"/>
  <c r="H2263" i="1"/>
  <c r="I2263" i="1"/>
  <c r="H2264" i="1"/>
  <c r="I2264" i="1"/>
  <c r="H2265" i="1"/>
  <c r="I2265" i="1"/>
  <c r="H2266" i="1"/>
  <c r="I2266" i="1"/>
  <c r="H2267" i="1"/>
  <c r="I2267" i="1"/>
  <c r="H2268" i="1"/>
  <c r="I2268" i="1"/>
  <c r="H2269" i="1"/>
  <c r="I2269" i="1"/>
  <c r="H2270" i="1"/>
  <c r="I2270" i="1"/>
  <c r="H2271" i="1"/>
  <c r="I2271" i="1"/>
  <c r="H2272" i="1"/>
  <c r="I2272" i="1"/>
  <c r="H2273" i="1"/>
  <c r="I2273" i="1"/>
  <c r="H2274" i="1"/>
  <c r="I2274" i="1"/>
  <c r="H2275" i="1"/>
  <c r="I2275" i="1"/>
  <c r="H2276" i="1"/>
  <c r="I2276" i="1"/>
  <c r="H2277" i="1"/>
  <c r="I2277" i="1"/>
  <c r="H2278" i="1"/>
  <c r="I2278" i="1"/>
  <c r="H2279" i="1"/>
  <c r="I2279" i="1"/>
  <c r="H2280" i="1"/>
  <c r="I2280" i="1"/>
  <c r="H2281" i="1"/>
  <c r="I2281" i="1"/>
  <c r="H2282" i="1"/>
  <c r="I2282" i="1"/>
  <c r="H2283" i="1"/>
  <c r="I2283" i="1"/>
  <c r="H2284" i="1"/>
  <c r="I2284" i="1"/>
  <c r="H2285" i="1"/>
  <c r="I2285" i="1"/>
  <c r="H2286" i="1"/>
  <c r="I2286" i="1"/>
  <c r="H2287" i="1"/>
  <c r="I2287" i="1"/>
  <c r="H2288" i="1"/>
  <c r="I2288" i="1"/>
  <c r="H2289" i="1"/>
  <c r="I2289" i="1"/>
  <c r="H2290" i="1"/>
  <c r="I2290" i="1"/>
  <c r="H2291" i="1"/>
  <c r="I2291" i="1"/>
  <c r="H2292" i="1"/>
  <c r="I2292" i="1"/>
  <c r="H2293" i="1"/>
  <c r="I2293" i="1"/>
  <c r="H2294" i="1"/>
  <c r="I2294" i="1"/>
  <c r="H2295" i="1"/>
  <c r="I2295" i="1"/>
  <c r="H2296" i="1"/>
  <c r="I2296" i="1"/>
  <c r="H2297" i="1"/>
  <c r="I2297" i="1"/>
  <c r="H2298" i="1"/>
  <c r="I2298" i="1"/>
  <c r="H2299" i="1"/>
  <c r="I2299" i="1"/>
  <c r="H2300" i="1"/>
  <c r="I2300" i="1"/>
  <c r="H2301" i="1"/>
  <c r="I2301" i="1"/>
  <c r="H2302" i="1"/>
  <c r="I2302" i="1"/>
  <c r="H2303" i="1"/>
  <c r="I2303" i="1"/>
  <c r="H2304" i="1"/>
  <c r="I2304" i="1"/>
  <c r="H2305" i="1"/>
  <c r="I2305" i="1"/>
  <c r="H2306" i="1"/>
  <c r="I2306" i="1"/>
  <c r="H2307" i="1"/>
  <c r="I2307" i="1"/>
  <c r="H2308" i="1"/>
  <c r="I2308" i="1"/>
  <c r="H2309" i="1"/>
  <c r="I2309" i="1"/>
  <c r="H2310" i="1"/>
  <c r="I2310" i="1"/>
  <c r="H2311" i="1"/>
  <c r="I2311" i="1"/>
  <c r="H2312" i="1"/>
  <c r="I2312" i="1"/>
  <c r="H2313" i="1"/>
  <c r="I2313" i="1"/>
  <c r="H2314" i="1"/>
  <c r="I2314" i="1"/>
  <c r="H2315" i="1"/>
  <c r="I2315" i="1"/>
  <c r="H2316" i="1"/>
  <c r="I2316" i="1"/>
  <c r="H2317" i="1"/>
  <c r="I2317" i="1"/>
  <c r="H2318" i="1"/>
  <c r="I2318" i="1"/>
  <c r="H2319" i="1"/>
  <c r="I2319" i="1"/>
  <c r="H2320" i="1"/>
  <c r="I2320" i="1"/>
  <c r="H2321" i="1"/>
  <c r="I2321" i="1"/>
  <c r="H2322" i="1"/>
  <c r="I2322" i="1"/>
  <c r="H2323" i="1"/>
  <c r="I2323" i="1"/>
  <c r="H2324" i="1"/>
  <c r="I2324" i="1"/>
  <c r="H2325" i="1"/>
  <c r="I2325" i="1"/>
  <c r="H2326" i="1"/>
  <c r="I2326" i="1"/>
  <c r="H2327" i="1"/>
  <c r="I2327" i="1"/>
  <c r="H2328" i="1"/>
  <c r="I2328" i="1"/>
  <c r="H2329" i="1"/>
  <c r="I2329" i="1"/>
  <c r="H2330" i="1"/>
  <c r="I2330" i="1"/>
  <c r="H2331" i="1"/>
  <c r="I2331" i="1"/>
  <c r="H2332" i="1"/>
  <c r="I2332" i="1"/>
  <c r="H2333" i="1"/>
  <c r="I2333" i="1"/>
  <c r="H2334" i="1"/>
  <c r="I2334" i="1"/>
  <c r="H2335" i="1"/>
  <c r="I2335" i="1"/>
  <c r="H2336" i="1"/>
  <c r="I2336" i="1"/>
  <c r="H2337" i="1"/>
  <c r="I2337" i="1"/>
  <c r="H2338" i="1"/>
  <c r="I2338" i="1"/>
  <c r="H2339" i="1"/>
  <c r="I2339" i="1"/>
  <c r="H2340" i="1"/>
  <c r="I2340" i="1"/>
  <c r="H2341" i="1"/>
  <c r="I2341" i="1"/>
  <c r="H2342" i="1"/>
  <c r="I2342" i="1"/>
  <c r="H2343" i="1"/>
  <c r="I2343" i="1"/>
  <c r="H2344" i="1"/>
  <c r="I2344" i="1"/>
  <c r="H2345" i="1"/>
  <c r="I2345" i="1"/>
  <c r="H2346" i="1"/>
  <c r="I2346" i="1"/>
  <c r="H2347" i="1"/>
  <c r="I2347" i="1"/>
  <c r="H2348" i="1"/>
  <c r="I2348" i="1"/>
  <c r="H2349" i="1"/>
  <c r="I2349" i="1"/>
  <c r="H2350" i="1"/>
  <c r="I2350" i="1"/>
  <c r="H2351" i="1"/>
  <c r="I2351" i="1"/>
  <c r="H2352" i="1"/>
  <c r="I2352" i="1"/>
  <c r="H2353" i="1"/>
  <c r="I2353" i="1"/>
  <c r="H2354" i="1"/>
  <c r="I2354" i="1"/>
  <c r="H2355" i="1"/>
  <c r="I2355" i="1"/>
  <c r="H2356" i="1"/>
  <c r="I2356" i="1"/>
  <c r="H2357" i="1"/>
  <c r="I2357" i="1"/>
  <c r="H2358" i="1"/>
  <c r="I2358" i="1"/>
  <c r="H2359" i="1"/>
  <c r="I2359" i="1"/>
  <c r="H2360" i="1"/>
  <c r="I2360" i="1"/>
  <c r="H2361" i="1"/>
  <c r="I2361" i="1"/>
  <c r="H2362" i="1"/>
  <c r="I2362" i="1"/>
  <c r="H2363" i="1"/>
  <c r="I2363" i="1"/>
  <c r="H2364" i="1"/>
  <c r="I2364" i="1"/>
  <c r="H2365" i="1"/>
  <c r="I2365" i="1"/>
  <c r="H2366" i="1"/>
  <c r="I2366" i="1"/>
  <c r="H2367" i="1"/>
  <c r="I2367" i="1"/>
  <c r="H2368" i="1"/>
  <c r="I2368" i="1"/>
  <c r="H2369" i="1"/>
  <c r="I2369" i="1"/>
  <c r="H2370" i="1"/>
  <c r="I2370" i="1"/>
  <c r="H2371" i="1"/>
  <c r="I2371" i="1"/>
  <c r="H2372" i="1"/>
  <c r="I2372" i="1"/>
  <c r="H2373" i="1"/>
  <c r="I2373" i="1"/>
  <c r="H2374" i="1"/>
  <c r="I2374" i="1"/>
  <c r="H2375" i="1"/>
  <c r="I2375" i="1"/>
  <c r="H2376" i="1"/>
  <c r="I2376" i="1"/>
  <c r="H2377" i="1"/>
  <c r="I2377" i="1"/>
  <c r="H2378" i="1"/>
  <c r="I2378" i="1"/>
  <c r="H2379" i="1"/>
  <c r="I2379" i="1"/>
  <c r="H2380" i="1"/>
  <c r="I2380" i="1"/>
  <c r="H2381" i="1"/>
  <c r="I2381" i="1"/>
  <c r="H2382" i="1"/>
  <c r="I2382" i="1"/>
  <c r="H2383" i="1"/>
  <c r="I2383" i="1"/>
  <c r="H2384" i="1"/>
  <c r="I2384" i="1"/>
  <c r="H2385" i="1"/>
  <c r="I2385" i="1"/>
  <c r="H2386" i="1"/>
  <c r="I2386" i="1"/>
  <c r="H2387" i="1"/>
  <c r="I2387" i="1"/>
  <c r="H2388" i="1"/>
  <c r="I2388" i="1"/>
  <c r="H2389" i="1"/>
  <c r="I2389" i="1"/>
  <c r="H2390" i="1"/>
  <c r="I2390" i="1"/>
  <c r="H2391" i="1"/>
  <c r="I2391" i="1"/>
  <c r="H2392" i="1"/>
  <c r="I2392" i="1"/>
  <c r="H2393" i="1"/>
  <c r="I2393" i="1"/>
  <c r="H2394" i="1"/>
  <c r="I2394" i="1"/>
  <c r="H2395" i="1"/>
  <c r="I2395" i="1"/>
  <c r="H2396" i="1"/>
  <c r="I2396" i="1"/>
  <c r="H2397" i="1"/>
  <c r="I2397" i="1"/>
  <c r="H2398" i="1"/>
  <c r="I2398" i="1"/>
  <c r="H2399" i="1"/>
  <c r="I2399" i="1"/>
  <c r="H2400" i="1"/>
  <c r="I2400" i="1"/>
  <c r="H2401" i="1"/>
  <c r="I2401" i="1"/>
  <c r="H2402" i="1"/>
  <c r="I2402" i="1"/>
  <c r="H2403" i="1"/>
  <c r="I2403" i="1"/>
  <c r="H2404" i="1"/>
  <c r="I2404" i="1"/>
  <c r="H2405" i="1"/>
  <c r="I2405" i="1"/>
  <c r="H2406" i="1"/>
  <c r="I2406" i="1"/>
  <c r="H2407" i="1"/>
  <c r="I2407" i="1"/>
  <c r="H2408" i="1"/>
  <c r="I2408" i="1"/>
  <c r="H2409" i="1"/>
  <c r="I2409" i="1"/>
  <c r="H2410" i="1"/>
  <c r="I2410" i="1"/>
  <c r="H2411" i="1"/>
  <c r="I2411" i="1"/>
  <c r="H2412" i="1"/>
  <c r="I2412" i="1"/>
  <c r="H2413" i="1"/>
  <c r="I2413" i="1"/>
  <c r="H2414" i="1"/>
  <c r="I2414" i="1"/>
  <c r="H2415" i="1"/>
  <c r="I2415" i="1"/>
  <c r="H2416" i="1"/>
  <c r="I2416" i="1"/>
  <c r="H2417" i="1"/>
  <c r="I2417" i="1"/>
  <c r="H2418" i="1"/>
  <c r="I2418" i="1"/>
  <c r="H2419" i="1"/>
  <c r="I2419" i="1"/>
  <c r="H2420" i="1"/>
  <c r="I2420" i="1"/>
  <c r="H2421" i="1"/>
  <c r="I2421" i="1"/>
  <c r="H2422" i="1"/>
  <c r="I2422" i="1"/>
  <c r="H2423" i="1"/>
  <c r="I2423" i="1"/>
  <c r="H2424" i="1"/>
  <c r="I2424" i="1"/>
  <c r="H2425" i="1"/>
  <c r="I2425" i="1"/>
  <c r="H2426" i="1"/>
  <c r="I2426" i="1"/>
  <c r="H2427" i="1"/>
  <c r="I2427" i="1"/>
  <c r="H2428" i="1"/>
  <c r="I2428" i="1"/>
  <c r="H2429" i="1"/>
  <c r="I2429" i="1"/>
  <c r="H2430" i="1"/>
  <c r="I2430" i="1"/>
  <c r="H2431" i="1"/>
  <c r="I2431" i="1"/>
  <c r="H2432" i="1"/>
  <c r="I2432" i="1"/>
  <c r="H2433" i="1"/>
  <c r="I2433" i="1"/>
  <c r="H2434" i="1"/>
  <c r="I2434" i="1"/>
  <c r="H2435" i="1"/>
  <c r="I2435" i="1"/>
  <c r="H2436" i="1"/>
  <c r="I2436" i="1"/>
  <c r="H2437" i="1"/>
  <c r="I2437" i="1"/>
  <c r="H2438" i="1"/>
  <c r="I2438" i="1"/>
  <c r="H2439" i="1"/>
  <c r="I2439" i="1"/>
  <c r="H2440" i="1"/>
  <c r="I2440" i="1"/>
  <c r="H2441" i="1"/>
  <c r="I2441" i="1"/>
  <c r="H2442" i="1"/>
  <c r="I2442" i="1"/>
  <c r="H2443" i="1"/>
  <c r="I2443" i="1"/>
  <c r="H2444" i="1"/>
  <c r="I2444" i="1"/>
  <c r="H2445" i="1"/>
  <c r="I2445" i="1"/>
  <c r="H2446" i="1"/>
  <c r="I2446" i="1"/>
  <c r="H2447" i="1"/>
  <c r="I2447" i="1"/>
  <c r="H2448" i="1"/>
  <c r="I2448" i="1"/>
  <c r="H2449" i="1"/>
  <c r="I2449" i="1"/>
  <c r="H2450" i="1"/>
  <c r="I2450" i="1"/>
  <c r="H2451" i="1"/>
  <c r="I2451" i="1"/>
  <c r="H2452" i="1"/>
  <c r="I2452" i="1"/>
  <c r="H2453" i="1"/>
  <c r="I2453" i="1"/>
  <c r="H2454" i="1"/>
  <c r="I2454" i="1"/>
  <c r="H2455" i="1"/>
  <c r="I2455" i="1"/>
  <c r="H2456" i="1"/>
  <c r="I2456" i="1"/>
  <c r="H2457" i="1"/>
  <c r="I2457" i="1"/>
  <c r="H2458" i="1"/>
  <c r="I2458" i="1"/>
  <c r="H2459" i="1"/>
  <c r="I2459" i="1"/>
  <c r="H2460" i="1"/>
  <c r="I2460" i="1"/>
  <c r="H2461" i="1"/>
  <c r="I2461" i="1"/>
  <c r="H2462" i="1"/>
  <c r="I2462" i="1"/>
  <c r="H2463" i="1"/>
  <c r="I2463" i="1"/>
  <c r="H2464" i="1"/>
  <c r="I2464" i="1"/>
  <c r="H2465" i="1"/>
  <c r="I2465" i="1"/>
  <c r="H2466" i="1"/>
  <c r="I2466" i="1"/>
  <c r="H2467" i="1"/>
  <c r="I2467" i="1"/>
  <c r="H2468" i="1"/>
  <c r="I2468" i="1"/>
  <c r="H2469" i="1"/>
  <c r="I2469" i="1"/>
  <c r="H2470" i="1"/>
  <c r="I2470" i="1"/>
  <c r="H2471" i="1"/>
  <c r="I2471" i="1"/>
  <c r="H2472" i="1"/>
  <c r="I2472" i="1"/>
  <c r="H2473" i="1"/>
  <c r="I2473" i="1"/>
  <c r="H2474" i="1"/>
  <c r="I2474" i="1"/>
  <c r="H2475" i="1"/>
  <c r="I2475" i="1"/>
  <c r="H2476" i="1"/>
  <c r="I2476" i="1"/>
  <c r="H2477" i="1"/>
  <c r="I2477" i="1"/>
  <c r="H2478" i="1"/>
  <c r="I2478" i="1"/>
  <c r="H2479" i="1"/>
  <c r="I2479" i="1"/>
  <c r="H2480" i="1"/>
  <c r="I2480" i="1"/>
  <c r="H2481" i="1"/>
  <c r="I2481" i="1"/>
  <c r="H2482" i="1"/>
  <c r="I2482" i="1"/>
  <c r="H2483" i="1"/>
  <c r="I2483" i="1"/>
  <c r="H2484" i="1"/>
  <c r="I2484" i="1"/>
  <c r="H2485" i="1"/>
  <c r="I2485" i="1"/>
  <c r="H2486" i="1"/>
  <c r="I2486" i="1"/>
  <c r="H2487" i="1"/>
  <c r="I2487" i="1"/>
  <c r="H2488" i="1"/>
  <c r="I2488" i="1"/>
  <c r="H2489" i="1"/>
  <c r="I2489" i="1"/>
  <c r="H2490" i="1"/>
  <c r="I2490" i="1"/>
  <c r="H2491" i="1"/>
  <c r="I2491" i="1"/>
  <c r="H2492" i="1"/>
  <c r="I2492" i="1"/>
  <c r="H2493" i="1"/>
  <c r="I2493" i="1"/>
  <c r="H2494" i="1"/>
  <c r="I2494" i="1"/>
  <c r="H2495" i="1"/>
  <c r="I2495" i="1"/>
  <c r="H2496" i="1"/>
  <c r="I2496" i="1"/>
  <c r="H2497" i="1"/>
  <c r="I2497" i="1"/>
  <c r="H2498" i="1"/>
  <c r="I2498" i="1"/>
  <c r="H2499" i="1"/>
  <c r="I2499" i="1"/>
  <c r="H2500" i="1"/>
  <c r="I2500" i="1"/>
  <c r="H2501" i="1"/>
  <c r="I2501" i="1"/>
  <c r="H2502" i="1"/>
  <c r="I2502" i="1"/>
  <c r="H2503" i="1"/>
  <c r="I2503" i="1"/>
  <c r="H2504" i="1"/>
  <c r="I2504" i="1"/>
  <c r="H2505" i="1"/>
  <c r="I2505" i="1"/>
  <c r="H2506" i="1"/>
  <c r="I2506" i="1"/>
  <c r="H2507" i="1"/>
  <c r="I2507" i="1"/>
  <c r="H2508" i="1"/>
  <c r="I2508" i="1"/>
  <c r="H2509" i="1"/>
  <c r="I2509" i="1"/>
  <c r="H2510" i="1"/>
  <c r="I2510" i="1"/>
  <c r="H2511" i="1"/>
  <c r="I2511" i="1"/>
  <c r="H2512" i="1"/>
  <c r="I2512" i="1"/>
  <c r="H2513" i="1"/>
  <c r="I2513" i="1"/>
  <c r="H2514" i="1"/>
  <c r="I2514" i="1"/>
  <c r="H2515" i="1"/>
  <c r="I2515" i="1"/>
  <c r="H2516" i="1"/>
  <c r="I2516" i="1"/>
  <c r="H2517" i="1"/>
  <c r="I2517" i="1"/>
  <c r="H2518" i="1"/>
  <c r="I2518" i="1"/>
  <c r="H2519" i="1"/>
  <c r="I2519" i="1"/>
  <c r="H2520" i="1"/>
  <c r="I2520" i="1"/>
  <c r="H2521" i="1"/>
  <c r="I2521" i="1"/>
  <c r="H2522" i="1"/>
  <c r="I2522" i="1"/>
  <c r="H2523" i="1"/>
  <c r="I2523" i="1"/>
  <c r="H2524" i="1"/>
  <c r="I2524" i="1"/>
  <c r="H2525" i="1"/>
  <c r="I2525" i="1"/>
  <c r="H2526" i="1"/>
  <c r="I2526" i="1"/>
  <c r="H2527" i="1"/>
  <c r="I2527" i="1"/>
  <c r="H2528" i="1"/>
  <c r="I2528" i="1"/>
  <c r="H2529" i="1"/>
  <c r="I2529" i="1"/>
  <c r="H2530" i="1"/>
  <c r="I2530" i="1"/>
  <c r="H2531" i="1"/>
  <c r="I2531" i="1"/>
  <c r="H2532" i="1"/>
  <c r="I2532" i="1"/>
  <c r="H2533" i="1"/>
  <c r="I2533" i="1"/>
  <c r="H2534" i="1"/>
  <c r="I2534" i="1"/>
  <c r="H2535" i="1"/>
  <c r="I2535" i="1"/>
  <c r="H2536" i="1"/>
  <c r="I2536" i="1"/>
  <c r="H2537" i="1"/>
  <c r="I2537" i="1"/>
  <c r="H2538" i="1"/>
  <c r="I2538" i="1"/>
  <c r="H2539" i="1"/>
  <c r="I2539" i="1"/>
  <c r="H2540" i="1"/>
  <c r="I2540" i="1"/>
  <c r="H2541" i="1"/>
  <c r="I2541" i="1"/>
  <c r="H2542" i="1"/>
  <c r="I2542" i="1"/>
  <c r="H2543" i="1"/>
  <c r="I2543" i="1"/>
  <c r="H2544" i="1"/>
  <c r="I2544" i="1"/>
  <c r="H2545" i="1"/>
  <c r="I2545" i="1"/>
  <c r="H2546" i="1"/>
  <c r="I2546" i="1"/>
  <c r="H2547" i="1"/>
  <c r="I2547" i="1"/>
  <c r="H2548" i="1"/>
  <c r="I2548" i="1"/>
  <c r="H2549" i="1"/>
  <c r="I2549" i="1"/>
  <c r="H2550" i="1"/>
  <c r="I2550" i="1"/>
  <c r="H2551" i="1"/>
  <c r="I2551" i="1"/>
  <c r="H2552" i="1"/>
  <c r="I2552" i="1"/>
  <c r="H2553" i="1"/>
  <c r="I2553" i="1"/>
  <c r="H2554" i="1"/>
  <c r="I2554" i="1"/>
  <c r="H2555" i="1"/>
  <c r="I2555" i="1"/>
  <c r="H2556" i="1"/>
  <c r="I2556" i="1"/>
  <c r="H2557" i="1"/>
  <c r="I2557" i="1"/>
  <c r="H2558" i="1"/>
  <c r="I2558" i="1"/>
  <c r="H2559" i="1"/>
  <c r="I2559" i="1"/>
  <c r="H2560" i="1"/>
  <c r="I2560" i="1"/>
  <c r="H2561" i="1"/>
  <c r="I2561" i="1"/>
  <c r="H2562" i="1"/>
  <c r="I2562" i="1"/>
  <c r="H2563" i="1"/>
  <c r="I2563" i="1"/>
  <c r="H2564" i="1"/>
  <c r="I2564" i="1"/>
  <c r="H2565" i="1"/>
  <c r="I2565" i="1"/>
  <c r="H2566" i="1"/>
  <c r="I2566" i="1"/>
  <c r="H2567" i="1"/>
  <c r="I2567" i="1"/>
  <c r="H2568" i="1"/>
  <c r="I2568" i="1"/>
  <c r="H2569" i="1"/>
  <c r="I2569" i="1"/>
  <c r="H2570" i="1"/>
  <c r="I2570" i="1"/>
  <c r="H2571" i="1"/>
  <c r="I2571" i="1"/>
  <c r="H2572" i="1"/>
  <c r="I2572" i="1"/>
  <c r="H2573" i="1"/>
  <c r="I2573" i="1"/>
  <c r="H2574" i="1"/>
  <c r="I2574" i="1"/>
  <c r="H2575" i="1"/>
  <c r="I2575" i="1"/>
  <c r="H2576" i="1"/>
  <c r="I2576" i="1"/>
  <c r="H2577" i="1"/>
  <c r="I2577" i="1"/>
  <c r="H2578" i="1"/>
  <c r="I2578" i="1"/>
  <c r="H2579" i="1"/>
  <c r="I2579" i="1"/>
  <c r="H2580" i="1"/>
  <c r="I2580" i="1"/>
  <c r="H2581" i="1"/>
  <c r="I2581" i="1"/>
  <c r="H2582" i="1"/>
  <c r="I2582" i="1"/>
  <c r="H2583" i="1"/>
  <c r="I2583" i="1"/>
  <c r="H2584" i="1"/>
  <c r="I2584" i="1"/>
  <c r="H2585" i="1"/>
  <c r="I2585" i="1"/>
  <c r="H2586" i="1"/>
  <c r="I2586" i="1"/>
  <c r="H2587" i="1"/>
  <c r="I2587" i="1"/>
  <c r="H2588" i="1"/>
  <c r="I2588" i="1"/>
  <c r="H2589" i="1"/>
  <c r="I2589" i="1"/>
  <c r="H2590" i="1"/>
  <c r="I2590" i="1"/>
  <c r="H2591" i="1"/>
  <c r="I2591" i="1"/>
  <c r="H2592" i="1"/>
  <c r="I2592" i="1"/>
  <c r="H2593" i="1"/>
  <c r="I2593" i="1"/>
  <c r="H2594" i="1"/>
  <c r="I2594" i="1"/>
  <c r="H2595" i="1"/>
  <c r="I2595" i="1"/>
  <c r="H2596" i="1"/>
  <c r="I2596" i="1"/>
  <c r="H2597" i="1"/>
  <c r="I2597" i="1"/>
  <c r="H2598" i="1"/>
  <c r="I2598" i="1"/>
  <c r="H2599" i="1"/>
  <c r="I2599" i="1"/>
  <c r="H2600" i="1"/>
  <c r="I2600" i="1"/>
  <c r="H2601" i="1"/>
  <c r="I2601" i="1"/>
  <c r="H2602" i="1"/>
  <c r="I2602" i="1"/>
  <c r="H2603" i="1"/>
  <c r="I2603" i="1"/>
  <c r="H2604" i="1"/>
  <c r="I2604" i="1"/>
  <c r="H2605" i="1"/>
  <c r="I2605" i="1"/>
  <c r="H2606" i="1"/>
  <c r="I2606" i="1"/>
  <c r="H2607" i="1"/>
  <c r="I2607" i="1"/>
  <c r="H2608" i="1"/>
  <c r="I2608" i="1"/>
  <c r="H2609" i="1"/>
  <c r="I2609" i="1"/>
  <c r="H2610" i="1"/>
  <c r="I2610" i="1"/>
  <c r="H2611" i="1"/>
  <c r="I2611" i="1"/>
  <c r="H2612" i="1"/>
  <c r="I2612" i="1"/>
  <c r="H2613" i="1"/>
  <c r="I2613" i="1"/>
  <c r="H2614" i="1"/>
  <c r="I2614" i="1"/>
  <c r="H2615" i="1"/>
  <c r="I2615" i="1"/>
  <c r="H2616" i="1"/>
  <c r="I2616" i="1"/>
  <c r="H2617" i="1"/>
  <c r="I2617" i="1"/>
  <c r="H2618" i="1"/>
  <c r="I2618" i="1"/>
  <c r="H2619" i="1"/>
  <c r="I2619" i="1"/>
  <c r="H2620" i="1"/>
  <c r="I2620" i="1"/>
  <c r="H2621" i="1"/>
  <c r="I2621" i="1"/>
  <c r="H2622" i="1"/>
  <c r="I2622" i="1"/>
  <c r="H2623" i="1"/>
  <c r="I2623" i="1"/>
  <c r="H2624" i="1"/>
  <c r="I2624" i="1"/>
  <c r="H2625" i="1"/>
  <c r="I2625" i="1"/>
  <c r="H2626" i="1"/>
  <c r="I2626" i="1"/>
  <c r="H2627" i="1"/>
  <c r="I2627" i="1"/>
  <c r="H2628" i="1"/>
  <c r="I2628" i="1"/>
  <c r="H2629" i="1"/>
  <c r="I2629" i="1"/>
  <c r="H2630" i="1"/>
  <c r="I2630" i="1"/>
  <c r="H2631" i="1"/>
  <c r="I2631" i="1"/>
  <c r="H2632" i="1"/>
  <c r="I2632" i="1"/>
  <c r="H2633" i="1"/>
  <c r="I2633" i="1"/>
  <c r="H2634" i="1"/>
  <c r="I2634" i="1"/>
  <c r="H2635" i="1"/>
  <c r="I2635" i="1"/>
  <c r="H2636" i="1"/>
  <c r="I2636" i="1"/>
  <c r="H2637" i="1"/>
  <c r="I2637" i="1"/>
  <c r="H2638" i="1"/>
  <c r="I2638" i="1"/>
  <c r="H2639" i="1"/>
  <c r="I2639" i="1"/>
  <c r="H2640" i="1"/>
  <c r="I2640" i="1"/>
  <c r="H2641" i="1"/>
  <c r="I2641" i="1"/>
  <c r="H2642" i="1"/>
  <c r="I2642" i="1"/>
  <c r="H2643" i="1"/>
  <c r="I2643" i="1"/>
  <c r="H2644" i="1"/>
  <c r="I2644" i="1"/>
  <c r="H2645" i="1"/>
  <c r="I2645" i="1"/>
  <c r="H2646" i="1"/>
  <c r="I2646" i="1"/>
  <c r="H2647" i="1"/>
  <c r="I2647" i="1"/>
  <c r="H2648" i="1"/>
  <c r="I2648" i="1"/>
  <c r="H2649" i="1"/>
  <c r="I2649" i="1"/>
  <c r="H2650" i="1"/>
  <c r="I2650" i="1"/>
  <c r="H2651" i="1"/>
  <c r="I2651" i="1"/>
  <c r="H2652" i="1"/>
  <c r="I2652" i="1"/>
  <c r="H2653" i="1"/>
  <c r="I2653" i="1"/>
  <c r="H2654" i="1"/>
  <c r="I2654" i="1"/>
  <c r="H2655" i="1"/>
  <c r="I2655" i="1"/>
  <c r="H2656" i="1"/>
  <c r="I2656" i="1"/>
  <c r="H2657" i="1"/>
  <c r="I2657" i="1"/>
  <c r="H2658" i="1"/>
  <c r="I2658" i="1"/>
  <c r="H2659" i="1"/>
  <c r="I2659" i="1"/>
  <c r="H2660" i="1"/>
  <c r="I2660" i="1"/>
  <c r="H2661" i="1"/>
  <c r="I2661" i="1"/>
  <c r="H2662" i="1"/>
  <c r="I2662" i="1"/>
  <c r="H2663" i="1"/>
  <c r="I2663" i="1"/>
  <c r="H2664" i="1"/>
  <c r="I2664" i="1"/>
  <c r="H2665" i="1"/>
  <c r="I2665" i="1"/>
  <c r="H2666" i="1"/>
  <c r="I2666" i="1"/>
  <c r="H2667" i="1"/>
  <c r="I2667" i="1"/>
  <c r="H2668" i="1"/>
  <c r="I2668" i="1"/>
  <c r="H2669" i="1"/>
  <c r="I2669" i="1"/>
  <c r="H2670" i="1"/>
  <c r="I2670" i="1"/>
  <c r="H2671" i="1"/>
  <c r="I2671" i="1"/>
  <c r="H2672" i="1"/>
  <c r="I2672" i="1"/>
  <c r="H2673" i="1"/>
  <c r="I2673" i="1"/>
  <c r="H2674" i="1"/>
  <c r="I2674" i="1"/>
  <c r="H2675" i="1"/>
  <c r="I2675" i="1"/>
  <c r="H2676" i="1"/>
  <c r="I2676" i="1"/>
  <c r="H2677" i="1"/>
  <c r="I2677" i="1"/>
  <c r="H2678" i="1"/>
  <c r="I2678" i="1"/>
  <c r="H2679" i="1"/>
  <c r="I2679" i="1"/>
  <c r="H2680" i="1"/>
  <c r="I2680" i="1"/>
  <c r="H2681" i="1"/>
  <c r="I2681" i="1"/>
  <c r="H2682" i="1"/>
  <c r="I2682" i="1"/>
  <c r="H2683" i="1"/>
  <c r="I2683" i="1"/>
  <c r="H2684" i="1"/>
  <c r="I2684" i="1"/>
  <c r="H2685" i="1"/>
  <c r="I2685" i="1"/>
  <c r="H2686" i="1"/>
  <c r="I2686" i="1"/>
  <c r="H2687" i="1"/>
  <c r="I2687" i="1"/>
  <c r="H2688" i="1"/>
  <c r="I2688" i="1"/>
  <c r="H2689" i="1"/>
  <c r="I2689" i="1"/>
  <c r="H2690" i="1"/>
  <c r="I2690" i="1"/>
  <c r="H2691" i="1"/>
  <c r="I2691" i="1"/>
  <c r="H2692" i="1"/>
  <c r="I2692" i="1"/>
  <c r="H2693" i="1"/>
  <c r="I2693" i="1"/>
  <c r="H2694" i="1"/>
  <c r="I2694" i="1"/>
  <c r="H2695" i="1"/>
  <c r="I2695" i="1"/>
  <c r="H2696" i="1"/>
  <c r="I2696" i="1"/>
  <c r="H2697" i="1"/>
  <c r="I2697" i="1"/>
  <c r="H2698" i="1"/>
  <c r="I2698" i="1"/>
  <c r="H2699" i="1"/>
  <c r="I2699" i="1"/>
  <c r="H2700" i="1"/>
  <c r="I2700" i="1"/>
  <c r="H2701" i="1"/>
  <c r="I2701" i="1"/>
  <c r="H2702" i="1"/>
  <c r="I2702" i="1"/>
  <c r="H2703" i="1"/>
  <c r="I2703" i="1"/>
  <c r="H2704" i="1"/>
  <c r="I2704" i="1"/>
  <c r="H2705" i="1"/>
  <c r="I2705" i="1"/>
  <c r="H2706" i="1"/>
  <c r="I2706" i="1"/>
  <c r="H2707" i="1"/>
  <c r="I2707" i="1"/>
  <c r="H2708" i="1"/>
  <c r="I2708" i="1"/>
  <c r="H2709" i="1"/>
  <c r="I2709" i="1"/>
  <c r="H2710" i="1"/>
  <c r="I2710" i="1"/>
  <c r="H2711" i="1"/>
  <c r="I2711" i="1"/>
  <c r="H2712" i="1"/>
  <c r="I2712" i="1"/>
  <c r="H2713" i="1"/>
  <c r="I2713" i="1"/>
  <c r="H2714" i="1"/>
  <c r="I2714" i="1"/>
  <c r="H2715" i="1"/>
  <c r="I2715" i="1"/>
  <c r="H2716" i="1"/>
  <c r="I2716" i="1"/>
  <c r="H2717" i="1"/>
  <c r="I2717" i="1"/>
  <c r="H2718" i="1"/>
  <c r="I2718" i="1"/>
  <c r="H2719" i="1"/>
  <c r="I2719" i="1"/>
  <c r="H2720" i="1"/>
  <c r="I2720" i="1"/>
  <c r="H2721" i="1"/>
  <c r="I2721" i="1"/>
  <c r="H2722" i="1"/>
  <c r="I2722" i="1"/>
  <c r="H2723" i="1"/>
  <c r="I2723" i="1"/>
  <c r="H2724" i="1"/>
  <c r="I2724" i="1"/>
  <c r="H2725" i="1"/>
  <c r="I2725" i="1"/>
  <c r="H2726" i="1"/>
  <c r="I2726" i="1"/>
  <c r="H2727" i="1"/>
  <c r="I2727" i="1"/>
  <c r="H2728" i="1"/>
  <c r="I2728" i="1"/>
  <c r="H2729" i="1"/>
  <c r="I2729" i="1"/>
  <c r="H2730" i="1"/>
  <c r="I2730" i="1"/>
  <c r="H2731" i="1"/>
  <c r="I2731" i="1"/>
  <c r="H2732" i="1"/>
  <c r="I2732" i="1"/>
  <c r="H2733" i="1"/>
  <c r="I2733" i="1"/>
  <c r="H2734" i="1"/>
  <c r="I2734" i="1"/>
  <c r="H2735" i="1"/>
  <c r="I2735" i="1"/>
  <c r="H2736" i="1"/>
  <c r="I2736" i="1"/>
  <c r="H2737" i="1"/>
  <c r="I2737" i="1"/>
  <c r="H2738" i="1"/>
  <c r="I2738" i="1"/>
  <c r="H2739" i="1"/>
  <c r="I2739" i="1"/>
  <c r="H2740" i="1"/>
  <c r="I2740" i="1"/>
  <c r="H2741" i="1"/>
  <c r="I2741" i="1"/>
  <c r="H2742" i="1"/>
  <c r="I2742" i="1"/>
  <c r="H2743" i="1"/>
  <c r="I2743" i="1"/>
  <c r="H2744" i="1"/>
  <c r="I2744" i="1"/>
  <c r="H2745" i="1"/>
  <c r="I2745" i="1"/>
  <c r="H2746" i="1"/>
  <c r="I2746" i="1"/>
  <c r="H2747" i="1"/>
  <c r="I2747" i="1"/>
  <c r="H2748" i="1"/>
  <c r="I2748" i="1"/>
  <c r="H2749" i="1"/>
  <c r="I2749" i="1"/>
  <c r="H2750" i="1"/>
  <c r="I2750" i="1"/>
  <c r="H2751" i="1"/>
  <c r="I2751" i="1"/>
  <c r="H2752" i="1"/>
  <c r="I2752" i="1"/>
  <c r="H2753" i="1"/>
  <c r="I2753" i="1"/>
  <c r="H2754" i="1"/>
  <c r="I2754" i="1"/>
  <c r="H2755" i="1"/>
  <c r="I2755" i="1"/>
  <c r="H2756" i="1"/>
  <c r="I2756" i="1"/>
  <c r="H2757" i="1"/>
  <c r="I2757" i="1"/>
  <c r="H2758" i="1"/>
  <c r="I2758" i="1"/>
  <c r="H2759" i="1"/>
  <c r="I2759" i="1"/>
  <c r="H2760" i="1"/>
  <c r="I2760" i="1"/>
  <c r="H2761" i="1"/>
  <c r="I2761" i="1"/>
  <c r="H2762" i="1"/>
  <c r="I2762" i="1"/>
  <c r="H2763" i="1"/>
  <c r="I2763" i="1"/>
  <c r="H2764" i="1"/>
  <c r="I2764" i="1"/>
  <c r="H2765" i="1"/>
  <c r="I2765" i="1"/>
  <c r="H2766" i="1"/>
  <c r="I2766" i="1"/>
  <c r="H2767" i="1"/>
  <c r="I2767" i="1"/>
  <c r="H2768" i="1"/>
  <c r="I2768" i="1"/>
  <c r="H2769" i="1"/>
  <c r="I2769" i="1"/>
  <c r="H2770" i="1"/>
  <c r="I2770" i="1"/>
  <c r="H2771" i="1"/>
  <c r="I2771" i="1"/>
  <c r="H2772" i="1"/>
  <c r="I2772" i="1"/>
  <c r="H2773" i="1"/>
  <c r="I2773" i="1"/>
  <c r="H2774" i="1"/>
  <c r="I2774" i="1"/>
  <c r="H2775" i="1"/>
  <c r="I2775" i="1"/>
  <c r="H2776" i="1"/>
  <c r="I2776" i="1"/>
  <c r="H2777" i="1"/>
  <c r="I2777" i="1"/>
  <c r="H2778" i="1"/>
  <c r="I2778" i="1"/>
  <c r="H2779" i="1"/>
  <c r="I2779" i="1"/>
  <c r="H2780" i="1"/>
  <c r="I2780" i="1"/>
  <c r="H2781" i="1"/>
  <c r="I2781" i="1"/>
  <c r="H2782" i="1"/>
  <c r="I2782" i="1"/>
  <c r="H2783" i="1"/>
  <c r="I2783" i="1"/>
  <c r="H2784" i="1"/>
  <c r="I2784" i="1"/>
  <c r="H2785" i="1"/>
  <c r="I2785" i="1"/>
  <c r="H2786" i="1"/>
  <c r="I2786" i="1"/>
  <c r="H2787" i="1"/>
  <c r="I2787" i="1"/>
  <c r="H2788" i="1"/>
  <c r="I2788" i="1"/>
  <c r="H2789" i="1"/>
  <c r="I2789" i="1"/>
  <c r="H2790" i="1"/>
  <c r="I2790" i="1"/>
  <c r="H2791" i="1"/>
  <c r="I2791" i="1"/>
  <c r="H2792" i="1"/>
  <c r="I2792" i="1"/>
  <c r="H2793" i="1"/>
  <c r="I2793" i="1"/>
  <c r="H2794" i="1"/>
  <c r="I2794" i="1"/>
  <c r="H2795" i="1"/>
  <c r="I2795" i="1"/>
  <c r="H2796" i="1"/>
  <c r="I2796" i="1"/>
  <c r="H2797" i="1"/>
  <c r="I2797" i="1"/>
  <c r="H2798" i="1"/>
  <c r="I2798" i="1"/>
  <c r="H2799" i="1"/>
  <c r="I2799" i="1"/>
  <c r="H2800" i="1"/>
  <c r="I2800" i="1"/>
  <c r="H2801" i="1"/>
  <c r="I2801" i="1"/>
  <c r="H2802" i="1"/>
  <c r="I2802" i="1"/>
  <c r="H2803" i="1"/>
  <c r="I2803" i="1"/>
  <c r="H2804" i="1"/>
  <c r="I2804" i="1"/>
  <c r="H2805" i="1"/>
  <c r="I2805" i="1"/>
  <c r="H2806" i="1"/>
  <c r="I2806" i="1"/>
  <c r="H2807" i="1"/>
  <c r="I2807" i="1"/>
  <c r="H2808" i="1"/>
  <c r="I2808" i="1"/>
  <c r="H2809" i="1"/>
  <c r="I2809" i="1"/>
  <c r="H2810" i="1"/>
  <c r="I2810" i="1"/>
  <c r="H2811" i="1"/>
  <c r="I2811" i="1"/>
  <c r="H2812" i="1"/>
  <c r="I2812" i="1"/>
  <c r="H2813" i="1"/>
  <c r="I2813" i="1"/>
  <c r="H2814" i="1"/>
  <c r="I2814" i="1"/>
  <c r="H2815" i="1"/>
  <c r="I2815" i="1"/>
  <c r="H2816" i="1"/>
  <c r="I2816" i="1"/>
  <c r="H2817" i="1"/>
  <c r="I2817" i="1"/>
  <c r="H2818" i="1"/>
  <c r="I2818" i="1"/>
  <c r="H2819" i="1"/>
  <c r="I2819" i="1"/>
  <c r="H2820" i="1"/>
  <c r="I2820" i="1"/>
  <c r="H2821" i="1"/>
  <c r="I2821" i="1"/>
  <c r="H2822" i="1"/>
  <c r="I2822" i="1"/>
  <c r="H2823" i="1"/>
  <c r="I2823" i="1"/>
  <c r="H2824" i="1"/>
  <c r="I2824" i="1"/>
  <c r="H2825" i="1"/>
  <c r="I2825" i="1"/>
  <c r="H2826" i="1"/>
  <c r="I2826" i="1"/>
  <c r="H2827" i="1"/>
  <c r="I2827" i="1"/>
  <c r="H2828" i="1"/>
  <c r="I2828" i="1"/>
  <c r="H2829" i="1"/>
  <c r="I2829" i="1"/>
  <c r="H2830" i="1"/>
  <c r="I2830" i="1"/>
  <c r="H2831" i="1"/>
  <c r="I2831" i="1"/>
  <c r="H2832" i="1"/>
  <c r="I2832" i="1"/>
  <c r="H2833" i="1"/>
  <c r="I2833" i="1"/>
  <c r="H2834" i="1"/>
  <c r="I2834" i="1"/>
  <c r="H2835" i="1"/>
  <c r="I2835" i="1"/>
  <c r="H2836" i="1"/>
  <c r="I2836" i="1"/>
  <c r="H2837" i="1"/>
  <c r="I2837" i="1"/>
  <c r="H2838" i="1"/>
  <c r="I2838" i="1"/>
  <c r="H2839" i="1"/>
  <c r="I2839" i="1"/>
  <c r="H2840" i="1"/>
  <c r="I2840" i="1"/>
  <c r="H2841" i="1"/>
  <c r="I2841" i="1"/>
  <c r="H2842" i="1"/>
  <c r="I2842" i="1"/>
  <c r="H2843" i="1"/>
  <c r="I2843" i="1"/>
  <c r="H2844" i="1"/>
  <c r="I2844" i="1"/>
  <c r="H2845" i="1"/>
  <c r="I2845" i="1"/>
  <c r="H2846" i="1"/>
  <c r="I2846" i="1"/>
  <c r="H2847" i="1"/>
  <c r="I2847" i="1"/>
  <c r="H2848" i="1"/>
  <c r="I2848" i="1"/>
  <c r="H2849" i="1"/>
  <c r="I2849" i="1"/>
  <c r="H2850" i="1"/>
  <c r="I2850" i="1"/>
  <c r="H2851" i="1"/>
  <c r="I2851" i="1"/>
  <c r="H2852" i="1"/>
  <c r="I2852" i="1"/>
  <c r="H2853" i="1"/>
  <c r="I2853" i="1"/>
  <c r="H2854" i="1"/>
  <c r="I2854" i="1"/>
  <c r="H2855" i="1"/>
  <c r="I2855" i="1"/>
  <c r="H2856" i="1"/>
  <c r="I2856" i="1"/>
  <c r="H2857" i="1"/>
  <c r="I2857" i="1"/>
  <c r="H2858" i="1"/>
  <c r="I2858" i="1"/>
  <c r="H2859" i="1"/>
  <c r="I2859" i="1"/>
  <c r="H2860" i="1"/>
  <c r="I2860" i="1"/>
  <c r="H2861" i="1"/>
  <c r="I2861" i="1"/>
  <c r="H2862" i="1"/>
  <c r="I2862" i="1"/>
  <c r="H2863" i="1"/>
  <c r="I2863" i="1"/>
  <c r="H2864" i="1"/>
  <c r="I2864" i="1"/>
  <c r="H2865" i="1"/>
  <c r="I2865" i="1"/>
  <c r="H2866" i="1"/>
  <c r="I2866" i="1"/>
  <c r="H2867" i="1"/>
  <c r="I2867" i="1"/>
  <c r="H2868" i="1"/>
  <c r="I2868" i="1"/>
  <c r="H2869" i="1"/>
  <c r="I2869" i="1"/>
  <c r="H2870" i="1"/>
  <c r="I2870" i="1"/>
  <c r="H2871" i="1"/>
  <c r="I2871" i="1"/>
  <c r="H2872" i="1"/>
  <c r="I2872" i="1"/>
  <c r="H2873" i="1"/>
  <c r="I2873" i="1"/>
  <c r="H2874" i="1"/>
  <c r="I2874" i="1"/>
  <c r="H2875" i="1"/>
  <c r="I2875" i="1"/>
  <c r="H2876" i="1"/>
  <c r="I2876" i="1"/>
  <c r="H2877" i="1"/>
  <c r="I2877" i="1"/>
  <c r="H2878" i="1"/>
  <c r="I2878" i="1"/>
  <c r="H2879" i="1"/>
  <c r="I2879" i="1"/>
  <c r="H2880" i="1"/>
  <c r="I2880" i="1"/>
  <c r="H2881" i="1"/>
  <c r="I2881" i="1"/>
  <c r="H2882" i="1"/>
  <c r="I2882" i="1"/>
  <c r="H2883" i="1"/>
  <c r="I2883" i="1"/>
  <c r="H2884" i="1"/>
  <c r="I2884" i="1"/>
  <c r="H2885" i="1"/>
  <c r="I2885" i="1"/>
  <c r="H2886" i="1"/>
  <c r="I2886" i="1"/>
  <c r="H2887" i="1"/>
  <c r="I2887" i="1"/>
  <c r="H2888" i="1"/>
  <c r="I2888" i="1"/>
  <c r="H2889" i="1"/>
  <c r="I2889" i="1"/>
  <c r="H2890" i="1"/>
  <c r="I2890" i="1"/>
  <c r="H2891" i="1"/>
  <c r="I2891" i="1"/>
  <c r="H2892" i="1"/>
  <c r="I2892" i="1"/>
  <c r="H2893" i="1"/>
  <c r="I2893" i="1"/>
  <c r="H2894" i="1"/>
  <c r="I2894" i="1"/>
  <c r="H2895" i="1"/>
  <c r="I2895" i="1"/>
  <c r="H2896" i="1"/>
  <c r="I2896" i="1"/>
  <c r="H2897" i="1"/>
  <c r="I2897" i="1"/>
  <c r="H2898" i="1"/>
  <c r="I2898" i="1"/>
  <c r="H2899" i="1"/>
  <c r="I2899" i="1"/>
  <c r="H2900" i="1"/>
  <c r="I2900" i="1"/>
  <c r="H2901" i="1"/>
  <c r="I2901" i="1"/>
  <c r="H2902" i="1"/>
  <c r="I2902" i="1"/>
  <c r="H2903" i="1"/>
  <c r="I2903" i="1"/>
  <c r="H2904" i="1"/>
  <c r="I2904" i="1"/>
  <c r="H2905" i="1"/>
  <c r="I2905" i="1"/>
  <c r="H2906" i="1"/>
  <c r="I2906" i="1"/>
  <c r="H2907" i="1"/>
  <c r="I2907" i="1"/>
  <c r="H2908" i="1"/>
  <c r="I2908" i="1"/>
  <c r="H2909" i="1"/>
  <c r="I2909" i="1"/>
  <c r="H2910" i="1"/>
  <c r="I2910" i="1"/>
  <c r="H2911" i="1"/>
  <c r="I2911" i="1"/>
  <c r="H2912" i="1"/>
  <c r="I2912" i="1"/>
  <c r="H2913" i="1"/>
  <c r="I2913" i="1"/>
  <c r="H2914" i="1"/>
  <c r="I2914" i="1"/>
  <c r="H2915" i="1"/>
  <c r="I2915" i="1"/>
  <c r="H2916" i="1"/>
  <c r="I2916" i="1"/>
  <c r="H2917" i="1"/>
  <c r="I2917" i="1"/>
  <c r="H2918" i="1"/>
  <c r="I2918" i="1"/>
  <c r="H2919" i="1"/>
  <c r="I2919" i="1"/>
  <c r="H2920" i="1"/>
  <c r="I2920" i="1"/>
  <c r="H2921" i="1"/>
  <c r="I2921" i="1"/>
  <c r="H2922" i="1"/>
  <c r="I2922" i="1"/>
  <c r="H2923" i="1"/>
  <c r="I2923" i="1"/>
  <c r="H2924" i="1"/>
  <c r="I2924" i="1"/>
  <c r="H2925" i="1"/>
  <c r="I2925" i="1"/>
  <c r="H2926" i="1"/>
  <c r="I2926" i="1"/>
  <c r="H2927" i="1"/>
  <c r="I2927" i="1"/>
  <c r="H2928" i="1"/>
  <c r="I2928" i="1"/>
  <c r="H2929" i="1"/>
  <c r="I2929" i="1"/>
  <c r="H2930" i="1"/>
  <c r="I2930" i="1"/>
  <c r="H2931" i="1"/>
  <c r="I2931" i="1"/>
  <c r="H2932" i="1"/>
  <c r="I2932" i="1"/>
  <c r="H2933" i="1"/>
  <c r="I2933" i="1"/>
  <c r="H2934" i="1"/>
  <c r="I2934" i="1"/>
  <c r="H2935" i="1"/>
  <c r="I2935" i="1"/>
  <c r="H2936" i="1"/>
  <c r="I2936" i="1"/>
  <c r="H2937" i="1"/>
  <c r="I2937" i="1"/>
  <c r="H2938" i="1"/>
  <c r="I2938" i="1"/>
  <c r="H2939" i="1"/>
  <c r="I2939" i="1"/>
  <c r="H2940" i="1"/>
  <c r="I2940" i="1"/>
  <c r="H2941" i="1"/>
  <c r="I2941" i="1"/>
  <c r="H2942" i="1"/>
  <c r="I2942" i="1"/>
  <c r="H2943" i="1"/>
  <c r="I2943" i="1"/>
  <c r="H2944" i="1"/>
  <c r="I2944" i="1"/>
  <c r="H2945" i="1"/>
  <c r="I2945" i="1"/>
  <c r="H2946" i="1"/>
  <c r="I2946" i="1"/>
  <c r="H2947" i="1"/>
  <c r="I2947" i="1"/>
  <c r="H2948" i="1"/>
  <c r="I2948" i="1"/>
  <c r="H2949" i="1"/>
  <c r="I2949" i="1"/>
  <c r="H2950" i="1"/>
  <c r="I2950" i="1"/>
  <c r="H2951" i="1"/>
  <c r="I2951" i="1"/>
  <c r="H2952" i="1"/>
  <c r="I2952" i="1"/>
  <c r="H2953" i="1"/>
  <c r="I2953" i="1"/>
  <c r="H2954" i="1"/>
  <c r="I2954" i="1"/>
  <c r="H2955" i="1"/>
  <c r="I2955" i="1"/>
  <c r="H2956" i="1"/>
  <c r="I2956" i="1"/>
  <c r="H2957" i="1"/>
  <c r="I2957" i="1"/>
  <c r="H2958" i="1"/>
  <c r="I2958" i="1"/>
  <c r="H2959" i="1"/>
  <c r="I2959" i="1"/>
  <c r="H2960" i="1"/>
  <c r="I2960" i="1"/>
  <c r="H2961" i="1"/>
  <c r="I2961" i="1"/>
  <c r="H2962" i="1"/>
  <c r="I2962" i="1"/>
  <c r="H2963" i="1"/>
  <c r="I2963" i="1"/>
  <c r="H2964" i="1"/>
  <c r="I2964" i="1"/>
  <c r="H2965" i="1"/>
  <c r="I2965" i="1"/>
  <c r="H2966" i="1"/>
  <c r="I2966" i="1"/>
  <c r="H2967" i="1"/>
  <c r="I2967" i="1"/>
  <c r="H2968" i="1"/>
  <c r="I2968" i="1"/>
  <c r="H2969" i="1"/>
  <c r="I2969" i="1"/>
  <c r="H2970" i="1"/>
  <c r="I2970" i="1"/>
  <c r="H2971" i="1"/>
  <c r="I2971" i="1"/>
  <c r="H2972" i="1"/>
  <c r="I2972" i="1"/>
  <c r="H2973" i="1"/>
  <c r="I2973" i="1"/>
  <c r="H2974" i="1"/>
  <c r="I2974" i="1"/>
  <c r="H2975" i="1"/>
  <c r="I2975" i="1"/>
  <c r="H2976" i="1"/>
  <c r="I2976" i="1"/>
  <c r="H2977" i="1"/>
  <c r="I2977" i="1"/>
  <c r="H2978" i="1"/>
  <c r="I2978" i="1"/>
  <c r="H2979" i="1"/>
  <c r="I2979" i="1"/>
  <c r="H2980" i="1"/>
  <c r="I2980" i="1"/>
  <c r="H2981" i="1"/>
  <c r="I2981" i="1"/>
  <c r="H2982" i="1"/>
  <c r="I2982" i="1"/>
  <c r="H2983" i="1"/>
  <c r="I2983" i="1"/>
  <c r="H2984" i="1"/>
  <c r="I2984" i="1"/>
  <c r="H2985" i="1"/>
  <c r="I2985" i="1"/>
  <c r="H2986" i="1"/>
  <c r="I2986" i="1"/>
  <c r="H2987" i="1"/>
  <c r="I2987" i="1"/>
  <c r="H2988" i="1"/>
  <c r="I2988" i="1"/>
  <c r="H2989" i="1"/>
  <c r="I2989" i="1"/>
  <c r="H2990" i="1"/>
  <c r="I2990" i="1"/>
  <c r="H2991" i="1"/>
  <c r="I2991" i="1"/>
  <c r="H2992" i="1"/>
  <c r="I2992" i="1"/>
  <c r="H2993" i="1"/>
  <c r="I2993" i="1"/>
  <c r="H2994" i="1"/>
  <c r="I2994" i="1"/>
  <c r="H2995" i="1"/>
  <c r="I2995" i="1"/>
  <c r="H2996" i="1"/>
  <c r="I2996" i="1"/>
  <c r="H2997" i="1"/>
  <c r="I2997" i="1"/>
  <c r="H2998" i="1"/>
  <c r="I2998" i="1"/>
  <c r="H2999" i="1"/>
  <c r="I2999" i="1"/>
  <c r="H3000" i="1"/>
  <c r="I3000" i="1"/>
  <c r="H3001" i="1"/>
  <c r="I3001" i="1"/>
  <c r="H3002" i="1"/>
  <c r="I3002" i="1"/>
  <c r="H3003" i="1"/>
  <c r="I3003" i="1"/>
  <c r="H3004" i="1"/>
  <c r="I3004" i="1"/>
  <c r="H3005" i="1"/>
  <c r="I3005" i="1"/>
  <c r="H3006" i="1"/>
  <c r="I3006" i="1"/>
  <c r="H3007" i="1"/>
  <c r="I3007" i="1"/>
  <c r="H3008" i="1"/>
  <c r="I3008" i="1"/>
  <c r="H3009" i="1"/>
  <c r="I3009" i="1"/>
  <c r="H3010" i="1"/>
  <c r="I3010" i="1"/>
  <c r="H3011" i="1"/>
  <c r="I3011" i="1"/>
  <c r="H3012" i="1"/>
  <c r="I3012" i="1"/>
  <c r="H3013" i="1"/>
  <c r="I3013" i="1"/>
  <c r="H3014" i="1"/>
  <c r="I3014" i="1"/>
  <c r="H3015" i="1"/>
  <c r="I3015" i="1"/>
  <c r="H3016" i="1"/>
  <c r="I3016" i="1"/>
  <c r="H3017" i="1"/>
  <c r="I3017" i="1"/>
  <c r="H3018" i="1"/>
  <c r="I3018" i="1"/>
  <c r="H3019" i="1"/>
  <c r="I3019" i="1"/>
  <c r="H3020" i="1"/>
  <c r="I3020" i="1"/>
  <c r="H3021" i="1"/>
  <c r="I3021" i="1"/>
  <c r="H3022" i="1"/>
  <c r="I3022" i="1"/>
  <c r="H3023" i="1"/>
  <c r="I3023" i="1"/>
  <c r="H3024" i="1"/>
  <c r="I3024" i="1"/>
  <c r="H3025" i="1"/>
  <c r="I3025" i="1"/>
  <c r="H3026" i="1"/>
  <c r="I3026" i="1"/>
  <c r="H3027" i="1"/>
  <c r="I3027" i="1"/>
  <c r="H3028" i="1"/>
  <c r="I3028" i="1"/>
  <c r="H3029" i="1"/>
  <c r="I3029" i="1"/>
  <c r="H3030" i="1"/>
  <c r="I3030" i="1"/>
  <c r="H3031" i="1"/>
  <c r="I3031" i="1"/>
  <c r="H3032" i="1"/>
  <c r="I3032" i="1"/>
  <c r="H3033" i="1"/>
  <c r="I3033" i="1"/>
  <c r="H3034" i="1"/>
  <c r="I3034" i="1"/>
  <c r="H3035" i="1"/>
  <c r="I3035" i="1"/>
  <c r="H3036" i="1"/>
  <c r="I3036" i="1"/>
  <c r="H3037" i="1"/>
  <c r="I3037" i="1"/>
  <c r="H3038" i="1"/>
  <c r="I3038" i="1"/>
  <c r="H3039" i="1"/>
  <c r="I3039" i="1"/>
  <c r="H3040" i="1"/>
  <c r="I3040" i="1"/>
  <c r="H3041" i="1"/>
  <c r="I3041" i="1"/>
  <c r="H3042" i="1"/>
  <c r="I3042" i="1"/>
  <c r="H3043" i="1"/>
  <c r="I3043" i="1"/>
  <c r="H3044" i="1"/>
  <c r="I3044" i="1"/>
  <c r="H3045" i="1"/>
  <c r="I3045" i="1"/>
  <c r="H3046" i="1"/>
  <c r="I3046" i="1"/>
  <c r="H3047" i="1"/>
  <c r="I3047" i="1"/>
  <c r="H3048" i="1"/>
  <c r="I3048" i="1"/>
  <c r="H3049" i="1"/>
  <c r="I3049" i="1"/>
  <c r="H3050" i="1"/>
  <c r="I3050" i="1"/>
  <c r="H3051" i="1"/>
  <c r="I3051" i="1"/>
  <c r="H3052" i="1"/>
  <c r="I3052" i="1"/>
  <c r="H3053" i="1"/>
  <c r="I3053" i="1"/>
  <c r="H3054" i="1"/>
  <c r="I3054" i="1"/>
  <c r="H3055" i="1"/>
  <c r="I3055" i="1"/>
  <c r="H3056" i="1"/>
  <c r="I3056" i="1"/>
  <c r="H3057" i="1"/>
  <c r="I3057" i="1"/>
  <c r="H3058" i="1"/>
  <c r="I3058" i="1"/>
  <c r="H3059" i="1"/>
  <c r="I3059" i="1"/>
  <c r="H3060" i="1"/>
  <c r="I3060" i="1"/>
  <c r="H3061" i="1"/>
  <c r="I3061" i="1"/>
  <c r="H3062" i="1"/>
  <c r="I3062" i="1"/>
  <c r="H3063" i="1"/>
  <c r="I3063" i="1"/>
  <c r="H3064" i="1"/>
  <c r="I3064" i="1"/>
  <c r="H3065" i="1"/>
  <c r="I3065" i="1"/>
  <c r="H3066" i="1"/>
  <c r="I3066" i="1"/>
  <c r="H3067" i="1"/>
  <c r="I3067" i="1"/>
  <c r="H3068" i="1"/>
  <c r="I3068" i="1"/>
  <c r="H3069" i="1"/>
  <c r="I3069" i="1"/>
  <c r="H3070" i="1"/>
  <c r="I3070" i="1"/>
  <c r="H3071" i="1"/>
  <c r="I3071" i="1"/>
  <c r="H3072" i="1"/>
  <c r="I3072" i="1"/>
  <c r="H3073" i="1"/>
  <c r="I3073" i="1"/>
  <c r="H3074" i="1"/>
  <c r="I3074" i="1"/>
  <c r="H3075" i="1"/>
  <c r="I3075" i="1"/>
  <c r="H3076" i="1"/>
  <c r="I3076" i="1"/>
  <c r="H3077" i="1"/>
  <c r="I3077" i="1"/>
  <c r="H3078" i="1"/>
  <c r="I3078" i="1"/>
  <c r="H3079" i="1"/>
  <c r="I3079" i="1"/>
  <c r="H3080" i="1"/>
  <c r="I3080" i="1"/>
  <c r="H3081" i="1"/>
  <c r="I3081" i="1"/>
  <c r="H3082" i="1"/>
  <c r="I3082" i="1"/>
  <c r="H3083" i="1"/>
  <c r="I3083" i="1"/>
  <c r="H3084" i="1"/>
  <c r="I3084" i="1"/>
  <c r="H3085" i="1"/>
  <c r="I3085" i="1"/>
  <c r="H3086" i="1"/>
  <c r="I3086" i="1"/>
  <c r="H3087" i="1"/>
  <c r="I3087" i="1"/>
  <c r="H3088" i="1"/>
  <c r="I3088" i="1"/>
  <c r="H3089" i="1"/>
  <c r="I3089" i="1"/>
  <c r="H3090" i="1"/>
  <c r="I3090" i="1"/>
  <c r="H3091" i="1"/>
  <c r="I3091" i="1"/>
  <c r="H3092" i="1"/>
  <c r="I3092" i="1"/>
  <c r="H3093" i="1"/>
  <c r="I3093" i="1"/>
  <c r="H3094" i="1"/>
  <c r="I3094" i="1"/>
  <c r="H3095" i="1"/>
  <c r="I3095" i="1"/>
  <c r="H3096" i="1"/>
  <c r="I3096" i="1"/>
  <c r="H3097" i="1"/>
  <c r="I3097" i="1"/>
  <c r="H3098" i="1"/>
  <c r="I3098" i="1"/>
  <c r="H3099" i="1"/>
  <c r="I3099" i="1"/>
  <c r="H3100" i="1"/>
  <c r="I3100" i="1"/>
  <c r="H3101" i="1"/>
  <c r="I3101" i="1"/>
  <c r="H3102" i="1"/>
  <c r="I3102" i="1"/>
  <c r="H3103" i="1"/>
  <c r="I3103" i="1"/>
  <c r="H3104" i="1"/>
  <c r="I3104" i="1"/>
  <c r="H3105" i="1"/>
  <c r="I3105" i="1"/>
  <c r="H3106" i="1"/>
  <c r="I3106" i="1"/>
  <c r="H3107" i="1"/>
  <c r="I3107" i="1"/>
  <c r="H3108" i="1"/>
  <c r="I3108" i="1"/>
  <c r="H3109" i="1"/>
  <c r="I3109" i="1"/>
  <c r="H3110" i="1"/>
  <c r="I3110" i="1"/>
  <c r="H3111" i="1"/>
  <c r="I3111" i="1"/>
  <c r="H3112" i="1"/>
  <c r="I3112" i="1"/>
  <c r="H3113" i="1"/>
  <c r="I3113" i="1"/>
  <c r="H3114" i="1"/>
  <c r="I3114" i="1"/>
  <c r="H3115" i="1"/>
  <c r="I3115" i="1"/>
  <c r="H3116" i="1"/>
  <c r="I3116" i="1"/>
  <c r="H3117" i="1"/>
  <c r="I3117" i="1"/>
  <c r="H3118" i="1"/>
  <c r="I3118" i="1"/>
  <c r="H3119" i="1"/>
  <c r="I3119" i="1"/>
  <c r="H3120" i="1"/>
  <c r="I3120" i="1"/>
  <c r="H3121" i="1"/>
  <c r="I3121" i="1"/>
  <c r="H3122" i="1"/>
  <c r="I3122" i="1"/>
  <c r="H3123" i="1"/>
  <c r="I3123" i="1"/>
  <c r="H3124" i="1"/>
  <c r="I3124" i="1"/>
  <c r="H3125" i="1"/>
  <c r="I3125" i="1"/>
  <c r="H3126" i="1"/>
  <c r="I3126" i="1"/>
  <c r="H3127" i="1"/>
  <c r="I3127" i="1"/>
  <c r="H3128" i="1"/>
  <c r="I3128" i="1"/>
  <c r="H3129" i="1"/>
  <c r="I3129" i="1"/>
  <c r="H3130" i="1"/>
  <c r="I3130" i="1"/>
  <c r="H3131" i="1"/>
  <c r="I3131" i="1"/>
  <c r="H3132" i="1"/>
  <c r="I3132" i="1"/>
  <c r="H3133" i="1"/>
  <c r="I3133" i="1"/>
  <c r="H3134" i="1"/>
  <c r="I3134" i="1"/>
  <c r="H3135" i="1"/>
  <c r="I3135" i="1"/>
  <c r="H3136" i="1"/>
  <c r="I3136" i="1"/>
  <c r="H3137" i="1"/>
  <c r="I3137" i="1"/>
  <c r="H3138" i="1"/>
  <c r="I3138" i="1"/>
  <c r="H3139" i="1"/>
  <c r="I3139" i="1"/>
  <c r="H3140" i="1"/>
  <c r="I3140" i="1"/>
  <c r="H3141" i="1"/>
  <c r="I3141" i="1"/>
  <c r="H3142" i="1"/>
  <c r="I3142" i="1"/>
  <c r="H3143" i="1"/>
  <c r="I3143" i="1"/>
  <c r="H3144" i="1"/>
  <c r="I3144" i="1"/>
  <c r="H3145" i="1"/>
  <c r="I3145" i="1"/>
  <c r="H3146" i="1"/>
  <c r="I3146" i="1"/>
  <c r="H3147" i="1"/>
  <c r="I3147" i="1"/>
  <c r="H3148" i="1"/>
  <c r="I3148" i="1"/>
  <c r="H3149" i="1"/>
  <c r="I3149" i="1"/>
  <c r="H3150" i="1"/>
  <c r="I3150" i="1"/>
  <c r="H3151" i="1"/>
  <c r="I3151" i="1"/>
  <c r="H3152" i="1"/>
  <c r="I3152" i="1"/>
  <c r="H3153" i="1"/>
  <c r="I3153" i="1"/>
  <c r="H3154" i="1"/>
  <c r="I3154" i="1"/>
  <c r="H3155" i="1"/>
  <c r="I3155" i="1"/>
  <c r="H3156" i="1"/>
  <c r="I3156" i="1"/>
  <c r="H3157" i="1"/>
  <c r="I3157" i="1"/>
  <c r="H3158" i="1"/>
  <c r="I3158" i="1"/>
  <c r="H3159" i="1"/>
  <c r="I3159" i="1"/>
  <c r="H3160" i="1"/>
  <c r="I3160" i="1"/>
  <c r="H3161" i="1"/>
  <c r="I3161" i="1"/>
  <c r="H3162" i="1"/>
  <c r="I3162" i="1"/>
  <c r="H3163" i="1"/>
  <c r="I3163" i="1"/>
  <c r="H3164" i="1"/>
  <c r="I3164" i="1"/>
  <c r="H3165" i="1"/>
  <c r="I3165" i="1"/>
  <c r="H3166" i="1"/>
  <c r="I3166" i="1"/>
  <c r="H3167" i="1"/>
  <c r="I3167" i="1"/>
  <c r="H3168" i="1"/>
  <c r="I3168" i="1"/>
  <c r="H3169" i="1"/>
  <c r="I3169" i="1"/>
  <c r="H3170" i="1"/>
  <c r="I3170" i="1"/>
  <c r="H3171" i="1"/>
  <c r="I3171" i="1"/>
  <c r="H3172" i="1"/>
  <c r="I3172" i="1"/>
  <c r="H3173" i="1"/>
  <c r="I3173" i="1"/>
  <c r="H3174" i="1"/>
  <c r="I3174" i="1"/>
  <c r="H3175" i="1"/>
  <c r="I3175" i="1"/>
  <c r="H3176" i="1"/>
  <c r="I3176" i="1"/>
  <c r="H3177" i="1"/>
  <c r="I3177" i="1"/>
  <c r="H3178" i="1"/>
  <c r="I3178" i="1"/>
  <c r="H3179" i="1"/>
  <c r="I3179" i="1"/>
  <c r="H3180" i="1"/>
  <c r="I3180" i="1"/>
  <c r="H3181" i="1"/>
  <c r="I3181" i="1"/>
  <c r="H3182" i="1"/>
  <c r="I3182" i="1"/>
  <c r="H3183" i="1"/>
  <c r="I3183" i="1"/>
  <c r="H3184" i="1"/>
  <c r="I3184" i="1"/>
  <c r="H3185" i="1"/>
  <c r="I3185" i="1"/>
  <c r="H3186" i="1"/>
  <c r="I3186" i="1"/>
  <c r="H3187" i="1"/>
  <c r="I3187" i="1"/>
  <c r="H3188" i="1"/>
  <c r="I3188" i="1"/>
  <c r="H3189" i="1"/>
  <c r="I3189" i="1"/>
  <c r="H3190" i="1"/>
  <c r="I3190" i="1"/>
  <c r="H3191" i="1"/>
  <c r="I3191" i="1"/>
  <c r="H3192" i="1"/>
  <c r="I3192" i="1"/>
  <c r="H3193" i="1"/>
  <c r="I3193" i="1"/>
  <c r="H3194" i="1"/>
  <c r="I3194" i="1"/>
  <c r="H3195" i="1"/>
  <c r="I3195" i="1"/>
  <c r="H3196" i="1"/>
  <c r="I3196" i="1"/>
  <c r="H3197" i="1"/>
  <c r="I3197" i="1"/>
  <c r="H3198" i="1"/>
  <c r="I3198" i="1"/>
  <c r="H3199" i="1"/>
  <c r="I3199" i="1"/>
  <c r="H3200" i="1"/>
  <c r="I3200" i="1"/>
  <c r="H3201" i="1"/>
  <c r="I3201" i="1"/>
  <c r="H3202" i="1"/>
  <c r="I3202" i="1"/>
  <c r="H3203" i="1"/>
  <c r="I3203" i="1"/>
  <c r="H3204" i="1"/>
  <c r="I3204" i="1"/>
  <c r="H3205" i="1"/>
  <c r="I3205" i="1"/>
  <c r="H3206" i="1"/>
  <c r="I3206" i="1"/>
  <c r="H3207" i="1"/>
  <c r="I3207" i="1"/>
  <c r="H3208" i="1"/>
  <c r="I3208" i="1"/>
  <c r="H3209" i="1"/>
  <c r="I3209" i="1"/>
  <c r="H3210" i="1"/>
  <c r="I3210" i="1"/>
  <c r="H3211" i="1"/>
  <c r="I3211" i="1"/>
  <c r="H3212" i="1"/>
  <c r="I3212" i="1"/>
  <c r="H3213" i="1"/>
  <c r="I3213" i="1"/>
  <c r="H3214" i="1"/>
  <c r="I3214" i="1"/>
  <c r="H3215" i="1"/>
  <c r="I3215" i="1"/>
  <c r="H3216" i="1"/>
  <c r="I3216" i="1"/>
  <c r="H3217" i="1"/>
  <c r="I3217" i="1"/>
  <c r="H3218" i="1"/>
  <c r="I3218" i="1"/>
  <c r="H3219" i="1"/>
  <c r="I3219" i="1"/>
  <c r="H3220" i="1"/>
  <c r="I3220" i="1"/>
  <c r="H3221" i="1"/>
  <c r="I3221" i="1"/>
  <c r="H3222" i="1"/>
  <c r="I3222" i="1"/>
  <c r="H3223" i="1"/>
  <c r="I3223" i="1"/>
  <c r="H3224" i="1"/>
  <c r="I3224" i="1"/>
  <c r="H3225" i="1"/>
  <c r="I3225" i="1"/>
  <c r="H3226" i="1"/>
  <c r="I3226" i="1"/>
  <c r="H3227" i="1"/>
  <c r="I3227" i="1"/>
  <c r="H3228" i="1"/>
  <c r="I3228" i="1"/>
  <c r="H3229" i="1"/>
  <c r="I3229" i="1"/>
  <c r="H3230" i="1"/>
  <c r="I3230" i="1"/>
  <c r="H3231" i="1"/>
  <c r="I3231" i="1"/>
  <c r="H3232" i="1"/>
  <c r="I3232" i="1"/>
  <c r="H3233" i="1"/>
  <c r="I3233" i="1"/>
  <c r="H3234" i="1"/>
  <c r="I3234" i="1"/>
  <c r="H3235" i="1"/>
  <c r="I3235" i="1"/>
  <c r="H3236" i="1"/>
  <c r="I3236" i="1"/>
  <c r="H3237" i="1"/>
  <c r="I3237" i="1"/>
  <c r="H3238" i="1"/>
  <c r="I3238" i="1"/>
  <c r="H3239" i="1"/>
  <c r="I3239" i="1"/>
  <c r="H3240" i="1"/>
  <c r="I3240" i="1"/>
  <c r="H3241" i="1"/>
  <c r="I3241" i="1"/>
  <c r="H3242" i="1"/>
  <c r="I3242" i="1"/>
  <c r="H3243" i="1"/>
  <c r="I3243" i="1"/>
  <c r="H3244" i="1"/>
  <c r="I3244" i="1"/>
  <c r="H3245" i="1"/>
  <c r="I3245" i="1"/>
  <c r="H3246" i="1"/>
  <c r="I3246" i="1"/>
  <c r="H3247" i="1"/>
  <c r="I3247" i="1"/>
  <c r="H3248" i="1"/>
  <c r="I3248" i="1"/>
  <c r="H3249" i="1"/>
  <c r="I3249" i="1"/>
  <c r="H3250" i="1"/>
  <c r="I3250" i="1"/>
  <c r="H3251" i="1"/>
  <c r="I3251" i="1"/>
  <c r="H3252" i="1"/>
  <c r="I3252" i="1"/>
  <c r="H3253" i="1"/>
  <c r="I3253" i="1"/>
  <c r="H3254" i="1"/>
  <c r="I3254" i="1"/>
  <c r="H3255" i="1"/>
  <c r="I3255" i="1"/>
  <c r="H3256" i="1"/>
  <c r="I3256" i="1"/>
  <c r="H3257" i="1"/>
  <c r="I3257" i="1"/>
  <c r="H3258" i="1"/>
  <c r="I3258" i="1"/>
  <c r="H3259" i="1"/>
  <c r="I3259" i="1"/>
  <c r="H3260" i="1"/>
  <c r="I3260" i="1"/>
  <c r="H3261" i="1"/>
  <c r="I3261" i="1"/>
  <c r="H3262" i="1"/>
  <c r="I3262" i="1"/>
  <c r="H3263" i="1"/>
  <c r="I3263" i="1"/>
  <c r="H3264" i="1"/>
  <c r="I3264" i="1"/>
  <c r="H3265" i="1"/>
  <c r="I3265" i="1"/>
  <c r="H3266" i="1"/>
  <c r="I3266" i="1"/>
  <c r="H3267" i="1"/>
  <c r="I3267" i="1"/>
  <c r="H3268" i="1"/>
  <c r="I3268" i="1"/>
  <c r="H3269" i="1"/>
  <c r="I3269" i="1"/>
  <c r="H3270" i="1"/>
  <c r="I3270" i="1"/>
  <c r="H3271" i="1"/>
  <c r="I3271" i="1"/>
  <c r="H3272" i="1"/>
  <c r="I3272" i="1"/>
  <c r="H3273" i="1"/>
  <c r="I3273" i="1"/>
  <c r="H3274" i="1"/>
  <c r="I3274" i="1"/>
  <c r="H3275" i="1"/>
  <c r="I3275" i="1"/>
  <c r="H3276" i="1"/>
  <c r="I3276" i="1"/>
  <c r="H3277" i="1"/>
  <c r="I3277" i="1"/>
  <c r="H3278" i="1"/>
  <c r="I3278" i="1"/>
  <c r="H3279" i="1"/>
  <c r="I3279" i="1"/>
  <c r="H3280" i="1"/>
  <c r="I3280" i="1"/>
  <c r="H3281" i="1"/>
  <c r="I3281" i="1"/>
  <c r="H3282" i="1"/>
  <c r="I3282" i="1"/>
  <c r="H3283" i="1"/>
  <c r="I3283" i="1"/>
  <c r="H3284" i="1"/>
  <c r="I3284" i="1"/>
  <c r="H3285" i="1"/>
  <c r="I3285" i="1"/>
  <c r="H3286" i="1"/>
  <c r="I3286" i="1"/>
  <c r="H3287" i="1"/>
  <c r="I3287" i="1"/>
  <c r="H3288" i="1"/>
  <c r="I3288" i="1"/>
  <c r="H3289" i="1"/>
  <c r="I3289" i="1"/>
  <c r="H3290" i="1"/>
  <c r="I3290" i="1"/>
  <c r="H3291" i="1"/>
  <c r="I3291" i="1"/>
  <c r="H3292" i="1"/>
  <c r="I3292" i="1"/>
  <c r="H3293" i="1"/>
  <c r="I3293" i="1"/>
  <c r="H3294" i="1"/>
  <c r="I3294" i="1"/>
  <c r="H3295" i="1"/>
  <c r="I3295" i="1"/>
  <c r="H3296" i="1"/>
  <c r="I3296" i="1"/>
  <c r="H3297" i="1"/>
  <c r="I3297" i="1"/>
  <c r="H3298" i="1"/>
  <c r="I3298" i="1"/>
  <c r="H3299" i="1"/>
  <c r="I3299" i="1"/>
  <c r="H3300" i="1"/>
  <c r="I3300" i="1"/>
  <c r="H3301" i="1"/>
  <c r="I3301" i="1"/>
  <c r="H3302" i="1"/>
  <c r="I3302" i="1"/>
  <c r="H3303" i="1"/>
  <c r="I3303" i="1"/>
  <c r="H3304" i="1"/>
  <c r="I3304" i="1"/>
  <c r="H3305" i="1"/>
  <c r="I3305" i="1"/>
  <c r="H3306" i="1"/>
  <c r="I3306" i="1"/>
  <c r="H3307" i="1"/>
  <c r="I3307" i="1"/>
  <c r="H3308" i="1"/>
  <c r="I3308" i="1"/>
  <c r="H3309" i="1"/>
  <c r="I3309" i="1"/>
  <c r="H3310" i="1"/>
  <c r="I3310" i="1"/>
  <c r="H3311" i="1"/>
  <c r="I3311" i="1"/>
  <c r="H3312" i="1"/>
  <c r="I3312" i="1"/>
  <c r="H3313" i="1"/>
  <c r="I3313" i="1"/>
  <c r="H3314" i="1"/>
  <c r="I3314" i="1"/>
  <c r="H3315" i="1"/>
  <c r="I3315" i="1"/>
  <c r="H3316" i="1"/>
  <c r="I3316" i="1"/>
  <c r="H3317" i="1"/>
  <c r="I3317" i="1"/>
  <c r="H3318" i="1"/>
  <c r="I3318" i="1"/>
  <c r="H3319" i="1"/>
  <c r="I3319" i="1"/>
  <c r="H3320" i="1"/>
  <c r="I3320" i="1"/>
  <c r="H3321" i="1"/>
  <c r="I3321" i="1"/>
  <c r="H3322" i="1"/>
  <c r="I3322" i="1"/>
  <c r="H3323" i="1"/>
  <c r="I3323" i="1"/>
  <c r="H3324" i="1"/>
  <c r="I3324" i="1"/>
  <c r="H3325" i="1"/>
  <c r="I3325" i="1"/>
  <c r="H3326" i="1"/>
  <c r="I3326" i="1"/>
  <c r="H3327" i="1"/>
  <c r="I3327" i="1"/>
  <c r="H3328" i="1"/>
  <c r="I3328" i="1"/>
  <c r="H3329" i="1"/>
  <c r="I3329" i="1"/>
  <c r="H3330" i="1"/>
  <c r="I3330" i="1"/>
  <c r="H3331" i="1"/>
  <c r="I3331" i="1"/>
  <c r="H3332" i="1"/>
  <c r="I3332" i="1"/>
  <c r="H3333" i="1"/>
  <c r="I3333" i="1"/>
  <c r="H3334" i="1"/>
  <c r="I3334" i="1"/>
  <c r="H3335" i="1"/>
  <c r="I3335" i="1"/>
  <c r="H3336" i="1"/>
  <c r="I3336" i="1"/>
  <c r="H3337" i="1"/>
  <c r="I3337" i="1"/>
  <c r="H3338" i="1"/>
  <c r="I3338" i="1"/>
  <c r="H3339" i="1"/>
  <c r="I3339" i="1"/>
  <c r="H3340" i="1"/>
  <c r="I3340" i="1"/>
  <c r="H3341" i="1"/>
  <c r="I3341" i="1"/>
  <c r="H3342" i="1"/>
  <c r="I3342" i="1"/>
  <c r="H3343" i="1"/>
  <c r="I3343" i="1"/>
  <c r="H3344" i="1"/>
  <c r="I3344" i="1"/>
  <c r="H3345" i="1"/>
  <c r="I3345" i="1"/>
  <c r="H3346" i="1"/>
  <c r="I3346" i="1"/>
  <c r="H3347" i="1"/>
  <c r="I3347" i="1"/>
  <c r="H3348" i="1"/>
  <c r="I3348" i="1"/>
  <c r="H3349" i="1"/>
  <c r="I3349" i="1"/>
  <c r="H3350" i="1"/>
  <c r="I3350" i="1"/>
  <c r="H3351" i="1"/>
  <c r="I3351" i="1"/>
  <c r="H3352" i="1"/>
  <c r="I3352" i="1"/>
  <c r="H3353" i="1"/>
  <c r="I3353" i="1"/>
  <c r="H3354" i="1"/>
  <c r="I3354" i="1"/>
  <c r="H3355" i="1"/>
  <c r="I3355" i="1"/>
  <c r="H3356" i="1"/>
  <c r="I3356" i="1"/>
  <c r="H3357" i="1"/>
  <c r="I3357" i="1"/>
  <c r="H3358" i="1"/>
  <c r="I3358" i="1"/>
  <c r="H3359" i="1"/>
  <c r="I3359" i="1"/>
  <c r="H3360" i="1"/>
  <c r="I3360" i="1"/>
  <c r="H3361" i="1"/>
  <c r="I3361" i="1"/>
  <c r="H3362" i="1"/>
  <c r="I3362" i="1"/>
  <c r="H3363" i="1"/>
  <c r="I3363" i="1"/>
  <c r="H3364" i="1"/>
  <c r="I3364" i="1"/>
  <c r="H3365" i="1"/>
  <c r="I3365" i="1"/>
  <c r="H3366" i="1"/>
  <c r="I3366" i="1"/>
  <c r="H3367" i="1"/>
  <c r="I3367" i="1"/>
  <c r="H3368" i="1"/>
  <c r="I3368" i="1"/>
  <c r="H3369" i="1"/>
  <c r="I3369" i="1"/>
  <c r="H3370" i="1"/>
  <c r="I3370" i="1"/>
  <c r="H3371" i="1"/>
  <c r="I3371" i="1"/>
  <c r="H3372" i="1"/>
  <c r="I3372" i="1"/>
  <c r="H3373" i="1"/>
  <c r="I3373" i="1"/>
  <c r="H3374" i="1"/>
  <c r="I3374" i="1"/>
  <c r="H3375" i="1"/>
  <c r="I3375" i="1"/>
  <c r="H3376" i="1"/>
  <c r="I3376" i="1"/>
  <c r="H3377" i="1"/>
  <c r="I3377" i="1"/>
  <c r="H3378" i="1"/>
  <c r="I3378" i="1"/>
  <c r="H3379" i="1"/>
  <c r="I3379" i="1"/>
  <c r="H3380" i="1"/>
  <c r="I3380" i="1"/>
  <c r="H3381" i="1"/>
  <c r="I3381" i="1"/>
  <c r="H3382" i="1"/>
  <c r="I3382" i="1"/>
  <c r="H3383" i="1"/>
  <c r="I3383" i="1"/>
  <c r="H3384" i="1"/>
  <c r="I3384" i="1"/>
  <c r="H3385" i="1"/>
  <c r="I3385" i="1"/>
  <c r="H3386" i="1"/>
  <c r="I3386" i="1"/>
  <c r="H3387" i="1"/>
  <c r="I3387" i="1"/>
  <c r="H3388" i="1"/>
  <c r="I3388" i="1"/>
  <c r="H3389" i="1"/>
  <c r="I3389" i="1"/>
  <c r="H3390" i="1"/>
  <c r="I3390" i="1"/>
  <c r="H3391" i="1"/>
  <c r="I3391" i="1"/>
  <c r="H3392" i="1"/>
  <c r="I3392" i="1"/>
  <c r="H3393" i="1"/>
  <c r="I3393" i="1"/>
  <c r="H3394" i="1"/>
  <c r="I3394" i="1"/>
  <c r="H3395" i="1"/>
  <c r="I3395" i="1"/>
  <c r="H3396" i="1"/>
  <c r="I3396" i="1"/>
  <c r="H3397" i="1"/>
  <c r="I3397" i="1"/>
  <c r="H3398" i="1"/>
  <c r="I3398" i="1"/>
  <c r="H3399" i="1"/>
  <c r="I3399" i="1"/>
  <c r="H3400" i="1"/>
  <c r="I3400" i="1"/>
  <c r="H3401" i="1"/>
  <c r="I3401" i="1"/>
  <c r="H3402" i="1"/>
  <c r="I3402" i="1"/>
  <c r="H3403" i="1"/>
  <c r="I3403" i="1"/>
  <c r="H3404" i="1"/>
  <c r="I3404" i="1"/>
  <c r="H3405" i="1"/>
  <c r="I3405" i="1"/>
  <c r="H3406" i="1"/>
  <c r="I3406" i="1"/>
  <c r="H3407" i="1"/>
  <c r="I3407" i="1"/>
  <c r="H3408" i="1"/>
  <c r="I3408" i="1"/>
  <c r="H3409" i="1"/>
  <c r="I3409" i="1"/>
  <c r="H3410" i="1"/>
  <c r="I3410" i="1"/>
  <c r="H3411" i="1"/>
  <c r="I3411" i="1"/>
  <c r="H3412" i="1"/>
  <c r="I3412" i="1"/>
  <c r="H3413" i="1"/>
  <c r="I3413" i="1"/>
  <c r="H3414" i="1"/>
  <c r="I3414" i="1"/>
  <c r="H3415" i="1"/>
  <c r="I3415" i="1"/>
  <c r="H3416" i="1"/>
  <c r="I3416" i="1"/>
  <c r="H3417" i="1"/>
  <c r="I3417" i="1"/>
  <c r="H3418" i="1"/>
  <c r="I3418" i="1"/>
  <c r="H3419" i="1"/>
  <c r="I3419" i="1"/>
  <c r="H3420" i="1"/>
  <c r="I3420" i="1"/>
  <c r="H3421" i="1"/>
  <c r="I3421" i="1"/>
  <c r="H3422" i="1"/>
  <c r="I3422" i="1"/>
  <c r="H3423" i="1"/>
  <c r="I3423" i="1"/>
  <c r="H3424" i="1"/>
  <c r="I3424" i="1"/>
  <c r="H3425" i="1"/>
  <c r="I3425" i="1"/>
  <c r="H3426" i="1"/>
  <c r="I3426" i="1"/>
  <c r="H3427" i="1"/>
  <c r="I3427" i="1"/>
  <c r="H3428" i="1"/>
  <c r="I3428" i="1"/>
  <c r="H3429" i="1"/>
  <c r="I3429" i="1"/>
  <c r="H3430" i="1"/>
  <c r="I3430" i="1"/>
  <c r="H3431" i="1"/>
  <c r="I3431" i="1"/>
  <c r="H3432" i="1"/>
  <c r="I3432" i="1"/>
  <c r="H3433" i="1"/>
  <c r="I3433" i="1"/>
  <c r="H3434" i="1"/>
  <c r="I3434" i="1"/>
  <c r="H3435" i="1"/>
  <c r="I3435" i="1"/>
  <c r="H3436" i="1"/>
  <c r="I3436" i="1"/>
  <c r="H3437" i="1"/>
  <c r="I3437" i="1"/>
  <c r="H3438" i="1"/>
  <c r="I3438" i="1"/>
  <c r="H3439" i="1"/>
  <c r="I3439" i="1"/>
  <c r="H3440" i="1"/>
  <c r="I3440" i="1"/>
  <c r="H3441" i="1"/>
  <c r="I3441" i="1"/>
  <c r="H3442" i="1"/>
  <c r="I3442" i="1"/>
  <c r="H3443" i="1"/>
  <c r="I3443" i="1"/>
  <c r="H3444" i="1"/>
  <c r="I3444" i="1"/>
  <c r="H3445" i="1"/>
  <c r="I3445" i="1"/>
  <c r="H3446" i="1"/>
  <c r="I3446" i="1"/>
  <c r="H3447" i="1"/>
  <c r="I3447" i="1"/>
  <c r="H3448" i="1"/>
  <c r="I3448" i="1"/>
  <c r="H3449" i="1"/>
  <c r="I3449" i="1"/>
  <c r="H3450" i="1"/>
  <c r="I3450" i="1"/>
  <c r="H3451" i="1"/>
  <c r="I3451" i="1"/>
  <c r="H3452" i="1"/>
  <c r="I3452" i="1"/>
  <c r="H3453" i="1"/>
  <c r="I3453" i="1"/>
  <c r="H3454" i="1"/>
  <c r="I3454" i="1"/>
  <c r="H3455" i="1"/>
  <c r="I3455" i="1"/>
  <c r="H3456" i="1"/>
  <c r="I3456" i="1"/>
  <c r="H3457" i="1"/>
  <c r="I3457" i="1"/>
  <c r="H3458" i="1"/>
  <c r="I3458" i="1"/>
  <c r="H3459" i="1"/>
  <c r="I3459" i="1"/>
  <c r="H3460" i="1"/>
  <c r="I3460" i="1"/>
  <c r="H3461" i="1"/>
  <c r="I3461" i="1"/>
  <c r="H3462" i="1"/>
  <c r="I3462" i="1"/>
  <c r="H3463" i="1"/>
  <c r="I3463" i="1"/>
  <c r="H3464" i="1"/>
  <c r="I3464" i="1"/>
  <c r="H3465" i="1"/>
  <c r="I3465" i="1"/>
  <c r="H3466" i="1"/>
  <c r="I3466" i="1"/>
  <c r="H3467" i="1"/>
  <c r="I3467" i="1"/>
  <c r="H3468" i="1"/>
  <c r="I3468" i="1"/>
  <c r="H3469" i="1"/>
  <c r="I3469" i="1"/>
  <c r="H3470" i="1"/>
  <c r="I3470" i="1"/>
  <c r="H3471" i="1"/>
  <c r="I3471" i="1"/>
  <c r="H3472" i="1"/>
  <c r="I3472" i="1"/>
  <c r="H3473" i="1"/>
  <c r="I3473" i="1"/>
  <c r="H3474" i="1"/>
  <c r="I3474" i="1"/>
  <c r="H3475" i="1"/>
  <c r="I3475" i="1"/>
  <c r="H3476" i="1"/>
  <c r="I3476" i="1"/>
  <c r="H3477" i="1"/>
  <c r="I3477" i="1"/>
  <c r="H3478" i="1"/>
  <c r="I3478" i="1"/>
  <c r="H3479" i="1"/>
  <c r="I3479" i="1"/>
  <c r="H3480" i="1"/>
  <c r="I3480" i="1"/>
  <c r="H3481" i="1"/>
  <c r="I3481" i="1"/>
  <c r="H3482" i="1"/>
  <c r="I3482" i="1"/>
  <c r="H3483" i="1"/>
  <c r="I3483" i="1"/>
  <c r="H3484" i="1"/>
  <c r="I3484" i="1"/>
  <c r="H3485" i="1"/>
  <c r="I3485" i="1"/>
  <c r="H3486" i="1"/>
  <c r="I3486" i="1"/>
  <c r="H3487" i="1"/>
  <c r="I3487" i="1"/>
  <c r="H3488" i="1"/>
  <c r="I3488" i="1"/>
  <c r="H3489" i="1"/>
  <c r="I3489" i="1"/>
  <c r="H3490" i="1"/>
  <c r="I3490" i="1"/>
  <c r="H3491" i="1"/>
  <c r="I3491" i="1"/>
  <c r="H3492" i="1"/>
  <c r="I3492" i="1"/>
  <c r="H3493" i="1"/>
  <c r="I3493" i="1"/>
  <c r="H3494" i="1"/>
  <c r="I3494" i="1"/>
  <c r="H3495" i="1"/>
  <c r="I3495" i="1"/>
  <c r="H3496" i="1"/>
  <c r="I3496" i="1"/>
  <c r="H3497" i="1"/>
  <c r="I3497" i="1"/>
  <c r="H3498" i="1"/>
  <c r="I3498" i="1"/>
  <c r="H3499" i="1"/>
  <c r="I3499" i="1"/>
  <c r="H3500" i="1"/>
  <c r="I3500" i="1"/>
  <c r="H3501" i="1"/>
  <c r="I3501" i="1"/>
  <c r="H3502" i="1"/>
  <c r="I3502" i="1"/>
  <c r="H3503" i="1"/>
  <c r="I3503" i="1"/>
  <c r="H3504" i="1"/>
  <c r="I3504" i="1"/>
  <c r="H3505" i="1"/>
  <c r="I3505" i="1"/>
  <c r="H3506" i="1"/>
  <c r="I3506" i="1"/>
  <c r="H3507" i="1"/>
  <c r="I3507" i="1"/>
  <c r="H3508" i="1"/>
  <c r="I3508" i="1"/>
  <c r="H3509" i="1"/>
  <c r="I3509" i="1"/>
  <c r="H3510" i="1"/>
  <c r="I3510" i="1"/>
  <c r="H3511" i="1"/>
  <c r="I3511" i="1"/>
  <c r="H3512" i="1"/>
  <c r="I3512" i="1"/>
  <c r="H3513" i="1"/>
  <c r="I3513" i="1"/>
  <c r="H3514" i="1"/>
  <c r="I3514" i="1"/>
  <c r="H3515" i="1"/>
  <c r="I3515" i="1"/>
  <c r="H3516" i="1"/>
  <c r="I3516" i="1"/>
  <c r="H3517" i="1"/>
  <c r="I3517" i="1"/>
  <c r="H3518" i="1"/>
  <c r="I3518" i="1"/>
  <c r="H3519" i="1"/>
  <c r="I3519" i="1"/>
  <c r="H3520" i="1"/>
  <c r="I3520" i="1"/>
  <c r="H3521" i="1"/>
  <c r="I3521" i="1"/>
  <c r="H3522" i="1"/>
  <c r="I3522" i="1"/>
  <c r="H3523" i="1"/>
  <c r="I3523" i="1"/>
  <c r="H3524" i="1"/>
  <c r="I3524" i="1"/>
  <c r="H3525" i="1"/>
  <c r="I3525" i="1"/>
  <c r="H3526" i="1"/>
  <c r="I3526" i="1"/>
  <c r="H3527" i="1"/>
  <c r="I3527" i="1"/>
  <c r="H3528" i="1"/>
  <c r="I3528" i="1"/>
  <c r="H3529" i="1"/>
  <c r="I3529" i="1"/>
  <c r="H3530" i="1"/>
  <c r="I3530" i="1"/>
  <c r="H3531" i="1"/>
  <c r="I3531" i="1"/>
  <c r="H3532" i="1"/>
  <c r="I3532" i="1"/>
  <c r="H3533" i="1"/>
  <c r="I3533" i="1"/>
  <c r="H3534" i="1"/>
  <c r="I3534" i="1"/>
  <c r="H3535" i="1"/>
  <c r="I3535" i="1"/>
  <c r="H3536" i="1"/>
  <c r="I3536" i="1"/>
  <c r="H3537" i="1"/>
  <c r="I3537" i="1"/>
  <c r="H3538" i="1"/>
  <c r="I3538" i="1"/>
  <c r="H3539" i="1"/>
  <c r="I3539" i="1"/>
  <c r="H3540" i="1"/>
  <c r="I3540" i="1"/>
  <c r="H3541" i="1"/>
  <c r="I3541" i="1"/>
  <c r="H3542" i="1"/>
  <c r="I3542" i="1"/>
  <c r="H3543" i="1"/>
  <c r="I3543" i="1"/>
  <c r="H3544" i="1"/>
  <c r="I3544" i="1"/>
  <c r="H3545" i="1"/>
  <c r="I3545" i="1"/>
  <c r="H3546" i="1"/>
  <c r="I3546" i="1"/>
  <c r="H3547" i="1"/>
  <c r="I3547" i="1"/>
  <c r="H3548" i="1"/>
  <c r="I3548" i="1"/>
  <c r="H3549" i="1"/>
  <c r="I3549" i="1"/>
  <c r="H3550" i="1"/>
  <c r="I3550" i="1"/>
  <c r="H3551" i="1"/>
  <c r="I3551" i="1"/>
  <c r="H3552" i="1"/>
  <c r="I3552" i="1"/>
  <c r="H3553" i="1"/>
  <c r="I3553" i="1"/>
  <c r="H3554" i="1"/>
  <c r="I3554" i="1"/>
  <c r="H3555" i="1"/>
  <c r="I3555" i="1"/>
  <c r="H3556" i="1"/>
  <c r="I3556" i="1"/>
  <c r="H3557" i="1"/>
  <c r="I3557" i="1"/>
  <c r="H3558" i="1"/>
  <c r="I3558" i="1"/>
  <c r="H3559" i="1"/>
  <c r="I3559" i="1"/>
  <c r="H3560" i="1"/>
  <c r="I3560" i="1"/>
  <c r="H3561" i="1"/>
  <c r="I3561" i="1"/>
  <c r="H3562" i="1"/>
  <c r="I3562" i="1"/>
  <c r="H3563" i="1"/>
  <c r="I3563" i="1"/>
  <c r="H3564" i="1"/>
  <c r="I3564" i="1"/>
  <c r="H3565" i="1"/>
  <c r="I3565" i="1"/>
  <c r="H3566" i="1"/>
  <c r="I3566" i="1"/>
  <c r="H3567" i="1"/>
  <c r="I3567" i="1"/>
  <c r="H3568" i="1"/>
  <c r="I3568" i="1"/>
  <c r="H3569" i="1"/>
  <c r="I3569" i="1"/>
  <c r="H3570" i="1"/>
  <c r="I3570" i="1"/>
  <c r="H3571" i="1"/>
  <c r="I3571" i="1"/>
  <c r="H3572" i="1"/>
  <c r="I3572" i="1"/>
  <c r="H3573" i="1"/>
  <c r="I3573" i="1"/>
  <c r="H3574" i="1"/>
  <c r="I3574" i="1"/>
  <c r="H3575" i="1"/>
  <c r="I3575" i="1"/>
  <c r="H3576" i="1"/>
  <c r="I3576" i="1"/>
  <c r="H3577" i="1"/>
  <c r="I3577" i="1"/>
  <c r="H3578" i="1"/>
  <c r="I3578" i="1"/>
  <c r="H3579" i="1"/>
  <c r="I3579" i="1"/>
  <c r="H3580" i="1"/>
  <c r="I3580" i="1"/>
  <c r="H3581" i="1"/>
  <c r="I3581" i="1"/>
  <c r="H3582" i="1"/>
  <c r="I3582" i="1"/>
  <c r="H3583" i="1"/>
  <c r="I3583" i="1"/>
  <c r="H3584" i="1"/>
  <c r="I3584" i="1"/>
  <c r="H3585" i="1"/>
  <c r="I3585" i="1"/>
  <c r="H3586" i="1"/>
  <c r="I3586" i="1"/>
  <c r="H3587" i="1"/>
  <c r="I3587" i="1"/>
  <c r="H3588" i="1"/>
  <c r="I3588" i="1"/>
  <c r="H3589" i="1"/>
  <c r="I3589" i="1"/>
  <c r="H3590" i="1"/>
  <c r="I3590" i="1"/>
  <c r="H3591" i="1"/>
  <c r="I3591" i="1"/>
  <c r="H3592" i="1"/>
  <c r="I3592" i="1"/>
  <c r="H3593" i="1"/>
  <c r="I3593" i="1"/>
  <c r="H3594" i="1"/>
  <c r="I3594" i="1"/>
  <c r="H3595" i="1"/>
  <c r="I3595" i="1"/>
  <c r="H3596" i="1"/>
  <c r="I3596" i="1"/>
  <c r="H3597" i="1"/>
  <c r="I3597" i="1"/>
  <c r="H3598" i="1"/>
  <c r="I3598" i="1"/>
  <c r="H3599" i="1"/>
  <c r="I3599" i="1"/>
  <c r="H3600" i="1"/>
  <c r="I3600" i="1"/>
  <c r="H3601" i="1"/>
  <c r="I3601" i="1"/>
  <c r="H3602" i="1"/>
  <c r="I3602" i="1"/>
  <c r="H3603" i="1"/>
  <c r="I3603" i="1"/>
  <c r="H3604" i="1"/>
  <c r="I3604" i="1"/>
  <c r="H3605" i="1"/>
  <c r="I3605" i="1"/>
  <c r="H3606" i="1"/>
  <c r="I3606" i="1"/>
  <c r="H3607" i="1"/>
  <c r="I3607" i="1"/>
  <c r="H3608" i="1"/>
  <c r="I3608" i="1"/>
  <c r="H3609" i="1"/>
  <c r="I3609" i="1"/>
  <c r="H3610" i="1"/>
  <c r="I3610" i="1"/>
  <c r="H3611" i="1"/>
  <c r="I3611" i="1"/>
  <c r="H3612" i="1"/>
  <c r="I3612" i="1"/>
  <c r="H3613" i="1"/>
  <c r="I3613" i="1"/>
  <c r="H3614" i="1"/>
  <c r="I3614" i="1"/>
  <c r="H3615" i="1"/>
  <c r="I3615" i="1"/>
  <c r="H3616" i="1"/>
  <c r="I3616" i="1"/>
  <c r="H3617" i="1"/>
  <c r="I3617" i="1"/>
  <c r="H3618" i="1"/>
  <c r="I3618" i="1"/>
  <c r="H3619" i="1"/>
  <c r="I3619" i="1"/>
  <c r="H3620" i="1"/>
  <c r="I3620" i="1"/>
  <c r="H3621" i="1"/>
  <c r="I3621" i="1"/>
  <c r="H3622" i="1"/>
  <c r="I3622" i="1"/>
  <c r="H3623" i="1"/>
  <c r="I3623" i="1"/>
  <c r="H3624" i="1"/>
  <c r="I3624" i="1"/>
  <c r="H3625" i="1"/>
  <c r="I3625" i="1"/>
  <c r="H3626" i="1"/>
  <c r="I3626" i="1"/>
  <c r="H3627" i="1"/>
  <c r="I3627" i="1"/>
  <c r="H3628" i="1"/>
  <c r="I3628" i="1"/>
  <c r="H3629" i="1"/>
  <c r="I3629" i="1"/>
  <c r="H3630" i="1"/>
  <c r="I3630" i="1"/>
  <c r="H3631" i="1"/>
  <c r="I3631" i="1"/>
  <c r="H3632" i="1"/>
  <c r="I3632" i="1"/>
  <c r="H3633" i="1"/>
  <c r="I3633" i="1"/>
  <c r="H3634" i="1"/>
  <c r="I3634" i="1"/>
  <c r="H3635" i="1"/>
  <c r="I3635" i="1"/>
  <c r="H3636" i="1"/>
  <c r="I3636" i="1"/>
  <c r="H3637" i="1"/>
  <c r="I3637" i="1"/>
  <c r="H3638" i="1"/>
  <c r="I3638" i="1"/>
  <c r="H3639" i="1"/>
  <c r="I3639" i="1"/>
  <c r="H3640" i="1"/>
  <c r="I3640" i="1"/>
  <c r="H3641" i="1"/>
  <c r="I3641" i="1"/>
  <c r="H3642" i="1"/>
  <c r="I3642" i="1"/>
  <c r="H3643" i="1"/>
  <c r="I3643" i="1"/>
  <c r="H3644" i="1"/>
  <c r="I3644" i="1"/>
  <c r="H3645" i="1"/>
  <c r="I3645" i="1"/>
  <c r="H3646" i="1"/>
  <c r="I3646" i="1"/>
  <c r="H3647" i="1"/>
  <c r="I3647" i="1"/>
  <c r="H3648" i="1"/>
  <c r="I3648" i="1"/>
  <c r="H3649" i="1"/>
  <c r="I3649" i="1"/>
  <c r="H3650" i="1"/>
  <c r="I3650" i="1"/>
  <c r="H3651" i="1"/>
  <c r="I3651" i="1"/>
  <c r="H3652" i="1"/>
  <c r="I3652" i="1"/>
  <c r="H3653" i="1"/>
  <c r="I3653" i="1"/>
  <c r="H3654" i="1"/>
  <c r="I3654" i="1"/>
  <c r="H3655" i="1"/>
  <c r="I3655" i="1"/>
  <c r="H3656" i="1"/>
  <c r="I3656" i="1"/>
  <c r="H3657" i="1"/>
  <c r="I3657" i="1"/>
  <c r="H3658" i="1"/>
  <c r="I3658" i="1"/>
  <c r="H3659" i="1"/>
  <c r="I3659" i="1"/>
  <c r="H3660" i="1"/>
  <c r="I3660" i="1"/>
  <c r="H3661" i="1"/>
  <c r="I3661" i="1"/>
  <c r="H3662" i="1"/>
  <c r="I3662" i="1"/>
  <c r="H3663" i="1"/>
  <c r="I3663" i="1"/>
  <c r="H3664" i="1"/>
  <c r="I3664" i="1"/>
  <c r="H3665" i="1"/>
  <c r="I3665" i="1"/>
  <c r="H3666" i="1"/>
  <c r="I3666" i="1"/>
  <c r="H3667" i="1"/>
  <c r="I3667" i="1"/>
  <c r="H3668" i="1"/>
  <c r="I3668" i="1"/>
  <c r="H3669" i="1"/>
  <c r="I3669" i="1"/>
  <c r="H3670" i="1"/>
  <c r="I3670" i="1"/>
  <c r="H3671" i="1"/>
  <c r="I3671" i="1"/>
  <c r="H3672" i="1"/>
  <c r="I3672" i="1"/>
  <c r="H3673" i="1"/>
  <c r="I3673" i="1"/>
  <c r="H3674" i="1"/>
  <c r="I3674" i="1"/>
  <c r="H3675" i="1"/>
  <c r="I3675" i="1"/>
  <c r="H3676" i="1"/>
  <c r="I3676" i="1"/>
  <c r="H3677" i="1"/>
  <c r="I3677" i="1"/>
  <c r="H3678" i="1"/>
  <c r="I3678" i="1"/>
  <c r="H3679" i="1"/>
  <c r="I3679" i="1"/>
  <c r="H3680" i="1"/>
  <c r="I3680" i="1"/>
  <c r="H3681" i="1"/>
  <c r="I3681" i="1"/>
  <c r="H3682" i="1"/>
  <c r="I3682" i="1"/>
  <c r="H3683" i="1"/>
  <c r="I3683" i="1"/>
  <c r="H3684" i="1"/>
  <c r="I3684" i="1"/>
  <c r="H3685" i="1"/>
  <c r="I3685" i="1"/>
  <c r="H3686" i="1"/>
  <c r="I3686" i="1"/>
  <c r="H3687" i="1"/>
  <c r="I3687" i="1"/>
  <c r="H3688" i="1"/>
  <c r="I3688" i="1"/>
  <c r="H3689" i="1"/>
  <c r="I3689" i="1"/>
  <c r="H3690" i="1"/>
  <c r="I3690" i="1"/>
  <c r="H3691" i="1"/>
  <c r="I3691" i="1"/>
  <c r="H3692" i="1"/>
  <c r="I3692" i="1"/>
  <c r="H3693" i="1"/>
  <c r="I3693" i="1"/>
  <c r="H3694" i="1"/>
  <c r="I3694" i="1"/>
  <c r="H3695" i="1"/>
  <c r="I3695" i="1"/>
  <c r="H3696" i="1"/>
  <c r="I3696" i="1"/>
  <c r="H3697" i="1"/>
  <c r="I3697" i="1"/>
  <c r="H3698" i="1"/>
  <c r="I3698" i="1"/>
  <c r="H3699" i="1"/>
  <c r="I3699" i="1"/>
  <c r="H3700" i="1"/>
  <c r="I3700" i="1"/>
  <c r="H3701" i="1"/>
  <c r="I3701" i="1"/>
  <c r="H3702" i="1"/>
  <c r="I3702" i="1"/>
  <c r="H3703" i="1"/>
  <c r="I3703" i="1"/>
  <c r="H3704" i="1"/>
  <c r="I3704" i="1"/>
  <c r="H3705" i="1"/>
  <c r="I3705" i="1"/>
  <c r="H3706" i="1"/>
  <c r="I3706" i="1"/>
  <c r="H3707" i="1"/>
  <c r="I3707" i="1"/>
  <c r="H3708" i="1"/>
  <c r="I3708" i="1"/>
  <c r="H3709" i="1"/>
  <c r="I3709" i="1"/>
  <c r="H3710" i="1"/>
  <c r="I3710" i="1"/>
  <c r="H3711" i="1"/>
  <c r="I3711" i="1"/>
  <c r="H3712" i="1"/>
  <c r="I3712" i="1"/>
  <c r="H3713" i="1"/>
  <c r="I3713" i="1"/>
  <c r="H3714" i="1"/>
  <c r="I3714" i="1"/>
  <c r="H3715" i="1"/>
  <c r="I3715" i="1"/>
  <c r="H3716" i="1"/>
  <c r="I3716" i="1"/>
  <c r="H3717" i="1"/>
  <c r="I3717" i="1"/>
  <c r="H3718" i="1"/>
  <c r="I3718" i="1"/>
  <c r="H3719" i="1"/>
  <c r="I3719" i="1"/>
  <c r="H3720" i="1"/>
  <c r="I3720" i="1"/>
  <c r="H3721" i="1"/>
  <c r="I3721" i="1"/>
  <c r="H3722" i="1"/>
  <c r="I3722" i="1"/>
  <c r="H3723" i="1"/>
  <c r="I3723" i="1"/>
  <c r="H3724" i="1"/>
  <c r="I3724" i="1"/>
  <c r="H3725" i="1"/>
  <c r="I3725" i="1"/>
  <c r="H3726" i="1"/>
  <c r="I3726" i="1"/>
  <c r="H3727" i="1"/>
  <c r="I3727" i="1"/>
  <c r="H3728" i="1"/>
  <c r="I3728" i="1"/>
  <c r="H3729" i="1"/>
  <c r="I3729" i="1"/>
  <c r="H3730" i="1"/>
  <c r="I3730" i="1"/>
  <c r="H3731" i="1"/>
  <c r="I3731" i="1"/>
  <c r="H3732" i="1"/>
  <c r="I3732" i="1"/>
  <c r="H3733" i="1"/>
  <c r="I3733" i="1"/>
  <c r="H3734" i="1"/>
  <c r="I3734" i="1"/>
  <c r="H3735" i="1"/>
  <c r="I3735" i="1"/>
  <c r="H3736" i="1"/>
  <c r="I3736" i="1"/>
  <c r="H3737" i="1"/>
  <c r="I3737" i="1"/>
  <c r="H3738" i="1"/>
  <c r="I3738" i="1"/>
  <c r="H3739" i="1"/>
  <c r="I3739" i="1"/>
  <c r="H3740" i="1"/>
  <c r="I3740" i="1"/>
  <c r="H3741" i="1"/>
  <c r="I3741" i="1"/>
  <c r="H3742" i="1"/>
  <c r="I3742" i="1"/>
  <c r="H3743" i="1"/>
  <c r="I3743" i="1"/>
  <c r="H3744" i="1"/>
  <c r="I3744" i="1"/>
  <c r="H3745" i="1"/>
  <c r="I3745" i="1"/>
  <c r="H3746" i="1"/>
  <c r="I3746" i="1"/>
  <c r="H3747" i="1"/>
  <c r="I3747" i="1"/>
  <c r="H3748" i="1"/>
  <c r="I3748" i="1"/>
  <c r="H3749" i="1"/>
  <c r="I3749" i="1"/>
  <c r="H3750" i="1"/>
  <c r="I3750" i="1"/>
  <c r="H3751" i="1"/>
  <c r="I3751" i="1"/>
  <c r="H3752" i="1"/>
  <c r="I3752" i="1"/>
  <c r="H3753" i="1"/>
  <c r="I3753" i="1"/>
  <c r="H3754" i="1"/>
  <c r="I3754" i="1"/>
  <c r="H3755" i="1"/>
  <c r="I3755" i="1"/>
  <c r="H3756" i="1"/>
  <c r="I3756" i="1"/>
  <c r="H3757" i="1"/>
  <c r="I3757" i="1"/>
  <c r="H3758" i="1"/>
  <c r="I3758" i="1"/>
  <c r="H3759" i="1"/>
  <c r="I3759" i="1"/>
  <c r="H3760" i="1"/>
  <c r="I3760" i="1"/>
  <c r="H3761" i="1"/>
  <c r="I3761" i="1"/>
  <c r="H3762" i="1"/>
  <c r="I3762" i="1"/>
  <c r="H3763" i="1"/>
  <c r="I3763" i="1"/>
  <c r="H3764" i="1"/>
  <c r="I3764" i="1"/>
  <c r="H3765" i="1"/>
  <c r="I3765" i="1"/>
  <c r="H3766" i="1"/>
  <c r="I3766" i="1"/>
  <c r="H3767" i="1"/>
  <c r="I3767" i="1"/>
  <c r="H3768" i="1"/>
  <c r="I3768" i="1"/>
  <c r="H3769" i="1"/>
  <c r="I3769" i="1"/>
  <c r="H3770" i="1"/>
  <c r="I3770" i="1"/>
  <c r="H3771" i="1"/>
  <c r="I3771" i="1"/>
  <c r="H3772" i="1"/>
  <c r="I3772" i="1"/>
  <c r="H3773" i="1"/>
  <c r="I3773" i="1"/>
  <c r="H3774" i="1"/>
  <c r="I3774" i="1"/>
  <c r="H3775" i="1"/>
  <c r="I3775" i="1"/>
  <c r="H3776" i="1"/>
  <c r="I3776" i="1"/>
  <c r="H3777" i="1"/>
  <c r="I3777" i="1"/>
  <c r="H3778" i="1"/>
  <c r="I3778" i="1"/>
  <c r="H3779" i="1"/>
  <c r="I3779" i="1"/>
  <c r="H3780" i="1"/>
  <c r="I3780" i="1"/>
  <c r="H3781" i="1"/>
  <c r="I3781" i="1"/>
  <c r="H3782" i="1"/>
  <c r="I3782" i="1"/>
  <c r="H3783" i="1"/>
  <c r="I3783" i="1"/>
  <c r="H3784" i="1"/>
  <c r="I3784" i="1"/>
  <c r="H3785" i="1"/>
  <c r="I3785" i="1"/>
  <c r="H3786" i="1"/>
  <c r="I3786" i="1"/>
  <c r="H3787" i="1"/>
  <c r="I3787" i="1"/>
  <c r="H3788" i="1"/>
  <c r="I3788" i="1"/>
  <c r="H3789" i="1"/>
  <c r="I3789" i="1"/>
  <c r="H3790" i="1"/>
  <c r="I3790" i="1"/>
  <c r="H3791" i="1"/>
  <c r="I3791" i="1"/>
  <c r="H3792" i="1"/>
  <c r="I3792" i="1"/>
  <c r="H3793" i="1"/>
  <c r="I3793" i="1"/>
  <c r="H3794" i="1"/>
  <c r="I3794" i="1"/>
  <c r="H3795" i="1"/>
  <c r="I3795" i="1"/>
  <c r="H3796" i="1"/>
  <c r="I3796" i="1"/>
  <c r="H3797" i="1"/>
  <c r="I3797" i="1"/>
  <c r="H3798" i="1"/>
  <c r="I3798" i="1"/>
  <c r="H3799" i="1"/>
  <c r="I3799" i="1"/>
  <c r="H3800" i="1"/>
  <c r="I3800" i="1"/>
  <c r="H3801" i="1"/>
  <c r="I3801" i="1"/>
  <c r="H3802" i="1"/>
  <c r="I3802" i="1"/>
  <c r="H3803" i="1"/>
  <c r="I3803" i="1"/>
  <c r="H3804" i="1"/>
  <c r="I3804" i="1"/>
  <c r="H3805" i="1"/>
  <c r="I3805" i="1"/>
  <c r="H3806" i="1"/>
  <c r="I3806" i="1"/>
  <c r="H3807" i="1"/>
  <c r="I3807" i="1"/>
  <c r="H3808" i="1"/>
  <c r="I3808" i="1"/>
  <c r="H3809" i="1"/>
  <c r="I3809" i="1"/>
  <c r="H3810" i="1"/>
  <c r="I3810" i="1"/>
  <c r="H3811" i="1"/>
  <c r="I3811" i="1"/>
  <c r="H3812" i="1"/>
  <c r="I3812" i="1"/>
  <c r="H3813" i="1"/>
  <c r="I3813" i="1"/>
  <c r="H3814" i="1"/>
  <c r="I3814" i="1"/>
  <c r="H3815" i="1"/>
  <c r="I3815" i="1"/>
  <c r="H3816" i="1"/>
  <c r="I3816" i="1"/>
  <c r="H3817" i="1"/>
  <c r="I3817" i="1"/>
  <c r="H3818" i="1"/>
  <c r="I3818" i="1"/>
  <c r="H3819" i="1"/>
  <c r="I3819" i="1"/>
  <c r="H3820" i="1"/>
  <c r="I3820" i="1"/>
  <c r="H3821" i="1"/>
  <c r="I3821" i="1"/>
  <c r="H3822" i="1"/>
  <c r="I3822" i="1"/>
  <c r="H3823" i="1"/>
  <c r="I3823" i="1"/>
  <c r="H3824" i="1"/>
  <c r="I3824" i="1"/>
  <c r="H3825" i="1"/>
  <c r="I3825" i="1"/>
  <c r="H3826" i="1"/>
  <c r="I3826" i="1"/>
  <c r="H3827" i="1"/>
  <c r="I3827" i="1"/>
  <c r="H3828" i="1"/>
  <c r="I3828" i="1"/>
  <c r="H3829" i="1"/>
  <c r="I3829" i="1"/>
  <c r="H3830" i="1"/>
  <c r="I3830" i="1"/>
  <c r="H3831" i="1"/>
  <c r="I3831" i="1"/>
  <c r="H3832" i="1"/>
  <c r="I3832" i="1"/>
  <c r="H3833" i="1"/>
  <c r="I3833" i="1"/>
  <c r="H3834" i="1"/>
  <c r="I3834" i="1"/>
  <c r="H3835" i="1"/>
  <c r="I3835" i="1"/>
  <c r="H3836" i="1"/>
  <c r="I3836" i="1"/>
  <c r="H3837" i="1"/>
  <c r="I3837" i="1"/>
  <c r="H3838" i="1"/>
  <c r="I3838" i="1"/>
  <c r="H3839" i="1"/>
  <c r="I3839" i="1"/>
  <c r="H3840" i="1"/>
  <c r="I3840" i="1"/>
  <c r="H3841" i="1"/>
  <c r="I3841" i="1"/>
  <c r="H3842" i="1"/>
  <c r="I3842" i="1"/>
  <c r="H3843" i="1"/>
  <c r="I3843" i="1"/>
  <c r="H3844" i="1"/>
  <c r="I3844" i="1"/>
  <c r="H3845" i="1"/>
  <c r="I3845" i="1"/>
  <c r="H3846" i="1"/>
  <c r="I3846" i="1"/>
  <c r="H3847" i="1"/>
  <c r="I3847" i="1"/>
  <c r="H3848" i="1"/>
  <c r="I3848" i="1"/>
  <c r="H3849" i="1"/>
  <c r="I3849" i="1"/>
  <c r="H3850" i="1"/>
  <c r="I3850" i="1"/>
  <c r="H3851" i="1"/>
  <c r="I3851" i="1"/>
  <c r="H3852" i="1"/>
  <c r="I3852" i="1"/>
  <c r="H3853" i="1"/>
  <c r="I3853" i="1"/>
  <c r="H3854" i="1"/>
  <c r="I3854" i="1"/>
  <c r="H3855" i="1"/>
  <c r="I3855" i="1"/>
  <c r="H3856" i="1"/>
  <c r="I3856" i="1"/>
  <c r="H3857" i="1"/>
  <c r="I3857" i="1"/>
  <c r="H3858" i="1"/>
  <c r="I3858" i="1"/>
  <c r="H3859" i="1"/>
  <c r="I3859" i="1"/>
  <c r="H3860" i="1"/>
  <c r="I3860" i="1"/>
  <c r="H3861" i="1"/>
  <c r="I3861" i="1"/>
  <c r="H3862" i="1"/>
  <c r="I3862" i="1"/>
  <c r="H3863" i="1"/>
  <c r="I3863" i="1"/>
  <c r="H3864" i="1"/>
  <c r="I3864" i="1"/>
  <c r="H3865" i="1"/>
  <c r="I3865" i="1"/>
  <c r="H3866" i="1"/>
  <c r="I3866" i="1"/>
  <c r="H3867" i="1"/>
  <c r="I3867" i="1"/>
  <c r="H3868" i="1"/>
  <c r="I3868" i="1"/>
  <c r="H3869" i="1"/>
  <c r="I3869" i="1"/>
  <c r="H3870" i="1"/>
  <c r="I3870" i="1"/>
  <c r="H3871" i="1"/>
  <c r="I3871" i="1"/>
  <c r="H3872" i="1"/>
  <c r="I3872" i="1"/>
  <c r="H3873" i="1"/>
  <c r="I3873" i="1"/>
  <c r="H3874" i="1"/>
  <c r="I3874" i="1"/>
  <c r="H3875" i="1"/>
  <c r="I3875" i="1"/>
  <c r="H3876" i="1"/>
  <c r="I3876" i="1"/>
  <c r="H3877" i="1"/>
  <c r="I3877" i="1"/>
  <c r="H3878" i="1"/>
  <c r="I3878" i="1"/>
  <c r="H3879" i="1"/>
  <c r="I3879" i="1"/>
  <c r="H3880" i="1"/>
  <c r="I3880" i="1"/>
  <c r="H3881" i="1"/>
  <c r="I3881" i="1"/>
  <c r="H3882" i="1"/>
  <c r="I3882" i="1"/>
  <c r="H3883" i="1"/>
  <c r="I3883" i="1"/>
  <c r="H3884" i="1"/>
  <c r="I3884" i="1"/>
  <c r="H3885" i="1"/>
  <c r="I3885" i="1"/>
  <c r="H3886" i="1"/>
  <c r="I3886" i="1"/>
  <c r="H3887" i="1"/>
  <c r="I3887" i="1"/>
  <c r="H3888" i="1"/>
  <c r="I3888" i="1"/>
  <c r="H3889" i="1"/>
  <c r="I3889" i="1"/>
  <c r="H3890" i="1"/>
  <c r="I3890" i="1"/>
  <c r="H3891" i="1"/>
  <c r="I3891" i="1"/>
  <c r="H3892" i="1"/>
  <c r="I3892" i="1"/>
  <c r="H3893" i="1"/>
  <c r="I3893" i="1"/>
  <c r="H3894" i="1"/>
  <c r="I3894" i="1"/>
  <c r="H3895" i="1"/>
  <c r="I3895" i="1"/>
  <c r="H3896" i="1"/>
  <c r="I3896" i="1"/>
  <c r="H3897" i="1"/>
  <c r="I3897" i="1"/>
  <c r="H3898" i="1"/>
  <c r="I3898" i="1"/>
  <c r="H3899" i="1"/>
  <c r="I3899" i="1"/>
  <c r="H3900" i="1"/>
  <c r="I3900" i="1"/>
  <c r="H3901" i="1"/>
  <c r="I3901" i="1"/>
  <c r="H3902" i="1"/>
  <c r="I3902" i="1"/>
  <c r="H3903" i="1"/>
  <c r="I3903" i="1"/>
  <c r="H3904" i="1"/>
  <c r="I3904" i="1"/>
  <c r="H3905" i="1"/>
  <c r="I3905" i="1"/>
  <c r="H3906" i="1"/>
  <c r="I3906" i="1"/>
  <c r="H3907" i="1"/>
  <c r="I3907" i="1"/>
  <c r="H3908" i="1"/>
  <c r="I3908" i="1"/>
  <c r="H3909" i="1"/>
  <c r="I3909" i="1"/>
  <c r="H3910" i="1"/>
  <c r="I3910" i="1"/>
  <c r="H3911" i="1"/>
  <c r="I3911" i="1"/>
  <c r="H3912" i="1"/>
  <c r="I3912" i="1"/>
  <c r="H3913" i="1"/>
  <c r="I3913" i="1"/>
  <c r="H3914" i="1"/>
  <c r="I3914" i="1"/>
  <c r="I2" i="1"/>
  <c r="H2" i="1"/>
</calcChain>
</file>

<file path=xl/sharedStrings.xml><?xml version="1.0" encoding="utf-8"?>
<sst xmlns="http://schemas.openxmlformats.org/spreadsheetml/2006/main" count="31601" uniqueCount="4733">
  <si>
    <t>token</t>
  </si>
  <si>
    <t>config</t>
  </si>
  <si>
    <t>vertebra</t>
  </si>
  <si>
    <t>mean_HU</t>
  </si>
  <si>
    <t>sd_HU</t>
  </si>
  <si>
    <t>voxel_count</t>
  </si>
  <si>
    <t>classification</t>
  </si>
  <si>
    <t>fused</t>
  </si>
  <si>
    <t>L1</t>
  </si>
  <si>
    <t>normal</t>
  </si>
  <si>
    <t>L2</t>
  </si>
  <si>
    <t>L3</t>
  </si>
  <si>
    <t>L4</t>
  </si>
  <si>
    <t>L5</t>
  </si>
  <si>
    <t>spine_only</t>
  </si>
  <si>
    <t>osteopenia</t>
  </si>
  <si>
    <t>L6</t>
  </si>
  <si>
    <t>osteoporosis</t>
  </si>
  <si>
    <t>CTC-1421547239</t>
  </si>
  <si>
    <t>CTC-5401799343</t>
  </si>
  <si>
    <t>CTC-1639466381</t>
  </si>
  <si>
    <t>CTC-5440088338</t>
  </si>
  <si>
    <t>CTC-1535521839</t>
  </si>
  <si>
    <t>CTC-1137132466</t>
  </si>
  <si>
    <t>CTC-1626846173</t>
  </si>
  <si>
    <t>CTC-1038654821</t>
  </si>
  <si>
    <t>CTC-2869933960</t>
  </si>
  <si>
    <t>CTC-1018399231</t>
  </si>
  <si>
    <t>CTC-1050546075</t>
  </si>
  <si>
    <t>CTC-1823912394</t>
  </si>
  <si>
    <t>CTC-2741063004</t>
  </si>
  <si>
    <t>CTC-2394053080</t>
  </si>
  <si>
    <t>CTC-2700520403</t>
  </si>
  <si>
    <t>CTC-2971792019</t>
  </si>
  <si>
    <t>CTC-2273267224</t>
  </si>
  <si>
    <t>CTC-1890743081</t>
  </si>
  <si>
    <t>CTC-3415832254</t>
  </si>
  <si>
    <t>CTC-3105782108</t>
  </si>
  <si>
    <t>CTC-1835078273</t>
  </si>
  <si>
    <t>CTC-3105759107</t>
  </si>
  <si>
    <t>CTC-1230993957</t>
  </si>
  <si>
    <t>CTC-2936751320</t>
  </si>
  <si>
    <t>CTC-2414824407</t>
  </si>
  <si>
    <t>CTC-3097916992</t>
  </si>
  <si>
    <t>CTC-1968343337</t>
  </si>
  <si>
    <t>CTC-3184713093</t>
  </si>
  <si>
    <t>CTC-6234351055</t>
  </si>
  <si>
    <t>CTC-7281013000</t>
  </si>
  <si>
    <t>CTC-4720202687</t>
  </si>
  <si>
    <t>CTC-7657031778</t>
  </si>
  <si>
    <t>CTC-3304961391</t>
  </si>
  <si>
    <t>CTC-8337000787</t>
  </si>
  <si>
    <t>age</t>
  </si>
  <si>
    <t>sex</t>
  </si>
  <si>
    <t>position</t>
  </si>
  <si>
    <t>age_band</t>
  </si>
  <si>
    <t>patient_weight</t>
  </si>
  <si>
    <t>patient_size</t>
  </si>
  <si>
    <t>convolution_kernel</t>
  </si>
  <si>
    <t>manufacturer</t>
  </si>
  <si>
    <t>manufacturer_model</t>
  </si>
  <si>
    <t>slice_thickness</t>
  </si>
  <si>
    <t>kvp</t>
  </si>
  <si>
    <t>match_type</t>
  </si>
  <si>
    <t>prov_spine</t>
  </si>
  <si>
    <t>prov_pelvis</t>
  </si>
  <si>
    <t>lstv_label</t>
  </si>
  <si>
    <t>lstv_class</t>
  </si>
  <si>
    <t>lstv_pelvic</t>
  </si>
  <si>
    <t>lstv_vertebral</t>
  </si>
  <si>
    <t>lstv_agreement</t>
  </si>
  <si>
    <t>lstv_confusion_zone</t>
  </si>
  <si>
    <t>has_l6</t>
  </si>
  <si>
    <t>n_lumbar_labels</t>
  </si>
  <si>
    <t>alignment_ok</t>
  </si>
  <si>
    <t>ct_resampled_to_mask</t>
  </si>
  <si>
    <t>postwrite_hip_bone_pct</t>
  </si>
  <si>
    <t>partial_annotation</t>
  </si>
  <si>
    <t>n_voxels_ignore</t>
  </si>
  <si>
    <t>n_voxels_fg</t>
  </si>
  <si>
    <t>n_voxels_bg</t>
  </si>
  <si>
    <t>spine_series_uid</t>
  </si>
  <si>
    <t>pelvic_series_uid</t>
  </si>
  <si>
    <t>spine_bone_pct</t>
  </si>
  <si>
    <t>pelvic_bone_pct</t>
  </si>
  <si>
    <t>ct_file</t>
  </si>
  <si>
    <t>label_file</t>
  </si>
  <si>
    <t>qc_file</t>
  </si>
  <si>
    <t>prone</t>
  </si>
  <si>
    <t>50-59</t>
  </si>
  <si>
    <t>female</t>
  </si>
  <si>
    <t>B30f</t>
  </si>
  <si>
    <t>SIEMENS</t>
  </si>
  <si>
    <t>Sensation 64</t>
  </si>
  <si>
    <t>pelvic_native</t>
  </si>
  <si>
    <t>separate</t>
  </si>
  <si>
    <t>manual</t>
  </si>
  <si>
    <t>NORMAL</t>
  </si>
  <si>
    <t>1.3.6.1.4.1.9328.50.4.9431</t>
  </si>
  <si>
    <t>1.3.6.1.4.1.9328.50.4.8980</t>
  </si>
  <si>
    <t>ct/0009_pelvic_ct.nii.gz</t>
  </si>
  <si>
    <t>labels/0009_pelvic_label.nii.gz</t>
  </si>
  <si>
    <t>qc/0009_pelvic_qc.png</t>
  </si>
  <si>
    <t>supine</t>
  </si>
  <si>
    <t>1.3.6.1.4.1.9328.50.4.15570</t>
  </si>
  <si>
    <t>ct/0016_spine_ct.nii.gz</t>
  </si>
  <si>
    <t>labels/0016_spine_label.nii.gz</t>
  </si>
  <si>
    <t>qc/0016_spine_qc.png</t>
  </si>
  <si>
    <t>male</t>
  </si>
  <si>
    <t>Sensation 16</t>
  </si>
  <si>
    <t>SACRALIZATION</t>
  </si>
  <si>
    <t>1.3.6.1.4.1.9328.50.4.5980</t>
  </si>
  <si>
    <t>1.3.6.1.4.1.9328.50.4.5691</t>
  </si>
  <si>
    <t>ct/0006_pelvic_ct.nii.gz</t>
  </si>
  <si>
    <t>labels/0006_pelvic_label.nii.gz</t>
  </si>
  <si>
    <t>qc/0006_pelvic_qc.png</t>
  </si>
  <si>
    <t>ct/0006_spine_ct.nii.gz</t>
  </si>
  <si>
    <t>labels/0006_spine_label.nii.gz</t>
  </si>
  <si>
    <t>qc/0006_spine_qc.png</t>
  </si>
  <si>
    <t>70-79</t>
  </si>
  <si>
    <t>B</t>
  </si>
  <si>
    <t>Philips</t>
  </si>
  <si>
    <t>Brilliance 40</t>
  </si>
  <si>
    <t>1.3.6.1.4.1.9328.50.4.11590</t>
  </si>
  <si>
    <t>ct/0012_spine_ct.nii.gz</t>
  </si>
  <si>
    <t>labels/0012_spine_label.nii.gz</t>
  </si>
  <si>
    <t>qc/0012_spine_qc.png</t>
  </si>
  <si>
    <t>60-69</t>
  </si>
  <si>
    <t>1.3.6.1.4.1.9328.50.4.7198</t>
  </si>
  <si>
    <t>1.3.6.1.4.1.9328.50.4.6651</t>
  </si>
  <si>
    <t>ct/0007_pelvic_ct.nii.gz</t>
  </si>
  <si>
    <t>labels/0007_pelvic_label.nii.gz</t>
  </si>
  <si>
    <t>qc/0007_pelvic_qc.png</t>
  </si>
  <si>
    <t>1.3.6.1.4.1.9328.50.4.10416</t>
  </si>
  <si>
    <t>ct/0011_spine_ct.nii.gz</t>
  </si>
  <si>
    <t>labels/0011_spine_label.nii.gz</t>
  </si>
  <si>
    <t>qc/0011_spine_qc.png</t>
  </si>
  <si>
    <t>1.3.6.1.4.1.9328.50.4.16589</t>
  </si>
  <si>
    <t>ct/0017_ct.nii.gz</t>
  </si>
  <si>
    <t>labels/0017_label.nii.gz</t>
  </si>
  <si>
    <t>qc/0017_qc.png</t>
  </si>
  <si>
    <t>1.3.6.1.4.1.9328.50.4.2</t>
  </si>
  <si>
    <t>1.3.6.1.4.1.9328.50.4.563</t>
  </si>
  <si>
    <t>ct/0001_pelvic_ct.nii.gz</t>
  </si>
  <si>
    <t>labels/0001_pelvic_label.nii.gz</t>
  </si>
  <si>
    <t>qc/0001_pelvic_qc.png</t>
  </si>
  <si>
    <t>ct/0001_spine_ct.nii.gz</t>
  </si>
  <si>
    <t>labels/0001_spine_label.nii.gz</t>
  </si>
  <si>
    <t>qc/0001_spine_qc.png</t>
  </si>
  <si>
    <t>1.3.6.1.4.1.9328.50.4.12365</t>
  </si>
  <si>
    <t>ct/0013_ct.nii.gz</t>
  </si>
  <si>
    <t>labels/0013_label.nii.gz</t>
  </si>
  <si>
    <t>qc/0013_qc.png</t>
  </si>
  <si>
    <t>80-89</t>
  </si>
  <si>
    <t>other</t>
  </si>
  <si>
    <t>1.3.6.1.4.1.9328.50.4.15089</t>
  </si>
  <si>
    <t>1.3.6.1.4.1.9328.50.4.14567</t>
  </si>
  <si>
    <t>ct/0015_pelvic_ct.nii.gz</t>
  </si>
  <si>
    <t>labels/0015_pelvic_label.nii.gz</t>
  </si>
  <si>
    <t>qc/0015_pelvic_qc.png</t>
  </si>
  <si>
    <t>1.3.6.1.4.1.9328.50.4.7889</t>
  </si>
  <si>
    <t>1.3.6.1.4.1.9328.50.4.7701</t>
  </si>
  <si>
    <t>ct/0008_pelvic_ct.nii.gz</t>
  </si>
  <si>
    <t>labels/0008_pelvic_label.nii.gz</t>
  </si>
  <si>
    <t>qc/0008_pelvic_qc.png</t>
  </si>
  <si>
    <t>1.3.6.1.4.1.9328.50.4.13405</t>
  </si>
  <si>
    <t>ct/0014_ct.nii.gz</t>
  </si>
  <si>
    <t>labels/0014_label.nii.gz</t>
  </si>
  <si>
    <t>qc/0014_qc.png</t>
  </si>
  <si>
    <t>1.3.6.1.4.1.9328.50.4.2320_orientation_fixed</t>
  </si>
  <si>
    <t>ct/0003_ct.nii.gz</t>
  </si>
  <si>
    <t>labels/0003_label.nii.gz</t>
  </si>
  <si>
    <t>qc/0003_qc.png</t>
  </si>
  <si>
    <t>ct/0009_spine_ct.nii.gz</t>
  </si>
  <si>
    <t>labels/0009_spine_label.nii.gz</t>
  </si>
  <si>
    <t>qc/0009_spine_qc.png</t>
  </si>
  <si>
    <t>1.3.6.1.4.1.9328.50.4.4716</t>
  </si>
  <si>
    <t>ct/0005_ct.nii.gz</t>
  </si>
  <si>
    <t>labels/0005_label.nii.gz</t>
  </si>
  <si>
    <t>qc/0005_qc.png</t>
  </si>
  <si>
    <t>1.3.6.1.4.1.9328.50.4.17584</t>
  </si>
  <si>
    <t>1.3.6.1.4.1.9328.50.4.18086</t>
  </si>
  <si>
    <t>ct/0018_pelvic_ct.nii.gz</t>
  </si>
  <si>
    <t>labels/0018_pelvic_label.nii.gz</t>
  </si>
  <si>
    <t>qc/0018_pelvic_qc.png</t>
  </si>
  <si>
    <t>ct/0018_spine_ct.nii.gz</t>
  </si>
  <si>
    <t>labels/0018_spine_label.nii.gz</t>
  </si>
  <si>
    <t>qc/0018_spine_qc.png</t>
  </si>
  <si>
    <t>decubitus_right</t>
  </si>
  <si>
    <t>FC13</t>
  </si>
  <si>
    <t>TOSHIBA</t>
  </si>
  <si>
    <t>Aquilion</t>
  </si>
  <si>
    <t>1.3.6.1.4.1.9328.50.4.19520</t>
  </si>
  <si>
    <t>1.3.6.1.4.1.9328.50.4.18592</t>
  </si>
  <si>
    <t>ct/0019_pelvic_ct.nii.gz</t>
  </si>
  <si>
    <t>labels/0019_pelvic_label.nii.gz</t>
  </si>
  <si>
    <t>qc/0019_pelvic_qc.png</t>
  </si>
  <si>
    <t>ct/0015_spine_ct.nii.gz</t>
  </si>
  <si>
    <t>labels/0015_spine_label.nii.gz</t>
  </si>
  <si>
    <t>qc/0015_spine_qc.png</t>
  </si>
  <si>
    <t>LUMBARIZATION</t>
  </si>
  <si>
    <t>1.3.6.1.4.1.9328.50.4.4371</t>
  </si>
  <si>
    <t>1.3.6.1.4.1.9328.50.4.3828</t>
  </si>
  <si>
    <t>ct/0004_pelvic_ct.nii.gz</t>
  </si>
  <si>
    <t>labels/0004_pelvic_label.nii.gz</t>
  </si>
  <si>
    <t>qc/0004_pelvic_qc.png</t>
  </si>
  <si>
    <t>ct/0019_spine_ct.nii.gz</t>
  </si>
  <si>
    <t>labels/0019_spine_label.nii.gz</t>
  </si>
  <si>
    <t>qc/0019_spine_qc.png</t>
  </si>
  <si>
    <t>ct/0007_spine_ct.nii.gz</t>
  </si>
  <si>
    <t>labels/0007_spine_label.nii.gz</t>
  </si>
  <si>
    <t>qc/0007_spine_qc.png</t>
  </si>
  <si>
    <t>1.3.6.1.4.1.9328.50.4.19969</t>
  </si>
  <si>
    <t>1.3.6.1.4.1.9328.50.4.20549</t>
  </si>
  <si>
    <t>ct/0020_pelvic_ct.nii.gz</t>
  </si>
  <si>
    <t>labels/0020_pelvic_label.nii.gz</t>
  </si>
  <si>
    <t>qc/0020_pelvic_qc.png</t>
  </si>
  <si>
    <t>ct/0020_spine_ct.nii.gz</t>
  </si>
  <si>
    <t>labels/0020_spine_label.nii.gz</t>
  </si>
  <si>
    <t>qc/0020_spine_qc.png</t>
  </si>
  <si>
    <t>STANDARD</t>
  </si>
  <si>
    <t>GE MEDICAL SYSTEMS</t>
  </si>
  <si>
    <t>LightSpeed16</t>
  </si>
  <si>
    <t>1.3.6.1.4.1.9328.50.4.24902</t>
  </si>
  <si>
    <t>1.3.6.1.4.1.9328.50.4.24418</t>
  </si>
  <si>
    <t>ct/0024_spine_ct.nii.gz</t>
  </si>
  <si>
    <t>labels/0024_spine_label.nii.gz</t>
  </si>
  <si>
    <t>qc/0024_spine_qc.png</t>
  </si>
  <si>
    <t>1.3.6.1.4.1.9328.50.4.26707</t>
  </si>
  <si>
    <t>1.3.6.1.4.1.9328.50.4.21481</t>
  </si>
  <si>
    <t>ct/0021_pelvic_ct.nii.gz</t>
  </si>
  <si>
    <t>labels/0021_pelvic_label.nii.gz</t>
  </si>
  <si>
    <t>qc/0021_pelvic_qc.png</t>
  </si>
  <si>
    <t>ct/0004_spine_ct.nii.gz</t>
  </si>
  <si>
    <t>labels/0004_spine_label.nii.gz</t>
  </si>
  <si>
    <t>qc/0004_spine_qc.png</t>
  </si>
  <si>
    <t>pelvic_only</t>
  </si>
  <si>
    <t>SEMI_SACRALIZATION</t>
  </si>
  <si>
    <t>1.3.6.1.4.1.9328.50.4.22612</t>
  </si>
  <si>
    <t>ct/0022_pelvic_ct.nii.gz</t>
  </si>
  <si>
    <t>labels/0022_pelvic_label.nii.gz</t>
  </si>
  <si>
    <t>qc/0022_pelvic_qc.png</t>
  </si>
  <si>
    <t>1.3.6.1.4.1.9328.50.4.23833</t>
  </si>
  <si>
    <t>1.3.6.1.4.1.9328.50.4.23196</t>
  </si>
  <si>
    <t>ct/0023_pelvic_ct.nii.gz</t>
  </si>
  <si>
    <t>labels/0023_pelvic_label.nii.gz</t>
  </si>
  <si>
    <t>qc/0023_pelvic_qc.png</t>
  </si>
  <si>
    <t>ct/0023_spine_ct.nii.gz</t>
  </si>
  <si>
    <t>labels/0023_spine_label.nii.gz</t>
  </si>
  <si>
    <t>qc/0023_spine_qc.png</t>
  </si>
  <si>
    <t>ct/0024_pelvic_ct.nii.gz</t>
  </si>
  <si>
    <t>labels/0024_pelvic_label.nii.gz</t>
  </si>
  <si>
    <t>qc/0024_pelvic_qc.png</t>
  </si>
  <si>
    <t>1.3.6.1.4.1.9328.50.4.9865</t>
  </si>
  <si>
    <t>ct/0010_ct.nii.gz</t>
  </si>
  <si>
    <t>labels/0010_label.nii.gz</t>
  </si>
  <si>
    <t>qc/0010_qc.png</t>
  </si>
  <si>
    <t>1.3.6.1.4.1.9328.50.4.27293</t>
  </si>
  <si>
    <t>1.3.6.1.4.1.9328.50.4.27863</t>
  </si>
  <si>
    <t>ct/0026_spine_ct.nii.gz</t>
  </si>
  <si>
    <t>labels/0026_spine_label.nii.gz</t>
  </si>
  <si>
    <t>qc/0026_spine_qc.png</t>
  </si>
  <si>
    <t>ct/0008_spine_ct.nii.gz</t>
  </si>
  <si>
    <t>labels/0008_spine_label.nii.gz</t>
  </si>
  <si>
    <t>qc/0008_spine_qc.png</t>
  </si>
  <si>
    <t>1.3.6.1.4.1.9328.50.4.26036</t>
  </si>
  <si>
    <t>ct/0025_ct.nii.gz</t>
  </si>
  <si>
    <t>labels/0025_label.nii.gz</t>
  </si>
  <si>
    <t>qc/0025_qc.png</t>
  </si>
  <si>
    <t>ct/0021_spine_ct.nii.gz</t>
  </si>
  <si>
    <t>labels/0021_spine_label.nii.gz</t>
  </si>
  <si>
    <t>qc/0021_spine_qc.png</t>
  </si>
  <si>
    <t>1.3.6.1.4.1.9328.50.4.1241</t>
  </si>
  <si>
    <t>ct/0002_ct.nii.gz</t>
  </si>
  <si>
    <t>labels/0002_label.nii.gz</t>
  </si>
  <si>
    <t>qc/0002_qc.png</t>
  </si>
  <si>
    <t>1.3.6.1.4.1.9328.50.4.28494</t>
  </si>
  <si>
    <t>1.3.6.1.4.1.9328.50.4.63367</t>
  </si>
  <si>
    <t>ct/0027_pelvic_ct.nii.gz</t>
  </si>
  <si>
    <t>labels/0027_pelvic_label.nii.gz</t>
  </si>
  <si>
    <t>qc/0027_pelvic_qc.png</t>
  </si>
  <si>
    <t>1.3.6.1.4.1.9328.50.4.29500</t>
  </si>
  <si>
    <t>ct/0028_ct.nii.gz</t>
  </si>
  <si>
    <t>labels/0028_label.nii.gz</t>
  </si>
  <si>
    <t>qc/0028_qc.png</t>
  </si>
  <si>
    <t>LightSpeed Pro 16</t>
  </si>
  <si>
    <t>1.3.6.1.4.1.9328.50.4.35354</t>
  </si>
  <si>
    <t>1.3.6.1.4.1.9328.50.4.35872</t>
  </si>
  <si>
    <t>ct/0034_pelvic_ct.nii.gz</t>
  </si>
  <si>
    <t>labels/0034_pelvic_label.nii.gz</t>
  </si>
  <si>
    <t>qc/0034_pelvic_qc.png</t>
  </si>
  <si>
    <t>1.3.6.1.4.1.9328.50.4.33941</t>
  </si>
  <si>
    <t>ct/0032_ct.nii.gz</t>
  </si>
  <si>
    <t>labels/0032_label.nii.gz</t>
  </si>
  <si>
    <t>qc/0032_qc.png</t>
  </si>
  <si>
    <t>ct/0034_spine_ct.nii.gz</t>
  </si>
  <si>
    <t>labels/0034_spine_label.nii.gz</t>
  </si>
  <si>
    <t>qc/0034_spine_qc.png</t>
  </si>
  <si>
    <t>1.3.6.1.4.1.9328.50.4.30583</t>
  </si>
  <si>
    <t>ct/0029_ct.nii.gz</t>
  </si>
  <si>
    <t>labels/0029_label.nii.gz</t>
  </si>
  <si>
    <t>qc/0029_qc.png</t>
  </si>
  <si>
    <t>1.3.6.1.4.1.9328.50.4.34880</t>
  </si>
  <si>
    <t>ct/0033_ct.nii.gz</t>
  </si>
  <si>
    <t>labels/0033_label.nii.gz</t>
  </si>
  <si>
    <t>qc/0033_qc.png</t>
  </si>
  <si>
    <t>1.3.6.1.4.1.9328.50.4.38989</t>
  </si>
  <si>
    <t>1.3.6.1.4.1.9328.50.4.38968</t>
  </si>
  <si>
    <t>ct/0037_spine_ct.nii.gz</t>
  </si>
  <si>
    <t>labels/0037_spine_label.nii.gz</t>
  </si>
  <si>
    <t>qc/0037_spine_qc.png</t>
  </si>
  <si>
    <t>ct/0037_pelvic_ct.nii.gz</t>
  </si>
  <si>
    <t>labels/0037_pelvic_label.nii.gz</t>
  </si>
  <si>
    <t>qc/0037_pelvic_qc.png</t>
  </si>
  <si>
    <t>1.3.6.1.4.1.9328.50.4.32365</t>
  </si>
  <si>
    <t>1.3.6.1.4.1.9328.50.4.32905</t>
  </si>
  <si>
    <t>ct/0031_spine_ct.nii.gz</t>
  </si>
  <si>
    <t>labels/0031_spine_label.nii.gz</t>
  </si>
  <si>
    <t>qc/0031_spine_qc.png</t>
  </si>
  <si>
    <t>1.3.6.1.4.1.9328.50.4.37367</t>
  </si>
  <si>
    <t>1.3.6.1.4.1.9328.50.4.36752</t>
  </si>
  <si>
    <t>ct/0035_pelvic_ct.nii.gz</t>
  </si>
  <si>
    <t>labels/0035_pelvic_label.nii.gz</t>
  </si>
  <si>
    <t>qc/0035_pelvic_qc.png</t>
  </si>
  <si>
    <t>1.3.6.1.4.1.9328.50.4.37937</t>
  </si>
  <si>
    <t>ct/0036_ct.nii.gz</t>
  </si>
  <si>
    <t>labels/0036_label.nii.gz</t>
  </si>
  <si>
    <t>qc/0036_qc.png</t>
  </si>
  <si>
    <t>1.3.6.1.4.1.9328.50.4.31186</t>
  </si>
  <si>
    <t>1.3.6.1.4.1.9328.50.4.31759</t>
  </si>
  <si>
    <t>ct/0030_pelvic_ct.nii.gz</t>
  </si>
  <si>
    <t>labels/0030_pelvic_label.nii.gz</t>
  </si>
  <si>
    <t>qc/0030_pelvic_qc.png</t>
  </si>
  <si>
    <t>1.3.6.1.4.1.9328.50.4.41284</t>
  </si>
  <si>
    <t>ct/0039_ct.nii.gz</t>
  </si>
  <si>
    <t>labels/0039_label.nii.gz</t>
  </si>
  <si>
    <t>qc/0039_qc.png</t>
  </si>
  <si>
    <t>1.3.6.1.4.1.9328.50.4.40022</t>
  </si>
  <si>
    <t>ct/0038_ct.nii.gz</t>
  </si>
  <si>
    <t>labels/0038_label.nii.gz</t>
  </si>
  <si>
    <t>qc/0038_qc.png</t>
  </si>
  <si>
    <t>ct/0027_spine_ct.nii.gz</t>
  </si>
  <si>
    <t>labels/0027_spine_label.nii.gz</t>
  </si>
  <si>
    <t>qc/0027_spine_qc.png</t>
  </si>
  <si>
    <t>ct/0026_pelvic_ct.nii.gz</t>
  </si>
  <si>
    <t>labels/0026_pelvic_label.nii.gz</t>
  </si>
  <si>
    <t>qc/0026_pelvic_qc.png</t>
  </si>
  <si>
    <t>1.3.6.1.4.1.9328.50.4.43505</t>
  </si>
  <si>
    <t>ct/0041_ct.nii.gz</t>
  </si>
  <si>
    <t>labels/0041_label.nii.gz</t>
  </si>
  <si>
    <t>qc/0041_qc.png</t>
  </si>
  <si>
    <t>ct/0031_pelvic_ct.nii.gz</t>
  </si>
  <si>
    <t>labels/0031_pelvic_label.nii.gz</t>
  </si>
  <si>
    <t>qc/0031_pelvic_qc.png</t>
  </si>
  <si>
    <t>ct/0030_spine_ct.nii.gz</t>
  </si>
  <si>
    <t>labels/0030_spine_label.nii.gz</t>
  </si>
  <si>
    <t>qc/0030_spine_qc.png</t>
  </si>
  <si>
    <t>1.3.6.1.4.1.9328.50.4.47843</t>
  </si>
  <si>
    <t>ct/0045_ct.nii.gz</t>
  </si>
  <si>
    <t>labels/0045_label.nii.gz</t>
  </si>
  <si>
    <t>qc/0045_qc.png</t>
  </si>
  <si>
    <t>1.3.6.1.4.1.9328.50.4.47298</t>
  </si>
  <si>
    <t>1.3.6.1.4.1.9328.50.4.46700</t>
  </si>
  <si>
    <t>ct/0044_pelvic_ct.nii.gz</t>
  </si>
  <si>
    <t>labels/0044_pelvic_label.nii.gz</t>
  </si>
  <si>
    <t>qc/0044_pelvic_qc.png</t>
  </si>
  <si>
    <t>ct/0044_spine_ct.nii.gz</t>
  </si>
  <si>
    <t>labels/0044_spine_label.nii.gz</t>
  </si>
  <si>
    <t>qc/0044_spine_qc.png</t>
  </si>
  <si>
    <t>1.3.6.1.4.1.9328.50.4.46138</t>
  </si>
  <si>
    <t>ct/0043_ct.nii.gz</t>
  </si>
  <si>
    <t>labels/0043_label.nii.gz</t>
  </si>
  <si>
    <t>qc/0043_qc.png</t>
  </si>
  <si>
    <t>1.3.6.1.4.1.9328.50.4.48748</t>
  </si>
  <si>
    <t>ct/0046_pelvic_ct.nii.gz</t>
  </si>
  <si>
    <t>labels/0046_pelvic_label.nii.gz</t>
  </si>
  <si>
    <t>qc/0046_pelvic_qc.png</t>
  </si>
  <si>
    <t>1.3.6.1.4.1.9328.50.4.50995</t>
  </si>
  <si>
    <t>1.3.6.1.4.1.9328.50.4.50974</t>
  </si>
  <si>
    <t>ct/0048_spine_ct.nii.gz</t>
  </si>
  <si>
    <t>labels/0048_spine_label.nii.gz</t>
  </si>
  <si>
    <t>qc/0048_spine_qc.png</t>
  </si>
  <si>
    <t>ct/0048_pelvic_ct.nii.gz</t>
  </si>
  <si>
    <t>labels/0048_pelvic_label.nii.gz</t>
  </si>
  <si>
    <t>qc/0048_pelvic_qc.png</t>
  </si>
  <si>
    <t>1.3.6.1.4.1.9328.50.4.49915</t>
  </si>
  <si>
    <t>ct/0047_ct.nii.gz</t>
  </si>
  <si>
    <t>labels/0047_label.nii.gz</t>
  </si>
  <si>
    <t>qc/0047_qc.png</t>
  </si>
  <si>
    <t>ct/0035_spine_ct.nii.gz</t>
  </si>
  <si>
    <t>labels/0035_spine_label.nii.gz</t>
  </si>
  <si>
    <t>qc/0035_spine_qc.png</t>
  </si>
  <si>
    <t>1.3.6.1.4.1.9328.50.4.45099</t>
  </si>
  <si>
    <t>1.3.6.1.4.1.9328.50.4.44589</t>
  </si>
  <si>
    <t>ct/0042_pelvic_ct.nii.gz</t>
  </si>
  <si>
    <t>labels/0042_pelvic_label.nii.gz</t>
  </si>
  <si>
    <t>qc/0042_pelvic_qc.png</t>
  </si>
  <si>
    <t>1.3.6.1.4.1.9328.50.4.52724</t>
  </si>
  <si>
    <t>ct/0049_ct.nii.gz</t>
  </si>
  <si>
    <t>labels/0049_label.nii.gz</t>
  </si>
  <si>
    <t>qc/0049_qc.png</t>
  </si>
  <si>
    <t>ct/0042_spine_ct.nii.gz</t>
  </si>
  <si>
    <t>labels/0042_spine_label.nii.gz</t>
  </si>
  <si>
    <t>qc/0042_spine_qc.png</t>
  </si>
  <si>
    <t>1.3.6.1.4.1.9328.50.4.54488</t>
  </si>
  <si>
    <t>ct/0051_ct.nii.gz</t>
  </si>
  <si>
    <t>labels/0051_label.nii.gz</t>
  </si>
  <si>
    <t>qc/0051_qc.png</t>
  </si>
  <si>
    <t>1.3.6.1.4.1.9328.50.4.58119</t>
  </si>
  <si>
    <t>1.3.6.1.4.1.9328.50.4.58699</t>
  </si>
  <si>
    <t>ct/0054_spine_ct.nii.gz</t>
  </si>
  <si>
    <t>labels/0054_spine_label.nii.gz</t>
  </si>
  <si>
    <t>qc/0054_spine_qc.png</t>
  </si>
  <si>
    <t>1.3.6.1.4.1.9328.50.4.55692</t>
  </si>
  <si>
    <t>ct/0052_ct.nii.gz</t>
  </si>
  <si>
    <t>labels/0052_label.nii.gz</t>
  </si>
  <si>
    <t>qc/0052_qc.png</t>
  </si>
  <si>
    <t>1.3.6.1.4.1.9328.50.4.42920</t>
  </si>
  <si>
    <t>ct/0040_ct.nii.gz</t>
  </si>
  <si>
    <t>labels/0040_label.nii.gz</t>
  </si>
  <si>
    <t>qc/0040_qc.png</t>
  </si>
  <si>
    <t>ct/0054_pelvic_ct.nii.gz</t>
  </si>
  <si>
    <t>labels/0054_pelvic_label.nii.gz</t>
  </si>
  <si>
    <t>qc/0054_pelvic_qc.png</t>
  </si>
  <si>
    <t>1.3.6.1.4.1.9328.50.4.57517</t>
  </si>
  <si>
    <t>ct/0053_ct.nii.gz</t>
  </si>
  <si>
    <t>labels/0053_label.nii.gz</t>
  </si>
  <si>
    <t>qc/0053_qc.png</t>
  </si>
  <si>
    <t>1.3.6.1.4.1.9328.50.4.60468</t>
  </si>
  <si>
    <t>1.3.6.1.4.1.9328.50.4.61055</t>
  </si>
  <si>
    <t>ct/0056_spine_ct.nii.gz</t>
  </si>
  <si>
    <t>labels/0056_spine_label.nii.gz</t>
  </si>
  <si>
    <t>qc/0056_spine_qc.png</t>
  </si>
  <si>
    <t>1.3.6.1.4.1.9328.50.4.62231</t>
  </si>
  <si>
    <t>1.3.6.1.4.1.9328.50.4.61667</t>
  </si>
  <si>
    <t>ct/0057_pelvic_ct.nii.gz</t>
  </si>
  <si>
    <t>labels/0057_pelvic_label.nii.gz</t>
  </si>
  <si>
    <t>qc/0057_pelvic_qc.png</t>
  </si>
  <si>
    <t>1.3.6.1.4.1.9328.50.4.66403</t>
  </si>
  <si>
    <t>ct/0061_pelvic_ct.nii.gz</t>
  </si>
  <si>
    <t>labels/0061_pelvic_label.nii.gz</t>
  </si>
  <si>
    <t>qc/0061_pelvic_qc.png</t>
  </si>
  <si>
    <t>1.3.6.1.4.1.9328.50.4.64069</t>
  </si>
  <si>
    <t>1.3.6.1.4.1.9328.50.4.64048</t>
  </si>
  <si>
    <t>ct/0059_spine_ct.nii.gz</t>
  </si>
  <si>
    <t>labels/0059_spine_label.nii.gz</t>
  </si>
  <si>
    <t>qc/0059_spine_qc.png</t>
  </si>
  <si>
    <t>ct/0059_pelvic_ct.nii.gz</t>
  </si>
  <si>
    <t>labels/0059_pelvic_label.nii.gz</t>
  </si>
  <si>
    <t>qc/0059_pelvic_qc.png</t>
  </si>
  <si>
    <t>1.3.6.1.4.1.9328.50.4.65220</t>
  </si>
  <si>
    <t>1.3.6.1.4.1.9328.50.4.65788</t>
  </si>
  <si>
    <t>ct/0060_spine_ct.nii.gz</t>
  </si>
  <si>
    <t>labels/0060_spine_label.nii.gz</t>
  </si>
  <si>
    <t>qc/0060_spine_qc.png</t>
  </si>
  <si>
    <t>1.3.6.1.4.1.9328.50.4.63276</t>
  </si>
  <si>
    <t>ct/0058_ct.nii.gz</t>
  </si>
  <si>
    <t>labels/0058_label.nii.gz</t>
  </si>
  <si>
    <t>qc/0058_qc.png</t>
  </si>
  <si>
    <t>ct/0060_pelvic_ct.nii.gz</t>
  </si>
  <si>
    <t>labels/0060_pelvic_label.nii.gz</t>
  </si>
  <si>
    <t>qc/0060_pelvic_qc.png</t>
  </si>
  <si>
    <t>1.3.6.1.4.1.9328.50.4.70655</t>
  </si>
  <si>
    <t>ct/0064_spine_ct.nii.gz</t>
  </si>
  <si>
    <t>labels/0064_spine_label.nii.gz</t>
  </si>
  <si>
    <t>qc/0064_spine_qc.png</t>
  </si>
  <si>
    <t>1.3.6.1.4.1.9328.50.4.75905</t>
  </si>
  <si>
    <t>ct/0069_spine_ct.nii.gz</t>
  </si>
  <si>
    <t>labels/0069_spine_label.nii.gz</t>
  </si>
  <si>
    <t>qc/0069_spine_qc.png</t>
  </si>
  <si>
    <t>1.3.6.1.4.1.9328.50.4.73318</t>
  </si>
  <si>
    <t>1.3.6.1.4.1.9328.50.4.73878</t>
  </si>
  <si>
    <t>ct/0067_pelvic_ct.nii.gz</t>
  </si>
  <si>
    <t>labels/0067_pelvic_label.nii.gz</t>
  </si>
  <si>
    <t>qc/0067_pelvic_qc.png</t>
  </si>
  <si>
    <t>1.3.6.1.4.1.9328.50.4.53895</t>
  </si>
  <si>
    <t>ct/0050_ct.nii.gz</t>
  </si>
  <si>
    <t>labels/0050_label.nii.gz</t>
  </si>
  <si>
    <t>qc/0050_qc.png</t>
  </si>
  <si>
    <t>1.3.6.1.4.1.9328.50.4.72319</t>
  </si>
  <si>
    <t>ct/0066_ct.nii.gz</t>
  </si>
  <si>
    <t>labels/0066_label.nii.gz</t>
  </si>
  <si>
    <t>qc/0066_qc.png</t>
  </si>
  <si>
    <t>ct/0067_spine_ct.nii.gz</t>
  </si>
  <si>
    <t>labels/0067_spine_label.nii.gz</t>
  </si>
  <si>
    <t>qc/0067_spine_qc.png</t>
  </si>
  <si>
    <t>1.3.6.1.4.1.9328.50.4.78389</t>
  </si>
  <si>
    <t>1.3.6.1.4.1.9328.50.4.78891</t>
  </si>
  <si>
    <t>ct/0072_pelvic_ct.nii.gz</t>
  </si>
  <si>
    <t>labels/0072_pelvic_label.nii.gz</t>
  </si>
  <si>
    <t>qc/0072_pelvic_qc.png</t>
  </si>
  <si>
    <t>1.3.6.1.4.1.9328.50.4.59369</t>
  </si>
  <si>
    <t>1.3.6.1.4.1.9328.50.4.59895</t>
  </si>
  <si>
    <t>ct/0055_pelvic_ct.nii.gz</t>
  </si>
  <si>
    <t>labels/0055_pelvic_label.nii.gz</t>
  </si>
  <si>
    <t>qc/0055_pelvic_qc.png</t>
  </si>
  <si>
    <t>ct/0072_spine_ct.nii.gz</t>
  </si>
  <si>
    <t>labels/0072_spine_label.nii.gz</t>
  </si>
  <si>
    <t>qc/0072_spine_qc.png</t>
  </si>
  <si>
    <t>1.3.6.1.4.1.9328.50.4.77373</t>
  </si>
  <si>
    <t>ct/0071_ct.nii.gz</t>
  </si>
  <si>
    <t>labels/0071_label.nii.gz</t>
  </si>
  <si>
    <t>qc/0071_qc.png</t>
  </si>
  <si>
    <t>ct/0055_spine_ct.nii.gz</t>
  </si>
  <si>
    <t>labels/0055_spine_label.nii.gz</t>
  </si>
  <si>
    <t>qc/0055_spine_qc.png</t>
  </si>
  <si>
    <t>1.3.6.1.4.1.9328.50.4.67946</t>
  </si>
  <si>
    <t>1.3.6.1.4.1.9328.50.4.68461</t>
  </si>
  <si>
    <t>ct/0062_spine_ct.nii.gz</t>
  </si>
  <si>
    <t>labels/0062_spine_label.nii.gz</t>
  </si>
  <si>
    <t>qc/0062_spine_qc.png</t>
  </si>
  <si>
    <t>ct/0056_pelvic_ct.nii.gz</t>
  </si>
  <si>
    <t>labels/0056_pelvic_label.nii.gz</t>
  </si>
  <si>
    <t>qc/0056_pelvic_qc.png</t>
  </si>
  <si>
    <t>ct/0057_spine_ct.nii.gz</t>
  </si>
  <si>
    <t>labels/0057_spine_label.nii.gz</t>
  </si>
  <si>
    <t>qc/0057_spine_qc.png</t>
  </si>
  <si>
    <t>ct/0062_pelvic_ct.nii.gz</t>
  </si>
  <si>
    <t>labels/0062_pelvic_label.nii.gz</t>
  </si>
  <si>
    <t>qc/0062_pelvic_qc.png</t>
  </si>
  <si>
    <t>1.3.6.1.4.1.9328.50.4.80461</t>
  </si>
  <si>
    <t>1.3.6.1.4.1.9328.50.4.80963</t>
  </si>
  <si>
    <t>ct/0074_spine_ct.nii.gz</t>
  </si>
  <si>
    <t>labels/0074_spine_label.nii.gz</t>
  </si>
  <si>
    <t>qc/0074_spine_qc.png</t>
  </si>
  <si>
    <t>1.3.6.1.4.1.9328.50.4.81982_orientation_fixed</t>
  </si>
  <si>
    <t>1.3.6.1.4.1.9328.50.4.81480</t>
  </si>
  <si>
    <t>ct/0075_spine_ct.nii.gz</t>
  </si>
  <si>
    <t>labels/0075_spine_label.nii.gz</t>
  </si>
  <si>
    <t>qc/0075_spine_qc.png</t>
  </si>
  <si>
    <t>ct/0074_pelvic_ct.nii.gz</t>
  </si>
  <si>
    <t>labels/0074_pelvic_label.nii.gz</t>
  </si>
  <si>
    <t>qc/0074_pelvic_qc.png</t>
  </si>
  <si>
    <t>ct/0075_pelvic_ct.nii.gz</t>
  </si>
  <si>
    <t>labels/0075_pelvic_label.nii.gz</t>
  </si>
  <si>
    <t>qc/0075_pelvic_qc.png</t>
  </si>
  <si>
    <t>1.3.6.1.4.1.9328.50.4.79914</t>
  </si>
  <si>
    <t>ct/0073_ct.nii.gz</t>
  </si>
  <si>
    <t>labels/0073_label.nii.gz</t>
  </si>
  <si>
    <t>qc/0073_qc.png</t>
  </si>
  <si>
    <t>1.3.6.1.4.1.9328.50.4.82958</t>
  </si>
  <si>
    <t>ct/0076_ct.nii.gz</t>
  </si>
  <si>
    <t>labels/0076_label.nii.gz</t>
  </si>
  <si>
    <t>qc/0076_qc.png</t>
  </si>
  <si>
    <t>1.3.6.1.4.1.9328.50.4.74446</t>
  </si>
  <si>
    <t>ct/0068_ct.nii.gz</t>
  </si>
  <si>
    <t>labels/0068_label.nii.gz</t>
  </si>
  <si>
    <t>qc/0068_qc.png</t>
  </si>
  <si>
    <t>1.3.6.1.4.1.9328.50.4.83525</t>
  </si>
  <si>
    <t>ct/0077_ct.nii.gz</t>
  </si>
  <si>
    <t>labels/0077_label.nii.gz</t>
  </si>
  <si>
    <t>qc/0077_qc.png</t>
  </si>
  <si>
    <t>1.3.6.1.4.1.9328.50.4.87287</t>
  </si>
  <si>
    <t>1.3.6.1.4.1.9328.50.4.87813</t>
  </si>
  <si>
    <t>ct/0081_pelvic_ct.nii.gz</t>
  </si>
  <si>
    <t>labels/0081_pelvic_label.nii.gz</t>
  </si>
  <si>
    <t>qc/0081_pelvic_qc.png</t>
  </si>
  <si>
    <t>1.3.6.1.4.1.9328.50.4.86741</t>
  </si>
  <si>
    <t>ct/0080_ct.nii.gz</t>
  </si>
  <si>
    <t>labels/0080_label.nii.gz</t>
  </si>
  <si>
    <t>qc/0080_qc.png</t>
  </si>
  <si>
    <t>1.3.6.1.4.1.9328.50.4.85116</t>
  </si>
  <si>
    <t>1.3.6.1.4.1.9328.50.4.85651</t>
  </si>
  <si>
    <t>ct/0079_spine_ct.nii.gz</t>
  </si>
  <si>
    <t>labels/0079_spine_label.nii.gz</t>
  </si>
  <si>
    <t>qc/0079_spine_qc.png</t>
  </si>
  <si>
    <t>ct/0079_pelvic_ct.nii.gz</t>
  </si>
  <si>
    <t>labels/0079_pelvic_label.nii.gz</t>
  </si>
  <si>
    <t>qc/0079_pelvic_qc.png</t>
  </si>
  <si>
    <t>1.3.6.1.4.1.9328.50.4.88350</t>
  </si>
  <si>
    <t>1.3.6.1.4.1.9328.50.4.88883</t>
  </si>
  <si>
    <t>ct/0082_pelvic_ct.nii.gz</t>
  </si>
  <si>
    <t>labels/0082_pelvic_label.nii.gz</t>
  </si>
  <si>
    <t>qc/0082_pelvic_qc.png</t>
  </si>
  <si>
    <t>1.3.6.1.4.1.9328.50.4.84560</t>
  </si>
  <si>
    <t>ct/0078_ct.nii.gz</t>
  </si>
  <si>
    <t>labels/0078_label.nii.gz</t>
  </si>
  <si>
    <t>qc/0078_qc.png</t>
  </si>
  <si>
    <t>FC02</t>
  </si>
  <si>
    <t>1.3.6.1.4.1.9328.50.4.89488</t>
  </si>
  <si>
    <t>ct/0083_spine_ct.nii.gz</t>
  </si>
  <si>
    <t>labels/0083_spine_label.nii.gz</t>
  </si>
  <si>
    <t>qc/0083_spine_qc.png</t>
  </si>
  <si>
    <t>1.3.6.1.4.1.9328.50.4.68999</t>
  </si>
  <si>
    <t>ct/0063_ct.nii.gz</t>
  </si>
  <si>
    <t>labels/0063_label.nii.gz</t>
  </si>
  <si>
    <t>qc/0063_qc.png</t>
  </si>
  <si>
    <t>ct/0081_spine_ct.nii.gz</t>
  </si>
  <si>
    <t>labels/0081_spine_label.nii.gz</t>
  </si>
  <si>
    <t>qc/0081_spine_qc.png</t>
  </si>
  <si>
    <t>1.3.6.1.4.1.9328.50.4.71170</t>
  </si>
  <si>
    <t>ct/0065_ct.nii.gz</t>
  </si>
  <si>
    <t>labels/0065_label.nii.gz</t>
  </si>
  <si>
    <t>qc/0065_qc.png</t>
  </si>
  <si>
    <t>1.3.6.1.4.1.9328.50.4.93678</t>
  </si>
  <si>
    <t>1.3.6.1.4.1.9328.50.4.94258</t>
  </si>
  <si>
    <t>ct/0088_spine_ct.nii.gz</t>
  </si>
  <si>
    <t>labels/0088_spine_label.nii.gz</t>
  </si>
  <si>
    <t>qc/0088_spine_qc.png</t>
  </si>
  <si>
    <t>ct/0088_pelvic_ct.nii.gz</t>
  </si>
  <si>
    <t>labels/0088_pelvic_label.nii.gz</t>
  </si>
  <si>
    <t>qc/0088_pelvic_qc.png</t>
  </si>
  <si>
    <t>1.3.6.1.4.1.9328.50.4.95351</t>
  </si>
  <si>
    <t>1.3.6.1.4.1.9328.50.4.94851</t>
  </si>
  <si>
    <t>ct/0089_spine_ct.nii.gz</t>
  </si>
  <si>
    <t>labels/0089_spine_label.nii.gz</t>
  </si>
  <si>
    <t>qc/0089_spine_qc.png</t>
  </si>
  <si>
    <t>1.3.6.1.4.1.9328.50.4.97746</t>
  </si>
  <si>
    <t>1.3.6.1.4.1.9328.50.4.97246</t>
  </si>
  <si>
    <t>ct/0091_spine_ct.nii.gz</t>
  </si>
  <si>
    <t>labels/0091_spine_label.nii.gz</t>
  </si>
  <si>
    <t>qc/0091_spine_qc.png</t>
  </si>
  <si>
    <t>ct/0089_pelvic_ct.nii.gz</t>
  </si>
  <si>
    <t>labels/0089_pelvic_label.nii.gz</t>
  </si>
  <si>
    <t>qc/0089_pelvic_qc.png</t>
  </si>
  <si>
    <t>ct/0082_spine_ct.nii.gz</t>
  </si>
  <si>
    <t>labels/0082_spine_label.nii.gz</t>
  </si>
  <si>
    <t>qc/0082_spine_qc.png</t>
  </si>
  <si>
    <t>1.3.6.1.4.1.9328.50.4.100570</t>
  </si>
  <si>
    <t>1.3.6.1.4.1.9328.50.4.101009</t>
  </si>
  <si>
    <t>ct/0084_spine_ct.nii.gz</t>
  </si>
  <si>
    <t>labels/0084_spine_label.nii.gz</t>
  </si>
  <si>
    <t>qc/0084_spine_qc.png</t>
  </si>
  <si>
    <t>1.3.6.1.4.1.9328.50.4.103082</t>
  </si>
  <si>
    <t>1.3.6.1.4.1.9328.50.4.102635</t>
  </si>
  <si>
    <t>ct/0094_spine_ct.nii.gz</t>
  </si>
  <si>
    <t>labels/0094_spine_label.nii.gz</t>
  </si>
  <si>
    <t>qc/0094_spine_qc.png</t>
  </si>
  <si>
    <t>1.3.6.1.4.1.9328.50.4.98341</t>
  </si>
  <si>
    <t>ct/0092_ct.nii.gz</t>
  </si>
  <si>
    <t>labels/0092_label.nii.gz</t>
  </si>
  <si>
    <t>qc/0092_qc.png</t>
  </si>
  <si>
    <t>ct/0094_pelvic_ct.nii.gz</t>
  </si>
  <si>
    <t>labels/0094_pelvic_label.nii.gz</t>
  </si>
  <si>
    <t>qc/0094_pelvic_qc.png</t>
  </si>
  <si>
    <t>1.3.6.1.4.1.9328.50.4.105096</t>
  </si>
  <si>
    <t>1.3.6.1.4.1.9328.50.4.104528</t>
  </si>
  <si>
    <t>ct/0096_pelvic_ct.nii.gz</t>
  </si>
  <si>
    <t>labels/0096_pelvic_label.nii.gz</t>
  </si>
  <si>
    <t>qc/0096_pelvic_qc.png</t>
  </si>
  <si>
    <t>1.3.6.1.4.1.9328.50.4.96544</t>
  </si>
  <si>
    <t>ct/0090_ct.nii.gz</t>
  </si>
  <si>
    <t>labels/0090_label.nii.gz</t>
  </si>
  <si>
    <t>qc/0090_qc.png</t>
  </si>
  <si>
    <t>ct/0084_pelvic_ct.nii.gz</t>
  </si>
  <si>
    <t>labels/0084_pelvic_label.nii.gz</t>
  </si>
  <si>
    <t>qc/0084_pelvic_qc.png</t>
  </si>
  <si>
    <t>1.3.6.1.4.1.9328.50.4.101625</t>
  </si>
  <si>
    <t>ct/0093_ct.nii.gz</t>
  </si>
  <si>
    <t>labels/0093_label.nii.gz</t>
  </si>
  <si>
    <t>qc/0093_qc.png</t>
  </si>
  <si>
    <t>ct/0096_spine_ct.nii.gz</t>
  </si>
  <si>
    <t>labels/0096_spine_label.nii.gz</t>
  </si>
  <si>
    <t>qc/0096_spine_qc.png</t>
  </si>
  <si>
    <t>1.3.6.1.4.1.9328.50.4.103595</t>
  </si>
  <si>
    <t>ct/0095_ct.nii.gz</t>
  </si>
  <si>
    <t>labels/0095_label.nii.gz</t>
  </si>
  <si>
    <t>qc/0095_qc.png</t>
  </si>
  <si>
    <t>1.3.6.1.4.1.9328.50.4.106132</t>
  </si>
  <si>
    <t>1.3.6.1.4.1.9328.50.4.105543</t>
  </si>
  <si>
    <t>ct/0097_spine_ct.nii.gz</t>
  </si>
  <si>
    <t>labels/0097_spine_label.nii.gz</t>
  </si>
  <si>
    <t>qc/0097_spine_qc.png</t>
  </si>
  <si>
    <t>1.3.6.1.4.1.9328.50.4.107191</t>
  </si>
  <si>
    <t>ct/0098_ct.nii.gz</t>
  </si>
  <si>
    <t>labels/0098_label.nii.gz</t>
  </si>
  <si>
    <t>qc/0098_qc.png</t>
  </si>
  <si>
    <t>1.3.6.1.4.1.9328.50.4.92131</t>
  </si>
  <si>
    <t>ct/0086_ct.nii.gz</t>
  </si>
  <si>
    <t>labels/0086_label.nii.gz</t>
  </si>
  <si>
    <t>qc/0086_qc.png</t>
  </si>
  <si>
    <t>1.3.6.1.4.1.9328.50.4.92772</t>
  </si>
  <si>
    <t>1.3.6.1.4.1.9328.50.4.93094</t>
  </si>
  <si>
    <t>ct/0087_spine_ct.nii.gz</t>
  </si>
  <si>
    <t>labels/0087_spine_label.nii.gz</t>
  </si>
  <si>
    <t>qc/0087_spine_qc.png</t>
  </si>
  <si>
    <t>1.3.6.1.4.1.9328.50.4.113397</t>
  </si>
  <si>
    <t>1.3.6.1.4.1.9328.50.4.111716</t>
  </si>
  <si>
    <t>ct/0102_spine_ct.nii.gz</t>
  </si>
  <si>
    <t>labels/0102_spine_label.nii.gz</t>
  </si>
  <si>
    <t>qc/0102_spine_qc.png</t>
  </si>
  <si>
    <t>1.3.6.1.4.1.9328.50.4.111140</t>
  </si>
  <si>
    <t>1.3.6.1.4.1.9328.50.4.110699</t>
  </si>
  <si>
    <t>ct/0101_spine_ct.nii.gz</t>
  </si>
  <si>
    <t>labels/0101_spine_label.nii.gz</t>
  </si>
  <si>
    <t>qc/0101_spine_qc.png</t>
  </si>
  <si>
    <t>1.3.6.1.4.1.9328.50.4.109070</t>
  </si>
  <si>
    <t>ct/0100_ct.nii.gz</t>
  </si>
  <si>
    <t>labels/0100_label.nii.gz</t>
  </si>
  <si>
    <t>qc/0100_qc.png</t>
  </si>
  <si>
    <t>1.3.6.1.4.1.9328.50.4.114781</t>
  </si>
  <si>
    <t>1.3.6.1.4.1.9328.50.4.115297</t>
  </si>
  <si>
    <t>ct/0104_pelvic_ct.nii.gz</t>
  </si>
  <si>
    <t>labels/0104_pelvic_label.nii.gz</t>
  </si>
  <si>
    <t>qc/0104_pelvic_qc.png</t>
  </si>
  <si>
    <t>ct/0091_pelvic_ct.nii.gz</t>
  </si>
  <si>
    <t>labels/0091_pelvic_label.nii.gz</t>
  </si>
  <si>
    <t>qc/0091_pelvic_qc.png</t>
  </si>
  <si>
    <t>ct/0097_pelvic_ct.nii.gz</t>
  </si>
  <si>
    <t>labels/0097_pelvic_label.nii.gz</t>
  </si>
  <si>
    <t>qc/0097_pelvic_qc.png</t>
  </si>
  <si>
    <t>ct/0101_pelvic_ct.nii.gz</t>
  </si>
  <si>
    <t>labels/0101_pelvic_label.nii.gz</t>
  </si>
  <si>
    <t>qc/0101_pelvic_qc.png</t>
  </si>
  <si>
    <t>ct/0087_pelvic_ct.nii.gz</t>
  </si>
  <si>
    <t>labels/0087_pelvic_label.nii.gz</t>
  </si>
  <si>
    <t>qc/0087_pelvic_qc.png</t>
  </si>
  <si>
    <t>1.3.6.1.4.1.9328.50.4.116287</t>
  </si>
  <si>
    <t>1.3.6.1.4.1.9328.50.4.116788</t>
  </si>
  <si>
    <t>ct/0106_pelvic_ct.nii.gz</t>
  </si>
  <si>
    <t>labels/0106_pelvic_label.nii.gz</t>
  </si>
  <si>
    <t>qc/0106_pelvic_qc.png</t>
  </si>
  <si>
    <t>1.3.6.1.4.1.9328.50.4.107880</t>
  </si>
  <si>
    <t>1.3.6.1.4.1.9328.50.4.108437</t>
  </si>
  <si>
    <t>ct/0099_pelvic_ct.nii.gz</t>
  </si>
  <si>
    <t>labels/0099_pelvic_label.nii.gz</t>
  </si>
  <si>
    <t>qc/0099_pelvic_qc.png</t>
  </si>
  <si>
    <t>ct/0099_spine_ct.nii.gz</t>
  </si>
  <si>
    <t>labels/0099_spine_label.nii.gz</t>
  </si>
  <si>
    <t>qc/0099_spine_qc.png</t>
  </si>
  <si>
    <t>ct/0104_spine_ct.nii.gz</t>
  </si>
  <si>
    <t>labels/0104_spine_label.nii.gz</t>
  </si>
  <si>
    <t>qc/0104_spine_qc.png</t>
  </si>
  <si>
    <t>ct/0106_spine_ct.nii.gz</t>
  </si>
  <si>
    <t>labels/0106_spine_label.nii.gz</t>
  </si>
  <si>
    <t>qc/0106_spine_qc.png</t>
  </si>
  <si>
    <t>1.3.6.1.4.1.9328.50.4.118268</t>
  </si>
  <si>
    <t>ct/0107_ct.nii.gz</t>
  </si>
  <si>
    <t>labels/0107_label.nii.gz</t>
  </si>
  <si>
    <t>qc/0107_qc.png</t>
  </si>
  <si>
    <t>1.3.6.1.4.1.9328.50.4.119669</t>
  </si>
  <si>
    <t>ct/0109_ct.nii.gz</t>
  </si>
  <si>
    <t>labels/0109_label.nii.gz</t>
  </si>
  <si>
    <t>qc/0109_qc.png</t>
  </si>
  <si>
    <t>1.3.6.1.4.1.9328.50.4.121083</t>
  </si>
  <si>
    <t>1.3.6.1.4.1.9328.50.4.120486</t>
  </si>
  <si>
    <t>ct/0110_pelvic_ct.nii.gz</t>
  </si>
  <si>
    <t>labels/0110_pelvic_label.nii.gz</t>
  </si>
  <si>
    <t>qc/0110_pelvic_qc.png</t>
  </si>
  <si>
    <t>ct/0110_spine_ct.nii.gz</t>
  </si>
  <si>
    <t>labels/0110_spine_label.nii.gz</t>
  </si>
  <si>
    <t>qc/0110_spine_qc.png</t>
  </si>
  <si>
    <t>1.3.6.1.4.1.9328.50.4.121644</t>
  </si>
  <si>
    <t>ct/0111_ct.nii.gz</t>
  </si>
  <si>
    <t>labels/0111_label.nii.gz</t>
  </si>
  <si>
    <t>qc/0111_qc.png</t>
  </si>
  <si>
    <t>1.3.6.1.4.1.9328.50.4.122847</t>
  </si>
  <si>
    <t>ct/0112_ct.nii.gz</t>
  </si>
  <si>
    <t>labels/0112_label.nii.gz</t>
  </si>
  <si>
    <t>qc/0112_qc.png</t>
  </si>
  <si>
    <t>1.3.6.1.4.1.9328.50.4.113860</t>
  </si>
  <si>
    <t>ct/0103_ct.nii.gz</t>
  </si>
  <si>
    <t>labels/0103_label.nii.gz</t>
  </si>
  <si>
    <t>qc/0103_qc.png</t>
  </si>
  <si>
    <t>1.3.6.1.4.1.9328.50.4.131912</t>
  </si>
  <si>
    <t>1.3.6.1.4.1.9328.50.4.131891</t>
  </si>
  <si>
    <t>ct/0120_spine_ct.nii.gz</t>
  </si>
  <si>
    <t>labels/0120_spine_label.nii.gz</t>
  </si>
  <si>
    <t>qc/0120_spine_qc.png</t>
  </si>
  <si>
    <t>1.3.6.1.4.1.9328.50.4.125041</t>
  </si>
  <si>
    <t>1.3.6.1.4.1.9328.50.4.125062</t>
  </si>
  <si>
    <t>ct/0114_pelvic_ct.nii.gz</t>
  </si>
  <si>
    <t>labels/0114_pelvic_label.nii.gz</t>
  </si>
  <si>
    <t>qc/0114_pelvic_qc.png</t>
  </si>
  <si>
    <t>1.3.6.1.4.1.9328.50.4.132946</t>
  </si>
  <si>
    <t>1.3.6.1.4.1.9328.50.4.132925</t>
  </si>
  <si>
    <t>ct/0121_spine_ct.nii.gz</t>
  </si>
  <si>
    <t>labels/0121_spine_label.nii.gz</t>
  </si>
  <si>
    <t>qc/0121_spine_qc.png</t>
  </si>
  <si>
    <t>ct/0102_pelvic_ct.nii.gz</t>
  </si>
  <si>
    <t>labels/0102_pelvic_label.nii.gz</t>
  </si>
  <si>
    <t>qc/0102_pelvic_qc.png</t>
  </si>
  <si>
    <t>1.3.6.1.4.1.9328.50.4.134085</t>
  </si>
  <si>
    <t>1.3.6.1.4.1.9328.50.4.135248</t>
  </si>
  <si>
    <t>ct/0122_pelvic_ct.nii.gz</t>
  </si>
  <si>
    <t>labels/0122_pelvic_label.nii.gz</t>
  </si>
  <si>
    <t>qc/0122_pelvic_qc.png</t>
  </si>
  <si>
    <t>ct/0114_spine_ct.nii.gz</t>
  </si>
  <si>
    <t>labels/0114_spine_label.nii.gz</t>
  </si>
  <si>
    <t>qc/0114_spine_qc.png</t>
  </si>
  <si>
    <t>ct/0121_pelvic_ct.nii.gz</t>
  </si>
  <si>
    <t>labels/0121_pelvic_label.nii.gz</t>
  </si>
  <si>
    <t>qc/0121_pelvic_qc.png</t>
  </si>
  <si>
    <t>1.3.6.1.4.1.9328.50.4.127266</t>
  </si>
  <si>
    <t>ct/0116_ct.nii.gz</t>
  </si>
  <si>
    <t>labels/0116_label.nii.gz</t>
  </si>
  <si>
    <t>qc/0116_qc.png</t>
  </si>
  <si>
    <t>1.3.6.1.4.1.9328.50.4.126647</t>
  </si>
  <si>
    <t>ct/0115_ct.nii.gz</t>
  </si>
  <si>
    <t>labels/0115_label.nii.gz</t>
  </si>
  <si>
    <t>qc/0115_qc.png</t>
  </si>
  <si>
    <t>1.3.6.1.4.1.9328.50.4.128412</t>
  </si>
  <si>
    <t>ct/0117_pelvic_ct.nii.gz</t>
  </si>
  <si>
    <t>labels/0117_pelvic_label.nii.gz</t>
  </si>
  <si>
    <t>qc/0117_pelvic_qc.png</t>
  </si>
  <si>
    <t>1.3.6.1.4.1.9328.50.4.117298</t>
  </si>
  <si>
    <t>ct/0105_ct.nii.gz</t>
  </si>
  <si>
    <t>labels/0105_label.nii.gz</t>
  </si>
  <si>
    <t>qc/0105_qc.png</t>
  </si>
  <si>
    <t>1.3.6.1.4.1.9328.50.4.137228</t>
  </si>
  <si>
    <t>ct/0124_ct.nii.gz</t>
  </si>
  <si>
    <t>labels/0124_label.nii.gz</t>
  </si>
  <si>
    <t>qc/0124_qc.png</t>
  </si>
  <si>
    <t>1.3.6.1.4.1.9328.50.4.135859</t>
  </si>
  <si>
    <t>1.3.6.1.4.1.9328.50.4.136517</t>
  </si>
  <si>
    <t>ct/0123_pelvic_ct.nii.gz</t>
  </si>
  <si>
    <t>labels/0123_pelvic_label.nii.gz</t>
  </si>
  <si>
    <t>qc/0123_pelvic_qc.png</t>
  </si>
  <si>
    <t>ct/0123_spine_ct.nii.gz</t>
  </si>
  <si>
    <t>labels/0123_spine_label.nii.gz</t>
  </si>
  <si>
    <t>qc/0123_spine_qc.png</t>
  </si>
  <si>
    <t>1.3.6.1.4.1.9328.50.4.123991</t>
  </si>
  <si>
    <t>ct/0113_ct.nii.gz</t>
  </si>
  <si>
    <t>labels/0113_label.nii.gz</t>
  </si>
  <si>
    <t>qc/0113_qc.png</t>
  </si>
  <si>
    <t>ct/0120_pelvic_ct.nii.gz</t>
  </si>
  <si>
    <t>labels/0120_pelvic_label.nii.gz</t>
  </si>
  <si>
    <t>qc/0120_pelvic_qc.png</t>
  </si>
  <si>
    <t>1.3.6.1.4.1.9328.50.4.139922</t>
  </si>
  <si>
    <t>1.3.6.1.4.1.9328.50.4.139461</t>
  </si>
  <si>
    <t>ct/0126_pelvic_ct.nii.gz</t>
  </si>
  <si>
    <t>labels/0126_pelvic_label.nii.gz</t>
  </si>
  <si>
    <t>qc/0126_pelvic_qc.png</t>
  </si>
  <si>
    <t>ct/0126_spine_ct.nii.gz</t>
  </si>
  <si>
    <t>labels/0126_spine_label.nii.gz</t>
  </si>
  <si>
    <t>qc/0126_spine_qc.png</t>
  </si>
  <si>
    <t>1.3.6.1.4.1.9328.50.4.138263</t>
  </si>
  <si>
    <t>ct/0125_ct.nii.gz</t>
  </si>
  <si>
    <t>labels/0125_label.nii.gz</t>
  </si>
  <si>
    <t>qc/0125_qc.png</t>
  </si>
  <si>
    <t>ct/0122_spine_ct.nii.gz</t>
  </si>
  <si>
    <t>labels/0122_spine_label.nii.gz</t>
  </si>
  <si>
    <t>qc/0122_spine_qc.png</t>
  </si>
  <si>
    <t>1.3.6.1.4.1.9328.50.4.141466</t>
  </si>
  <si>
    <t>1.3.6.1.4.1.9328.50.4.140770</t>
  </si>
  <si>
    <t>ct/0127_spine_ct.nii.gz</t>
  </si>
  <si>
    <t>labels/0127_spine_label.nii.gz</t>
  </si>
  <si>
    <t>qc/0127_spine_qc.png</t>
  </si>
  <si>
    <t>1.3.6.1.4.1.9328.50.4.129723</t>
  </si>
  <si>
    <t>ct/0118_ct.nii.gz</t>
  </si>
  <si>
    <t>labels/0118_label.nii.gz</t>
  </si>
  <si>
    <t>qc/0118_qc.png</t>
  </si>
  <si>
    <t>1.3.6.1.4.1.9328.50.4.130751</t>
  </si>
  <si>
    <t>ct/0119_ct.nii.gz</t>
  </si>
  <si>
    <t>labels/0119_label.nii.gz</t>
  </si>
  <si>
    <t>qc/0119_qc.png</t>
  </si>
  <si>
    <t>1.3.6.1.4.1.9328.50.4.147310</t>
  </si>
  <si>
    <t>1.3.6.1.4.1.9328.50.4.147331</t>
  </si>
  <si>
    <t>ct/0132_pelvic_ct.nii.gz</t>
  </si>
  <si>
    <t>labels/0132_pelvic_label.nii.gz</t>
  </si>
  <si>
    <t>qc/0132_pelvic_qc.png</t>
  </si>
  <si>
    <t>1.3.6.1.4.1.9328.50.4.143471</t>
  </si>
  <si>
    <t>ct/0129_ct.nii.gz</t>
  </si>
  <si>
    <t>labels/0129_label.nii.gz</t>
  </si>
  <si>
    <t>qc/0129_qc.png</t>
  </si>
  <si>
    <t>1.3.6.1.4.1.9328.50.4.144677</t>
  </si>
  <si>
    <t>1.3.6.1.4.1.9328.50.4.144698</t>
  </si>
  <si>
    <t>ct/0130_spine_ct.nii.gz</t>
  </si>
  <si>
    <t>labels/0130_spine_label.nii.gz</t>
  </si>
  <si>
    <t>qc/0130_spine_qc.png</t>
  </si>
  <si>
    <t>1.3.6.1.4.1.9328.50.4.142152</t>
  </si>
  <si>
    <t>ct/0128_ct.nii.gz</t>
  </si>
  <si>
    <t>labels/0128_label.nii.gz</t>
  </si>
  <si>
    <t>qc/0128_qc.png</t>
  </si>
  <si>
    <t>1.3.6.1.4.1.9328.50.4.146239</t>
  </si>
  <si>
    <t>ct/0131_spine_ct.nii.gz</t>
  </si>
  <si>
    <t>labels/0131_spine_label.nii.gz</t>
  </si>
  <si>
    <t>qc/0131_spine_qc.png</t>
  </si>
  <si>
    <t>1.3.6.1.4.1.9328.50.4.153884</t>
  </si>
  <si>
    <t>ct/0137_ct.nii.gz</t>
  </si>
  <si>
    <t>labels/0137_label.nii.gz</t>
  </si>
  <si>
    <t>qc/0137_qc.png</t>
  </si>
  <si>
    <t>1.3.6.1.4.1.9328.50.4.148428</t>
  </si>
  <si>
    <t>ct/0133_ct.nii.gz</t>
  </si>
  <si>
    <t>labels/0133_label.nii.gz</t>
  </si>
  <si>
    <t>qc/0133_qc.png</t>
  </si>
  <si>
    <t>1.3.6.1.4.1.9328.50.4.152719</t>
  </si>
  <si>
    <t>ct/0136_ct.nii.gz</t>
  </si>
  <si>
    <t>labels/0136_label.nii.gz</t>
  </si>
  <si>
    <t>qc/0136_qc.png</t>
  </si>
  <si>
    <t>1.3.6.1.4.1.9328.50.4.157507</t>
  </si>
  <si>
    <t>ct/0140_pelvic_ct.nii.gz</t>
  </si>
  <si>
    <t>labels/0140_pelvic_label.nii.gz</t>
  </si>
  <si>
    <t>qc/0140_pelvic_qc.png</t>
  </si>
  <si>
    <t>ct/0127_pelvic_ct.nii.gz</t>
  </si>
  <si>
    <t>labels/0127_pelvic_label.nii.gz</t>
  </si>
  <si>
    <t>qc/0127_pelvic_qc.png</t>
  </si>
  <si>
    <t>1.3.6.1.4.1.9328.50.4.158668</t>
  </si>
  <si>
    <t>ct/0141_ct.nii.gz</t>
  </si>
  <si>
    <t>labels/0141_label.nii.gz</t>
  </si>
  <si>
    <t>qc/0141_qc.png</t>
  </si>
  <si>
    <t>1.3.6.1.4.1.9328.50.4.156301</t>
  </si>
  <si>
    <t>ct/0139_ct.nii.gz</t>
  </si>
  <si>
    <t>labels/0139_label.nii.gz</t>
  </si>
  <si>
    <t>qc/0139_qc.png</t>
  </si>
  <si>
    <t>ct/0132_spine_ct.nii.gz</t>
  </si>
  <si>
    <t>labels/0132_spine_label.nii.gz</t>
  </si>
  <si>
    <t>qc/0132_spine_qc.png</t>
  </si>
  <si>
    <t>1.3.6.1.4.1.9328.50.4.162318</t>
  </si>
  <si>
    <t>ct/0144_ct.nii.gz</t>
  </si>
  <si>
    <t>labels/0144_label.nii.gz</t>
  </si>
  <si>
    <t>qc/0144_qc.png</t>
  </si>
  <si>
    <t>1.3.6.1.4.1.9328.50.4.163503</t>
  </si>
  <si>
    <t>1.3.6.1.4.1.9328.50.4.162910</t>
  </si>
  <si>
    <t>ct/0145_spine_ct.nii.gz</t>
  </si>
  <si>
    <t>labels/0145_spine_label.nii.gz</t>
  </si>
  <si>
    <t>qc/0145_spine_qc.png</t>
  </si>
  <si>
    <t>ct/0145_pelvic_ct.nii.gz</t>
  </si>
  <si>
    <t>labels/0145_pelvic_label.nii.gz</t>
  </si>
  <si>
    <t>qc/0145_pelvic_qc.png</t>
  </si>
  <si>
    <t>ct/0130_pelvic_ct.nii.gz</t>
  </si>
  <si>
    <t>labels/0130_pelvic_label.nii.gz</t>
  </si>
  <si>
    <t>qc/0130_pelvic_qc.png</t>
  </si>
  <si>
    <t>1.3.6.1.4.1.9328.50.4.165254</t>
  </si>
  <si>
    <t>1.3.6.1.4.1.9328.50.4.165782</t>
  </si>
  <si>
    <t>ct/0147_spine_ct.nii.gz</t>
  </si>
  <si>
    <t>labels/0147_spine_label.nii.gz</t>
  </si>
  <si>
    <t>qc/0147_spine_qc.png</t>
  </si>
  <si>
    <t>1.3.6.1.4.1.9328.50.4.166866</t>
  </si>
  <si>
    <t>1.3.6.1.4.1.9328.50.4.167407</t>
  </si>
  <si>
    <t>ct/0148_pelvic_ct.nii.gz</t>
  </si>
  <si>
    <t>labels/0148_pelvic_label.nii.gz</t>
  </si>
  <si>
    <t>qc/0148_pelvic_qc.png</t>
  </si>
  <si>
    <t>1.3.6.1.4.1.9328.50.4.169736</t>
  </si>
  <si>
    <t>1.3.6.1.4.1.9328.50.4.170211</t>
  </si>
  <si>
    <t>ct/0150_pelvic_ct.nii.gz</t>
  </si>
  <si>
    <t>labels/0150_pelvic_label.nii.gz</t>
  </si>
  <si>
    <t>qc/0150_pelvic_qc.png</t>
  </si>
  <si>
    <t>1.3.6.1.4.1.9328.50.4.169139</t>
  </si>
  <si>
    <t>ct/0149_spine_ct.nii.gz</t>
  </si>
  <si>
    <t>labels/0149_spine_label.nii.gz</t>
  </si>
  <si>
    <t>qc/0149_spine_qc.png</t>
  </si>
  <si>
    <t>1.3.6.1.4.1.9328.50.4.171235</t>
  </si>
  <si>
    <t>1.3.6.1.4.1.9328.50.4.170708</t>
  </si>
  <si>
    <t>ct/0151_pelvic_ct.nii.gz</t>
  </si>
  <si>
    <t>labels/0151_pelvic_label.nii.gz</t>
  </si>
  <si>
    <t>qc/0151_pelvic_qc.png</t>
  </si>
  <si>
    <t>ct/0151_spine_ct.nii.gz</t>
  </si>
  <si>
    <t>labels/0151_spine_label.nii.gz</t>
  </si>
  <si>
    <t>qc/0151_spine_qc.png</t>
  </si>
  <si>
    <t>1.3.6.1.4.1.9328.50.4.172806</t>
  </si>
  <si>
    <t>ct/0153_ct.nii.gz</t>
  </si>
  <si>
    <t>labels/0153_label.nii.gz</t>
  </si>
  <si>
    <t>qc/0153_qc.png</t>
  </si>
  <si>
    <t>1.3.6.1.4.1.9328.50.4.171802</t>
  </si>
  <si>
    <t>ct/0152_ct.nii.gz</t>
  </si>
  <si>
    <t>labels/0152_label.nii.gz</t>
  </si>
  <si>
    <t>qc/0152_qc.png</t>
  </si>
  <si>
    <t>1.3.6.1.4.1.9328.50.4.174327</t>
  </si>
  <si>
    <t>1.3.6.1.4.1.9328.50.4.173794</t>
  </si>
  <si>
    <t>ct/0154_spine_ct.nii.gz</t>
  </si>
  <si>
    <t>labels/0154_spine_label.nii.gz</t>
  </si>
  <si>
    <t>qc/0154_spine_qc.png</t>
  </si>
  <si>
    <t>ct/0148_spine_ct.nii.gz</t>
  </si>
  <si>
    <t>labels/0148_spine_label.nii.gz</t>
  </si>
  <si>
    <t>qc/0148_spine_qc.png</t>
  </si>
  <si>
    <t>ct/0150_spine_ct.nii.gz</t>
  </si>
  <si>
    <t>labels/0150_spine_label.nii.gz</t>
  </si>
  <si>
    <t>qc/0150_spine_qc.png</t>
  </si>
  <si>
    <t>ct/0147_pelvic_ct.nii.gz</t>
  </si>
  <si>
    <t>labels/0147_pelvic_label.nii.gz</t>
  </si>
  <si>
    <t>qc/0147_pelvic_qc.png</t>
  </si>
  <si>
    <t>1.3.6.1.4.1.9328.50.4.154469</t>
  </si>
  <si>
    <t>ct/0138_ct.nii.gz</t>
  </si>
  <si>
    <t>labels/0138_label.nii.gz</t>
  </si>
  <si>
    <t>qc/0138_qc.png</t>
  </si>
  <si>
    <t>1.3.6.1.4.1.9328.50.4.160607</t>
  </si>
  <si>
    <t>ct/0143_ct.nii.gz</t>
  </si>
  <si>
    <t>labels/0143_label.nii.gz</t>
  </si>
  <si>
    <t>qc/0143_qc.png</t>
  </si>
  <si>
    <t>1.3.6.1.4.1.9328.50.4.180640</t>
  </si>
  <si>
    <t>1.3.6.1.4.1.9328.50.4.180121</t>
  </si>
  <si>
    <t>ct/0160_pelvic_ct.nii.gz</t>
  </si>
  <si>
    <t>labels/0160_pelvic_label.nii.gz</t>
  </si>
  <si>
    <t>qc/0160_pelvic_qc.png</t>
  </si>
  <si>
    <t>1.3.6.1.4.1.9328.50.4.178107</t>
  </si>
  <si>
    <t>1.3.6.1.4.1.9328.50.4.178632</t>
  </si>
  <si>
    <t>ct/0158_pelvic_ct.nii.gz</t>
  </si>
  <si>
    <t>labels/0158_pelvic_label.nii.gz</t>
  </si>
  <si>
    <t>qc/0158_pelvic_qc.png</t>
  </si>
  <si>
    <t>1.3.6.1.4.1.9328.50.4.174877</t>
  </si>
  <si>
    <t>ct/0155_ct.nii.gz</t>
  </si>
  <si>
    <t>labels/0155_label.nii.gz</t>
  </si>
  <si>
    <t>qc/0155_qc.png</t>
  </si>
  <si>
    <t>1.3.6.1.4.1.9328.50.4.179631</t>
  </si>
  <si>
    <t>ct/0159_ct.nii.gz</t>
  </si>
  <si>
    <t>labels/0159_label.nii.gz</t>
  </si>
  <si>
    <t>qc/0159_qc.png</t>
  </si>
  <si>
    <t>ct/0158_spine_ct.nii.gz</t>
  </si>
  <si>
    <t>labels/0158_spine_label.nii.gz</t>
  </si>
  <si>
    <t>qc/0158_spine_qc.png</t>
  </si>
  <si>
    <t>1.3.6.1.4.1.9328.50.4.176490</t>
  </si>
  <si>
    <t>ct/0156_ct.nii.gz</t>
  </si>
  <si>
    <t>labels/0156_label.nii.gz</t>
  </si>
  <si>
    <t>qc/0156_qc.png</t>
  </si>
  <si>
    <t>1.3.6.1.4.1.9328.50.4.159923</t>
  </si>
  <si>
    <t>ct/0142_ct.nii.gz</t>
  </si>
  <si>
    <t>labels/0142_label.nii.gz</t>
  </si>
  <si>
    <t>qc/0142_qc.png</t>
  </si>
  <si>
    <t>1.3.6.1.4.1.9328.50.4.164672</t>
  </si>
  <si>
    <t>ct/0146_ct.nii.gz</t>
  </si>
  <si>
    <t>labels/0146_label.nii.gz</t>
  </si>
  <si>
    <t>qc/0146_qc.png</t>
  </si>
  <si>
    <t>1.3.6.1.4.1.9328.50.4.183817</t>
  </si>
  <si>
    <t>1.3.6.1.4.1.9328.50.4.183315</t>
  </si>
  <si>
    <t>ct/0163_spine_ct.nii.gz</t>
  </si>
  <si>
    <t>labels/0163_spine_label.nii.gz</t>
  </si>
  <si>
    <t>qc/0163_spine_qc.png</t>
  </si>
  <si>
    <t>1.3.6.1.4.1.9328.50.4.182761</t>
  </si>
  <si>
    <t>ct/0162_ct.nii.gz</t>
  </si>
  <si>
    <t>labels/0162_label.nii.gz</t>
  </si>
  <si>
    <t>qc/0162_qc.png</t>
  </si>
  <si>
    <t>1.3.6.1.4.1.9328.50.4.181680</t>
  </si>
  <si>
    <t>ct/0161_ct.nii.gz</t>
  </si>
  <si>
    <t>labels/0161_label.nii.gz</t>
  </si>
  <si>
    <t>qc/0161_qc.png</t>
  </si>
  <si>
    <t>ct/0163_pelvic_ct.nii.gz</t>
  </si>
  <si>
    <t>labels/0163_pelvic_label.nii.gz</t>
  </si>
  <si>
    <t>qc/0163_pelvic_qc.png</t>
  </si>
  <si>
    <t>1.3.6.1.4.1.9328.50.4.185537</t>
  </si>
  <si>
    <t>ct/0165_ct.nii.gz</t>
  </si>
  <si>
    <t>labels/0165_label.nii.gz</t>
  </si>
  <si>
    <t>qc/0165_qc.png</t>
  </si>
  <si>
    <t>ct/0154_pelvic_ct.nii.gz</t>
  </si>
  <si>
    <t>labels/0154_pelvic_label.nii.gz</t>
  </si>
  <si>
    <t>qc/0154_pelvic_qc.png</t>
  </si>
  <si>
    <t>1.3.6.1.4.1.9328.50.4.186365</t>
  </si>
  <si>
    <t>1.3.6.1.4.1.9328.50.4.186887</t>
  </si>
  <si>
    <t>ct/0166_pelvic_ct.nii.gz</t>
  </si>
  <si>
    <t>labels/0166_pelvic_label.nii.gz</t>
  </si>
  <si>
    <t>qc/0166_pelvic_qc.png</t>
  </si>
  <si>
    <t>1.3.6.1.4.1.9328.50.4.184290</t>
  </si>
  <si>
    <t>1.3.6.1.4.1.9328.50.4.184906</t>
  </si>
  <si>
    <t>ct/0164_pelvic_ct.nii.gz</t>
  </si>
  <si>
    <t>labels/0164_pelvic_label.nii.gz</t>
  </si>
  <si>
    <t>qc/0164_pelvic_qc.png</t>
  </si>
  <si>
    <t>ct/0166_spine_ct.nii.gz</t>
  </si>
  <si>
    <t>labels/0166_spine_label.nii.gz</t>
  </si>
  <si>
    <t>qc/0166_spine_qc.png</t>
  </si>
  <si>
    <t>ct/0160_spine_ct.nii.gz</t>
  </si>
  <si>
    <t>labels/0160_spine_label.nii.gz</t>
  </si>
  <si>
    <t>qc/0160_spine_qc.png</t>
  </si>
  <si>
    <t>1.3.6.1.4.1.9328.50.4.193996</t>
  </si>
  <si>
    <t>1.3.6.1.4.1.9328.50.4.193406</t>
  </si>
  <si>
    <t>ct/0172_spine_ct.nii.gz</t>
  </si>
  <si>
    <t>labels/0172_spine_label.nii.gz</t>
  </si>
  <si>
    <t>qc/0172_spine_qc.png</t>
  </si>
  <si>
    <t>1.3.6.1.4.1.9328.50.4.196261</t>
  </si>
  <si>
    <t>1.3.6.1.4.1.9328.50.4.196769</t>
  </si>
  <si>
    <t>ct/0174_pelvic_ct.nii.gz</t>
  </si>
  <si>
    <t>labels/0174_pelvic_label.nii.gz</t>
  </si>
  <si>
    <t>qc/0174_pelvic_qc.png</t>
  </si>
  <si>
    <t>1.3.6.1.4.1.9328.50.4.176993</t>
  </si>
  <si>
    <t>ct/0157_ct.nii.gz</t>
  </si>
  <si>
    <t>labels/0157_label.nii.gz</t>
  </si>
  <si>
    <t>qc/0157_qc.png</t>
  </si>
  <si>
    <t>1.3.6.1.4.1.9328.50.4.187992</t>
  </si>
  <si>
    <t>ct/0167_ct.nii.gz</t>
  </si>
  <si>
    <t>labels/0167_label.nii.gz</t>
  </si>
  <si>
    <t>qc/0167_qc.png</t>
  </si>
  <si>
    <t>ct/0174_spine_ct.nii.gz</t>
  </si>
  <si>
    <t>labels/0174_spine_label.nii.gz</t>
  </si>
  <si>
    <t>qc/0174_spine_qc.png</t>
  </si>
  <si>
    <t>1.3.6.1.4.1.9328.50.4.195132</t>
  </si>
  <si>
    <t>ct/0173_pelvic_ct.nii.gz</t>
  </si>
  <si>
    <t>labels/0173_pelvic_label.nii.gz</t>
  </si>
  <si>
    <t>qc/0173_pelvic_qc.png</t>
  </si>
  <si>
    <t>1.3.6.1.4.1.9328.50.4.192194</t>
  </si>
  <si>
    <t>ct/0171_ct.nii.gz</t>
  </si>
  <si>
    <t>labels/0171_label.nii.gz</t>
  </si>
  <si>
    <t>qc/0171_qc.png</t>
  </si>
  <si>
    <t>ct/0172_pelvic_ct.nii.gz</t>
  </si>
  <si>
    <t>labels/0172_pelvic_label.nii.gz</t>
  </si>
  <si>
    <t>qc/0172_pelvic_qc.png</t>
  </si>
  <si>
    <t>1.3.6.1.4.1.9328.50.4.200028</t>
  </si>
  <si>
    <t>1.3.6.1.4.1.9328.50.4.199536</t>
  </si>
  <si>
    <t>ct/0177_pelvic_ct.nii.gz</t>
  </si>
  <si>
    <t>labels/0177_pelvic_label.nii.gz</t>
  </si>
  <si>
    <t>qc/0177_pelvic_qc.png</t>
  </si>
  <si>
    <t>1.3.6.1.4.1.9328.50.4.198440</t>
  </si>
  <si>
    <t>ct/0176_ct.nii.gz</t>
  </si>
  <si>
    <t>labels/0176_label.nii.gz</t>
  </si>
  <si>
    <t>qc/0176_qc.png</t>
  </si>
  <si>
    <t>1.3.6.1.4.1.9328.50.4.200694</t>
  </si>
  <si>
    <t>1.3.6.1.4.1.9328.50.4.201182</t>
  </si>
  <si>
    <t>ct/0178_spine_ct.nii.gz</t>
  </si>
  <si>
    <t>labels/0178_spine_label.nii.gz</t>
  </si>
  <si>
    <t>qc/0178_spine_qc.png</t>
  </si>
  <si>
    <t>ct/0177_spine_ct.nii.gz</t>
  </si>
  <si>
    <t>labels/0177_spine_label.nii.gz</t>
  </si>
  <si>
    <t>qc/0177_spine_qc.png</t>
  </si>
  <si>
    <t>ct/0164_spine_ct.nii.gz</t>
  </si>
  <si>
    <t>labels/0164_spine_label.nii.gz</t>
  </si>
  <si>
    <t>qc/0164_spine_qc.png</t>
  </si>
  <si>
    <t>1.3.6.1.4.1.9328.50.4.202337</t>
  </si>
  <si>
    <t>1.3.6.1.4.1.9328.50.4.201864</t>
  </si>
  <si>
    <t>ct/0179_pelvic_ct.nii.gz</t>
  </si>
  <si>
    <t>labels/0179_pelvic_label.nii.gz</t>
  </si>
  <si>
    <t>qc/0179_pelvic_qc.png</t>
  </si>
  <si>
    <t>1.3.6.1.4.1.9328.50.4.189754</t>
  </si>
  <si>
    <t>ct/0169_pelvic_ct.nii.gz</t>
  </si>
  <si>
    <t>labels/0169_pelvic_label.nii.gz</t>
  </si>
  <si>
    <t>qc/0169_pelvic_qc.png</t>
  </si>
  <si>
    <t>ct/0178_pelvic_ct.nii.gz</t>
  </si>
  <si>
    <t>labels/0178_pelvic_label.nii.gz</t>
  </si>
  <si>
    <t>qc/0178_pelvic_qc.png</t>
  </si>
  <si>
    <t>1.3.6.1.4.1.9328.50.4.203503</t>
  </si>
  <si>
    <t>1.3.6.1.4.1.9328.50.4.202946</t>
  </si>
  <si>
    <t>ct/0180_pelvic_ct.nii.gz</t>
  </si>
  <si>
    <t>labels/0180_pelvic_label.nii.gz</t>
  </si>
  <si>
    <t>qc/0180_pelvic_qc.png</t>
  </si>
  <si>
    <t>ct/0180_spine_ct.nii.gz</t>
  </si>
  <si>
    <t>labels/0180_spine_label.nii.gz</t>
  </si>
  <si>
    <t>qc/0180_spine_qc.png</t>
  </si>
  <si>
    <t>1.3.6.1.4.1.9328.50.4.197318</t>
  </si>
  <si>
    <t>1.3.6.1.4.1.9328.50.4.197855</t>
  </si>
  <si>
    <t>ct/0175_pelvic_ct.nii.gz</t>
  </si>
  <si>
    <t>labels/0175_pelvic_label.nii.gz</t>
  </si>
  <si>
    <t>qc/0175_pelvic_qc.png</t>
  </si>
  <si>
    <t>1.3.6.1.4.1.9328.50.4.209497</t>
  </si>
  <si>
    <t>1.3.6.1.4.1.9328.50.4.210003</t>
  </si>
  <si>
    <t>ct/0185_spine_ct.nii.gz</t>
  </si>
  <si>
    <t>labels/0185_spine_label.nii.gz</t>
  </si>
  <si>
    <t>qc/0185_spine_qc.png</t>
  </si>
  <si>
    <t>ct/0175_spine_ct.nii.gz</t>
  </si>
  <si>
    <t>labels/0175_spine_label.nii.gz</t>
  </si>
  <si>
    <t>qc/0175_spine_qc.png</t>
  </si>
  <si>
    <t>1.3.6.1.4.1.9328.50.4.204703</t>
  </si>
  <si>
    <t>1.3.6.1.4.1.9328.50.4.204175</t>
  </si>
  <si>
    <t>ct/0181_pelvic_ct.nii.gz</t>
  </si>
  <si>
    <t>labels/0181_pelvic_label.nii.gz</t>
  </si>
  <si>
    <t>qc/0181_pelvic_qc.png</t>
  </si>
  <si>
    <t>1.3.6.1.4.1.9328.50.4.208319</t>
  </si>
  <si>
    <t>1.3.6.1.4.1.9328.50.4.207782</t>
  </si>
  <si>
    <t>ct/0184_pelvic_ct.nii.gz</t>
  </si>
  <si>
    <t>labels/0184_pelvic_label.nii.gz</t>
  </si>
  <si>
    <t>qc/0184_pelvic_qc.png</t>
  </si>
  <si>
    <t>1.3.6.1.4.1.9328.50.4.188583</t>
  </si>
  <si>
    <t>ct/0168_ct.nii.gz</t>
  </si>
  <si>
    <t>labels/0168_label.nii.gz</t>
  </si>
  <si>
    <t>qc/0168_qc.png</t>
  </si>
  <si>
    <t>ct/0184_spine_ct.nii.gz</t>
  </si>
  <si>
    <t>labels/0184_spine_label.nii.gz</t>
  </si>
  <si>
    <t>qc/0184_spine_qc.png</t>
  </si>
  <si>
    <t>1.3.6.1.4.1.9328.50.4.205973</t>
  </si>
  <si>
    <t>1.3.6.1.4.1.9328.50.4.205378</t>
  </si>
  <si>
    <t>ct/0182_spine_ct.nii.gz</t>
  </si>
  <si>
    <t>labels/0182_spine_label.nii.gz</t>
  </si>
  <si>
    <t>qc/0182_spine_qc.png</t>
  </si>
  <si>
    <t>1.3.6.1.4.1.9328.50.4.190859</t>
  </si>
  <si>
    <t>ct/0170_ct.nii.gz</t>
  </si>
  <si>
    <t>labels/0170_label.nii.gz</t>
  </si>
  <si>
    <t>qc/0170_qc.png</t>
  </si>
  <si>
    <t>1.3.6.1.4.1.9328.50.4.211195</t>
  </si>
  <si>
    <t>ct/0186_ct.nii.gz</t>
  </si>
  <si>
    <t>labels/0186_label.nii.gz</t>
  </si>
  <si>
    <t>qc/0186_qc.png</t>
  </si>
  <si>
    <t>1.3.6.1.4.1.9328.50.4.207190</t>
  </si>
  <si>
    <t>ct/0183_ct.nii.gz</t>
  </si>
  <si>
    <t>labels/0183_label.nii.gz</t>
  </si>
  <si>
    <t>qc/0183_qc.png</t>
  </si>
  <si>
    <t>ct/0185_pelvic_ct.nii.gz</t>
  </si>
  <si>
    <t>labels/0185_pelvic_label.nii.gz</t>
  </si>
  <si>
    <t>qc/0185_pelvic_qc.png</t>
  </si>
  <si>
    <t>ct/0179_spine_ct.nii.gz</t>
  </si>
  <si>
    <t>labels/0179_spine_label.nii.gz</t>
  </si>
  <si>
    <t>qc/0179_spine_qc.png</t>
  </si>
  <si>
    <t>1.3.6.1.4.1.9328.50.4.213844</t>
  </si>
  <si>
    <t>1.3.6.1.4.1.9328.50.4.212266</t>
  </si>
  <si>
    <t>ct/0187_spine_ct.nii.gz</t>
  </si>
  <si>
    <t>labels/0187_spine_label.nii.gz</t>
  </si>
  <si>
    <t>qc/0187_spine_qc.png</t>
  </si>
  <si>
    <t>1.3.6.1.4.1.9328.50.4.212967</t>
  </si>
  <si>
    <t>ct/0188_ct.nii.gz</t>
  </si>
  <si>
    <t>labels/0188_label.nii.gz</t>
  </si>
  <si>
    <t>qc/0188_qc.png</t>
  </si>
  <si>
    <t>LightSpeed VCT</t>
  </si>
  <si>
    <t>1.3.6.1.4.1.9328.50.4.219075</t>
  </si>
  <si>
    <t>ct/0193_ct.nii.gz</t>
  </si>
  <si>
    <t>labels/0193_label.nii.gz</t>
  </si>
  <si>
    <t>qc/0193_qc.png</t>
  </si>
  <si>
    <t>ct/0187_pelvic_ct.nii.gz</t>
  </si>
  <si>
    <t>labels/0187_pelvic_label.nii.gz</t>
  </si>
  <si>
    <t>qc/0187_pelvic_qc.png</t>
  </si>
  <si>
    <t>1.3.6.1.4.1.9328.50.4.216174</t>
  </si>
  <si>
    <t>ct/0190_ct.nii.gz</t>
  </si>
  <si>
    <t>labels/0190_label.nii.gz</t>
  </si>
  <si>
    <t>qc/0190_qc.png</t>
  </si>
  <si>
    <t>ct/0181_spine_ct.nii.gz</t>
  </si>
  <si>
    <t>labels/0181_spine_label.nii.gz</t>
  </si>
  <si>
    <t>qc/0181_spine_qc.png</t>
  </si>
  <si>
    <t>C</t>
  </si>
  <si>
    <t>Brilliance 64</t>
  </si>
  <si>
    <t>1.3.6.1.4.1.9328.50.4.220996</t>
  </si>
  <si>
    <t>1.3.6.1.4.1.9328.50.4.220343</t>
  </si>
  <si>
    <t>ct/0194_spine_ct.nii.gz</t>
  </si>
  <si>
    <t>labels/0194_spine_label.nii.gz</t>
  </si>
  <si>
    <t>qc/0194_spine_qc.png</t>
  </si>
  <si>
    <t>1.3.6.1.4.1.9328.50.4.228002</t>
  </si>
  <si>
    <t>1.3.6.1.4.1.9328.50.4.228023</t>
  </si>
  <si>
    <t>ct/0201_spine_ct.nii.gz</t>
  </si>
  <si>
    <t>labels/0201_spine_label.nii.gz</t>
  </si>
  <si>
    <t>qc/0201_spine_qc.png</t>
  </si>
  <si>
    <t>ct/0201_pelvic_ct.nii.gz</t>
  </si>
  <si>
    <t>labels/0201_pelvic_label.nii.gz</t>
  </si>
  <si>
    <t>qc/0201_pelvic_qc.png</t>
  </si>
  <si>
    <t>ct/0182_pelvic_ct.nii.gz</t>
  </si>
  <si>
    <t>labels/0182_pelvic_label.nii.gz</t>
  </si>
  <si>
    <t>qc/0182_pelvic_qc.png</t>
  </si>
  <si>
    <t>1.3.6.1.4.1.9328.50.4.226691</t>
  </si>
  <si>
    <t>ct/0199_ct.nii.gz</t>
  </si>
  <si>
    <t>labels/0199_label.nii.gz</t>
  </si>
  <si>
    <t>qc/0199_qc.png</t>
  </si>
  <si>
    <t>1.3.6.1.4.1.9328.50.4.221673</t>
  </si>
  <si>
    <t>ct/0195_ct.nii.gz</t>
  </si>
  <si>
    <t>labels/0195_label.nii.gz</t>
  </si>
  <si>
    <t>qc/0195_qc.png</t>
  </si>
  <si>
    <t>1.3.6.1.4.1.9328.50.4.228840</t>
  </si>
  <si>
    <t>1.3.6.1.4.1.9328.50.4.228862</t>
  </si>
  <si>
    <t>ct/0202_pelvic_ct.nii.gz</t>
  </si>
  <si>
    <t>labels/0202_pelvic_label.nii.gz</t>
  </si>
  <si>
    <t>qc/0202_pelvic_qc.png</t>
  </si>
  <si>
    <t>1.3.6.1.4.1.9328.50.4.230325</t>
  </si>
  <si>
    <t>ct/0203_ct.nii.gz</t>
  </si>
  <si>
    <t>labels/0203_label.nii.gz</t>
  </si>
  <si>
    <t>qc/0203_qc.png</t>
  </si>
  <si>
    <t>1.3.6.1.4.1.9328.50.4.223987</t>
  </si>
  <si>
    <t>ct/0197_ct.nii.gz</t>
  </si>
  <si>
    <t>labels/0197_label.nii.gz</t>
  </si>
  <si>
    <t>qc/0197_qc.png</t>
  </si>
  <si>
    <t>1.3.6.1.4.1.9328.50.4.216806</t>
  </si>
  <si>
    <t>ct/0191_ct.nii.gz</t>
  </si>
  <si>
    <t>labels/0191_label.nii.gz</t>
  </si>
  <si>
    <t>qc/0191_qc.png</t>
  </si>
  <si>
    <t>1.3.6.1.4.1.9328.50.4.231445</t>
  </si>
  <si>
    <t>1.3.6.1.4.1.9328.50.4.230820</t>
  </si>
  <si>
    <t>ct/0204_spine_ct.nii.gz</t>
  </si>
  <si>
    <t>labels/0204_spine_label.nii.gz</t>
  </si>
  <si>
    <t>qc/0204_spine_qc.png</t>
  </si>
  <si>
    <t>1.3.6.1.4.1.9328.50.4.232078</t>
  </si>
  <si>
    <t>1.3.6.1.4.1.9328.50.4.232057</t>
  </si>
  <si>
    <t>ct/0205_pelvic_ct.nii.gz</t>
  </si>
  <si>
    <t>labels/0205_pelvic_label.nii.gz</t>
  </si>
  <si>
    <t>qc/0205_pelvic_qc.png</t>
  </si>
  <si>
    <t>ct/0205_spine_ct.nii.gz</t>
  </si>
  <si>
    <t>labels/0205_spine_label.nii.gz</t>
  </si>
  <si>
    <t>qc/0205_spine_qc.png</t>
  </si>
  <si>
    <t>1.3.6.1.4.1.9328.50.4.214481</t>
  </si>
  <si>
    <t>ct/0189_ct.nii.gz</t>
  </si>
  <si>
    <t>labels/0189_label.nii.gz</t>
  </si>
  <si>
    <t>qc/0189_qc.png</t>
  </si>
  <si>
    <t>1.3.6.1.4.1.9328.50.4.227175</t>
  </si>
  <si>
    <t>ct/0200_ct.nii.gz</t>
  </si>
  <si>
    <t>labels/0200_label.nii.gz</t>
  </si>
  <si>
    <t>qc/0200_qc.png</t>
  </si>
  <si>
    <t>1.3.6.1.4.1.9328.50.4.234279</t>
  </si>
  <si>
    <t>ct/0207_ct.nii.gz</t>
  </si>
  <si>
    <t>labels/0207_label.nii.gz</t>
  </si>
  <si>
    <t>qc/0207_qc.png</t>
  </si>
  <si>
    <t>1.3.6.1.4.1.9328.50.4.236398</t>
  </si>
  <si>
    <t>1.3.6.1.4.1.9328.50.4.236900</t>
  </si>
  <si>
    <t>ct/0209_spine_ct.nii.gz</t>
  </si>
  <si>
    <t>labels/0209_spine_label.nii.gz</t>
  </si>
  <si>
    <t>qc/0209_spine_qc.png</t>
  </si>
  <si>
    <t>1.3.6.1.4.1.9328.50.4.235259</t>
  </si>
  <si>
    <t>1.3.6.1.4.1.9328.50.4.235806</t>
  </si>
  <si>
    <t>ct/0208_spine_ct.nii.gz</t>
  </si>
  <si>
    <t>labels/0208_spine_label.nii.gz</t>
  </si>
  <si>
    <t>qc/0208_spine_qc.png</t>
  </si>
  <si>
    <t>ct/0202_spine_ct.nii.gz</t>
  </si>
  <si>
    <t>labels/0202_spine_label.nii.gz</t>
  </si>
  <si>
    <t>qc/0202_spine_qc.png</t>
  </si>
  <si>
    <t>1.3.6.1.4.1.9328.50.4.233071</t>
  </si>
  <si>
    <t>ct/0206_ct.nii.gz</t>
  </si>
  <si>
    <t>labels/0206_label.nii.gz</t>
  </si>
  <si>
    <t>qc/0206_qc.png</t>
  </si>
  <si>
    <t>ct/0209_pelvic_ct.nii.gz</t>
  </si>
  <si>
    <t>labels/0209_pelvic_label.nii.gz</t>
  </si>
  <si>
    <t>qc/0209_pelvic_qc.png</t>
  </si>
  <si>
    <t>1.3.6.1.4.1.9328.50.4.237918</t>
  </si>
  <si>
    <t>1.3.6.1.4.1.9328.50.4.237404</t>
  </si>
  <si>
    <t>ct/0210_spine_ct.nii.gz</t>
  </si>
  <si>
    <t>labels/0210_spine_label.nii.gz</t>
  </si>
  <si>
    <t>qc/0210_spine_qc.png</t>
  </si>
  <si>
    <t>1.3.6.1.4.1.9328.50.4.239597</t>
  </si>
  <si>
    <t>ct/0212_ct.nii.gz</t>
  </si>
  <si>
    <t>labels/0212_label.nii.gz</t>
  </si>
  <si>
    <t>qc/0212_qc.png</t>
  </si>
  <si>
    <t>1.3.6.1.4.1.9328.50.4.240454</t>
  </si>
  <si>
    <t>1.3.6.1.4.1.9328.50.4.240956</t>
  </si>
  <si>
    <t>ct/0213_spine_ct.nii.gz</t>
  </si>
  <si>
    <t>labels/0213_spine_label.nii.gz</t>
  </si>
  <si>
    <t>qc/0213_spine_qc.png</t>
  </si>
  <si>
    <t>ct/0213_pelvic_ct.nii.gz</t>
  </si>
  <si>
    <t>labels/0213_pelvic_label.nii.gz</t>
  </si>
  <si>
    <t>qc/0213_pelvic_qc.png</t>
  </si>
  <si>
    <t>ct/0194_pelvic_ct.nii.gz</t>
  </si>
  <si>
    <t>labels/0194_pelvic_label.nii.gz</t>
  </si>
  <si>
    <t>qc/0194_pelvic_qc.png</t>
  </si>
  <si>
    <t>1.3.6.1.4.1.9328.50.4.217736</t>
  </si>
  <si>
    <t>ct/0192_ct.nii.gz</t>
  </si>
  <si>
    <t>labels/0192_label.nii.gz</t>
  </si>
  <si>
    <t>qc/0192_qc.png</t>
  </si>
  <si>
    <t>1.3.6.1.4.1.9328.50.4.241921</t>
  </si>
  <si>
    <t>ct/0214_ct.nii.gz</t>
  </si>
  <si>
    <t>labels/0214_label.nii.gz</t>
  </si>
  <si>
    <t>qc/0214_qc.png</t>
  </si>
  <si>
    <t>1.3.6.1.4.1.9328.50.4.238428</t>
  </si>
  <si>
    <t>ct/0211_ct.nii.gz</t>
  </si>
  <si>
    <t>labels/0211_label.nii.gz</t>
  </si>
  <si>
    <t>qc/0211_qc.png</t>
  </si>
  <si>
    <t>1.3.6.1.4.1.9328.50.4.222736</t>
  </si>
  <si>
    <t>ct/0196_ct.nii.gz</t>
  </si>
  <si>
    <t>labels/0196_label.nii.gz</t>
  </si>
  <si>
    <t>qc/0196_qc.png</t>
  </si>
  <si>
    <t>ct/0204_pelvic_ct.nii.gz</t>
  </si>
  <si>
    <t>labels/0204_pelvic_label.nii.gz</t>
  </si>
  <si>
    <t>qc/0204_pelvic_qc.png</t>
  </si>
  <si>
    <t>1.3.6.1.4.1.9328.50.4.242414</t>
  </si>
  <si>
    <t>1.3.6.1.4.1.9328.50.4.242435</t>
  </si>
  <si>
    <t>ct/0215_pelvic_ct.nii.gz</t>
  </si>
  <si>
    <t>labels/0215_pelvic_label.nii.gz</t>
  </si>
  <si>
    <t>qc/0215_pelvic_qc.png</t>
  </si>
  <si>
    <t>1.3.6.1.4.1.9328.50.4.243656</t>
  </si>
  <si>
    <t>ct/0216_spine_ct.nii.gz</t>
  </si>
  <si>
    <t>labels/0216_spine_label.nii.gz</t>
  </si>
  <si>
    <t>qc/0216_spine_qc.png</t>
  </si>
  <si>
    <t>ct/0208_pelvic_ct.nii.gz</t>
  </si>
  <si>
    <t>labels/0208_pelvic_label.nii.gz</t>
  </si>
  <si>
    <t>qc/0208_pelvic_qc.png</t>
  </si>
  <si>
    <t>1.3.6.1.4.1.9328.50.4.245220</t>
  </si>
  <si>
    <t>ct/0217_ct.nii.gz</t>
  </si>
  <si>
    <t>labels/0217_label.nii.gz</t>
  </si>
  <si>
    <t>qc/0217_qc.png</t>
  </si>
  <si>
    <t>1.3.6.1.4.1.9328.50.4.248017</t>
  </si>
  <si>
    <t>1.3.6.1.4.1.9328.50.4.248597</t>
  </si>
  <si>
    <t>ct/0220_spine_ct.nii.gz</t>
  </si>
  <si>
    <t>labels/0220_spine_label.nii.gz</t>
  </si>
  <si>
    <t>qc/0220_spine_qc.png</t>
  </si>
  <si>
    <t>1.3.6.1.4.1.9328.50.4.246818</t>
  </si>
  <si>
    <t>1.3.6.1.4.1.9328.50.4.247414</t>
  </si>
  <si>
    <t>ct/0219_pelvic_ct.nii.gz</t>
  </si>
  <si>
    <t>labels/0219_pelvic_label.nii.gz</t>
  </si>
  <si>
    <t>qc/0219_pelvic_qc.png</t>
  </si>
  <si>
    <t>1.3.6.1.4.1.9328.50.4.253247</t>
  </si>
  <si>
    <t>1.3.6.1.4.1.9328.50.4.252725</t>
  </si>
  <si>
    <t>ct/0224_spine_ct.nii.gz</t>
  </si>
  <si>
    <t>labels/0224_spine_label.nii.gz</t>
  </si>
  <si>
    <t>qc/0224_spine_qc.png</t>
  </si>
  <si>
    <t>ct/0220_pelvic_ct.nii.gz</t>
  </si>
  <si>
    <t>labels/0220_pelvic_label.nii.gz</t>
  </si>
  <si>
    <t>qc/0220_pelvic_qc.png</t>
  </si>
  <si>
    <t>ct/0210_pelvic_ct.nii.gz</t>
  </si>
  <si>
    <t>labels/0210_pelvic_label.nii.gz</t>
  </si>
  <si>
    <t>qc/0210_pelvic_qc.png</t>
  </si>
  <si>
    <t>ct/0224_pelvic_ct.nii.gz</t>
  </si>
  <si>
    <t>labels/0224_pelvic_label.nii.gz</t>
  </si>
  <si>
    <t>qc/0224_pelvic_qc.png</t>
  </si>
  <si>
    <t>1.3.6.1.4.1.9328.50.4.253764</t>
  </si>
  <si>
    <t>1.3.6.1.4.1.9328.50.4.254329</t>
  </si>
  <si>
    <t>ct/0225_spine_ct.nii.gz</t>
  </si>
  <si>
    <t>labels/0225_spine_label.nii.gz</t>
  </si>
  <si>
    <t>qc/0225_spine_qc.png</t>
  </si>
  <si>
    <t>1.3.6.1.4.1.9328.50.4.249202</t>
  </si>
  <si>
    <t>1.3.6.1.4.1.9328.50.4.249801</t>
  </si>
  <si>
    <t>ct/0221_pelvic_ct.nii.gz</t>
  </si>
  <si>
    <t>labels/0221_pelvic_label.nii.gz</t>
  </si>
  <si>
    <t>qc/0221_pelvic_qc.png</t>
  </si>
  <si>
    <t>1.3.6.1.4.1.9328.50.4.251043</t>
  </si>
  <si>
    <t>ct/0222_ct.nii.gz</t>
  </si>
  <si>
    <t>labels/0222_label.nii.gz</t>
  </si>
  <si>
    <t>qc/0222_qc.png</t>
  </si>
  <si>
    <t>1.3.6.1.4.1.9328.50.4.252164</t>
  </si>
  <si>
    <t>ct/0223_ct.nii.gz</t>
  </si>
  <si>
    <t>labels/0223_label.nii.gz</t>
  </si>
  <si>
    <t>qc/0223_qc.png</t>
  </si>
  <si>
    <t>1.3.6.1.4.1.9328.50.4.255460</t>
  </si>
  <si>
    <t>1.3.6.1.4.1.9328.50.4.254911</t>
  </si>
  <si>
    <t>ct/0226_pelvic_ct.nii.gz</t>
  </si>
  <si>
    <t>labels/0226_pelvic_label.nii.gz</t>
  </si>
  <si>
    <t>qc/0226_pelvic_qc.png</t>
  </si>
  <si>
    <t>1.3.6.1.4.1.9328.50.4.259942</t>
  </si>
  <si>
    <t>1.3.6.1.4.1.9328.50.4.259440</t>
  </si>
  <si>
    <t>ct/0230_spine_ct.nii.gz</t>
  </si>
  <si>
    <t>labels/0230_spine_label.nii.gz</t>
  </si>
  <si>
    <t>qc/0230_spine_qc.png</t>
  </si>
  <si>
    <t>ct/0230_pelvic_ct.nii.gz</t>
  </si>
  <si>
    <t>labels/0230_pelvic_label.nii.gz</t>
  </si>
  <si>
    <t>qc/0230_pelvic_qc.png</t>
  </si>
  <si>
    <t>ct/0215_spine_ct.nii.gz</t>
  </si>
  <si>
    <t>labels/0215_spine_label.nii.gz</t>
  </si>
  <si>
    <t>qc/0215_spine_qc.png</t>
  </si>
  <si>
    <t>1.3.6.1.4.1.9328.50.4.256010</t>
  </si>
  <si>
    <t>ct/0227_ct.nii.gz</t>
  </si>
  <si>
    <t>labels/0227_label.nii.gz</t>
  </si>
  <si>
    <t>qc/0227_qc.png</t>
  </si>
  <si>
    <t>1.3.6.1.4.1.9328.50.4.262190</t>
  </si>
  <si>
    <t>1.3.6.1.4.1.9328.50.4.261637</t>
  </si>
  <si>
    <t>ct/0232_spine_ct.nii.gz</t>
  </si>
  <si>
    <t>labels/0232_spine_label.nii.gz</t>
  </si>
  <si>
    <t>qc/0232_spine_qc.png</t>
  </si>
  <si>
    <t>ct/0232_pelvic_ct.nii.gz</t>
  </si>
  <si>
    <t>labels/0232_pelvic_label.nii.gz</t>
  </si>
  <si>
    <t>qc/0232_pelvic_qc.png</t>
  </si>
  <si>
    <t>1.3.6.1.4.1.9328.50.4.267814</t>
  </si>
  <si>
    <t>1.3.6.1.4.1.9328.50.4.267331</t>
  </si>
  <si>
    <t>ct/0237_pelvic_ct.nii.gz</t>
  </si>
  <si>
    <t>labels/0237_pelvic_label.nii.gz</t>
  </si>
  <si>
    <t>qc/0237_pelvic_qc.png</t>
  </si>
  <si>
    <t>1.3.6.1.4.1.9328.50.4.245764</t>
  </si>
  <si>
    <t>ct/0218_ct.nii.gz</t>
  </si>
  <si>
    <t>labels/0218_label.nii.gz</t>
  </si>
  <si>
    <t>qc/0218_qc.png</t>
  </si>
  <si>
    <t>1.3.6.1.4.1.9328.50.4.266828</t>
  </si>
  <si>
    <t>ct/0236_ct.nii.gz</t>
  </si>
  <si>
    <t>labels/0236_label.nii.gz</t>
  </si>
  <si>
    <t>qc/0236_qc.png</t>
  </si>
  <si>
    <t>ct/0219_spine_ct.nii.gz</t>
  </si>
  <si>
    <t>labels/0219_spine_label.nii.gz</t>
  </si>
  <si>
    <t>qc/0219_spine_qc.png</t>
  </si>
  <si>
    <t>1.3.6.1.4.1.9328.50.4.262714</t>
  </si>
  <si>
    <t>ct/0233_ct.nii.gz</t>
  </si>
  <si>
    <t>labels/0233_label.nii.gz</t>
  </si>
  <si>
    <t>qc/0233_qc.png</t>
  </si>
  <si>
    <t>ct/0221_spine_ct.nii.gz</t>
  </si>
  <si>
    <t>labels/0221_spine_label.nii.gz</t>
  </si>
  <si>
    <t>qc/0221_spine_qc.png</t>
  </si>
  <si>
    <t>1.3.6.1.4.1.9328.50.4.268291</t>
  </si>
  <si>
    <t>1.3.6.1.4.1.9328.50.4.268793</t>
  </si>
  <si>
    <t>ct/0238_spine_ct.nii.gz</t>
  </si>
  <si>
    <t>labels/0238_spine_label.nii.gz</t>
  </si>
  <si>
    <t>qc/0238_spine_qc.png</t>
  </si>
  <si>
    <t>1.3.6.1.4.1.9328.50.4.264773</t>
  </si>
  <si>
    <t>ct/0234_ct.nii.gz</t>
  </si>
  <si>
    <t>labels/0234_label.nii.gz</t>
  </si>
  <si>
    <t>qc/0234_qc.png</t>
  </si>
  <si>
    <t>ct/0225_pelvic_ct.nii.gz</t>
  </si>
  <si>
    <t>labels/0225_pelvic_label.nii.gz</t>
  </si>
  <si>
    <t>qc/0225_pelvic_qc.png</t>
  </si>
  <si>
    <t>1.3.6.1.4.1.9328.50.4.269834</t>
  </si>
  <si>
    <t>1.3.6.1.4.1.9328.50.4.269349</t>
  </si>
  <si>
    <t>ct/0239_pelvic_ct.nii.gz</t>
  </si>
  <si>
    <t>labels/0239_pelvic_label.nii.gz</t>
  </si>
  <si>
    <t>qc/0239_pelvic_qc.png</t>
  </si>
  <si>
    <t>ct/0239_spine_ct.nii.gz</t>
  </si>
  <si>
    <t>labels/0239_spine_label.nii.gz</t>
  </si>
  <si>
    <t>qc/0239_spine_qc.png</t>
  </si>
  <si>
    <t>ct/0238_pelvic_ct.nii.gz</t>
  </si>
  <si>
    <t>labels/0238_pelvic_label.nii.gz</t>
  </si>
  <si>
    <t>qc/0238_pelvic_qc.png</t>
  </si>
  <si>
    <t>ct/0226_spine_ct.nii.gz</t>
  </si>
  <si>
    <t>labels/0226_spine_label.nii.gz</t>
  </si>
  <si>
    <t>qc/0226_spine_qc.png</t>
  </si>
  <si>
    <t>1.3.6.1.4.1.9328.50.4.270660</t>
  </si>
  <si>
    <t>ct/0240_ct.nii.gz</t>
  </si>
  <si>
    <t>labels/0240_label.nii.gz</t>
  </si>
  <si>
    <t>qc/0240_qc.png</t>
  </si>
  <si>
    <t>1.3.6.1.4.1.9328.50.4.271071</t>
  </si>
  <si>
    <t>1.3.6.1.4.1.9328.50.4.271526</t>
  </si>
  <si>
    <t>ct/0241_spine_ct.nii.gz</t>
  </si>
  <si>
    <t>labels/0241_spine_label.nii.gz</t>
  </si>
  <si>
    <t>qc/0241_spine_qc.png</t>
  </si>
  <si>
    <t>ct/0241_pelvic_ct.nii.gz</t>
  </si>
  <si>
    <t>labels/0241_pelvic_label.nii.gz</t>
  </si>
  <si>
    <t>qc/0241_pelvic_qc.png</t>
  </si>
  <si>
    <t>1.3.6.1.4.1.9328.50.4.272611</t>
  </si>
  <si>
    <t>1.3.6.1.4.1.9328.50.4.272090</t>
  </si>
  <si>
    <t>ct/0243_spine_ct.nii.gz</t>
  </si>
  <si>
    <t>labels/0243_spine_label.nii.gz</t>
  </si>
  <si>
    <t>qc/0243_spine_qc.png</t>
  </si>
  <si>
    <t>ct/0243_pelvic_ct.nii.gz</t>
  </si>
  <si>
    <t>labels/0243_pelvic_label.nii.gz</t>
  </si>
  <si>
    <t>qc/0243_pelvic_qc.png</t>
  </si>
  <si>
    <t>ct/0237_spine_ct.nii.gz</t>
  </si>
  <si>
    <t>labels/0237_spine_label.nii.gz</t>
  </si>
  <si>
    <t>qc/0237_spine_qc.png</t>
  </si>
  <si>
    <t>1.3.6.1.4.1.9328.50.4.257786</t>
  </si>
  <si>
    <t>ct/0228_ct.nii.gz</t>
  </si>
  <si>
    <t>labels/0228_label.nii.gz</t>
  </si>
  <si>
    <t>qc/0228_qc.png</t>
  </si>
  <si>
    <t>1.3.6.1.4.1.9328.50.4.273749</t>
  </si>
  <si>
    <t>ct/0244_pelvic_ct.nii.gz</t>
  </si>
  <si>
    <t>labels/0244_pelvic_label.nii.gz</t>
  </si>
  <si>
    <t>qc/0244_pelvic_qc.png</t>
  </si>
  <si>
    <t>1.3.6.1.4.1.9328.50.4.260435</t>
  </si>
  <si>
    <t>ct/0231_spine_ct.nii.gz</t>
  </si>
  <si>
    <t>labels/0231_spine_label.nii.gz</t>
  </si>
  <si>
    <t>qc/0231_spine_qc.png</t>
  </si>
  <si>
    <t>1.3.6.1.4.1.9328.50.4.276065</t>
  </si>
  <si>
    <t>1.3.6.1.4.1.9328.50.4.275517</t>
  </si>
  <si>
    <t>ct/0247_spine_ct.nii.gz</t>
  </si>
  <si>
    <t>labels/0247_spine_label.nii.gz</t>
  </si>
  <si>
    <t>qc/0247_spine_qc.png</t>
  </si>
  <si>
    <t>1.3.6.1.4.1.9328.50.4.258345</t>
  </si>
  <si>
    <t>ct/0229_ct.nii.gz</t>
  </si>
  <si>
    <t>labels/0229_label.nii.gz</t>
  </si>
  <si>
    <t>qc/0229_qc.png</t>
  </si>
  <si>
    <t>1.3.6.1.4.1.9328.50.4.274421</t>
  </si>
  <si>
    <t>ct/0245_ct.nii.gz</t>
  </si>
  <si>
    <t>labels/0245_label.nii.gz</t>
  </si>
  <si>
    <t>qc/0245_qc.png</t>
  </si>
  <si>
    <t>1.3.6.1.4.1.9328.50.4.283265</t>
  </si>
  <si>
    <t>1.3.6.1.4.1.9328.50.4.283693</t>
  </si>
  <si>
    <t>ct/0253_pelvic_ct.nii.gz</t>
  </si>
  <si>
    <t>labels/0253_pelvic_label.nii.gz</t>
  </si>
  <si>
    <t>qc/0253_pelvic_qc.png</t>
  </si>
  <si>
    <t>ct/0253_spine_ct.nii.gz</t>
  </si>
  <si>
    <t>labels/0253_spine_label.nii.gz</t>
  </si>
  <si>
    <t>qc/0253_spine_qc.png</t>
  </si>
  <si>
    <t>1.3.6.1.4.1.9328.50.4.279249</t>
  </si>
  <si>
    <t>1.3.6.1.4.1.9328.50.4.278676</t>
  </si>
  <si>
    <t>ct/0249_pelvic_ct.nii.gz</t>
  </si>
  <si>
    <t>labels/0249_pelvic_label.nii.gz</t>
  </si>
  <si>
    <t>qc/0249_pelvic_qc.png</t>
  </si>
  <si>
    <t>1.3.6.1.4.1.9328.50.4.278119</t>
  </si>
  <si>
    <t>ct/0248_ct.nii.gz</t>
  </si>
  <si>
    <t>labels/0248_label.nii.gz</t>
  </si>
  <si>
    <t>qc/0248_qc.png</t>
  </si>
  <si>
    <t>1.3.6.1.4.1.9328.50.4.280395</t>
  </si>
  <si>
    <t>ct/0250_ct.nii.gz</t>
  </si>
  <si>
    <t>labels/0250_label.nii.gz</t>
  </si>
  <si>
    <t>qc/0250_qc.png</t>
  </si>
  <si>
    <t>1.3.6.1.4.1.9328.50.4.282052</t>
  </si>
  <si>
    <t>ct/0252_ct.nii.gz</t>
  </si>
  <si>
    <t>labels/0252_label.nii.gz</t>
  </si>
  <si>
    <t>qc/0252_qc.png</t>
  </si>
  <si>
    <t>1.3.6.1.4.1.9328.50.4.285363</t>
  </si>
  <si>
    <t>ct/0255_ct.nii.gz</t>
  </si>
  <si>
    <t>labels/0255_label.nii.gz</t>
  </si>
  <si>
    <t>qc/0255_qc.png</t>
  </si>
  <si>
    <t>1.3.6.1.4.1.9328.50.4.285983</t>
  </si>
  <si>
    <t>1.3.6.1.4.1.9328.50.4.286496</t>
  </si>
  <si>
    <t>ct/0256_spine_ct.nii.gz</t>
  </si>
  <si>
    <t>labels/0256_spine_label.nii.gz</t>
  </si>
  <si>
    <t>qc/0256_spine_qc.png</t>
  </si>
  <si>
    <t>1.3.6.1.4.1.9328.50.4.276569</t>
  </si>
  <si>
    <t>ct/0242_ct.nii.gz</t>
  </si>
  <si>
    <t>labels/0242_label.nii.gz</t>
  </si>
  <si>
    <t>qc/0242_qc.png</t>
  </si>
  <si>
    <t>ct/0256_pelvic_ct.nii.gz</t>
  </si>
  <si>
    <t>labels/0256_pelvic_label.nii.gz</t>
  </si>
  <si>
    <t>qc/0256_pelvic_qc.png</t>
  </si>
  <si>
    <t>ct/0247_pelvic_ct.nii.gz</t>
  </si>
  <si>
    <t>labels/0247_pelvic_label.nii.gz</t>
  </si>
  <si>
    <t>qc/0247_pelvic_qc.png</t>
  </si>
  <si>
    <t>1.3.6.1.4.1.9328.50.4.295128</t>
  </si>
  <si>
    <t>1.3.6.1.4.1.9328.50.4.295520</t>
  </si>
  <si>
    <t>ct/0264_pelvic_ct.nii.gz</t>
  </si>
  <si>
    <t>labels/0264_pelvic_label.nii.gz</t>
  </si>
  <si>
    <t>qc/0264_pelvic_qc.png</t>
  </si>
  <si>
    <t>1.3.6.1.4.1.9328.50.4.287961</t>
  </si>
  <si>
    <t>1.3.6.1.4.1.9328.50.4.288385</t>
  </si>
  <si>
    <t>ct/0257_pelvic_ct.nii.gz</t>
  </si>
  <si>
    <t>labels/0257_pelvic_label.nii.gz</t>
  </si>
  <si>
    <t>qc/0257_pelvic_qc.png</t>
  </si>
  <si>
    <t>ct/0257_spine_ct.nii.gz</t>
  </si>
  <si>
    <t>labels/0257_spine_label.nii.gz</t>
  </si>
  <si>
    <t>qc/0257_spine_qc.png</t>
  </si>
  <si>
    <t>1.3.6.1.4.1.9328.50.4.281543</t>
  </si>
  <si>
    <t>ct/0251_ct.nii.gz</t>
  </si>
  <si>
    <t>labels/0251_label.nii.gz</t>
  </si>
  <si>
    <t>qc/0251_qc.png</t>
  </si>
  <si>
    <t>ct/0264_spine_ct.nii.gz</t>
  </si>
  <si>
    <t>labels/0264_spine_label.nii.gz</t>
  </si>
  <si>
    <t>qc/0264_spine_qc.png</t>
  </si>
  <si>
    <t>1.3.6.1.4.1.9328.50.4.290273</t>
  </si>
  <si>
    <t>1.3.6.1.4.1.9328.50.4.290810</t>
  </si>
  <si>
    <t>ct/0260_pelvic_ct.nii.gz</t>
  </si>
  <si>
    <t>labels/0260_pelvic_label.nii.gz</t>
  </si>
  <si>
    <t>qc/0260_pelvic_qc.png</t>
  </si>
  <si>
    <t>1.3.6.1.4.1.9328.50.4.294602</t>
  </si>
  <si>
    <t>1.3.6.1.4.1.9328.50.4.294027</t>
  </si>
  <si>
    <t>ct/0263_spine_ct.nii.gz</t>
  </si>
  <si>
    <t>labels/0263_spine_label.nii.gz</t>
  </si>
  <si>
    <t>qc/0263_spine_qc.png</t>
  </si>
  <si>
    <t>1.3.6.1.4.1.9328.50.4.284239</t>
  </si>
  <si>
    <t>ct/0254_pelvic_ct.nii.gz</t>
  </si>
  <si>
    <t>labels/0254_pelvic_label.nii.gz</t>
  </si>
  <si>
    <t>qc/0254_pelvic_qc.png</t>
  </si>
  <si>
    <t>1.3.6.1.4.1.9328.50.4.291365</t>
  </si>
  <si>
    <t>1.3.6.1.4.1.9328.50.4.291953</t>
  </si>
  <si>
    <t>ct/0261_pelvic_ct.nii.gz</t>
  </si>
  <si>
    <t>labels/0261_pelvic_label.nii.gz</t>
  </si>
  <si>
    <t>qc/0261_pelvic_qc.png</t>
  </si>
  <si>
    <t>ct/0249_spine_ct.nii.gz</t>
  </si>
  <si>
    <t>labels/0249_spine_label.nii.gz</t>
  </si>
  <si>
    <t>qc/0249_spine_qc.png</t>
  </si>
  <si>
    <t>1.3.6.1.4.1.9328.50.4.287020</t>
  </si>
  <si>
    <t>ct/0246_ct.nii.gz</t>
  </si>
  <si>
    <t>labels/0246_label.nii.gz</t>
  </si>
  <si>
    <t>qc/0246_qc.png</t>
  </si>
  <si>
    <t>1.3.6.1.4.1.9328.50.4.295931</t>
  </si>
  <si>
    <t>1.3.6.1.4.1.9328.50.4.296419</t>
  </si>
  <si>
    <t>ct/0265_pelvic_ct.nii.gz</t>
  </si>
  <si>
    <t>labels/0265_pelvic_label.nii.gz</t>
  </si>
  <si>
    <t>qc/0265_pelvic_qc.png</t>
  </si>
  <si>
    <t>ct/0263_pelvic_ct.nii.gz</t>
  </si>
  <si>
    <t>labels/0263_pelvic_label.nii.gz</t>
  </si>
  <si>
    <t>qc/0263_pelvic_qc.png</t>
  </si>
  <si>
    <t>ct/0265_spine_ct.nii.gz</t>
  </si>
  <si>
    <t>labels/0265_spine_label.nii.gz</t>
  </si>
  <si>
    <t>qc/0265_spine_qc.png</t>
  </si>
  <si>
    <t>1.3.6.1.4.1.9328.50.4.289725</t>
  </si>
  <si>
    <t>ct/0259_spine_ct.nii.gz</t>
  </si>
  <si>
    <t>labels/0259_spine_label.nii.gz</t>
  </si>
  <si>
    <t>qc/0259_spine_qc.png</t>
  </si>
  <si>
    <t>1.3.6.1.4.1.9328.50.4.298464</t>
  </si>
  <si>
    <t>1.3.6.1.4.1.9328.50.4.297928</t>
  </si>
  <si>
    <t>ct/0267_pelvic_ct.nii.gz</t>
  </si>
  <si>
    <t>labels/0267_pelvic_label.nii.gz</t>
  </si>
  <si>
    <t>qc/0267_pelvic_qc.png</t>
  </si>
  <si>
    <t>ct/0267_spine_ct.nii.gz</t>
  </si>
  <si>
    <t>labels/0267_spine_label.nii.gz</t>
  </si>
  <si>
    <t>qc/0267_spine_qc.png</t>
  </si>
  <si>
    <t>1.3.6.1.4.1.9328.50.4.297421</t>
  </si>
  <si>
    <t>ct/0266_ct.nii.gz</t>
  </si>
  <si>
    <t>labels/0266_label.nii.gz</t>
  </si>
  <si>
    <t>qc/0266_qc.png</t>
  </si>
  <si>
    <t>ct/0260_spine_ct.nii.gz</t>
  </si>
  <si>
    <t>labels/0260_spine_label.nii.gz</t>
  </si>
  <si>
    <t>qc/0260_spine_qc.png</t>
  </si>
  <si>
    <t>1.3.6.1.4.1.9328.50.4.299794</t>
  </si>
  <si>
    <t>1.3.6.1.4.1.9328.50.4.300343</t>
  </si>
  <si>
    <t>ct/0269_spine_ct.nii.gz</t>
  </si>
  <si>
    <t>labels/0269_spine_label.nii.gz</t>
  </si>
  <si>
    <t>qc/0269_spine_qc.png</t>
  </si>
  <si>
    <t>1.3.6.1.4.1.9328.50.4.303356</t>
  </si>
  <si>
    <t>ct/0272_pelvic_ct.nii.gz</t>
  </si>
  <si>
    <t>labels/0272_pelvic_label.nii.gz</t>
  </si>
  <si>
    <t>qc/0272_pelvic_qc.png</t>
  </si>
  <si>
    <t>1.3.6.1.4.1.9328.50.4.307189</t>
  </si>
  <si>
    <t>ct/0276_pelvic_ct.nii.gz</t>
  </si>
  <si>
    <t>labels/0276_pelvic_label.nii.gz</t>
  </si>
  <si>
    <t>qc/0276_pelvic_qc.png</t>
  </si>
  <si>
    <t>1.3.6.1.4.1.9328.50.4.305514</t>
  </si>
  <si>
    <t>1.3.6.1.4.1.9328.50.4.305019</t>
  </si>
  <si>
    <t>ct/0274_pelvic_ct.nii.gz</t>
  </si>
  <si>
    <t>labels/0274_pelvic_label.nii.gz</t>
  </si>
  <si>
    <t>qc/0274_pelvic_qc.png</t>
  </si>
  <si>
    <t>1.3.6.1.4.1.9328.50.4.306133</t>
  </si>
  <si>
    <t>1.3.6.1.4.1.9328.50.4.306649</t>
  </si>
  <si>
    <t>ct/0275_spine_ct.nii.gz</t>
  </si>
  <si>
    <t>labels/0275_spine_label.nii.gz</t>
  </si>
  <si>
    <t>qc/0275_spine_qc.png</t>
  </si>
  <si>
    <t>1.3.6.1.4.1.9328.50.4.300901</t>
  </si>
  <si>
    <t>ct/0270_ct.nii.gz</t>
  </si>
  <si>
    <t>labels/0270_label.nii.gz</t>
  </si>
  <si>
    <t>qc/0270_qc.png</t>
  </si>
  <si>
    <t>1.3.6.1.4.1.9328.50.4.302355</t>
  </si>
  <si>
    <t>ct/0271_ct.nii.gz</t>
  </si>
  <si>
    <t>labels/0271_label.nii.gz</t>
  </si>
  <si>
    <t>qc/0271_qc.png</t>
  </si>
  <si>
    <t>ct/0274_spine_ct.nii.gz</t>
  </si>
  <si>
    <t>labels/0274_spine_label.nii.gz</t>
  </si>
  <si>
    <t>qc/0274_spine_qc.png</t>
  </si>
  <si>
    <t>ct/0261_spine_ct.nii.gz</t>
  </si>
  <si>
    <t>labels/0261_spine_label.nii.gz</t>
  </si>
  <si>
    <t>qc/0261_spine_qc.png</t>
  </si>
  <si>
    <t>1.3.6.1.4.1.9328.50.4.304376</t>
  </si>
  <si>
    <t>ct/0273_ct.nii.gz</t>
  </si>
  <si>
    <t>labels/0273_label.nii.gz</t>
  </si>
  <si>
    <t>qc/0273_qc.png</t>
  </si>
  <si>
    <t>1.3.6.1.4.1.9328.50.4.293405</t>
  </si>
  <si>
    <t>ct/0262_ct.nii.gz</t>
  </si>
  <si>
    <t>labels/0262_label.nii.gz</t>
  </si>
  <si>
    <t>qc/0262_qc.png</t>
  </si>
  <si>
    <t>1.3.6.1.4.1.9328.50.4.310145</t>
  </si>
  <si>
    <t>ct/0279_ct.nii.gz</t>
  </si>
  <si>
    <t>labels/0279_label.nii.gz</t>
  </si>
  <si>
    <t>qc/0279_qc.png</t>
  </si>
  <si>
    <t>1.3.6.1.4.1.9328.50.4.299313</t>
  </si>
  <si>
    <t>ct/0268_ct.nii.gz</t>
  </si>
  <si>
    <t>labels/0268_label.nii.gz</t>
  </si>
  <si>
    <t>qc/0268_qc.png</t>
  </si>
  <si>
    <t>1.3.6.1.4.1.9328.50.4.314570</t>
  </si>
  <si>
    <t>1.3.6.1.4.1.9328.50.4.314549</t>
  </si>
  <si>
    <t>ct/0283_pelvic_ct.nii.gz</t>
  </si>
  <si>
    <t>labels/0283_pelvic_label.nii.gz</t>
  </si>
  <si>
    <t>qc/0283_pelvic_qc.png</t>
  </si>
  <si>
    <t>ct/0283_spine_ct.nii.gz</t>
  </si>
  <si>
    <t>labels/0283_spine_label.nii.gz</t>
  </si>
  <si>
    <t>qc/0283_spine_qc.png</t>
  </si>
  <si>
    <t>ct/0269_pelvic_ct.nii.gz</t>
  </si>
  <si>
    <t>labels/0269_pelvic_label.nii.gz</t>
  </si>
  <si>
    <t>qc/0269_pelvic_qc.png</t>
  </si>
  <si>
    <t>1.3.6.1.4.1.9328.50.4.314078</t>
  </si>
  <si>
    <t>1.3.6.1.4.1.9328.50.4.313574</t>
  </si>
  <si>
    <t>ct/0282_pelvic_ct.nii.gz</t>
  </si>
  <si>
    <t>labels/0282_pelvic_label.nii.gz</t>
  </si>
  <si>
    <t>qc/0282_pelvic_qc.png</t>
  </si>
  <si>
    <t>1.3.6.1.4.1.9328.50.4.311342</t>
  </si>
  <si>
    <t>ct/0280_ct.nii.gz</t>
  </si>
  <si>
    <t>labels/0280_label.nii.gz</t>
  </si>
  <si>
    <t>qc/0280_qc.png</t>
  </si>
  <si>
    <t>1.3.6.1.4.1.9328.50.4.316595</t>
  </si>
  <si>
    <t>1.3.6.1.4.1.9328.50.4.316616</t>
  </si>
  <si>
    <t>ct/0285_spine_ct.nii.gz</t>
  </si>
  <si>
    <t>labels/0285_spine_label.nii.gz</t>
  </si>
  <si>
    <t>qc/0285_spine_qc.png</t>
  </si>
  <si>
    <t>1.3.6.1.4.1.9328.50.4.312547</t>
  </si>
  <si>
    <t>ct/0281_ct.nii.gz</t>
  </si>
  <si>
    <t>labels/0281_label.nii.gz</t>
  </si>
  <si>
    <t>qc/0281_qc.png</t>
  </si>
  <si>
    <t>ct/0275_pelvic_ct.nii.gz</t>
  </si>
  <si>
    <t>labels/0275_pelvic_label.nii.gz</t>
  </si>
  <si>
    <t>qc/0275_pelvic_qc.png</t>
  </si>
  <si>
    <t>ct/0285_pelvic_ct.nii.gz</t>
  </si>
  <si>
    <t>labels/0285_pelvic_label.nii.gz</t>
  </si>
  <si>
    <t>qc/0285_pelvic_qc.png</t>
  </si>
  <si>
    <t>1.3.6.1.4.1.9328.50.4.315443</t>
  </si>
  <si>
    <t>1.3.6.1.4.1.9328.50.4.315422</t>
  </si>
  <si>
    <t>ct/0284_pelvic_ct.nii.gz</t>
  </si>
  <si>
    <t>labels/0284_pelvic_label.nii.gz</t>
  </si>
  <si>
    <t>qc/0284_pelvic_qc.png</t>
  </si>
  <si>
    <t>1.3.6.1.4.1.9328.50.4.317622</t>
  </si>
  <si>
    <t>1.3.6.1.4.1.9328.50.4.317601</t>
  </si>
  <si>
    <t>ct/0286_spine_ct.nii.gz</t>
  </si>
  <si>
    <t>labels/0286_spine_label.nii.gz</t>
  </si>
  <si>
    <t>qc/0286_spine_qc.png</t>
  </si>
  <si>
    <t>ct/0286_pelvic_ct.nii.gz</t>
  </si>
  <si>
    <t>labels/0286_pelvic_label.nii.gz</t>
  </si>
  <si>
    <t>qc/0286_pelvic_qc.png</t>
  </si>
  <si>
    <t>1.3.6.1.4.1.9328.50.4.318668</t>
  </si>
  <si>
    <t>1.3.6.1.4.1.9328.50.4.318710</t>
  </si>
  <si>
    <t>ct/0287_spine_ct.nii.gz</t>
  </si>
  <si>
    <t>labels/0287_spine_label.nii.gz</t>
  </si>
  <si>
    <t>qc/0287_spine_qc.png</t>
  </si>
  <si>
    <t>1.3.6.1.4.1.9328.50.4.320231</t>
  </si>
  <si>
    <t>1.3.6.1.4.1.9328.50.4.320210</t>
  </si>
  <si>
    <t>ct/0288_spine_ct.nii.gz</t>
  </si>
  <si>
    <t>labels/0288_spine_label.nii.gz</t>
  </si>
  <si>
    <t>qc/0288_spine_qc.png</t>
  </si>
  <si>
    <t>1.3.6.1.4.1.9328.50.4.309145</t>
  </si>
  <si>
    <t>ct/0278_ct.nii.gz</t>
  </si>
  <si>
    <t>labels/0278_label.nii.gz</t>
  </si>
  <si>
    <t>qc/0278_qc.png</t>
  </si>
  <si>
    <t>ct/0287_pelvic_ct.nii.gz</t>
  </si>
  <si>
    <t>labels/0287_pelvic_label.nii.gz</t>
  </si>
  <si>
    <t>qc/0287_pelvic_qc.png</t>
  </si>
  <si>
    <t>1.3.6.1.4.1.9328.50.4.308108</t>
  </si>
  <si>
    <t>ct/0277_ct.nii.gz</t>
  </si>
  <si>
    <t>labels/0277_label.nii.gz</t>
  </si>
  <si>
    <t>qc/0277_qc.png</t>
  </si>
  <si>
    <t>ct/0282_spine_ct.nii.gz</t>
  </si>
  <si>
    <t>labels/0282_spine_label.nii.gz</t>
  </si>
  <si>
    <t>qc/0282_spine_qc.png</t>
  </si>
  <si>
    <t>1.3.6.1.4.1.9328.50.4.321325</t>
  </si>
  <si>
    <t>ct/0289_pelvic_ct.nii.gz</t>
  </si>
  <si>
    <t>labels/0289_pelvic_label.nii.gz</t>
  </si>
  <si>
    <t>qc/0289_pelvic_qc.png</t>
  </si>
  <si>
    <t>1.3.6.1.4.1.9328.50.4.322591</t>
  </si>
  <si>
    <t>1.3.6.1.4.1.9328.50.4.322570</t>
  </si>
  <si>
    <t>ct/0290_pelvic_ct.nii.gz</t>
  </si>
  <si>
    <t>labels/0290_pelvic_label.nii.gz</t>
  </si>
  <si>
    <t>qc/0290_pelvic_qc.png</t>
  </si>
  <si>
    <t>1.3.6.1.4.1.9328.50.4.323765</t>
  </si>
  <si>
    <t>1.3.6.1.4.1.9328.50.4.323744</t>
  </si>
  <si>
    <t>ct/0291_pelvic_ct.nii.gz</t>
  </si>
  <si>
    <t>labels/0291_pelvic_label.nii.gz</t>
  </si>
  <si>
    <t>qc/0291_pelvic_qc.png</t>
  </si>
  <si>
    <t>1.3.6.1.4.1.9328.50.4.324903</t>
  </si>
  <si>
    <t>1.3.6.1.4.1.9328.50.4.324882</t>
  </si>
  <si>
    <t>ct/0292_spine_ct.nii.gz</t>
  </si>
  <si>
    <t>labels/0292_spine_label.nii.gz</t>
  </si>
  <si>
    <t>qc/0292_spine_qc.png</t>
  </si>
  <si>
    <t>1.3.6.1.4.1.9328.50.4.326634</t>
  </si>
  <si>
    <t>1.3.6.1.4.1.9328.50.4.326026</t>
  </si>
  <si>
    <t>ct/0293_spine_ct.nii.gz</t>
  </si>
  <si>
    <t>labels/0293_spine_label.nii.gz</t>
  </si>
  <si>
    <t>qc/0293_spine_qc.png</t>
  </si>
  <si>
    <t>ct/0284_spine_ct.nii.gz</t>
  </si>
  <si>
    <t>labels/0284_spine_label.nii.gz</t>
  </si>
  <si>
    <t>qc/0284_spine_qc.png</t>
  </si>
  <si>
    <t>ct/0293_pelvic_ct.nii.gz</t>
  </si>
  <si>
    <t>labels/0293_pelvic_label.nii.gz</t>
  </si>
  <si>
    <t>qc/0293_pelvic_qc.png</t>
  </si>
  <si>
    <t>ct/0288_pelvic_ct.nii.gz</t>
  </si>
  <si>
    <t>labels/0288_pelvic_label.nii.gz</t>
  </si>
  <si>
    <t>qc/0288_pelvic_qc.png</t>
  </si>
  <si>
    <t>1.3.6.1.4.1.9328.50.4.329014</t>
  </si>
  <si>
    <t>ct/0295_pelvic_ct.nii.gz</t>
  </si>
  <si>
    <t>labels/0295_pelvic_label.nii.gz</t>
  </si>
  <si>
    <t>qc/0295_pelvic_qc.png</t>
  </si>
  <si>
    <t>1.3.6.1.4.1.9328.50.4.333365</t>
  </si>
  <si>
    <t>1.3.6.1.4.1.9328.50.4.333945</t>
  </si>
  <si>
    <t>ct/0298_pelvic_ct.nii.gz</t>
  </si>
  <si>
    <t>labels/0298_pelvic_label.nii.gz</t>
  </si>
  <si>
    <t>qc/0298_pelvic_qc.png</t>
  </si>
  <si>
    <t>1.3.6.1.4.1.9328.50.4.336371</t>
  </si>
  <si>
    <t>1.3.6.1.4.1.9328.50.4.335820</t>
  </si>
  <si>
    <t>ct/0300_spine_ct.nii.gz</t>
  </si>
  <si>
    <t>labels/0300_spine_label.nii.gz</t>
  </si>
  <si>
    <t>qc/0300_spine_qc.png</t>
  </si>
  <si>
    <t>ct/0298_spine_ct.nii.gz</t>
  </si>
  <si>
    <t>labels/0298_spine_label.nii.gz</t>
  </si>
  <si>
    <t>qc/0298_spine_qc.png</t>
  </si>
  <si>
    <t>1.3.6.1.4.1.9328.50.4.332208</t>
  </si>
  <si>
    <t>ct/0297_ct.nii.gz</t>
  </si>
  <si>
    <t>labels/0297_label.nii.gz</t>
  </si>
  <si>
    <t>qc/0297_qc.png</t>
  </si>
  <si>
    <t>1.3.6.1.4.1.9328.50.4.327335</t>
  </si>
  <si>
    <t>ct/0294_ct.nii.gz</t>
  </si>
  <si>
    <t>labels/0294_label.nii.gz</t>
  </si>
  <si>
    <t>qc/0294_qc.png</t>
  </si>
  <si>
    <t>1.3.6.1.4.1.9328.50.4.335116</t>
  </si>
  <si>
    <t>ct/0299_pelvic_ct.nii.gz</t>
  </si>
  <si>
    <t>labels/0299_pelvic_label.nii.gz</t>
  </si>
  <si>
    <t>qc/0299_pelvic_qc.png</t>
  </si>
  <si>
    <t>1.3.6.1.4.1.9328.50.4.338709</t>
  </si>
  <si>
    <t>ct/0302_pelvic_ct.nii.gz</t>
  </si>
  <si>
    <t>labels/0302_pelvic_label.nii.gz</t>
  </si>
  <si>
    <t>qc/0302_pelvic_qc.png</t>
  </si>
  <si>
    <t>ct/0290_spine_ct.nii.gz</t>
  </si>
  <si>
    <t>labels/0290_spine_label.nii.gz</t>
  </si>
  <si>
    <t>qc/0290_spine_qc.png</t>
  </si>
  <si>
    <t>ct/0291_spine_ct.nii.gz</t>
  </si>
  <si>
    <t>labels/0291_spine_label.nii.gz</t>
  </si>
  <si>
    <t>qc/0291_spine_qc.png</t>
  </si>
  <si>
    <t>ct/0300_pelvic_ct.nii.gz</t>
  </si>
  <si>
    <t>labels/0300_pelvic_label.nii.gz</t>
  </si>
  <si>
    <t>qc/0300_pelvic_qc.png</t>
  </si>
  <si>
    <t>ct/0292_pelvic_ct.nii.gz</t>
  </si>
  <si>
    <t>labels/0292_pelvic_label.nii.gz</t>
  </si>
  <si>
    <t>qc/0292_pelvic_qc.png</t>
  </si>
  <si>
    <t>1.3.6.1.4.1.9328.50.4.350249</t>
  </si>
  <si>
    <t>ct/0305_ct.nii.gz</t>
  </si>
  <si>
    <t>labels/0305_label.nii.gz</t>
  </si>
  <si>
    <t>qc/0305_qc.png</t>
  </si>
  <si>
    <t>1.3.6.1.4.1.9328.50.4.342843</t>
  </si>
  <si>
    <t>1.3.6.1.4.1.9328.50.4.342288</t>
  </si>
  <si>
    <t>ct/0306_spine_ct.nii.gz</t>
  </si>
  <si>
    <t>labels/0306_spine_label.nii.gz</t>
  </si>
  <si>
    <t>qc/0306_spine_qc.png</t>
  </si>
  <si>
    <t>ct/0306_pelvic_ct.nii.gz</t>
  </si>
  <si>
    <t>labels/0306_pelvic_label.nii.gz</t>
  </si>
  <si>
    <t>qc/0306_pelvic_qc.png</t>
  </si>
  <si>
    <t>1.3.6.1.4.1.9328.50.4.346986</t>
  </si>
  <si>
    <t>1.3.6.1.4.1.9328.50.4.347498</t>
  </si>
  <si>
    <t>ct/0310_pelvic_ct.nii.gz</t>
  </si>
  <si>
    <t>labels/0310_pelvic_label.nii.gz</t>
  </si>
  <si>
    <t>qc/0310_pelvic_qc.png</t>
  </si>
  <si>
    <t>1.3.6.1.4.1.9328.50.4.343471</t>
  </si>
  <si>
    <t>1.3.6.1.4.1.9328.50.4.344096</t>
  </si>
  <si>
    <t>ct/0307_pelvic_ct.nii.gz</t>
  </si>
  <si>
    <t>labels/0307_pelvic_label.nii.gz</t>
  </si>
  <si>
    <t>qc/0307_pelvic_qc.png</t>
  </si>
  <si>
    <t>1.3.6.1.4.1.9328.50.4.345279</t>
  </si>
  <si>
    <t>1.3.6.1.4.1.9328.50.4.344738</t>
  </si>
  <si>
    <t>ct/0308_pelvic_ct.nii.gz</t>
  </si>
  <si>
    <t>labels/0308_pelvic_label.nii.gz</t>
  </si>
  <si>
    <t>qc/0308_pelvic_qc.png</t>
  </si>
  <si>
    <t>ct/0310_spine_ct.nii.gz</t>
  </si>
  <si>
    <t>labels/0310_spine_label.nii.gz</t>
  </si>
  <si>
    <t>qc/0310_spine_qc.png</t>
  </si>
  <si>
    <t>ct/0307_spine_ct.nii.gz</t>
  </si>
  <si>
    <t>labels/0307_spine_label.nii.gz</t>
  </si>
  <si>
    <t>qc/0307_spine_qc.png</t>
  </si>
  <si>
    <t>1.3.6.1.4.1.9328.50.4.349012</t>
  </si>
  <si>
    <t>ct/0312_ct.nii.gz</t>
  </si>
  <si>
    <t>labels/0312_label.nii.gz</t>
  </si>
  <si>
    <t>qc/0312_qc.png</t>
  </si>
  <si>
    <t>1.3.6.1.4.1.9328.50.4.351331</t>
  </si>
  <si>
    <t>ct/0313_spine_ct.nii.gz</t>
  </si>
  <si>
    <t>labels/0313_spine_label.nii.gz</t>
  </si>
  <si>
    <t>qc/0313_spine_qc.png</t>
  </si>
  <si>
    <t>1.3.6.1.4.1.9328.50.4.348057</t>
  </si>
  <si>
    <t>ct/0311_ct.nii.gz</t>
  </si>
  <si>
    <t>labels/0311_label.nii.gz</t>
  </si>
  <si>
    <t>qc/0311_qc.png</t>
  </si>
  <si>
    <t>1.3.6.1.4.1.9328.50.4.353607</t>
  </si>
  <si>
    <t>1.3.6.1.4.1.9328.50.4.353068</t>
  </si>
  <si>
    <t>ct/0315_spine_ct.nii.gz</t>
  </si>
  <si>
    <t>labels/0315_spine_label.nii.gz</t>
  </si>
  <si>
    <t>qc/0315_spine_qc.png</t>
  </si>
  <si>
    <t>1.3.6.1.4.1.9328.50.4.330925</t>
  </si>
  <si>
    <t>ct/0296_ct.nii.gz</t>
  </si>
  <si>
    <t>labels/0296_label.nii.gz</t>
  </si>
  <si>
    <t>qc/0296_qc.png</t>
  </si>
  <si>
    <t>1.3.6.1.4.1.9328.50.4.339227</t>
  </si>
  <si>
    <t>ct/0303_ct.nii.gz</t>
  </si>
  <si>
    <t>labels/0303_label.nii.gz</t>
  </si>
  <si>
    <t>qc/0303_qc.png</t>
  </si>
  <si>
    <t>1.3.6.1.4.1.9328.50.4.351893</t>
  </si>
  <si>
    <t>ct/0314_ct.nii.gz</t>
  </si>
  <si>
    <t>labels/0314_label.nii.gz</t>
  </si>
  <si>
    <t>qc/0314_qc.png</t>
  </si>
  <si>
    <t>1.3.6.1.4.1.9328.50.4.355264</t>
  </si>
  <si>
    <t>1.3.6.1.4.1.9328.50.4.355808</t>
  </si>
  <si>
    <t>ct/0317_pelvic_ct.nii.gz</t>
  </si>
  <si>
    <t>labels/0317_pelvic_label.nii.gz</t>
  </si>
  <si>
    <t>qc/0317_pelvic_qc.png</t>
  </si>
  <si>
    <t>1.3.6.1.4.1.9328.50.4.357575</t>
  </si>
  <si>
    <t>1.3.6.1.4.1.9328.50.4.358183</t>
  </si>
  <si>
    <t>ct/0319_pelvic_ct.nii.gz</t>
  </si>
  <si>
    <t>labels/0319_pelvic_label.nii.gz</t>
  </si>
  <si>
    <t>qc/0319_pelvic_qc.png</t>
  </si>
  <si>
    <t>ct/0319_spine_ct.nii.gz</t>
  </si>
  <si>
    <t>labels/0319_spine_label.nii.gz</t>
  </si>
  <si>
    <t>qc/0319_spine_qc.png</t>
  </si>
  <si>
    <t>1.3.6.1.4.1.9328.50.4.358818</t>
  </si>
  <si>
    <t>1.3.6.1.4.1.9328.50.4.359350</t>
  </si>
  <si>
    <t>ct/0320_spine_ct.nii.gz</t>
  </si>
  <si>
    <t>labels/0320_spine_label.nii.gz</t>
  </si>
  <si>
    <t>qc/0320_spine_qc.png</t>
  </si>
  <si>
    <t>ct/0320_pelvic_ct.nii.gz</t>
  </si>
  <si>
    <t>labels/0320_pelvic_label.nii.gz</t>
  </si>
  <si>
    <t>qc/0320_pelvic_qc.png</t>
  </si>
  <si>
    <t>1.3.6.1.4.1.9328.50.4.340888</t>
  </si>
  <si>
    <t>ct/0304_ct.nii.gz</t>
  </si>
  <si>
    <t>labels/0304_label.nii.gz</t>
  </si>
  <si>
    <t>qc/0304_qc.png</t>
  </si>
  <si>
    <t>1.3.6.1.4.1.9328.50.4.337544</t>
  </si>
  <si>
    <t>ct/0301_ct.nii.gz</t>
  </si>
  <si>
    <t>labels/0301_label.nii.gz</t>
  </si>
  <si>
    <t>qc/0301_qc.png</t>
  </si>
  <si>
    <t>1.3.6.1.4.1.9328.50.4.365210</t>
  </si>
  <si>
    <t>1.3.6.1.4.1.9328.50.4.365369</t>
  </si>
  <si>
    <t>ct/0326_spine_ct.nii.gz</t>
  </si>
  <si>
    <t>labels/0326_spine_label.nii.gz</t>
  </si>
  <si>
    <t>qc/0326_spine_qc.png</t>
  </si>
  <si>
    <t>ct/0308_spine_ct.nii.gz</t>
  </si>
  <si>
    <t>labels/0308_spine_label.nii.gz</t>
  </si>
  <si>
    <t>qc/0308_spine_qc.png</t>
  </si>
  <si>
    <t>B20f</t>
  </si>
  <si>
    <t>1.3.6.1.4.1.9328.50.4.364771</t>
  </si>
  <si>
    <t>1.3.6.1.4.1.9328.50.4.364311</t>
  </si>
  <si>
    <t>ct/0325_pelvic_ct.nii.gz</t>
  </si>
  <si>
    <t>labels/0325_pelvic_label.nii.gz</t>
  </si>
  <si>
    <t>qc/0325_pelvic_qc.png</t>
  </si>
  <si>
    <t>ct/0325_spine_ct.nii.gz</t>
  </si>
  <si>
    <t>labels/0325_spine_label.nii.gz</t>
  </si>
  <si>
    <t>qc/0325_spine_qc.png</t>
  </si>
  <si>
    <t>ct/0315_pelvic_ct.nii.gz</t>
  </si>
  <si>
    <t>labels/0315_pelvic_label.nii.gz</t>
  </si>
  <si>
    <t>qc/0315_pelvic_qc.png</t>
  </si>
  <si>
    <t>1.3.6.1.4.1.9328.50.4.346380</t>
  </si>
  <si>
    <t>ct/0309_ct.nii.gz</t>
  </si>
  <si>
    <t>labels/0309_label.nii.gz</t>
  </si>
  <si>
    <t>qc/0309_qc.png</t>
  </si>
  <si>
    <t>1.3.6.1.4.1.9328.50.4.373923</t>
  </si>
  <si>
    <t>ct/0334_spine_ct.nii.gz</t>
  </si>
  <si>
    <t>labels/0334_spine_label.nii.gz</t>
  </si>
  <si>
    <t>qc/0334_spine_qc.png</t>
  </si>
  <si>
    <t>1.3.6.1.4.1.9328.50.4.359915</t>
  </si>
  <si>
    <t>ct/0321_ct.nii.gz</t>
  </si>
  <si>
    <t>labels/0321_label.nii.gz</t>
  </si>
  <si>
    <t>qc/0321_qc.png</t>
  </si>
  <si>
    <t>ct/0326_pelvic_ct.nii.gz</t>
  </si>
  <si>
    <t>labels/0326_pelvic_label.nii.gz</t>
  </si>
  <si>
    <t>qc/0326_pelvic_qc.png</t>
  </si>
  <si>
    <t>1.3.6.1.4.1.9328.50.4.362173</t>
  </si>
  <si>
    <t>ct/0323_ct.nii.gz</t>
  </si>
  <si>
    <t>labels/0323_label.nii.gz</t>
  </si>
  <si>
    <t>qc/0323_qc.png</t>
  </si>
  <si>
    <t>1.3.6.1.4.1.9328.50.4.363209</t>
  </si>
  <si>
    <t>ct/0324_ct.nii.gz</t>
  </si>
  <si>
    <t>labels/0324_label.nii.gz</t>
  </si>
  <si>
    <t>qc/0324_qc.png</t>
  </si>
  <si>
    <t>1.3.6.1.4.1.9328.50.4.354697</t>
  </si>
  <si>
    <t>ct/0316_ct.nii.gz</t>
  </si>
  <si>
    <t>labels/0316_label.nii.gz</t>
  </si>
  <si>
    <t>qc/0316_qc.png</t>
  </si>
  <si>
    <t>1.3.6.1.4.1.9328.50.4.360975</t>
  </si>
  <si>
    <t>ct/0322_ct.nii.gz</t>
  </si>
  <si>
    <t>labels/0322_label.nii.gz</t>
  </si>
  <si>
    <t>qc/0322_qc.png</t>
  </si>
  <si>
    <t>ct/0317_spine_ct.nii.gz</t>
  </si>
  <si>
    <t>labels/0317_spine_label.nii.gz</t>
  </si>
  <si>
    <t>qc/0317_spine_qc.png</t>
  </si>
  <si>
    <t>1.3.6.1.4.1.9328.50.4.369568</t>
  </si>
  <si>
    <t>ct/0330_ct.nii.gz</t>
  </si>
  <si>
    <t>labels/0330_label.nii.gz</t>
  </si>
  <si>
    <t>qc/0330_qc.png</t>
  </si>
  <si>
    <t>1.3.6.1.4.1.9328.50.4.366113</t>
  </si>
  <si>
    <t>1.3.6.1.4.1.9328.50.4.366464</t>
  </si>
  <si>
    <t>ct/0327_spine_ct.nii.gz</t>
  </si>
  <si>
    <t>labels/0327_spine_label.nii.gz</t>
  </si>
  <si>
    <t>qc/0327_spine_qc.png</t>
  </si>
  <si>
    <t>ct/0327_pelvic_ct.nii.gz</t>
  </si>
  <si>
    <t>labels/0327_pelvic_label.nii.gz</t>
  </si>
  <si>
    <t>qc/0327_pelvic_qc.png</t>
  </si>
  <si>
    <t>1.3.6.1.4.1.9328.50.4.367807</t>
  </si>
  <si>
    <t>ct/0328_spine_ct.nii.gz</t>
  </si>
  <si>
    <t>labels/0328_spine_label.nii.gz</t>
  </si>
  <si>
    <t>qc/0328_spine_qc.png</t>
  </si>
  <si>
    <t>1.3.6.1.4.1.9328.50.4.375684</t>
  </si>
  <si>
    <t>ct/0336_spine_ct.nii.gz</t>
  </si>
  <si>
    <t>labels/0336_spine_label.nii.gz</t>
  </si>
  <si>
    <t>qc/0336_spine_qc.png</t>
  </si>
  <si>
    <t>1.3.6.1.4.1.9328.50.4.368423</t>
  </si>
  <si>
    <t>ct/0329_spine_ct.nii.gz</t>
  </si>
  <si>
    <t>labels/0329_spine_label.nii.gz</t>
  </si>
  <si>
    <t>qc/0329_spine_qc.png</t>
  </si>
  <si>
    <t>1.3.6.1.4.1.9328.50.4.372327</t>
  </si>
  <si>
    <t>ct/0332_spine_ct.nii.gz</t>
  </si>
  <si>
    <t>labels/0332_spine_label.nii.gz</t>
  </si>
  <si>
    <t>qc/0332_spine_qc.png</t>
  </si>
  <si>
    <t>1.3.6.1.4.1.9328.50.4.372830</t>
  </si>
  <si>
    <t>ct/0333_spine_ct.nii.gz</t>
  </si>
  <si>
    <t>labels/0333_spine_label.nii.gz</t>
  </si>
  <si>
    <t>qc/0333_spine_qc.png</t>
  </si>
  <si>
    <t>1.3.6.1.4.1.9328.50.4.376569</t>
  </si>
  <si>
    <t>1.3.6.1.4.1.9328.50.4.379824</t>
  </si>
  <si>
    <t>ct/0337_pelvic_ct.nii.gz</t>
  </si>
  <si>
    <t>labels/0337_pelvic_label.nii.gz</t>
  </si>
  <si>
    <t>qc/0337_pelvic_qc.png</t>
  </si>
  <si>
    <t>1.3.6.1.4.1.9328.50.4.356958</t>
  </si>
  <si>
    <t>ct/0318_ct.nii.gz</t>
  </si>
  <si>
    <t>labels/0318_label.nii.gz</t>
  </si>
  <si>
    <t>qc/0318_qc.png</t>
  </si>
  <si>
    <t>1.3.6.1.4.1.9328.50.4.371188</t>
  </si>
  <si>
    <t>ct/0331_spine_ct.nii.gz</t>
  </si>
  <si>
    <t>labels/0331_spine_label.nii.gz</t>
  </si>
  <si>
    <t>qc/0331_spine_qc.png</t>
  </si>
  <si>
    <t>1.3.6.1.4.1.9328.50.4.380955</t>
  </si>
  <si>
    <t>1.3.6.1.4.1.9328.50.4.380287</t>
  </si>
  <si>
    <t>ct/0340_pelvic_ct.nii.gz</t>
  </si>
  <si>
    <t>labels/0340_pelvic_label.nii.gz</t>
  </si>
  <si>
    <t>qc/0340_pelvic_qc.png</t>
  </si>
  <si>
    <t>ct/0340_spine_ct.nii.gz</t>
  </si>
  <si>
    <t>labels/0340_spine_label.nii.gz</t>
  </si>
  <si>
    <t>qc/0340_spine_qc.png</t>
  </si>
  <si>
    <t>1.3.6.1.4.1.9328.50.4.381507</t>
  </si>
  <si>
    <t>1.3.6.1.4.1.9328.50.4.409342</t>
  </si>
  <si>
    <t>ct/0341_spine_ct.nii.gz</t>
  </si>
  <si>
    <t>labels/0341_spine_label.nii.gz</t>
  </si>
  <si>
    <t>qc/0341_spine_qc.png</t>
  </si>
  <si>
    <t>1.3.6.1.4.1.9328.50.4.383109</t>
  </si>
  <si>
    <t>ct/0343_spine_ct.nii.gz</t>
  </si>
  <si>
    <t>labels/0343_spine_label.nii.gz</t>
  </si>
  <si>
    <t>qc/0343_spine_qc.png</t>
  </si>
  <si>
    <t>ct/0341_pelvic_ct.nii.gz</t>
  </si>
  <si>
    <t>labels/0341_pelvic_label.nii.gz</t>
  </si>
  <si>
    <t>qc/0341_pelvic_qc.png</t>
  </si>
  <si>
    <t>1.3.6.1.4.1.9328.50.4.392097</t>
  </si>
  <si>
    <t>1.3.6.1.4.1.9328.50.4.392579</t>
  </si>
  <si>
    <t>ct/0351_pelvic_ct.nii.gz</t>
  </si>
  <si>
    <t>labels/0351_pelvic_label.nii.gz</t>
  </si>
  <si>
    <t>qc/0351_pelvic_qc.png</t>
  </si>
  <si>
    <t>1.3.6.1.4.1.9328.50.4.390294</t>
  </si>
  <si>
    <t>1.3.6.1.4.1.9328.50.4.389792</t>
  </si>
  <si>
    <t>ct/0349_pelvic_ct.nii.gz</t>
  </si>
  <si>
    <t>labels/0349_pelvic_label.nii.gz</t>
  </si>
  <si>
    <t>qc/0349_pelvic_qc.png</t>
  </si>
  <si>
    <t>1.3.6.1.4.1.9328.50.4.382486</t>
  </si>
  <si>
    <t>ct/0342_ct.nii.gz</t>
  </si>
  <si>
    <t>labels/0342_label.nii.gz</t>
  </si>
  <si>
    <t>qc/0342_qc.png</t>
  </si>
  <si>
    <t>1.3.6.1.4.1.9328.50.4.393067</t>
  </si>
  <si>
    <t>ct/0352_ct.nii.gz</t>
  </si>
  <si>
    <t>labels/0352_label.nii.gz</t>
  </si>
  <si>
    <t>qc/0352_qc.png</t>
  </si>
  <si>
    <t>1.3.6.1.4.1.9328.50.4.385146</t>
  </si>
  <si>
    <t>ct/0345_ct.nii.gz</t>
  </si>
  <si>
    <t>labels/0345_label.nii.gz</t>
  </si>
  <si>
    <t>qc/0345_qc.png</t>
  </si>
  <si>
    <t>ct/0351_spine_ct.nii.gz</t>
  </si>
  <si>
    <t>labels/0351_spine_label.nii.gz</t>
  </si>
  <si>
    <t>qc/0351_spine_qc.png</t>
  </si>
  <si>
    <t>ct/0349_spine_ct.nii.gz</t>
  </si>
  <si>
    <t>labels/0349_spine_label.nii.gz</t>
  </si>
  <si>
    <t>qc/0349_spine_qc.png</t>
  </si>
  <si>
    <t>1.3.6.1.4.1.9328.50.4.394044</t>
  </si>
  <si>
    <t>1.3.6.1.4.1.9328.50.4.394525</t>
  </si>
  <si>
    <t>ct/0353_pelvic_ct.nii.gz</t>
  </si>
  <si>
    <t>labels/0353_pelvic_label.nii.gz</t>
  </si>
  <si>
    <t>qc/0353_pelvic_qc.png</t>
  </si>
  <si>
    <t>ct/0337_spine_ct.nii.gz</t>
  </si>
  <si>
    <t>labels/0337_spine_label.nii.gz</t>
  </si>
  <si>
    <t>qc/0337_spine_qc.png</t>
  </si>
  <si>
    <t>1.3.6.1.4.1.9328.50.4.378443</t>
  </si>
  <si>
    <t>1.3.6.1.4.1.9328.50.4.378962</t>
  </si>
  <si>
    <t>ct/0339_spine_ct.nii.gz</t>
  </si>
  <si>
    <t>labels/0339_spine_label.nii.gz</t>
  </si>
  <si>
    <t>qc/0339_spine_qc.png</t>
  </si>
  <si>
    <t>ct/0339_pelvic_ct.nii.gz</t>
  </si>
  <si>
    <t>labels/0339_pelvic_label.nii.gz</t>
  </si>
  <si>
    <t>qc/0339_pelvic_qc.png</t>
  </si>
  <si>
    <t>1.3.6.1.4.1.9328.50.4.375066</t>
  </si>
  <si>
    <t>ct/0335_spine_ct.nii.gz</t>
  </si>
  <si>
    <t>labels/0335_spine_label.nii.gz</t>
  </si>
  <si>
    <t>qc/0335_spine_qc.png</t>
  </si>
  <si>
    <t>1.3.6.1.4.1.9328.50.4.395008</t>
  </si>
  <si>
    <t>1.3.6.1.4.1.9328.50.4.395431</t>
  </si>
  <si>
    <t>ct/0354_spine_ct.nii.gz</t>
  </si>
  <si>
    <t>labels/0354_spine_label.nii.gz</t>
  </si>
  <si>
    <t>qc/0354_spine_qc.png</t>
  </si>
  <si>
    <t>1.3.6.1.4.1.9328.50.4.391460</t>
  </si>
  <si>
    <t>ct/0350_ct.nii.gz</t>
  </si>
  <si>
    <t>labels/0350_label.nii.gz</t>
  </si>
  <si>
    <t>qc/0350_qc.png</t>
  </si>
  <si>
    <t>1.3.6.1.4.1.9328.50.4.377281</t>
  </si>
  <si>
    <t>1.3.6.1.4.1.9328.50.4.377841</t>
  </si>
  <si>
    <t>ct/0338_pelvic_ct.nii.gz</t>
  </si>
  <si>
    <t>labels/0338_pelvic_label.nii.gz</t>
  </si>
  <si>
    <t>qc/0338_pelvic_qc.png</t>
  </si>
  <si>
    <t>ct/0338_spine_ct.nii.gz</t>
  </si>
  <si>
    <t>labels/0338_spine_label.nii.gz</t>
  </si>
  <si>
    <t>qc/0338_spine_qc.png</t>
  </si>
  <si>
    <t>ct/0354_pelvic_ct.nii.gz</t>
  </si>
  <si>
    <t>labels/0354_pelvic_label.nii.gz</t>
  </si>
  <si>
    <t>qc/0354_pelvic_qc.png</t>
  </si>
  <si>
    <t>1.3.6.1.4.1.9328.50.4.397039</t>
  </si>
  <si>
    <t>1.3.6.1.4.1.9328.50.4.397514</t>
  </si>
  <si>
    <t>ct/0356_spine_ct.nii.gz</t>
  </si>
  <si>
    <t>labels/0356_spine_label.nii.gz</t>
  </si>
  <si>
    <t>qc/0356_spine_qc.png</t>
  </si>
  <si>
    <t>1.3.6.1.4.1.9328.50.4.398446</t>
  </si>
  <si>
    <t>1.3.6.1.4.1.9328.50.4.398010</t>
  </si>
  <si>
    <t>ct/0357_pelvic_ct.nii.gz</t>
  </si>
  <si>
    <t>labels/0357_pelvic_label.nii.gz</t>
  </si>
  <si>
    <t>qc/0357_pelvic_qc.png</t>
  </si>
  <si>
    <t>ct/0357_spine_ct.nii.gz</t>
  </si>
  <si>
    <t>labels/0357_spine_label.nii.gz</t>
  </si>
  <si>
    <t>qc/0357_spine_qc.png</t>
  </si>
  <si>
    <t>ct/0356_pelvic_ct.nii.gz</t>
  </si>
  <si>
    <t>labels/0356_pelvic_label.nii.gz</t>
  </si>
  <si>
    <t>qc/0356_pelvic_qc.png</t>
  </si>
  <si>
    <t>1.3.6.1.4.1.9328.50.4.395952</t>
  </si>
  <si>
    <t>1.3.6.1.4.1.9328.50.4.396471</t>
  </si>
  <si>
    <t>ct/0355_pelvic_ct.nii.gz</t>
  </si>
  <si>
    <t>labels/0355_pelvic_label.nii.gz</t>
  </si>
  <si>
    <t>qc/0355_pelvic_qc.png</t>
  </si>
  <si>
    <t>ct/0355_spine_ct.nii.gz</t>
  </si>
  <si>
    <t>labels/0355_spine_label.nii.gz</t>
  </si>
  <si>
    <t>qc/0355_spine_qc.png</t>
  </si>
  <si>
    <t>1.3.6.1.4.1.9328.50.4.401176</t>
  </si>
  <si>
    <t>1.3.6.1.4.1.9328.50.4.401643</t>
  </si>
  <si>
    <t>ct/0360_spine_ct.nii.gz</t>
  </si>
  <si>
    <t>labels/0360_spine_label.nii.gz</t>
  </si>
  <si>
    <t>qc/0360_spine_qc.png</t>
  </si>
  <si>
    <t>ct/0360_pelvic_ct.nii.gz</t>
  </si>
  <si>
    <t>labels/0360_pelvic_label.nii.gz</t>
  </si>
  <si>
    <t>qc/0360_pelvic_qc.png</t>
  </si>
  <si>
    <t>1.3.6.1.4.1.9328.50.4.399435</t>
  </si>
  <si>
    <t>1.3.6.1.4.1.9328.50.4.398859</t>
  </si>
  <si>
    <t>ct/0358_spine_ct.nii.gz</t>
  </si>
  <si>
    <t>labels/0358_spine_label.nii.gz</t>
  </si>
  <si>
    <t>qc/0358_spine_qc.png</t>
  </si>
  <si>
    <t>ct/0358_pelvic_ct.nii.gz</t>
  </si>
  <si>
    <t>labels/0358_pelvic_label.nii.gz</t>
  </si>
  <si>
    <t>qc/0358_pelvic_qc.png</t>
  </si>
  <si>
    <t>1.3.6.1.4.1.9328.50.4.384117</t>
  </si>
  <si>
    <t>ct/0344_spine_ct.nii.gz</t>
  </si>
  <si>
    <t>labels/0344_spine_label.nii.gz</t>
  </si>
  <si>
    <t>qc/0344_spine_qc.png</t>
  </si>
  <si>
    <t>ct/0353_spine_ct.nii.gz</t>
  </si>
  <si>
    <t>labels/0353_spine_label.nii.gz</t>
  </si>
  <si>
    <t>qc/0353_spine_qc.png</t>
  </si>
  <si>
    <t>1.3.6.1.4.1.9328.50.4.400034</t>
  </si>
  <si>
    <t>ct/0359_ct.nii.gz</t>
  </si>
  <si>
    <t>labels/0359_label.nii.gz</t>
  </si>
  <si>
    <t>qc/0359_qc.png</t>
  </si>
  <si>
    <t>1.3.6.1.4.1.9328.50.4.404080</t>
  </si>
  <si>
    <t>1.3.6.1.4.1.9328.50.4.407352</t>
  </si>
  <si>
    <t>ct/0363_pelvic_ct.nii.gz</t>
  </si>
  <si>
    <t>labels/0363_pelvic_label.nii.gz</t>
  </si>
  <si>
    <t>qc/0363_pelvic_qc.png</t>
  </si>
  <si>
    <t>1.3.6.1.4.1.9328.50.4.387514</t>
  </si>
  <si>
    <t>ct/0347_spine_ct.nii.gz</t>
  </si>
  <si>
    <t>labels/0347_spine_label.nii.gz</t>
  </si>
  <si>
    <t>qc/0347_spine_qc.png</t>
  </si>
  <si>
    <t>1.3.6.1.4.1.9328.50.4.386308</t>
  </si>
  <si>
    <t>ct/0346_ct.nii.gz</t>
  </si>
  <si>
    <t>labels/0346_label.nii.gz</t>
  </si>
  <si>
    <t>qc/0346_qc.png</t>
  </si>
  <si>
    <t>1.3.6.1.4.1.9328.50.4.404640</t>
  </si>
  <si>
    <t>ct/0364_spine_ct.nii.gz</t>
  </si>
  <si>
    <t>labels/0364_spine_label.nii.gz</t>
  </si>
  <si>
    <t>qc/0364_spine_qc.png</t>
  </si>
  <si>
    <t>1.3.6.1.4.1.9328.50.4.409981</t>
  </si>
  <si>
    <t>1.3.6.1.4.1.9328.50.4.409960</t>
  </si>
  <si>
    <t>ct/0367_spine_ct.nii.gz</t>
  </si>
  <si>
    <t>labels/0367_spine_label.nii.gz</t>
  </si>
  <si>
    <t>qc/0367_spine_qc.png</t>
  </si>
  <si>
    <t>1.3.6.1.4.1.9328.50.4.406157</t>
  </si>
  <si>
    <t>ct/0365_ct.nii.gz</t>
  </si>
  <si>
    <t>labels/0365_label.nii.gz</t>
  </si>
  <si>
    <t>qc/0365_qc.png</t>
  </si>
  <si>
    <t>1.3.6.1.4.1.9328.50.4.414387</t>
  </si>
  <si>
    <t>1.3.6.1.4.1.9328.50.4.414408</t>
  </si>
  <si>
    <t>ct/0371_spine_ct.nii.gz</t>
  </si>
  <si>
    <t>labels/0371_spine_label.nii.gz</t>
  </si>
  <si>
    <t>qc/0371_spine_qc.png</t>
  </si>
  <si>
    <t>1.3.6.1.4.1.9328.50.4.412241</t>
  </si>
  <si>
    <t>ct/0369_spine_ct.nii.gz</t>
  </si>
  <si>
    <t>labels/0369_spine_label.nii.gz</t>
  </si>
  <si>
    <t>qc/0369_spine_qc.png</t>
  </si>
  <si>
    <t>ct/0367_pelvic_ct.nii.gz</t>
  </si>
  <si>
    <t>labels/0367_pelvic_label.nii.gz</t>
  </si>
  <si>
    <t>qc/0367_pelvic_qc.png</t>
  </si>
  <si>
    <t>1.3.6.1.4.1.9328.50.4.411170</t>
  </si>
  <si>
    <t>ct/0368_ct.nii.gz</t>
  </si>
  <si>
    <t>labels/0368_label.nii.gz</t>
  </si>
  <si>
    <t>qc/0368_qc.png</t>
  </si>
  <si>
    <t>1.3.6.1.4.1.9328.50.4.413328</t>
  </si>
  <si>
    <t>ct/0370_ct.nii.gz</t>
  </si>
  <si>
    <t>labels/0370_label.nii.gz</t>
  </si>
  <si>
    <t>qc/0370_qc.png</t>
  </si>
  <si>
    <t>1.3.6.1.4.1.9328.50.4.417669</t>
  </si>
  <si>
    <t>1.3.6.1.4.1.9328.50.4.418290</t>
  </si>
  <si>
    <t>ct/0374_spine_ct.nii.gz</t>
  </si>
  <si>
    <t>labels/0374_spine_label.nii.gz</t>
  </si>
  <si>
    <t>qc/0374_spine_qc.png</t>
  </si>
  <si>
    <t>1.3.6.1.4.1.9328.50.4.403562</t>
  </si>
  <si>
    <t>ct/0362_ct.nii.gz</t>
  </si>
  <si>
    <t>labels/0362_label.nii.gz</t>
  </si>
  <si>
    <t>qc/0362_qc.png</t>
  </si>
  <si>
    <t>ct/0374_pelvic_ct.nii.gz</t>
  </si>
  <si>
    <t>labels/0374_pelvic_label.nii.gz</t>
  </si>
  <si>
    <t>qc/0374_pelvic_qc.png</t>
  </si>
  <si>
    <t>1.3.6.1.4.1.9328.50.4.424844</t>
  </si>
  <si>
    <t>1.3.6.1.4.1.9328.50.4.425328</t>
  </si>
  <si>
    <t>ct/0380_spine_ct.nii.gz</t>
  </si>
  <si>
    <t>labels/0380_spine_label.nii.gz</t>
  </si>
  <si>
    <t>qc/0380_spine_qc.png</t>
  </si>
  <si>
    <t>ct/0380_pelvic_ct.nii.gz</t>
  </si>
  <si>
    <t>labels/0380_pelvic_label.nii.gz</t>
  </si>
  <si>
    <t>qc/0380_pelvic_qc.png</t>
  </si>
  <si>
    <t>1.3.6.1.4.1.9328.50.4.416553</t>
  </si>
  <si>
    <t>ct/0373_ct.nii.gz</t>
  </si>
  <si>
    <t>labels/0373_label.nii.gz</t>
  </si>
  <si>
    <t>qc/0373_qc.png</t>
  </si>
  <si>
    <t>ct/0371_pelvic_ct.nii.gz</t>
  </si>
  <si>
    <t>labels/0371_pelvic_label.nii.gz</t>
  </si>
  <si>
    <t>qc/0371_pelvic_qc.png</t>
  </si>
  <si>
    <t>1.3.6.1.4.1.9328.50.4.415337</t>
  </si>
  <si>
    <t>ct/0372_ct.nii.gz</t>
  </si>
  <si>
    <t>labels/0372_label.nii.gz</t>
  </si>
  <si>
    <t>qc/0372_qc.png</t>
  </si>
  <si>
    <t>ct/0363_spine_ct.nii.gz</t>
  </si>
  <si>
    <t>labels/0363_spine_label.nii.gz</t>
  </si>
  <si>
    <t>qc/0363_spine_qc.png</t>
  </si>
  <si>
    <t>1.3.6.1.4.1.9328.50.4.408498</t>
  </si>
  <si>
    <t>1.3.6.1.4.1.9328.50.4.407905</t>
  </si>
  <si>
    <t>ct/0366_pelvic_ct.nii.gz</t>
  </si>
  <si>
    <t>labels/0366_pelvic_label.nii.gz</t>
  </si>
  <si>
    <t>qc/0366_pelvic_qc.png</t>
  </si>
  <si>
    <t>1.3.6.1.4.1.9328.50.4.402593</t>
  </si>
  <si>
    <t>ct/0361_ct.nii.gz</t>
  </si>
  <si>
    <t>labels/0361_label.nii.gz</t>
  </si>
  <si>
    <t>qc/0361_qc.png</t>
  </si>
  <si>
    <t>ct/0366_spine_ct.nii.gz</t>
  </si>
  <si>
    <t>labels/0366_spine_label.nii.gz</t>
  </si>
  <si>
    <t>qc/0366_spine_qc.png</t>
  </si>
  <si>
    <t>1.3.6.1.4.1.9328.50.4.427922</t>
  </si>
  <si>
    <t>1.3.6.1.4.1.9328.50.4.428383</t>
  </si>
  <si>
    <t>ct/0383_spine_ct.nii.gz</t>
  </si>
  <si>
    <t>labels/0383_spine_label.nii.gz</t>
  </si>
  <si>
    <t>qc/0383_spine_qc.png</t>
  </si>
  <si>
    <t>1.3.6.1.4.1.9328.50.4.427428</t>
  </si>
  <si>
    <t>ct/0382_ct.nii.gz</t>
  </si>
  <si>
    <t>labels/0382_label.nii.gz</t>
  </si>
  <si>
    <t>qc/0382_qc.png</t>
  </si>
  <si>
    <t>1.3.6.1.4.1.9328.50.4.422576</t>
  </si>
  <si>
    <t>1.3.6.1.4.1.9328.50.4.423154</t>
  </si>
  <si>
    <t>ct/0378_spine_ct.nii.gz</t>
  </si>
  <si>
    <t>labels/0378_spine_label.nii.gz</t>
  </si>
  <si>
    <t>qc/0378_spine_qc.png</t>
  </si>
  <si>
    <t>1.3.6.1.4.1.9328.50.4.426372</t>
  </si>
  <si>
    <t>ct/0381_ct.nii.gz</t>
  </si>
  <si>
    <t>labels/0381_label.nii.gz</t>
  </si>
  <si>
    <t>qc/0381_qc.png</t>
  </si>
  <si>
    <t>ct/0378_pelvic_ct.nii.gz</t>
  </si>
  <si>
    <t>labels/0378_pelvic_label.nii.gz</t>
  </si>
  <si>
    <t>qc/0378_pelvic_qc.png</t>
  </si>
  <si>
    <t>1.3.6.1.4.1.9328.50.4.428867</t>
  </si>
  <si>
    <t>1.3.6.1.4.1.9328.50.4.429440</t>
  </si>
  <si>
    <t>ct/0384_pelvic_ct.nii.gz</t>
  </si>
  <si>
    <t>labels/0384_pelvic_label.nii.gz</t>
  </si>
  <si>
    <t>qc/0384_pelvic_qc.png</t>
  </si>
  <si>
    <t>1.3.6.1.4.1.9328.50.4.421985</t>
  </si>
  <si>
    <t>ct/0377_ct.nii.gz</t>
  </si>
  <si>
    <t>labels/0377_label.nii.gz</t>
  </si>
  <si>
    <t>qc/0377_qc.png</t>
  </si>
  <si>
    <t>ct/0383_pelvic_ct.nii.gz</t>
  </si>
  <si>
    <t>labels/0383_pelvic_label.nii.gz</t>
  </si>
  <si>
    <t>qc/0383_pelvic_qc.png</t>
  </si>
  <si>
    <t>1.3.6.1.4.1.9328.50.4.434878</t>
  </si>
  <si>
    <t>ct/0389_ct.nii.gz</t>
  </si>
  <si>
    <t>labels/0389_label.nii.gz</t>
  </si>
  <si>
    <t>qc/0389_qc.png</t>
  </si>
  <si>
    <t>1.3.6.1.4.1.9328.50.4.436419</t>
  </si>
  <si>
    <t>ct/0390_ct.nii.gz</t>
  </si>
  <si>
    <t>labels/0390_label.nii.gz</t>
  </si>
  <si>
    <t>qc/0390_qc.png</t>
  </si>
  <si>
    <t>1.3.6.1.4.1.9328.50.4.420849</t>
  </si>
  <si>
    <t>ct/0376_ct.nii.gz</t>
  </si>
  <si>
    <t>labels/0376_label.nii.gz</t>
  </si>
  <si>
    <t>qc/0376_qc.png</t>
  </si>
  <si>
    <t>ct/0384_spine_ct.nii.gz</t>
  </si>
  <si>
    <t>labels/0384_spine_label.nii.gz</t>
  </si>
  <si>
    <t>qc/0384_spine_qc.png</t>
  </si>
  <si>
    <t>1.3.6.1.4.1.9328.50.4.430071</t>
  </si>
  <si>
    <t>ct/0385_ct.nii.gz</t>
  </si>
  <si>
    <t>labels/0385_label.nii.gz</t>
  </si>
  <si>
    <t>qc/0385_qc.png</t>
  </si>
  <si>
    <t>1.3.6.1.4.1.9328.50.4.431139</t>
  </si>
  <si>
    <t>1.3.6.1.4.1.9328.50.4.431098</t>
  </si>
  <si>
    <t>ct/0386_pelvic_ct.nii.gz</t>
  </si>
  <si>
    <t>labels/0386_pelvic_label.nii.gz</t>
  </si>
  <si>
    <t>qc/0386_pelvic_qc.png</t>
  </si>
  <si>
    <t>1.3.6.1.4.1.9328.50.4.439198</t>
  </si>
  <si>
    <t>1.3.6.1.4.1.9328.50.4.439700</t>
  </si>
  <si>
    <t>ct/0393_spine_ct.nii.gz</t>
  </si>
  <si>
    <t>labels/0393_spine_label.nii.gz</t>
  </si>
  <si>
    <t>qc/0393_spine_qc.png</t>
  </si>
  <si>
    <t>1.3.6.1.4.1.9328.50.4.419599</t>
  </si>
  <si>
    <t>ct/0375_ct.nii.gz</t>
  </si>
  <si>
    <t>labels/0375_label.nii.gz</t>
  </si>
  <si>
    <t>qc/0375_qc.png</t>
  </si>
  <si>
    <t>1.3.6.1.4.1.9328.50.4.432591</t>
  </si>
  <si>
    <t>ct/0387_spine_ct.nii.gz</t>
  </si>
  <si>
    <t>labels/0387_spine_label.nii.gz</t>
  </si>
  <si>
    <t>qc/0387_spine_qc.png</t>
  </si>
  <si>
    <t>1.3.6.1.4.1.9328.50.4.438642</t>
  </si>
  <si>
    <t>1.3.6.1.4.1.9328.50.4.438062</t>
  </si>
  <si>
    <t>ct/0392_spine_ct.nii.gz</t>
  </si>
  <si>
    <t>labels/0392_spine_label.nii.gz</t>
  </si>
  <si>
    <t>qc/0392_spine_qc.png</t>
  </si>
  <si>
    <t>ct/0386_spine_ct.nii.gz</t>
  </si>
  <si>
    <t>labels/0386_spine_label.nii.gz</t>
  </si>
  <si>
    <t>qc/0386_spine_qc.png</t>
  </si>
  <si>
    <t>ct/0393_pelvic_ct.nii.gz</t>
  </si>
  <si>
    <t>labels/0393_pelvic_label.nii.gz</t>
  </si>
  <si>
    <t>qc/0393_pelvic_qc.png</t>
  </si>
  <si>
    <t>1.3.6.1.4.1.9328.50.4.437491</t>
  </si>
  <si>
    <t>ct/0391_ct.nii.gz</t>
  </si>
  <si>
    <t>labels/0391_label.nii.gz</t>
  </si>
  <si>
    <t>qc/0391_qc.png</t>
  </si>
  <si>
    <t>1.3.6.1.4.1.9328.50.4.441827</t>
  </si>
  <si>
    <t>1.3.6.1.4.1.9328.50.4.441314</t>
  </si>
  <si>
    <t>ct/0395_pelvic_ct.nii.gz</t>
  </si>
  <si>
    <t>labels/0395_pelvic_label.nii.gz</t>
  </si>
  <si>
    <t>qc/0395_pelvic_qc.png</t>
  </si>
  <si>
    <t>ct/0392_pelvic_ct.nii.gz</t>
  </si>
  <si>
    <t>labels/0392_pelvic_label.nii.gz</t>
  </si>
  <si>
    <t>qc/0392_pelvic_qc.png</t>
  </si>
  <si>
    <t>ct/0395_spine_ct.nii.gz</t>
  </si>
  <si>
    <t>labels/0395_spine_label.nii.gz</t>
  </si>
  <si>
    <t>qc/0395_spine_qc.png</t>
  </si>
  <si>
    <t>1.3.6.1.4.1.9328.50.4.424270</t>
  </si>
  <si>
    <t>ct/0379_ct.nii.gz</t>
  </si>
  <si>
    <t>labels/0379_label.nii.gz</t>
  </si>
  <si>
    <t>qc/0379_qc.png</t>
  </si>
  <si>
    <t>1.3.6.1.4.1.9328.50.4.444007</t>
  </si>
  <si>
    <t>ct/0397_ct.nii.gz</t>
  </si>
  <si>
    <t>labels/0397_label.nii.gz</t>
  </si>
  <si>
    <t>qc/0397_qc.png</t>
  </si>
  <si>
    <t>1.3.6.1.4.1.9328.50.4.445018</t>
  </si>
  <si>
    <t>ct/0398_ct.nii.gz</t>
  </si>
  <si>
    <t>labels/0398_label.nii.gz</t>
  </si>
  <si>
    <t>qc/0398_qc.png</t>
  </si>
  <si>
    <t>1.3.6.1.4.1.9328.50.4.448857</t>
  </si>
  <si>
    <t>1.3.6.1.4.1.9328.50.4.448290</t>
  </si>
  <si>
    <t>ct/0401_spine_ct.nii.gz</t>
  </si>
  <si>
    <t>labels/0401_spine_label.nii.gz</t>
  </si>
  <si>
    <t>qc/0401_spine_qc.png</t>
  </si>
  <si>
    <t>1.3.6.1.4.1.9328.50.4.446189</t>
  </si>
  <si>
    <t>1.3.6.1.4.1.9328.50.4.445636</t>
  </si>
  <si>
    <t>ct/0399_spine_ct.nii.gz</t>
  </si>
  <si>
    <t>labels/0399_spine_label.nii.gz</t>
  </si>
  <si>
    <t>qc/0399_spine_qc.png</t>
  </si>
  <si>
    <t>1.3.6.1.4.1.9328.50.4.440750</t>
  </si>
  <si>
    <t>ct/0394_ct.nii.gz</t>
  </si>
  <si>
    <t>labels/0394_label.nii.gz</t>
  </si>
  <si>
    <t>qc/0394_qc.png</t>
  </si>
  <si>
    <t>ct/0399_pelvic_ct.nii.gz</t>
  </si>
  <si>
    <t>labels/0399_pelvic_label.nii.gz</t>
  </si>
  <si>
    <t>qc/0399_pelvic_qc.png</t>
  </si>
  <si>
    <t>1.3.6.1.4.1.9328.50.4.442326</t>
  </si>
  <si>
    <t>ct/0396_ct.nii.gz</t>
  </si>
  <si>
    <t>labels/0396_label.nii.gz</t>
  </si>
  <si>
    <t>qc/0396_qc.png</t>
  </si>
  <si>
    <t>1.3.6.1.4.1.9328.50.4.447231</t>
  </si>
  <si>
    <t>ct/0400_ct.nii.gz</t>
  </si>
  <si>
    <t>labels/0400_label.nii.gz</t>
  </si>
  <si>
    <t>qc/0400_qc.png</t>
  </si>
  <si>
    <t>1.3.6.1.4.1.9328.50.4.449460</t>
  </si>
  <si>
    <t>ct/0402_ct.nii.gz</t>
  </si>
  <si>
    <t>labels/0402_label.nii.gz</t>
  </si>
  <si>
    <t>qc/0402_qc.png</t>
  </si>
  <si>
    <t>1.3.6.1.4.1.9328.50.4.458868</t>
  </si>
  <si>
    <t>ct/0403_ct.nii.gz</t>
  </si>
  <si>
    <t>labels/0403_label.nii.gz</t>
  </si>
  <si>
    <t>qc/0403_qc.png</t>
  </si>
  <si>
    <t>ct/0401_pelvic_ct.nii.gz</t>
  </si>
  <si>
    <t>labels/0401_pelvic_label.nii.gz</t>
  </si>
  <si>
    <t>qc/0401_pelvic_qc.png</t>
  </si>
  <si>
    <t>1.3.6.1.4.1.9328.50.4.433123</t>
  </si>
  <si>
    <t>ct/0388_ct.nii.gz</t>
  </si>
  <si>
    <t>labels/0388_label.nii.gz</t>
  </si>
  <si>
    <t>qc/0388_qc.png</t>
  </si>
  <si>
    <t>1.3.6.1.4.1.9328.50.4.451036</t>
  </si>
  <si>
    <t>1.3.6.1.4.1.9328.50.4.451015</t>
  </si>
  <si>
    <t>ct/0405_pelvic_ct.nii.gz</t>
  </si>
  <si>
    <t>labels/0405_pelvic_label.nii.gz</t>
  </si>
  <si>
    <t>qc/0405_pelvic_qc.png</t>
  </si>
  <si>
    <t>1.3.6.1.4.1.9328.50.4.460378</t>
  </si>
  <si>
    <t>1.3.6.1.4.1.9328.50.4.460813</t>
  </si>
  <si>
    <t>ct/0411_spine_ct.nii.gz</t>
  </si>
  <si>
    <t>labels/0411_spine_label.nii.gz</t>
  </si>
  <si>
    <t>qc/0411_spine_qc.png</t>
  </si>
  <si>
    <t>1.3.6.1.4.1.9328.50.4.450254</t>
  </si>
  <si>
    <t>1.3.6.1.4.1.9328.50.4.449586</t>
  </si>
  <si>
    <t>ct/0404_spine_ct.nii.gz</t>
  </si>
  <si>
    <t>labels/0404_spine_label.nii.gz</t>
  </si>
  <si>
    <t>qc/0404_spine_qc.png</t>
  </si>
  <si>
    <t>1.3.6.1.4.1.9328.50.4.461829</t>
  </si>
  <si>
    <t>1.3.6.1.4.1.9328.50.4.461278</t>
  </si>
  <si>
    <t>ct/0412_spine_ct.nii.gz</t>
  </si>
  <si>
    <t>labels/0412_spine_label.nii.gz</t>
  </si>
  <si>
    <t>qc/0412_spine_qc.png</t>
  </si>
  <si>
    <t>1.3.6.1.4.1.9328.50.4.456307</t>
  </si>
  <si>
    <t>1.3.6.1.4.1.9328.50.4.456809</t>
  </si>
  <si>
    <t>ct/0408_pelvic_ct.nii.gz</t>
  </si>
  <si>
    <t>labels/0408_pelvic_label.nii.gz</t>
  </si>
  <si>
    <t>qc/0408_pelvic_qc.png</t>
  </si>
  <si>
    <t>1.3.6.1.4.1.9328.50.4.457318</t>
  </si>
  <si>
    <t>ct/0409_ct.nii.gz</t>
  </si>
  <si>
    <t>labels/0409_label.nii.gz</t>
  </si>
  <si>
    <t>qc/0409_qc.png</t>
  </si>
  <si>
    <t>1.3.6.1.4.1.9328.50.4.463992</t>
  </si>
  <si>
    <t>1.3.6.1.4.1.9328.50.4.463425</t>
  </si>
  <si>
    <t>ct/0414_spine_ct.nii.gz</t>
  </si>
  <si>
    <t>labels/0414_spine_label.nii.gz</t>
  </si>
  <si>
    <t>qc/0414_spine_qc.png</t>
  </si>
  <si>
    <t>ct/0405_spine_ct.nii.gz</t>
  </si>
  <si>
    <t>labels/0405_spine_label.nii.gz</t>
  </si>
  <si>
    <t>qc/0405_spine_qc.png</t>
  </si>
  <si>
    <t>1.3.6.1.4.1.9328.50.4.462883</t>
  </si>
  <si>
    <t>ct/0413_ct.nii.gz</t>
  </si>
  <si>
    <t>labels/0413_label.nii.gz</t>
  </si>
  <si>
    <t>qc/0413_qc.png</t>
  </si>
  <si>
    <t>ct/0411_pelvic_ct.nii.gz</t>
  </si>
  <si>
    <t>labels/0411_pelvic_label.nii.gz</t>
  </si>
  <si>
    <t>qc/0411_pelvic_qc.png</t>
  </si>
  <si>
    <t>ct/0414_pelvic_ct.nii.gz</t>
  </si>
  <si>
    <t>labels/0414_pelvic_label.nii.gz</t>
  </si>
  <si>
    <t>qc/0414_pelvic_qc.png</t>
  </si>
  <si>
    <t>ct/0408_spine_ct.nii.gz</t>
  </si>
  <si>
    <t>labels/0408_spine_label.nii.gz</t>
  </si>
  <si>
    <t>qc/0408_spine_qc.png</t>
  </si>
  <si>
    <t>1.3.6.1.4.1.9328.50.4.466278</t>
  </si>
  <si>
    <t>ct/0416_ct.nii.gz</t>
  </si>
  <si>
    <t>labels/0416_label.nii.gz</t>
  </si>
  <si>
    <t>qc/0416_qc.png</t>
  </si>
  <si>
    <t>ct/0412_pelvic_ct.nii.gz</t>
  </si>
  <si>
    <t>labels/0412_pelvic_label.nii.gz</t>
  </si>
  <si>
    <t>qc/0412_pelvic_qc.png</t>
  </si>
  <si>
    <t>1.3.6.1.4.1.9328.50.4.466883</t>
  </si>
  <si>
    <t>ct/0417_ct.nii.gz</t>
  </si>
  <si>
    <t>labels/0417_label.nii.gz</t>
  </si>
  <si>
    <t>qc/0417_qc.png</t>
  </si>
  <si>
    <t>1.3.6.1.4.1.9328.50.4.469064</t>
  </si>
  <si>
    <t>ct/0419_ct.nii.gz</t>
  </si>
  <si>
    <t>labels/0419_label.nii.gz</t>
  </si>
  <si>
    <t>qc/0419_qc.png</t>
  </si>
  <si>
    <t>1.3.6.1.4.1.9328.50.4.472872</t>
  </si>
  <si>
    <t>1.3.6.1.4.1.9328.50.4.472337</t>
  </si>
  <si>
    <t>ct/0422_pelvic_ct.nii.gz</t>
  </si>
  <si>
    <t>labels/0422_pelvic_label.nii.gz</t>
  </si>
  <si>
    <t>qc/0422_pelvic_qc.png</t>
  </si>
  <si>
    <t>1.3.6.1.4.1.9328.50.4.459846</t>
  </si>
  <si>
    <t>ct/0410_ct.nii.gz</t>
  </si>
  <si>
    <t>labels/0410_label.nii.gz</t>
  </si>
  <si>
    <t>qc/0410_qc.png</t>
  </si>
  <si>
    <t>1.3.6.1.4.1.9328.50.4.452190</t>
  </si>
  <si>
    <t>ct/0406_ct.nii.gz</t>
  </si>
  <si>
    <t>labels/0406_label.nii.gz</t>
  </si>
  <si>
    <t>qc/0406_qc.png</t>
  </si>
  <si>
    <t>1.3.6.1.4.1.9328.50.4.474641</t>
  </si>
  <si>
    <t>1.3.6.1.4.1.9328.50.4.474662</t>
  </si>
  <si>
    <t>ct/0424_pelvic_ct.nii.gz</t>
  </si>
  <si>
    <t>labels/0424_pelvic_label.nii.gz</t>
  </si>
  <si>
    <t>qc/0424_pelvic_qc.png</t>
  </si>
  <si>
    <t>1.3.6.1.4.1.9328.50.4.470731</t>
  </si>
  <si>
    <t>ct/0420_ct.nii.gz</t>
  </si>
  <si>
    <t>labels/0420_label.nii.gz</t>
  </si>
  <si>
    <t>qc/0420_qc.png</t>
  </si>
  <si>
    <t>ct/0404_pelvic_ct.nii.gz</t>
  </si>
  <si>
    <t>labels/0404_pelvic_label.nii.gz</t>
  </si>
  <si>
    <t>qc/0404_pelvic_qc.png</t>
  </si>
  <si>
    <t>ct/0422_spine_ct.nii.gz</t>
  </si>
  <si>
    <t>labels/0422_spine_label.nii.gz</t>
  </si>
  <si>
    <t>qc/0422_spine_qc.png</t>
  </si>
  <si>
    <t>ct/0424_spine_ct.nii.gz</t>
  </si>
  <si>
    <t>labels/0424_spine_label.nii.gz</t>
  </si>
  <si>
    <t>qc/0424_spine_qc.png</t>
  </si>
  <si>
    <t>1.3.6.1.4.1.9328.50.4.477367</t>
  </si>
  <si>
    <t>1.3.6.1.4.1.9328.50.4.476776</t>
  </si>
  <si>
    <t>ct/0426_spine_ct.nii.gz</t>
  </si>
  <si>
    <t>labels/0426_spine_label.nii.gz</t>
  </si>
  <si>
    <t>qc/0426_spine_qc.png</t>
  </si>
  <si>
    <t>1.3.6.1.4.1.9328.50.4.471314</t>
  </si>
  <si>
    <t>1.3.6.1.4.1.9328.50.4.471814</t>
  </si>
  <si>
    <t>ct/0421_pelvic_ct.nii.gz</t>
  </si>
  <si>
    <t>labels/0421_pelvic_label.nii.gz</t>
  </si>
  <si>
    <t>qc/0421_pelvic_qc.png</t>
  </si>
  <si>
    <t>1.3.6.1.4.1.9328.50.4.473394</t>
  </si>
  <si>
    <t>ct/0423_ct.nii.gz</t>
  </si>
  <si>
    <t>labels/0423_label.nii.gz</t>
  </si>
  <si>
    <t>qc/0423_qc.png</t>
  </si>
  <si>
    <t>ct/0426_pelvic_ct.nii.gz</t>
  </si>
  <si>
    <t>labels/0426_pelvic_label.nii.gz</t>
  </si>
  <si>
    <t>qc/0426_pelvic_qc.png</t>
  </si>
  <si>
    <t>1.3.6.1.4.1.9328.50.4.455654</t>
  </si>
  <si>
    <t>ct/0407_ct.nii.gz</t>
  </si>
  <si>
    <t>labels/0407_label.nii.gz</t>
  </si>
  <si>
    <t>qc/0407_qc.png</t>
  </si>
  <si>
    <t>1.3.6.1.4.1.9328.50.4.476240</t>
  </si>
  <si>
    <t>ct/0425_ct.nii.gz</t>
  </si>
  <si>
    <t>labels/0425_label.nii.gz</t>
  </si>
  <si>
    <t>qc/0425_qc.png</t>
  </si>
  <si>
    <t>ct/0421_spine_ct.nii.gz</t>
  </si>
  <si>
    <t>labels/0421_spine_label.nii.gz</t>
  </si>
  <si>
    <t>qc/0421_spine_qc.png</t>
  </si>
  <si>
    <t>1.3.6.1.4.1.9328.50.4.468529</t>
  </si>
  <si>
    <t>ct/0418_ct.nii.gz</t>
  </si>
  <si>
    <t>labels/0418_label.nii.gz</t>
  </si>
  <si>
    <t>qc/0418_qc.png</t>
  </si>
  <si>
    <t>1.3.6.1.4.1.9328.50.4.480722</t>
  </si>
  <si>
    <t>1.3.6.1.4.1.9328.50.4.481214</t>
  </si>
  <si>
    <t>ct/0429_pelvic_ct.nii.gz</t>
  </si>
  <si>
    <t>labels/0429_pelvic_label.nii.gz</t>
  </si>
  <si>
    <t>qc/0429_pelvic_qc.png</t>
  </si>
  <si>
    <t>1.3.6.1.4.1.9328.50.4.481740</t>
  </si>
  <si>
    <t>1.3.6.1.4.1.9328.50.4.482247</t>
  </si>
  <si>
    <t>ct/0430_spine_ct.nii.gz</t>
  </si>
  <si>
    <t>labels/0430_spine_label.nii.gz</t>
  </si>
  <si>
    <t>qc/0430_spine_qc.png</t>
  </si>
  <si>
    <t>decubitus_left</t>
  </si>
  <si>
    <t>1.3.6.1.4.1.9328.50.4.479010</t>
  </si>
  <si>
    <t>1.3.6.1.4.1.9328.50.4.478435</t>
  </si>
  <si>
    <t>ct/0427_spine_ct.nii.gz</t>
  </si>
  <si>
    <t>labels/0427_spine_label.nii.gz</t>
  </si>
  <si>
    <t>qc/0427_spine_qc.png</t>
  </si>
  <si>
    <t>ct/0430_pelvic_ct.nii.gz</t>
  </si>
  <si>
    <t>labels/0430_pelvic_label.nii.gz</t>
  </si>
  <si>
    <t>qc/0430_pelvic_qc.png</t>
  </si>
  <si>
    <t>1.3.6.1.4.1.9328.50.4.483953</t>
  </si>
  <si>
    <t>1.3.6.1.4.1.9328.50.4.484546</t>
  </si>
  <si>
    <t>ct/0432_spine_ct.nii.gz</t>
  </si>
  <si>
    <t>labels/0432_spine_label.nii.gz</t>
  </si>
  <si>
    <t>qc/0432_spine_qc.png</t>
  </si>
  <si>
    <t>1.3.6.1.4.1.9328.50.4.482787</t>
  </si>
  <si>
    <t>ct/0431_ct.nii.gz</t>
  </si>
  <si>
    <t>labels/0431_label.nii.gz</t>
  </si>
  <si>
    <t>qc/0431_qc.png</t>
  </si>
  <si>
    <t>1.3.6.1.4.1.9328.50.4.489986</t>
  </si>
  <si>
    <t>1.3.6.1.4.1.9328.50.4.489463</t>
  </si>
  <si>
    <t>ct/0437_spine_ct.nii.gz</t>
  </si>
  <si>
    <t>labels/0437_spine_label.nii.gz</t>
  </si>
  <si>
    <t>qc/0437_spine_qc.png</t>
  </si>
  <si>
    <t>1.3.6.1.4.1.9328.50.4.485661</t>
  </si>
  <si>
    <t>1.3.6.1.4.1.9328.50.4.485146</t>
  </si>
  <si>
    <t>ct/0433_pelvic_ct.nii.gz</t>
  </si>
  <si>
    <t>labels/0433_pelvic_label.nii.gz</t>
  </si>
  <si>
    <t>qc/0433_pelvic_qc.png</t>
  </si>
  <si>
    <t>1.3.6.1.4.1.9328.50.4.486684</t>
  </si>
  <si>
    <t>ct/0434_ct.nii.gz</t>
  </si>
  <si>
    <t>labels/0434_label.nii.gz</t>
  </si>
  <si>
    <t>qc/0434_qc.png</t>
  </si>
  <si>
    <t>1.3.6.1.4.1.9328.50.4.479569</t>
  </si>
  <si>
    <t>ct/0428_ct.nii.gz</t>
  </si>
  <si>
    <t>labels/0428_label.nii.gz</t>
  </si>
  <si>
    <t>qc/0428_qc.png</t>
  </si>
  <si>
    <t>ct/0429_spine_ct.nii.gz</t>
  </si>
  <si>
    <t>labels/0429_spine_label.nii.gz</t>
  </si>
  <si>
    <t>qc/0429_spine_qc.png</t>
  </si>
  <si>
    <t>ct/0432_pelvic_ct.nii.gz</t>
  </si>
  <si>
    <t>labels/0432_pelvic_label.nii.gz</t>
  </si>
  <si>
    <t>qc/0432_pelvic_qc.png</t>
  </si>
  <si>
    <t>1.3.6.1.4.1.9328.50.4.490495</t>
  </si>
  <si>
    <t>1.3.6.1.4.1.9328.50.4.491027</t>
  </si>
  <si>
    <t>ct/0438_spine_ct.nii.gz</t>
  </si>
  <si>
    <t>labels/0438_spine_label.nii.gz</t>
  </si>
  <si>
    <t>qc/0438_spine_qc.png</t>
  </si>
  <si>
    <t>ct/0427_pelvic_ct.nii.gz</t>
  </si>
  <si>
    <t>labels/0427_pelvic_label.nii.gz</t>
  </si>
  <si>
    <t>qc/0427_pelvic_qc.png</t>
  </si>
  <si>
    <t>ct/0438_pelvic_ct.nii.gz</t>
  </si>
  <si>
    <t>labels/0438_pelvic_label.nii.gz</t>
  </si>
  <si>
    <t>qc/0438_pelvic_qc.png</t>
  </si>
  <si>
    <t>1.3.6.1.4.1.9328.50.4.488146</t>
  </si>
  <si>
    <t>1.3.6.1.4.1.9328.50.4.488776</t>
  </si>
  <si>
    <t>ct/0436_pelvic_ct.nii.gz</t>
  </si>
  <si>
    <t>labels/0436_pelvic_label.nii.gz</t>
  </si>
  <si>
    <t>qc/0436_pelvic_qc.png</t>
  </si>
  <si>
    <t>1.3.6.1.4.1.9328.50.4.491556</t>
  </si>
  <si>
    <t>1.3.6.1.4.1.9328.50.4.491993</t>
  </si>
  <si>
    <t>ct/0439_pelvic_ct.nii.gz</t>
  </si>
  <si>
    <t>labels/0439_pelvic_label.nii.gz</t>
  </si>
  <si>
    <t>qc/0439_pelvic_qc.png</t>
  </si>
  <si>
    <t>ct/0436_spine_ct.nii.gz</t>
  </si>
  <si>
    <t>labels/0436_spine_label.nii.gz</t>
  </si>
  <si>
    <t>qc/0436_spine_qc.png</t>
  </si>
  <si>
    <t>1.3.6.1.4.1.9328.50.4.495948</t>
  </si>
  <si>
    <t>1.3.6.1.4.1.9328.50.4.496473</t>
  </si>
  <si>
    <t>ct/0442_spine_ct.nii.gz</t>
  </si>
  <si>
    <t>labels/0442_spine_label.nii.gz</t>
  </si>
  <si>
    <t>qc/0442_spine_qc.png</t>
  </si>
  <si>
    <t>ct/0433_spine_ct.nii.gz</t>
  </si>
  <si>
    <t>labels/0433_spine_label.nii.gz</t>
  </si>
  <si>
    <t>qc/0433_spine_qc.png</t>
  </si>
  <si>
    <t>1.3.6.1.4.1.9328.50.4.493741</t>
  </si>
  <si>
    <t>1.3.6.1.4.1.9328.50.4.495236</t>
  </si>
  <si>
    <t>ct/0441_spine_ct.nii.gz</t>
  </si>
  <si>
    <t>labels/0441_spine_label.nii.gz</t>
  </si>
  <si>
    <t>qc/0441_spine_qc.png</t>
  </si>
  <si>
    <t>ct/0442_pelvic_ct.nii.gz</t>
  </si>
  <si>
    <t>labels/0442_pelvic_label.nii.gz</t>
  </si>
  <si>
    <t>qc/0442_pelvic_qc.png</t>
  </si>
  <si>
    <t>ct/0441_pelvic_ct.nii.gz</t>
  </si>
  <si>
    <t>labels/0441_pelvic_label.nii.gz</t>
  </si>
  <si>
    <t>qc/0441_pelvic_qc.png</t>
  </si>
  <si>
    <t>1.3.6.1.4.1.9328.50.4.487236</t>
  </si>
  <si>
    <t>ct/0435_ct.nii.gz</t>
  </si>
  <si>
    <t>labels/0435_label.nii.gz</t>
  </si>
  <si>
    <t>qc/0435_qc.png</t>
  </si>
  <si>
    <t>1.3.6.1.4.1.9328.50.4.498571</t>
  </si>
  <si>
    <t>1.3.6.1.4.1.9328.50.4.499044</t>
  </si>
  <si>
    <t>ct/0444_spine_ct.nii.gz</t>
  </si>
  <si>
    <t>labels/0444_spine_label.nii.gz</t>
  </si>
  <si>
    <t>qc/0444_spine_qc.png</t>
  </si>
  <si>
    <t>1.3.6.1.4.1.9328.50.4.498050</t>
  </si>
  <si>
    <t>ct/0443_ct.nii.gz</t>
  </si>
  <si>
    <t>labels/0443_label.nii.gz</t>
  </si>
  <si>
    <t>qc/0443_qc.png</t>
  </si>
  <si>
    <t>1.3.6.1.4.1.9328.50.4.502268</t>
  </si>
  <si>
    <t>1.3.6.1.4.1.9328.50.4.501748</t>
  </si>
  <si>
    <t>ct/0447_spine_ct.nii.gz</t>
  </si>
  <si>
    <t>labels/0447_spine_label.nii.gz</t>
  </si>
  <si>
    <t>qc/0447_spine_qc.png</t>
  </si>
  <si>
    <t>ct/0444_pelvic_ct.nii.gz</t>
  </si>
  <si>
    <t>labels/0444_pelvic_label.nii.gz</t>
  </si>
  <si>
    <t>qc/0444_pelvic_qc.png</t>
  </si>
  <si>
    <t>ct/0437_pelvic_ct.nii.gz</t>
  </si>
  <si>
    <t>labels/0437_pelvic_label.nii.gz</t>
  </si>
  <si>
    <t>qc/0437_pelvic_qc.png</t>
  </si>
  <si>
    <t>1.3.6.1.4.1.9328.50.4.499553</t>
  </si>
  <si>
    <t>1.3.6.1.4.1.9328.50.4.500018</t>
  </si>
  <si>
    <t>ct/0445_pelvic_ct.nii.gz</t>
  </si>
  <si>
    <t>labels/0445_pelvic_label.nii.gz</t>
  </si>
  <si>
    <t>qc/0445_pelvic_qc.png</t>
  </si>
  <si>
    <t>ct/0439_spine_ct.nii.gz</t>
  </si>
  <si>
    <t>labels/0439_spine_label.nii.gz</t>
  </si>
  <si>
    <t>qc/0439_spine_qc.png</t>
  </si>
  <si>
    <t>1.3.6.1.4.1.9328.50.4.507799</t>
  </si>
  <si>
    <t>1.3.6.1.4.1.9328.50.4.507248</t>
  </si>
  <si>
    <t>ct/0452_spine_ct.nii.gz</t>
  </si>
  <si>
    <t>labels/0452_spine_label.nii.gz</t>
  </si>
  <si>
    <t>qc/0452_spine_qc.png</t>
  </si>
  <si>
    <t>ct/0452_pelvic_ct.nii.gz</t>
  </si>
  <si>
    <t>labels/0452_pelvic_label.nii.gz</t>
  </si>
  <si>
    <t>qc/0452_pelvic_qc.png</t>
  </si>
  <si>
    <t>1.3.6.1.4.1.9328.50.4.509989</t>
  </si>
  <si>
    <t>1.3.6.1.4.1.9328.50.4.509461</t>
  </si>
  <si>
    <t>ct/0454_spine_ct.nii.gz</t>
  </si>
  <si>
    <t>labels/0454_spine_label.nii.gz</t>
  </si>
  <si>
    <t>qc/0454_spine_qc.png</t>
  </si>
  <si>
    <t>1.3.6.1.4.1.9328.50.4.493181</t>
  </si>
  <si>
    <t>ct/0440_spine_ct.nii.gz</t>
  </si>
  <si>
    <t>labels/0440_spine_label.nii.gz</t>
  </si>
  <si>
    <t>qc/0440_spine_qc.png</t>
  </si>
  <si>
    <t>ct/0454_pelvic_ct.nii.gz</t>
  </si>
  <si>
    <t>labels/0454_pelvic_label.nii.gz</t>
  </si>
  <si>
    <t>qc/0454_pelvic_qc.png</t>
  </si>
  <si>
    <t>1.3.6.1.4.1.9328.50.4.504850</t>
  </si>
  <si>
    <t>ct/0450_ct.nii.gz</t>
  </si>
  <si>
    <t>labels/0450_label.nii.gz</t>
  </si>
  <si>
    <t>qc/0450_qc.png</t>
  </si>
  <si>
    <t>1.3.6.1.4.1.9328.50.4.503738</t>
  </si>
  <si>
    <t>ct/0449_ct.nii.gz</t>
  </si>
  <si>
    <t>labels/0449_label.nii.gz</t>
  </si>
  <si>
    <t>qc/0449_qc.png</t>
  </si>
  <si>
    <t>ct/0445_spine_ct.nii.gz</t>
  </si>
  <si>
    <t>labels/0445_spine_label.nii.gz</t>
  </si>
  <si>
    <t>qc/0445_spine_qc.png</t>
  </si>
  <si>
    <t>1.3.6.1.4.1.9328.50.4.508357</t>
  </si>
  <si>
    <t>ct/0453_ct.nii.gz</t>
  </si>
  <si>
    <t>labels/0453_label.nii.gz</t>
  </si>
  <si>
    <t>qc/0453_qc.png</t>
  </si>
  <si>
    <t>1.3.6.1.4.1.9328.50.4.512866</t>
  </si>
  <si>
    <t>1.3.6.1.4.1.9328.50.4.512887</t>
  </si>
  <si>
    <t>ct/0457_spine_ct.nii.gz</t>
  </si>
  <si>
    <t>labels/0457_spine_label.nii.gz</t>
  </si>
  <si>
    <t>qc/0457_spine_qc.png</t>
  </si>
  <si>
    <t>ct/0447_pelvic_ct.nii.gz</t>
  </si>
  <si>
    <t>labels/0447_pelvic_label.nii.gz</t>
  </si>
  <si>
    <t>qc/0447_pelvic_qc.png</t>
  </si>
  <si>
    <t>ct/0457_pelvic_ct.nii.gz</t>
  </si>
  <si>
    <t>labels/0457_pelvic_label.nii.gz</t>
  </si>
  <si>
    <t>qc/0457_pelvic_qc.png</t>
  </si>
  <si>
    <t>1.3.6.1.4.1.9328.50.4.515012</t>
  </si>
  <si>
    <t>1.3.6.1.4.1.9328.50.4.515672</t>
  </si>
  <si>
    <t>ct/0459_spine_ct.nii.gz</t>
  </si>
  <si>
    <t>labels/0459_spine_label.nii.gz</t>
  </si>
  <si>
    <t>qc/0459_spine_qc.png</t>
  </si>
  <si>
    <t>1.3.6.1.4.1.9328.50.4.505999</t>
  </si>
  <si>
    <t>ct/0451_ct.nii.gz</t>
  </si>
  <si>
    <t>labels/0451_label.nii.gz</t>
  </si>
  <si>
    <t>qc/0451_qc.png</t>
  </si>
  <si>
    <t>1.3.6.1.4.1.9328.50.4.518176</t>
  </si>
  <si>
    <t>1.3.6.1.4.1.9328.50.4.517597</t>
  </si>
  <si>
    <t>ct/0461_spine_ct.nii.gz</t>
  </si>
  <si>
    <t>labels/0461_spine_label.nii.gz</t>
  </si>
  <si>
    <t>qc/0461_spine_qc.png</t>
  </si>
  <si>
    <t>1.3.6.1.4.1.9328.50.4.519326</t>
  </si>
  <si>
    <t>ct/0462_ct.nii.gz</t>
  </si>
  <si>
    <t>labels/0462_label.nii.gz</t>
  </si>
  <si>
    <t>qc/0462_qc.png</t>
  </si>
  <si>
    <t>1.3.6.1.4.1.9328.50.4.521411</t>
  </si>
  <si>
    <t>1.3.6.1.4.1.9328.50.4.521885</t>
  </si>
  <si>
    <t>ct/0464_spine_ct.nii.gz</t>
  </si>
  <si>
    <t>labels/0464_spine_label.nii.gz</t>
  </si>
  <si>
    <t>qc/0464_spine_qc.png</t>
  </si>
  <si>
    <t>1.3.6.1.4.1.9328.50.4.533874</t>
  </si>
  <si>
    <t>1.3.6.1.4.1.9328.50.4.534491</t>
  </si>
  <si>
    <t>ct/0474_spine_ct.nii.gz</t>
  </si>
  <si>
    <t>labels/0474_spine_label.nii.gz</t>
  </si>
  <si>
    <t>qc/0474_spine_qc.png</t>
  </si>
  <si>
    <t>1.3.6.1.4.1.9328.50.4.524690</t>
  </si>
  <si>
    <t>1.3.6.1.4.1.9328.50.4.525143</t>
  </si>
  <si>
    <t>ct/0467_spine_ct.nii.gz</t>
  </si>
  <si>
    <t>labels/0467_spine_label.nii.gz</t>
  </si>
  <si>
    <t>qc/0467_spine_qc.png</t>
  </si>
  <si>
    <t>1.3.6.1.4.1.9328.50.4.516983_orientation_fixed</t>
  </si>
  <si>
    <t>ct/0460_ct.nii.gz</t>
  </si>
  <si>
    <t>labels/0460_label.nii.gz</t>
  </si>
  <si>
    <t>qc/0460_qc.png</t>
  </si>
  <si>
    <t>ct/0459_pelvic_ct.nii.gz</t>
  </si>
  <si>
    <t>labels/0459_pelvic_label.nii.gz</t>
  </si>
  <si>
    <t>qc/0459_pelvic_qc.png</t>
  </si>
  <si>
    <t>ct/0464_pelvic_ct.nii.gz</t>
  </si>
  <si>
    <t>labels/0464_pelvic_label.nii.gz</t>
  </si>
  <si>
    <t>qc/0464_pelvic_qc.png</t>
  </si>
  <si>
    <t>1.3.6.1.4.1.9328.50.4.537379</t>
  </si>
  <si>
    <t>1.3.6.1.4.1.9328.50.4.537465</t>
  </si>
  <si>
    <t>ct/0477_spine_ct.nii.gz</t>
  </si>
  <si>
    <t>labels/0477_spine_label.nii.gz</t>
  </si>
  <si>
    <t>qc/0477_spine_qc.png</t>
  </si>
  <si>
    <t>ct/0467_pelvic_ct.nii.gz</t>
  </si>
  <si>
    <t>labels/0467_pelvic_label.nii.gz</t>
  </si>
  <si>
    <t>qc/0467_pelvic_qc.png</t>
  </si>
  <si>
    <t>1.3.6.1.4.1.9328.50.4.522409</t>
  </si>
  <si>
    <t>1.3.6.1.4.1.9328.50.4.522955</t>
  </si>
  <si>
    <t>ct/0465_spine_ct.nii.gz</t>
  </si>
  <si>
    <t>labels/0465_spine_label.nii.gz</t>
  </si>
  <si>
    <t>qc/0465_spine_qc.png</t>
  </si>
  <si>
    <t>1.3.6.1.4.1.9328.50.4.510538</t>
  </si>
  <si>
    <t>1.3.6.1.4.1.9328.50.4.510517</t>
  </si>
  <si>
    <t>ct/0455_pelvic_ct.nii.gz</t>
  </si>
  <si>
    <t>labels/0455_pelvic_label.nii.gz</t>
  </si>
  <si>
    <t>qc/0455_pelvic_qc.png</t>
  </si>
  <si>
    <t>1.3.6.1.4.1.9328.50.4.502735</t>
  </si>
  <si>
    <t>ct/0448_ct.nii.gz</t>
  </si>
  <si>
    <t>labels/0448_label.nii.gz</t>
  </si>
  <si>
    <t>qc/0448_qc.png</t>
  </si>
  <si>
    <t>1.3.6.1.4.1.9328.50.4.531869</t>
  </si>
  <si>
    <t>ct/0472_spine_ct.nii.gz</t>
  </si>
  <si>
    <t>labels/0472_spine_label.nii.gz</t>
  </si>
  <si>
    <t>qc/0472_spine_qc.png</t>
  </si>
  <si>
    <t>ct/0455_spine_ct.nii.gz</t>
  </si>
  <si>
    <t>labels/0455_spine_label.nii.gz</t>
  </si>
  <si>
    <t>qc/0455_spine_qc.png</t>
  </si>
  <si>
    <t>1.3.6.1.4.1.9328.50.4.523548</t>
  </si>
  <si>
    <t>ct/0466_ct.nii.gz</t>
  </si>
  <si>
    <t>labels/0466_label.nii.gz</t>
  </si>
  <si>
    <t>qc/0466_qc.png</t>
  </si>
  <si>
    <t>1.3.6.1.4.1.9328.50.4.527337</t>
  </si>
  <si>
    <t>ct/0469_ct.nii.gz</t>
  </si>
  <si>
    <t>labels/0469_label.nii.gz</t>
  </si>
  <si>
    <t>qc/0469_qc.png</t>
  </si>
  <si>
    <t>ct/0461_pelvic_ct.nii.gz</t>
  </si>
  <si>
    <t>labels/0461_pelvic_label.nii.gz</t>
  </si>
  <si>
    <t>qc/0461_pelvic_qc.png</t>
  </si>
  <si>
    <t>ct/0474_pelvic_ct.nii.gz</t>
  </si>
  <si>
    <t>labels/0474_pelvic_label.nii.gz</t>
  </si>
  <si>
    <t>qc/0474_pelvic_qc.png</t>
  </si>
  <si>
    <t>1.3.6.1.4.1.9328.50.4.535638</t>
  </si>
  <si>
    <t>ct/0475_spine_ct.nii.gz</t>
  </si>
  <si>
    <t>labels/0475_spine_label.nii.gz</t>
  </si>
  <si>
    <t>qc/0475_spine_qc.png</t>
  </si>
  <si>
    <t>1.3.6.1.4.1.9328.50.4.513879</t>
  </si>
  <si>
    <t>ct/0458_ct.nii.gz</t>
  </si>
  <si>
    <t>labels/0458_label.nii.gz</t>
  </si>
  <si>
    <t>qc/0458_qc.png</t>
  </si>
  <si>
    <t>1.3.6.1.4.1.9328.50.4.532786</t>
  </si>
  <si>
    <t>ct/0473_spine_ct.nii.gz</t>
  </si>
  <si>
    <t>labels/0473_spine_label.nii.gz</t>
  </si>
  <si>
    <t>qc/0473_spine_qc.png</t>
  </si>
  <si>
    <t>ct/0477_pelvic_ct.nii.gz</t>
  </si>
  <si>
    <t>labels/0477_pelvic_label.nii.gz</t>
  </si>
  <si>
    <t>qc/0477_pelvic_qc.png</t>
  </si>
  <si>
    <t>1.3.6.1.4.1.9328.50.4.540752_orientation_fixed</t>
  </si>
  <si>
    <t>ct/0480_ct.nii.gz</t>
  </si>
  <si>
    <t>labels/0480_label.nii.gz</t>
  </si>
  <si>
    <t>qc/0480_qc.png</t>
  </si>
  <si>
    <t>1.3.6.1.4.1.9328.50.4.541878</t>
  </si>
  <si>
    <t>ct/0481_ct.nii.gz</t>
  </si>
  <si>
    <t>labels/0481_label.nii.gz</t>
  </si>
  <si>
    <t>qc/0481_qc.png</t>
  </si>
  <si>
    <t>1.3.6.1.4.1.9328.50.4.536799</t>
  </si>
  <si>
    <t>1.3.6.1.4.1.9328.50.4.536222</t>
  </si>
  <si>
    <t>ct/0476_pelvic_ct.nii.gz</t>
  </si>
  <si>
    <t>labels/0476_pelvic_label.nii.gz</t>
  </si>
  <si>
    <t>qc/0476_pelvic_qc.png</t>
  </si>
  <si>
    <t>ct/0476_spine_ct.nii.gz</t>
  </si>
  <si>
    <t>labels/0476_spine_label.nii.gz</t>
  </si>
  <si>
    <t>qc/0476_spine_qc.png</t>
  </si>
  <si>
    <t>1.3.6.1.4.1.9328.50.4.542649</t>
  </si>
  <si>
    <t>ct/0482_ct.nii.gz</t>
  </si>
  <si>
    <t>labels/0482_label.nii.gz</t>
  </si>
  <si>
    <t>qc/0482_qc.png</t>
  </si>
  <si>
    <t>ct/0465_pelvic_ct.nii.gz</t>
  </si>
  <si>
    <t>labels/0465_pelvic_label.nii.gz</t>
  </si>
  <si>
    <t>qc/0465_pelvic_qc.png</t>
  </si>
  <si>
    <t>1.3.6.1.4.1.9328.50.4.538520</t>
  </si>
  <si>
    <t>ct/0478_ct.nii.gz</t>
  </si>
  <si>
    <t>labels/0478_label.nii.gz</t>
  </si>
  <si>
    <t>qc/0478_qc.png</t>
  </si>
  <si>
    <t>1.3.6.1.4.1.9328.50.4.520859</t>
  </si>
  <si>
    <t>ct/0463_ct.nii.gz</t>
  </si>
  <si>
    <t>labels/0463_label.nii.gz</t>
  </si>
  <si>
    <t>qc/0463_qc.png</t>
  </si>
  <si>
    <t>1.3.6.1.4.1.9328.50.4.545834</t>
  </si>
  <si>
    <t>1.3.6.1.4.1.9328.50.4.545261</t>
  </si>
  <si>
    <t>ct/0484_spine_ct.nii.gz</t>
  </si>
  <si>
    <t>labels/0484_spine_label.nii.gz</t>
  </si>
  <si>
    <t>qc/0484_spine_qc.png</t>
  </si>
  <si>
    <t>1.3.6.1.4.1.9328.50.4.540086</t>
  </si>
  <si>
    <t>ct/0479_ct.nii.gz</t>
  </si>
  <si>
    <t>labels/0479_label.nii.gz</t>
  </si>
  <si>
    <t>qc/0479_qc.png</t>
  </si>
  <si>
    <t>1.3.6.1.4.1.9328.50.4.546382</t>
  </si>
  <si>
    <t>1.3.6.1.4.1.9328.50.4.546895</t>
  </si>
  <si>
    <t>ct/0485_spine_ct.nii.gz</t>
  </si>
  <si>
    <t>labels/0485_spine_label.nii.gz</t>
  </si>
  <si>
    <t>qc/0485_spine_qc.png</t>
  </si>
  <si>
    <t>ct/0485_pelvic_ct.nii.gz</t>
  </si>
  <si>
    <t>labels/0485_pelvic_label.nii.gz</t>
  </si>
  <si>
    <t>qc/0485_pelvic_qc.png</t>
  </si>
  <si>
    <t>1.3.6.1.4.1.9328.50.4.543673</t>
  </si>
  <si>
    <t>1.3.6.1.4.1.9328.50.4.543694</t>
  </si>
  <si>
    <t>ct/0483_pelvic_ct.nii.gz</t>
  </si>
  <si>
    <t>labels/0483_pelvic_label.nii.gz</t>
  </si>
  <si>
    <t>qc/0483_pelvic_qc.png</t>
  </si>
  <si>
    <t>1.3.6.1.4.1.9328.50.4.525645</t>
  </si>
  <si>
    <t>ct/0468_ct.nii.gz</t>
  </si>
  <si>
    <t>labels/0468_label.nii.gz</t>
  </si>
  <si>
    <t>qc/0468_qc.png</t>
  </si>
  <si>
    <t>1.3.6.1.4.1.9328.50.4.530426</t>
  </si>
  <si>
    <t>ct/0471_ct.nii.gz</t>
  </si>
  <si>
    <t>labels/0471_label.nii.gz</t>
  </si>
  <si>
    <t>qc/0471_qc.png</t>
  </si>
  <si>
    <t>1.3.6.1.4.1.9328.50.4.553643</t>
  </si>
  <si>
    <t>ct/0491_spine_ct.nii.gz</t>
  </si>
  <si>
    <t>labels/0491_spine_label.nii.gz</t>
  </si>
  <si>
    <t>qc/0491_spine_qc.png</t>
  </si>
  <si>
    <t>1.3.6.1.4.1.9328.50.4.547457</t>
  </si>
  <si>
    <t>1.3.6.1.4.1.9328.50.4.548052</t>
  </si>
  <si>
    <t>ct/0486_pelvic_ct.nii.gz</t>
  </si>
  <si>
    <t>labels/0486_pelvic_label.nii.gz</t>
  </si>
  <si>
    <t>qc/0486_pelvic_qc.png</t>
  </si>
  <si>
    <t>1.3.6.1.4.1.9328.50.4.549762</t>
  </si>
  <si>
    <t>ct/0487_ct.nii.gz</t>
  </si>
  <si>
    <t>labels/0487_label.nii.gz</t>
  </si>
  <si>
    <t>qc/0487_qc.png</t>
  </si>
  <si>
    <t>1.3.6.1.4.1.9328.50.4.550917</t>
  </si>
  <si>
    <t>1.3.6.1.4.1.9328.50.4.550331</t>
  </si>
  <si>
    <t>ct/0488_pelvic_ct.nii.gz</t>
  </si>
  <si>
    <t>labels/0488_pelvic_label.nii.gz</t>
  </si>
  <si>
    <t>qc/0488_pelvic_qc.png</t>
  </si>
  <si>
    <t>1.3.6.1.4.1.9328.50.4.552059</t>
  </si>
  <si>
    <t>1.3.6.1.4.1.9328.50.4.551501</t>
  </si>
  <si>
    <t>ct/0489_pelvic_ct.nii.gz</t>
  </si>
  <si>
    <t>labels/0489_pelvic_label.nii.gz</t>
  </si>
  <si>
    <t>qc/0489_pelvic_qc.png</t>
  </si>
  <si>
    <t>ct/0483_spine_ct.nii.gz</t>
  </si>
  <si>
    <t>labels/0483_spine_label.nii.gz</t>
  </si>
  <si>
    <t>qc/0483_spine_qc.png</t>
  </si>
  <si>
    <t>1.3.6.1.4.1.9328.50.4.553141</t>
  </si>
  <si>
    <t>1.3.6.1.4.1.9328.50.4.552639</t>
  </si>
  <si>
    <t>ct/0490_pelvic_ct.nii.gz</t>
  </si>
  <si>
    <t>labels/0490_pelvic_label.nii.gz</t>
  </si>
  <si>
    <t>qc/0490_pelvic_qc.png</t>
  </si>
  <si>
    <t>ct/0490_spine_ct.nii.gz</t>
  </si>
  <si>
    <t>labels/0490_spine_label.nii.gz</t>
  </si>
  <si>
    <t>qc/0490_spine_qc.png</t>
  </si>
  <si>
    <t>ct/0489_spine_ct.nii.gz</t>
  </si>
  <si>
    <t>labels/0489_spine_label.nii.gz</t>
  </si>
  <si>
    <t>qc/0489_spine_qc.png</t>
  </si>
  <si>
    <t>1.3.6.1.4.1.9328.50.4.529230</t>
  </si>
  <si>
    <t>ct/0470_ct.nii.gz</t>
  </si>
  <si>
    <t>labels/0470_label.nii.gz</t>
  </si>
  <si>
    <t>qc/0470_qc.png</t>
  </si>
  <si>
    <t>1.3.6.1.4.1.9328.50.4.560654</t>
  </si>
  <si>
    <t>1.3.6.1.4.1.9328.50.4.560050</t>
  </si>
  <si>
    <t>ct/0497_spine_ct.nii.gz</t>
  </si>
  <si>
    <t>labels/0497_spine_label.nii.gz</t>
  </si>
  <si>
    <t>qc/0497_spine_qc.png</t>
  </si>
  <si>
    <t>1.3.6.1.4.1.9328.50.4.555112</t>
  </si>
  <si>
    <t>ct/0492_ct.nii.gz</t>
  </si>
  <si>
    <t>labels/0492_label.nii.gz</t>
  </si>
  <si>
    <t>qc/0492_qc.png</t>
  </si>
  <si>
    <t>ct/0484_pelvic_ct.nii.gz</t>
  </si>
  <si>
    <t>labels/0484_pelvic_label.nii.gz</t>
  </si>
  <si>
    <t>qc/0484_pelvic_qc.png</t>
  </si>
  <si>
    <t>ct/0497_pelvic_ct.nii.gz</t>
  </si>
  <si>
    <t>labels/0497_pelvic_label.nii.gz</t>
  </si>
  <si>
    <t>qc/0497_pelvic_qc.png</t>
  </si>
  <si>
    <t>1.3.6.1.4.1.9328.50.4.557363</t>
  </si>
  <si>
    <t>ct/0494_spine_ct.nii.gz</t>
  </si>
  <si>
    <t>labels/0494_spine_label.nii.gz</t>
  </si>
  <si>
    <t>qc/0494_spine_qc.png</t>
  </si>
  <si>
    <t>1.3.6.1.4.1.9328.50.4.577089</t>
  </si>
  <si>
    <t>1.3.6.1.4.1.9328.50.4.577737</t>
  </si>
  <si>
    <t>ct/0513_spine_ct.nii.gz</t>
  </si>
  <si>
    <t>labels/0513_spine_label.nii.gz</t>
  </si>
  <si>
    <t>qc/0513_spine_qc.png</t>
  </si>
  <si>
    <t>1.3.6.1.4.1.9328.50.4.560907</t>
  </si>
  <si>
    <t>ct/0498_spine_ct.nii.gz</t>
  </si>
  <si>
    <t>labels/0498_spine_label.nii.gz</t>
  </si>
  <si>
    <t>qc/0498_spine_qc.png</t>
  </si>
  <si>
    <t>1.3.6.1.4.1.9328.50.4.562937</t>
  </si>
  <si>
    <t>1.3.6.1.4.1.9328.50.4.562392</t>
  </si>
  <si>
    <t>ct/0499_spine_ct.nii.gz</t>
  </si>
  <si>
    <t>labels/0499_spine_label.nii.gz</t>
  </si>
  <si>
    <t>qc/0499_spine_qc.png</t>
  </si>
  <si>
    <t>ct/0499_pelvic_ct.nii.gz</t>
  </si>
  <si>
    <t>labels/0499_pelvic_label.nii.gz</t>
  </si>
  <si>
    <t>qc/0499_pelvic_qc.png</t>
  </si>
  <si>
    <t>1.3.6.1.4.1.9328.50.4.566466</t>
  </si>
  <si>
    <t>1.3.6.1.4.1.9328.50.4.566487</t>
  </si>
  <si>
    <t>ct/0504_spine_ct.nii.gz</t>
  </si>
  <si>
    <t>labels/0504_spine_label.nii.gz</t>
  </si>
  <si>
    <t>qc/0504_spine_qc.png</t>
  </si>
  <si>
    <t>ct/0504_pelvic_ct.nii.gz</t>
  </si>
  <si>
    <t>labels/0504_pelvic_label.nii.gz</t>
  </si>
  <si>
    <t>qc/0504_pelvic_qc.png</t>
  </si>
  <si>
    <t>ct/0486_spine_ct.nii.gz</t>
  </si>
  <si>
    <t>labels/0486_spine_label.nii.gz</t>
  </si>
  <si>
    <t>qc/0486_spine_qc.png</t>
  </si>
  <si>
    <t>ct/0488_spine_ct.nii.gz</t>
  </si>
  <si>
    <t>labels/0488_spine_label.nii.gz</t>
  </si>
  <si>
    <t>qc/0488_spine_qc.png</t>
  </si>
  <si>
    <t>1.3.6.1.4.1.9328.50.4.567514</t>
  </si>
  <si>
    <t>ct/0505_ct.nii.gz</t>
  </si>
  <si>
    <t>labels/0505_label.nii.gz</t>
  </si>
  <si>
    <t>qc/0505_qc.png</t>
  </si>
  <si>
    <t>1.3.6.1.4.1.9328.50.4.564851</t>
  </si>
  <si>
    <t>ct/0502_ct.nii.gz</t>
  </si>
  <si>
    <t>labels/0502_label.nii.gz</t>
  </si>
  <si>
    <t>qc/0502_qc.png</t>
  </si>
  <si>
    <t>1.3.6.1.4.1.9328.50.4.571808</t>
  </si>
  <si>
    <t>ct/0508_ct.nii.gz</t>
  </si>
  <si>
    <t>labels/0508_label.nii.gz</t>
  </si>
  <si>
    <t>qc/0508_qc.png</t>
  </si>
  <si>
    <t>1.3.6.1.4.1.9328.50.4.573038</t>
  </si>
  <si>
    <t>1.3.6.1.4.1.9328.50.4.572425</t>
  </si>
  <si>
    <t>ct/0509_spine_ct.nii.gz</t>
  </si>
  <si>
    <t>labels/0509_spine_label.nii.gz</t>
  </si>
  <si>
    <t>qc/0509_spine_qc.png</t>
  </si>
  <si>
    <t>1.3.6.1.4.1.9328.50.4.582924</t>
  </si>
  <si>
    <t>ct/0507_ct.nii.gz</t>
  </si>
  <si>
    <t>labels/0507_label.nii.gz</t>
  </si>
  <si>
    <t>qc/0507_qc.png</t>
  </si>
  <si>
    <t>1.3.6.1.4.1.9328.50.4.556195</t>
  </si>
  <si>
    <t>ct/0493_ct.nii.gz</t>
  </si>
  <si>
    <t>labels/0493_label.nii.gz</t>
  </si>
  <si>
    <t>qc/0493_qc.png</t>
  </si>
  <si>
    <t>1.3.6.1.4.1.9328.50.4.565917</t>
  </si>
  <si>
    <t>ct/0503_ct.nii.gz</t>
  </si>
  <si>
    <t>labels/0503_label.nii.gz</t>
  </si>
  <si>
    <t>qc/0503_qc.png</t>
  </si>
  <si>
    <t>1.3.6.1.4.1.9328.50.4.558374</t>
  </si>
  <si>
    <t>ct/0495_ct.nii.gz</t>
  </si>
  <si>
    <t>labels/0495_label.nii.gz</t>
  </si>
  <si>
    <t>qc/0495_qc.png</t>
  </si>
  <si>
    <t>ct/0513_pelvic_ct.nii.gz</t>
  </si>
  <si>
    <t>labels/0513_pelvic_label.nii.gz</t>
  </si>
  <si>
    <t>qc/0513_pelvic_qc.png</t>
  </si>
  <si>
    <t>1.3.6.1.4.1.9328.50.4.574153</t>
  </si>
  <si>
    <t>ct/0510_ct.nii.gz</t>
  </si>
  <si>
    <t>labels/0510_label.nii.gz</t>
  </si>
  <si>
    <t>qc/0510_qc.png</t>
  </si>
  <si>
    <t>1.3.6.1.4.1.9328.50.4.563784</t>
  </si>
  <si>
    <t>ct/0500_ct.nii.gz</t>
  </si>
  <si>
    <t>labels/0500_label.nii.gz</t>
  </si>
  <si>
    <t>qc/0500_qc.png</t>
  </si>
  <si>
    <t>1.3.6.1.4.1.9328.50.4.564202</t>
  </si>
  <si>
    <t>ct/0501_ct.nii.gz</t>
  </si>
  <si>
    <t>labels/0501_label.nii.gz</t>
  </si>
  <si>
    <t>qc/0501_qc.png</t>
  </si>
  <si>
    <t>1.3.6.1.4.1.9328.50.4.574805</t>
  </si>
  <si>
    <t>ct/0511_spine_ct.nii.gz</t>
  </si>
  <si>
    <t>labels/0511_spine_label.nii.gz</t>
  </si>
  <si>
    <t>qc/0511_spine_qc.png</t>
  </si>
  <si>
    <t>1.3.6.1.4.1.9328.50.4.580594</t>
  </si>
  <si>
    <t>1.3.6.1.4.1.9328.50.4.581140</t>
  </si>
  <si>
    <t>ct/0516_spine_ct.nii.gz</t>
  </si>
  <si>
    <t>labels/0516_spine_label.nii.gz</t>
  </si>
  <si>
    <t>qc/0516_spine_qc.png</t>
  </si>
  <si>
    <t>1.3.6.1.4.1.9328.50.4.580056</t>
  </si>
  <si>
    <t>1.3.6.1.4.1.9328.50.4.579494</t>
  </si>
  <si>
    <t>ct/0515_spine_ct.nii.gz</t>
  </si>
  <si>
    <t>labels/0515_spine_label.nii.gz</t>
  </si>
  <si>
    <t>qc/0515_spine_qc.png</t>
  </si>
  <si>
    <t>1.3.6.1.4.1.9328.50.4.578901</t>
  </si>
  <si>
    <t>ct/0514_ct.nii.gz</t>
  </si>
  <si>
    <t>labels/0514_label.nii.gz</t>
  </si>
  <si>
    <t>qc/0514_qc.png</t>
  </si>
  <si>
    <t>ct/0515_pelvic_ct.nii.gz</t>
  </si>
  <si>
    <t>labels/0515_pelvic_label.nii.gz</t>
  </si>
  <si>
    <t>qc/0515_pelvic_qc.png</t>
  </si>
  <si>
    <t>ct/0516_pelvic_ct.nii.gz</t>
  </si>
  <si>
    <t>labels/0516_pelvic_label.nii.gz</t>
  </si>
  <si>
    <t>qc/0516_pelvic_qc.png</t>
  </si>
  <si>
    <t>1.3.6.1.4.1.9328.50.4.585441</t>
  </si>
  <si>
    <t>ct/0519_ct.nii.gz</t>
  </si>
  <si>
    <t>labels/0519_label.nii.gz</t>
  </si>
  <si>
    <t>qc/0519_qc.png</t>
  </si>
  <si>
    <t>1.3.6.1.4.1.9328.50.4.581702</t>
  </si>
  <si>
    <t>1.3.6.1.4.1.9328.50.4.582294</t>
  </si>
  <si>
    <t>ct/0517_spine_ct.nii.gz</t>
  </si>
  <si>
    <t>labels/0517_spine_label.nii.gz</t>
  </si>
  <si>
    <t>qc/0517_spine_qc.png</t>
  </si>
  <si>
    <t>ct/0509_pelvic_ct.nii.gz</t>
  </si>
  <si>
    <t>labels/0509_pelvic_label.nii.gz</t>
  </si>
  <si>
    <t>qc/0509_pelvic_qc.png</t>
  </si>
  <si>
    <t>1.3.6.1.4.1.9328.50.4.587605</t>
  </si>
  <si>
    <t>1.3.6.1.4.1.9328.50.4.587076</t>
  </si>
  <si>
    <t>ct/0521_pelvic_ct.nii.gz</t>
  </si>
  <si>
    <t>labels/0521_pelvic_label.nii.gz</t>
  </si>
  <si>
    <t>qc/0521_pelvic_qc.png</t>
  </si>
  <si>
    <t>1.3.6.1.4.1.9328.50.4.588091</t>
  </si>
  <si>
    <t>1.3.6.1.4.1.9328.50.4.588070</t>
  </si>
  <si>
    <t>ct/0522_spine_ct.nii.gz</t>
  </si>
  <si>
    <t>labels/0522_spine_label.nii.gz</t>
  </si>
  <si>
    <t>qc/0522_spine_qc.png</t>
  </si>
  <si>
    <t>ct/0521_spine_ct.nii.gz</t>
  </si>
  <si>
    <t>labels/0521_spine_label.nii.gz</t>
  </si>
  <si>
    <t>qc/0521_spine_qc.png</t>
  </si>
  <si>
    <t>1.3.6.1.4.1.9328.50.4.590297</t>
  </si>
  <si>
    <t>1.3.6.1.4.1.9328.50.4.590890</t>
  </si>
  <si>
    <t>ct/0524_pelvic_ct.nii.gz</t>
  </si>
  <si>
    <t>labels/0524_pelvic_label.nii.gz</t>
  </si>
  <si>
    <t>qc/0524_pelvic_qc.png</t>
  </si>
  <si>
    <t>1.3.6.1.4.1.9328.50.4.575974</t>
  </si>
  <si>
    <t>ct/0512_pelvic_ct.nii.gz</t>
  </si>
  <si>
    <t>labels/0512_pelvic_label.nii.gz</t>
  </si>
  <si>
    <t>qc/0512_pelvic_qc.png</t>
  </si>
  <si>
    <t>1.3.6.1.4.1.9328.50.4.591975</t>
  </si>
  <si>
    <t>ct/0525_spine_ct.nii.gz</t>
  </si>
  <si>
    <t>labels/0525_spine_label.nii.gz</t>
  </si>
  <si>
    <t>qc/0525_spine_qc.png</t>
  </si>
  <si>
    <t>1.3.6.1.4.1.9328.50.4.569823</t>
  </si>
  <si>
    <t>ct/0506_ct.nii.gz</t>
  </si>
  <si>
    <t>labels/0506_label.nii.gz</t>
  </si>
  <si>
    <t>qc/0506_qc.png</t>
  </si>
  <si>
    <t>1.3.6.1.4.1.9328.50.4.589777</t>
  </si>
  <si>
    <t>ct/0523_ct.nii.gz</t>
  </si>
  <si>
    <t>labels/0523_label.nii.gz</t>
  </si>
  <si>
    <t>qc/0523_qc.png</t>
  </si>
  <si>
    <t>1.3.6.1.4.1.9328.50.4.585925</t>
  </si>
  <si>
    <t>ct/0520_ct.nii.gz</t>
  </si>
  <si>
    <t>labels/0520_label.nii.gz</t>
  </si>
  <si>
    <t>qc/0520_qc.png</t>
  </si>
  <si>
    <t>1.3.6.1.4.1.9328.50.4.594099</t>
  </si>
  <si>
    <t>1.3.6.1.4.1.9328.50.4.595623</t>
  </si>
  <si>
    <t>ct/0527_pelvic_ct.nii.gz</t>
  </si>
  <si>
    <t>labels/0527_pelvic_label.nii.gz</t>
  </si>
  <si>
    <t>qc/0527_pelvic_qc.png</t>
  </si>
  <si>
    <t>1.3.6.1.4.1.9328.50.4.596197</t>
  </si>
  <si>
    <t>1.3.6.1.4.1.9328.50.4.596737</t>
  </si>
  <si>
    <t>ct/0528_spine_ct.nii.gz</t>
  </si>
  <si>
    <t>labels/0528_spine_label.nii.gz</t>
  </si>
  <si>
    <t>qc/0528_spine_qc.png</t>
  </si>
  <si>
    <t>ct/0528_pelvic_ct.nii.gz</t>
  </si>
  <si>
    <t>labels/0528_pelvic_label.nii.gz</t>
  </si>
  <si>
    <t>qc/0528_pelvic_qc.png</t>
  </si>
  <si>
    <t>1.3.6.1.4.1.9328.50.4.597403</t>
  </si>
  <si>
    <t>1.3.6.1.4.1.9328.50.4.596867</t>
  </si>
  <si>
    <t>ct/0529_pelvic_ct.nii.gz</t>
  </si>
  <si>
    <t>labels/0529_pelvic_label.nii.gz</t>
  </si>
  <si>
    <t>qc/0529_pelvic_qc.png</t>
  </si>
  <si>
    <t>1.3.6.1.4.1.9328.50.4.597938</t>
  </si>
  <si>
    <t>1.3.6.1.4.1.9328.50.4.598032</t>
  </si>
  <si>
    <t>ct/0530_spine_ct.nii.gz</t>
  </si>
  <si>
    <t>labels/0530_spine_label.nii.gz</t>
  </si>
  <si>
    <t>qc/0530_spine_qc.png</t>
  </si>
  <si>
    <t>ct/0530_pelvic_ct.nii.gz</t>
  </si>
  <si>
    <t>labels/0530_pelvic_label.nii.gz</t>
  </si>
  <si>
    <t>qc/0530_pelvic_qc.png</t>
  </si>
  <si>
    <t>1.3.6.1.4.1.9328.50.4.584427</t>
  </si>
  <si>
    <t>ct/0518_pelvic_ct.nii.gz</t>
  </si>
  <si>
    <t>labels/0518_pelvic_label.nii.gz</t>
  </si>
  <si>
    <t>qc/0518_pelvic_qc.png</t>
  </si>
  <si>
    <t>ct/0517_pelvic_ct.nii.gz</t>
  </si>
  <si>
    <t>labels/0517_pelvic_label.nii.gz</t>
  </si>
  <si>
    <t>qc/0517_pelvic_qc.png</t>
  </si>
  <si>
    <t>1.3.6.1.4.1.9328.50.4.598606</t>
  </si>
  <si>
    <t>1.3.6.1.4.1.9328.50.4.599079</t>
  </si>
  <si>
    <t>ct/0531_spine_ct.nii.gz</t>
  </si>
  <si>
    <t>labels/0531_spine_label.nii.gz</t>
  </si>
  <si>
    <t>qc/0531_spine_qc.png</t>
  </si>
  <si>
    <t>ct/0522_pelvic_ct.nii.gz</t>
  </si>
  <si>
    <t>labels/0522_pelvic_label.nii.gz</t>
  </si>
  <si>
    <t>qc/0522_pelvic_qc.png</t>
  </si>
  <si>
    <t>1.3.6.1.4.1.9328.50.4.593601</t>
  </si>
  <si>
    <t>ct/0526_spine_ct.nii.gz</t>
  </si>
  <si>
    <t>labels/0526_spine_label.nii.gz</t>
  </si>
  <si>
    <t>qc/0526_spine_qc.png</t>
  </si>
  <si>
    <t>ct/0529_spine_ct.nii.gz</t>
  </si>
  <si>
    <t>labels/0529_spine_label.nii.gz</t>
  </si>
  <si>
    <t>qc/0529_spine_qc.png</t>
  </si>
  <si>
    <t>ct/0524_spine_ct.nii.gz</t>
  </si>
  <si>
    <t>labels/0524_spine_label.nii.gz</t>
  </si>
  <si>
    <t>qc/0524_spine_qc.png</t>
  </si>
  <si>
    <t>ct/0531_pelvic_ct.nii.gz</t>
  </si>
  <si>
    <t>labels/0531_pelvic_label.nii.gz</t>
  </si>
  <si>
    <t>qc/0531_pelvic_qc.png</t>
  </si>
  <si>
    <t>1.3.6.1.4.1.9328.50.4.599570</t>
  </si>
  <si>
    <t>1.3.6.1.4.1.9328.50.4.600050</t>
  </si>
  <si>
    <t>ct/0532_spine_ct.nii.gz</t>
  </si>
  <si>
    <t>labels/0532_spine_label.nii.gz</t>
  </si>
  <si>
    <t>qc/0532_spine_qc.png</t>
  </si>
  <si>
    <t>ct/0532_pelvic_ct.nii.gz</t>
  </si>
  <si>
    <t>labels/0532_pelvic_label.nii.gz</t>
  </si>
  <si>
    <t>qc/0532_pelvic_qc.png</t>
  </si>
  <si>
    <t>ct/0527_spine_ct.nii.gz</t>
  </si>
  <si>
    <t>labels/0527_spine_label.nii.gz</t>
  </si>
  <si>
    <t>qc/0527_spine_qc.png</t>
  </si>
  <si>
    <t>1.3.6.1.4.1.9328.50.4.603244</t>
  </si>
  <si>
    <t>ct/0534_spine_ct.nii.gz</t>
  </si>
  <si>
    <t>labels/0534_spine_label.nii.gz</t>
  </si>
  <si>
    <t>qc/0534_spine_qc.png</t>
  </si>
  <si>
    <t>1.3.6.1.4.1.9328.50.4.604806</t>
  </si>
  <si>
    <t>1.3.6.1.4.1.9328.50.4.604333</t>
  </si>
  <si>
    <t>ct/0535_pelvic_ct.nii.gz</t>
  </si>
  <si>
    <t>labels/0535_pelvic_label.nii.gz</t>
  </si>
  <si>
    <t>qc/0535_pelvic_qc.png</t>
  </si>
  <si>
    <t>1.3.6.1.4.1.9328.50.4.605457</t>
  </si>
  <si>
    <t>1.3.6.1.4.1.9328.50.4.605470</t>
  </si>
  <si>
    <t>ct/0536_pelvic_ct.nii.gz</t>
  </si>
  <si>
    <t>labels/0536_pelvic_label.nii.gz</t>
  </si>
  <si>
    <t>qc/0536_pelvic_qc.png</t>
  </si>
  <si>
    <t>1.3.6.1.4.1.9328.50.4.606024</t>
  </si>
  <si>
    <t>1.3.6.1.4.1.9328.50.4.606003</t>
  </si>
  <si>
    <t>ct/0537_spine_ct.nii.gz</t>
  </si>
  <si>
    <t>labels/0537_spine_label.nii.gz</t>
  </si>
  <si>
    <t>qc/0537_spine_qc.png</t>
  </si>
  <si>
    <t>ct/0537_pelvic_ct.nii.gz</t>
  </si>
  <si>
    <t>labels/0537_pelvic_label.nii.gz</t>
  </si>
  <si>
    <t>qc/0537_pelvic_qc.png</t>
  </si>
  <si>
    <t>1.3.6.1.4.1.9328.50.4.614978</t>
  </si>
  <si>
    <t>1.3.6.1.4.1.9328.50.4.614399</t>
  </si>
  <si>
    <t>ct/0545_spine_ct.nii.gz</t>
  </si>
  <si>
    <t>labels/0545_spine_label.nii.gz</t>
  </si>
  <si>
    <t>qc/0545_spine_qc.png</t>
  </si>
  <si>
    <t>1.3.6.1.4.1.9328.50.4.607552</t>
  </si>
  <si>
    <t>1.3.6.1.4.1.9328.50.4.608032</t>
  </si>
  <si>
    <t>ct/0539_spine_ct.nii.gz</t>
  </si>
  <si>
    <t>labels/0539_spine_label.nii.gz</t>
  </si>
  <si>
    <t>qc/0539_spine_qc.png</t>
  </si>
  <si>
    <t>ct/0536_spine_ct.nii.gz</t>
  </si>
  <si>
    <t>labels/0536_spine_label.nii.gz</t>
  </si>
  <si>
    <t>qc/0536_spine_qc.png</t>
  </si>
  <si>
    <t>ct/0535_spine_ct.nii.gz</t>
  </si>
  <si>
    <t>labels/0535_spine_label.nii.gz</t>
  </si>
  <si>
    <t>qc/0535_spine_qc.png</t>
  </si>
  <si>
    <t>1.3.6.1.4.1.9328.50.4.612598</t>
  </si>
  <si>
    <t>1.3.6.1.4.1.9328.50.4.612039</t>
  </si>
  <si>
    <t>ct/0543_pelvic_ct.nii.gz</t>
  </si>
  <si>
    <t>labels/0543_pelvic_label.nii.gz</t>
  </si>
  <si>
    <t>qc/0543_pelvic_qc.png</t>
  </si>
  <si>
    <t>1.3.6.1.4.1.9328.50.4.608544</t>
  </si>
  <si>
    <t>ct/0540_ct.nii.gz</t>
  </si>
  <si>
    <t>labels/0540_label.nii.gz</t>
  </si>
  <si>
    <t>qc/0540_qc.png</t>
  </si>
  <si>
    <t>1.3.6.1.4.1.9328.50.4.610207</t>
  </si>
  <si>
    <t>ct/0541_spine_ct.nii.gz</t>
  </si>
  <si>
    <t>labels/0541_spine_label.nii.gz</t>
  </si>
  <si>
    <t>qc/0541_spine_qc.png</t>
  </si>
  <si>
    <t>ct/0539_pelvic_ct.nii.gz</t>
  </si>
  <si>
    <t>labels/0539_pelvic_label.nii.gz</t>
  </si>
  <si>
    <t>qc/0539_pelvic_qc.png</t>
  </si>
  <si>
    <t>1.3.6.1.4.1.9328.50.4.615465</t>
  </si>
  <si>
    <t>1.3.6.1.4.1.9328.50.4.615963</t>
  </si>
  <si>
    <t>ct/0546_spine_ct.nii.gz</t>
  </si>
  <si>
    <t>labels/0546_spine_label.nii.gz</t>
  </si>
  <si>
    <t>qc/0546_spine_qc.png</t>
  </si>
  <si>
    <t>1.3.6.1.4.1.9328.50.4.610803</t>
  </si>
  <si>
    <t>ct/0542_ct.nii.gz</t>
  </si>
  <si>
    <t>labels/0542_label.nii.gz</t>
  </si>
  <si>
    <t>qc/0542_qc.png</t>
  </si>
  <si>
    <t>ct/0546_pelvic_ct.nii.gz</t>
  </si>
  <si>
    <t>labels/0546_pelvic_label.nii.gz</t>
  </si>
  <si>
    <t>qc/0546_pelvic_qc.png</t>
  </si>
  <si>
    <t>1.3.6.1.4.1.9328.50.4.618034</t>
  </si>
  <si>
    <t>1.3.6.1.4.1.9328.50.4.617543</t>
  </si>
  <si>
    <t>ct/0547_spine_ct.nii.gz</t>
  </si>
  <si>
    <t>labels/0547_spine_label.nii.gz</t>
  </si>
  <si>
    <t>qc/0547_spine_qc.png</t>
  </si>
  <si>
    <t>1.3.6.1.4.1.9328.50.4.601643</t>
  </si>
  <si>
    <t>ct/0533_ct.nii.gz</t>
  </si>
  <si>
    <t>labels/0533_label.nii.gz</t>
  </si>
  <si>
    <t>qc/0533_qc.png</t>
  </si>
  <si>
    <t>1.3.6.1.4.1.9328.50.4.607097</t>
  </si>
  <si>
    <t>ct/0538_ct.nii.gz</t>
  </si>
  <si>
    <t>labels/0538_label.nii.gz</t>
  </si>
  <si>
    <t>qc/0538_qc.png</t>
  </si>
  <si>
    <t>1.3.6.1.4.1.9328.50.4.619223</t>
  </si>
  <si>
    <t>1.3.6.1.4.1.9328.50.4.620538</t>
  </si>
  <si>
    <t>ct/0548_pelvic_ct.nii.gz</t>
  </si>
  <si>
    <t>labels/0548_pelvic_label.nii.gz</t>
  </si>
  <si>
    <t>qc/0548_pelvic_qc.png</t>
  </si>
  <si>
    <t>1.3.6.1.4.1.9328.50.4.623524</t>
  </si>
  <si>
    <t>ct/0551_ct.nii.gz</t>
  </si>
  <si>
    <t>labels/0551_label.nii.gz</t>
  </si>
  <si>
    <t>qc/0551_qc.png</t>
  </si>
  <si>
    <t>ct/0548_spine_ct.nii.gz</t>
  </si>
  <si>
    <t>labels/0548_spine_label.nii.gz</t>
  </si>
  <si>
    <t>qc/0548_spine_qc.png</t>
  </si>
  <si>
    <t>1.3.6.1.4.1.9328.50.4.622945</t>
  </si>
  <si>
    <t>ct/0550_ct.nii.gz</t>
  </si>
  <si>
    <t>labels/0550_label.nii.gz</t>
  </si>
  <si>
    <t>qc/0550_qc.png</t>
  </si>
  <si>
    <t>1.3.6.1.4.1.9328.50.4.621816</t>
  </si>
  <si>
    <t>ct/0549_ct.nii.gz</t>
  </si>
  <si>
    <t>labels/0549_label.nii.gz</t>
  </si>
  <si>
    <t>qc/0549_qc.png</t>
  </si>
  <si>
    <t>1.3.6.1.4.1.9328.50.4.613159</t>
  </si>
  <si>
    <t>1.3.6.1.4.1.9328.50.4.613794</t>
  </si>
  <si>
    <t>ct/0544_pelvic_ct.nii.gz</t>
  </si>
  <si>
    <t>labels/0544_pelvic_label.nii.gz</t>
  </si>
  <si>
    <t>qc/0544_pelvic_qc.png</t>
  </si>
  <si>
    <t>1.3.6.1.4.1.9328.50.4.627861</t>
  </si>
  <si>
    <t>1.3.6.1.4.1.9328.50.4.628333</t>
  </si>
  <si>
    <t>ct/0555_spine_ct.nii.gz</t>
  </si>
  <si>
    <t>labels/0555_spine_label.nii.gz</t>
  </si>
  <si>
    <t>qc/0555_spine_qc.png</t>
  </si>
  <si>
    <t>ct/0545_pelvic_ct.nii.gz</t>
  </si>
  <si>
    <t>labels/0545_pelvic_label.nii.gz</t>
  </si>
  <si>
    <t>qc/0545_pelvic_qc.png</t>
  </si>
  <si>
    <t>ct/0544_spine_ct.nii.gz</t>
  </si>
  <si>
    <t>labels/0544_spine_label.nii.gz</t>
  </si>
  <si>
    <t>qc/0544_spine_qc.png</t>
  </si>
  <si>
    <t>ct/0543_spine_ct.nii.gz</t>
  </si>
  <si>
    <t>labels/0543_spine_label.nii.gz</t>
  </si>
  <si>
    <t>qc/0543_spine_qc.png</t>
  </si>
  <si>
    <t>1.3.6.1.4.1.9328.50.4.625187</t>
  </si>
  <si>
    <t>1.3.6.1.4.1.9328.50.4.624641</t>
  </si>
  <si>
    <t>ct/0552_pelvic_ct.nii.gz</t>
  </si>
  <si>
    <t>labels/0552_pelvic_label.nii.gz</t>
  </si>
  <si>
    <t>qc/0552_pelvic_qc.png</t>
  </si>
  <si>
    <t>ct/0552_spine_ct.nii.gz</t>
  </si>
  <si>
    <t>labels/0552_spine_label.nii.gz</t>
  </si>
  <si>
    <t>qc/0552_spine_qc.png</t>
  </si>
  <si>
    <t>ct/0547_pelvic_ct.nii.gz</t>
  </si>
  <si>
    <t>labels/0547_pelvic_label.nii.gz</t>
  </si>
  <si>
    <t>qc/0547_pelvic_qc.png</t>
  </si>
  <si>
    <t>ct/0555_pelvic_ct.nii.gz</t>
  </si>
  <si>
    <t>labels/0555_pelvic_label.nii.gz</t>
  </si>
  <si>
    <t>qc/0555_pelvic_qc.png</t>
  </si>
  <si>
    <t>1.3.6.1.4.1.9328.50.4.628823</t>
  </si>
  <si>
    <t>ct/0556_spine_ct.nii.gz</t>
  </si>
  <si>
    <t>labels/0556_spine_label.nii.gz</t>
  </si>
  <si>
    <t>qc/0556_spine_qc.png</t>
  </si>
  <si>
    <t>1.3.6.1.4.1.9328.50.4.632971</t>
  </si>
  <si>
    <t>ct/0560_ct.nii.gz</t>
  </si>
  <si>
    <t>labels/0560_label.nii.gz</t>
  </si>
  <si>
    <t>qc/0560_qc.png</t>
  </si>
  <si>
    <t>1.3.6.1.4.1.9328.50.4.631416</t>
  </si>
  <si>
    <t>ct/0558_ct.nii.gz</t>
  </si>
  <si>
    <t>labels/0558_label.nii.gz</t>
  </si>
  <si>
    <t>qc/0558_qc.png</t>
  </si>
  <si>
    <t>1.3.6.1.4.1.9328.50.4.633975</t>
  </si>
  <si>
    <t>1.3.6.1.4.1.9328.50.4.634489</t>
  </si>
  <si>
    <t>ct/0561_pelvic_ct.nii.gz</t>
  </si>
  <si>
    <t>labels/0561_pelvic_label.nii.gz</t>
  </si>
  <si>
    <t>qc/0561_pelvic_qc.png</t>
  </si>
  <si>
    <t>1.3.6.1.4.1.9328.50.4.632454</t>
  </si>
  <si>
    <t>ct/0559_ct.nii.gz</t>
  </si>
  <si>
    <t>labels/0559_label.nii.gz</t>
  </si>
  <si>
    <t>qc/0559_qc.png</t>
  </si>
  <si>
    <t>1.3.6.1.4.1.9328.50.4.635064</t>
  </si>
  <si>
    <t>1.3.6.1.4.1.9328.50.4.635584</t>
  </si>
  <si>
    <t>ct/0562_spine_ct.nii.gz</t>
  </si>
  <si>
    <t>labels/0562_spine_label.nii.gz</t>
  </si>
  <si>
    <t>qc/0562_spine_qc.png</t>
  </si>
  <si>
    <t>ct/0562_pelvic_ct.nii.gz</t>
  </si>
  <si>
    <t>labels/0562_pelvic_label.nii.gz</t>
  </si>
  <si>
    <t>qc/0562_pelvic_qc.png</t>
  </si>
  <si>
    <t>1.3.6.1.4.1.9328.50.4.627329</t>
  </si>
  <si>
    <t>1.3.6.1.4.1.9328.50.4.626827</t>
  </si>
  <si>
    <t>ct/0554_pelvic_ct.nii.gz</t>
  </si>
  <si>
    <t>labels/0554_pelvic_label.nii.gz</t>
  </si>
  <si>
    <t>qc/0554_pelvic_qc.png</t>
  </si>
  <si>
    <t>ct/0554_spine_ct.nii.gz</t>
  </si>
  <si>
    <t>labels/0554_spine_label.nii.gz</t>
  </si>
  <si>
    <t>qc/0554_spine_qc.png</t>
  </si>
  <si>
    <t>1.3.6.1.4.1.9328.50.4.630405_orientation_fixed</t>
  </si>
  <si>
    <t>1.3.6.1.4.1.9328.50.4.629890</t>
  </si>
  <si>
    <t>ct/0557_spine_ct.nii.gz</t>
  </si>
  <si>
    <t>labels/0557_spine_label.nii.gz</t>
  </si>
  <si>
    <t>qc/0557_spine_qc.png</t>
  </si>
  <si>
    <t>1.3.6.1.4.1.9328.50.4.637315</t>
  </si>
  <si>
    <t>ct/0564_spine_ct.nii.gz</t>
  </si>
  <si>
    <t>labels/0564_spine_label.nii.gz</t>
  </si>
  <si>
    <t>qc/0564_spine_qc.png</t>
  </si>
  <si>
    <t>1.3.6.1.4.1.9328.50.4.638278</t>
  </si>
  <si>
    <t>1.3.6.1.4.1.9328.50.4.638756</t>
  </si>
  <si>
    <t>ct/0565_pelvic_ct.nii.gz</t>
  </si>
  <si>
    <t>labels/0565_pelvic_label.nii.gz</t>
  </si>
  <si>
    <t>qc/0565_pelvic_qc.png</t>
  </si>
  <si>
    <t>1.3.6.1.4.1.9328.50.4.636117</t>
  </si>
  <si>
    <t>1.3.6.1.4.1.9328.50.4.636704</t>
  </si>
  <si>
    <t>ct/0563_spine_ct.nii.gz</t>
  </si>
  <si>
    <t>labels/0563_spine_label.nii.gz</t>
  </si>
  <si>
    <t>qc/0563_spine_qc.png</t>
  </si>
  <si>
    <t>ct/0557_pelvic_ct.nii.gz</t>
  </si>
  <si>
    <t>labels/0557_pelvic_label.nii.gz</t>
  </si>
  <si>
    <t>qc/0557_pelvic_qc.png</t>
  </si>
  <si>
    <t>ct/0563_pelvic_ct.nii.gz</t>
  </si>
  <si>
    <t>labels/0563_pelvic_label.nii.gz</t>
  </si>
  <si>
    <t>qc/0563_pelvic_qc.png</t>
  </si>
  <si>
    <t>1.3.6.1.4.1.9328.50.4.647027</t>
  </si>
  <si>
    <t>ct/0571_spine_ct.nii.gz</t>
  </si>
  <si>
    <t>labels/0571_spine_label.nii.gz</t>
  </si>
  <si>
    <t>qc/0571_spine_qc.png</t>
  </si>
  <si>
    <t>1.3.6.1.4.1.9328.50.4.641021</t>
  </si>
  <si>
    <t>1.3.6.1.4.1.9328.50.4.640431</t>
  </si>
  <si>
    <t>ct/0567_pelvic_ct.nii.gz</t>
  </si>
  <si>
    <t>labels/0567_pelvic_label.nii.gz</t>
  </si>
  <si>
    <t>qc/0567_pelvic_qc.png</t>
  </si>
  <si>
    <t>ct/0561_spine_ct.nii.gz</t>
  </si>
  <si>
    <t>labels/0561_spine_label.nii.gz</t>
  </si>
  <si>
    <t>qc/0561_spine_qc.png</t>
  </si>
  <si>
    <t>1.3.6.1.4.1.9328.50.4.649709</t>
  </si>
  <si>
    <t>1.3.6.1.4.1.9328.50.4.650122</t>
  </si>
  <si>
    <t>ct/0574_spine_ct.nii.gz</t>
  </si>
  <si>
    <t>labels/0574_spine_label.nii.gz</t>
  </si>
  <si>
    <t>qc/0574_spine_qc.png</t>
  </si>
  <si>
    <t>1.3.6.1.4.1.9328.50.4.643289</t>
  </si>
  <si>
    <t>ct/0569_ct.nii.gz</t>
  </si>
  <si>
    <t>labels/0569_label.nii.gz</t>
  </si>
  <si>
    <t>qc/0569_qc.png</t>
  </si>
  <si>
    <t>1.3.6.1.4.1.9328.50.4.647544</t>
  </si>
  <si>
    <t>1.3.6.1.4.1.9328.50.4.648101</t>
  </si>
  <si>
    <t>ct/0572_spine_ct.nii.gz</t>
  </si>
  <si>
    <t>labels/0572_spine_label.nii.gz</t>
  </si>
  <si>
    <t>qc/0572_spine_qc.png</t>
  </si>
  <si>
    <t>1.3.6.1.4.1.9328.50.4.641550</t>
  </si>
  <si>
    <t>ct/0568_ct.nii.gz</t>
  </si>
  <si>
    <t>labels/0568_label.nii.gz</t>
  </si>
  <si>
    <t>qc/0568_qc.png</t>
  </si>
  <si>
    <t>1.3.6.1.4.1.9328.50.4.643896</t>
  </si>
  <si>
    <t>1.3.6.1.4.1.9328.50.4.645216</t>
  </si>
  <si>
    <t>ct/0570_pelvic_ct.nii.gz</t>
  </si>
  <si>
    <t>labels/0570_pelvic_label.nii.gz</t>
  </si>
  <si>
    <t>qc/0570_pelvic_qc.png</t>
  </si>
  <si>
    <t>1.3.6.1.4.1.9328.50.4.649235</t>
  </si>
  <si>
    <t>1.3.6.1.4.1.9328.50.4.648758</t>
  </si>
  <si>
    <t>ct/0573_spine_ct.nii.gz</t>
  </si>
  <si>
    <t>labels/0573_spine_label.nii.gz</t>
  </si>
  <si>
    <t>qc/0573_spine_qc.png</t>
  </si>
  <si>
    <t>ct/0574_pelvic_ct.nii.gz</t>
  </si>
  <si>
    <t>labels/0574_pelvic_label.nii.gz</t>
  </si>
  <si>
    <t>qc/0574_pelvic_qc.png</t>
  </si>
  <si>
    <t>ct/0573_pelvic_ct.nii.gz</t>
  </si>
  <si>
    <t>labels/0573_pelvic_label.nii.gz</t>
  </si>
  <si>
    <t>qc/0573_pelvic_qc.png</t>
  </si>
  <si>
    <t>ct/0572_pelvic_ct.nii.gz</t>
  </si>
  <si>
    <t>labels/0572_pelvic_label.nii.gz</t>
  </si>
  <si>
    <t>qc/0572_pelvic_qc.png</t>
  </si>
  <si>
    <t>ct/0565_spine_ct.nii.gz</t>
  </si>
  <si>
    <t>labels/0565_spine_label.nii.gz</t>
  </si>
  <si>
    <t>qc/0565_spine_qc.png</t>
  </si>
  <si>
    <t>ct/0567_spine_ct.nii.gz</t>
  </si>
  <si>
    <t>labels/0567_spine_label.nii.gz</t>
  </si>
  <si>
    <t>qc/0567_spine_qc.png</t>
  </si>
  <si>
    <t>1.3.6.1.4.1.9328.50.4.660458</t>
  </si>
  <si>
    <t>1.3.6.1.4.1.9328.50.4.659895</t>
  </si>
  <si>
    <t>ct/0582_spine_ct.nii.gz</t>
  </si>
  <si>
    <t>labels/0582_spine_label.nii.gz</t>
  </si>
  <si>
    <t>qc/0582_spine_qc.png</t>
  </si>
  <si>
    <t>1.3.6.1.4.1.9328.50.4.639424</t>
  </si>
  <si>
    <t>ct/0566_ct.nii.gz</t>
  </si>
  <si>
    <t>labels/0566_label.nii.gz</t>
  </si>
  <si>
    <t>qc/0566_qc.png</t>
  </si>
  <si>
    <t>1.3.6.1.4.1.9328.50.4.657226</t>
  </si>
  <si>
    <t>ct/0580_ct.nii.gz</t>
  </si>
  <si>
    <t>labels/0580_label.nii.gz</t>
  </si>
  <si>
    <t>qc/0580_qc.png</t>
  </si>
  <si>
    <t>1.3.6.1.4.1.9328.50.4.654199</t>
  </si>
  <si>
    <t>ct/0578_ct.nii.gz</t>
  </si>
  <si>
    <t>labels/0578_label.nii.gz</t>
  </si>
  <si>
    <t>qc/0578_qc.png</t>
  </si>
  <si>
    <t>1.3.6.1.4.1.9328.50.4.661016</t>
  </si>
  <si>
    <t>ct/0583_ct.nii.gz</t>
  </si>
  <si>
    <t>labels/0583_label.nii.gz</t>
  </si>
  <si>
    <t>qc/0583_qc.png</t>
  </si>
  <si>
    <t>1.3.6.1.4.1.9328.50.4.656038</t>
  </si>
  <si>
    <t>ct/0579_ct.nii.gz</t>
  </si>
  <si>
    <t>labels/0579_label.nii.gz</t>
  </si>
  <si>
    <t>qc/0579_qc.png</t>
  </si>
  <si>
    <t>ct/0582_pelvic_ct.nii.gz</t>
  </si>
  <si>
    <t>labels/0582_pelvic_label.nii.gz</t>
  </si>
  <si>
    <t>qc/0582_pelvic_qc.png</t>
  </si>
  <si>
    <t>1.3.6.1.4.1.9328.50.4.665720</t>
  </si>
  <si>
    <t>1.3.6.1.4.1.9328.50.4.666280</t>
  </si>
  <si>
    <t>ct/0587_pelvic_ct.nii.gz</t>
  </si>
  <si>
    <t>labels/0587_pelvic_label.nii.gz</t>
  </si>
  <si>
    <t>qc/0587_pelvic_qc.png</t>
  </si>
  <si>
    <t>ct/0587_spine_ct.nii.gz</t>
  </si>
  <si>
    <t>labels/0587_spine_label.nii.gz</t>
  </si>
  <si>
    <t>qc/0587_spine_qc.png</t>
  </si>
  <si>
    <t>1.3.6.1.4.1.9328.50.4.666872</t>
  </si>
  <si>
    <t>1.3.6.1.4.1.9328.50.4.667420</t>
  </si>
  <si>
    <t>ct/0588_spine_ct.nii.gz</t>
  </si>
  <si>
    <t>labels/0588_spine_label.nii.gz</t>
  </si>
  <si>
    <t>qc/0588_spine_qc.png</t>
  </si>
  <si>
    <t>1.3.6.1.4.1.9328.50.4.668600</t>
  </si>
  <si>
    <t>1.3.6.1.4.1.9328.50.4.667996</t>
  </si>
  <si>
    <t>ct/0589_pelvic_ct.nii.gz</t>
  </si>
  <si>
    <t>labels/0589_pelvic_label.nii.gz</t>
  </si>
  <si>
    <t>qc/0589_pelvic_qc.png</t>
  </si>
  <si>
    <t>1.3.6.1.4.1.9328.50.4.665022</t>
  </si>
  <si>
    <t>ct/0586_spine_ct.nii.gz</t>
  </si>
  <si>
    <t>labels/0586_spine_label.nii.gz</t>
  </si>
  <si>
    <t>qc/0586_spine_qc.png</t>
  </si>
  <si>
    <t>ct/0570_spine_ct.nii.gz</t>
  </si>
  <si>
    <t>labels/0570_spine_label.nii.gz</t>
  </si>
  <si>
    <t>qc/0570_spine_qc.png</t>
  </si>
  <si>
    <t>1.3.6.1.4.1.9328.50.4.663774</t>
  </si>
  <si>
    <t>ct/0585_ct.nii.gz</t>
  </si>
  <si>
    <t>labels/0585_label.nii.gz</t>
  </si>
  <si>
    <t>qc/0585_qc.png</t>
  </si>
  <si>
    <t>1.3.6.1.4.1.9328.50.4.669736</t>
  </si>
  <si>
    <t>1.3.6.1.4.1.9328.50.4.669186</t>
  </si>
  <si>
    <t>ct/0590_spine_ct.nii.gz</t>
  </si>
  <si>
    <t>labels/0590_spine_label.nii.gz</t>
  </si>
  <si>
    <t>qc/0590_spine_qc.png</t>
  </si>
  <si>
    <t>1.3.6.1.4.1.9328.50.4.653110</t>
  </si>
  <si>
    <t>ct/0577_ct.nii.gz</t>
  </si>
  <si>
    <t>labels/0577_label.nii.gz</t>
  </si>
  <si>
    <t>qc/0577_qc.png</t>
  </si>
  <si>
    <t>1.3.6.1.4.1.9328.50.4.658773</t>
  </si>
  <si>
    <t>ct/0581_ct.nii.gz</t>
  </si>
  <si>
    <t>labels/0581_label.nii.gz</t>
  </si>
  <si>
    <t>qc/0581_qc.png</t>
  </si>
  <si>
    <t>1.3.6.1.4.1.9328.50.4.651065</t>
  </si>
  <si>
    <t>ct/0575_ct.nii.gz</t>
  </si>
  <si>
    <t>labels/0575_label.nii.gz</t>
  </si>
  <si>
    <t>qc/0575_qc.png</t>
  </si>
  <si>
    <t>1.3.6.1.4.1.9328.50.4.651593</t>
  </si>
  <si>
    <t>ct/0576_ct.nii.gz</t>
  </si>
  <si>
    <t>labels/0576_label.nii.gz</t>
  </si>
  <si>
    <t>qc/0576_qc.png</t>
  </si>
  <si>
    <t>ct/0589_spine_ct.nii.gz</t>
  </si>
  <si>
    <t>labels/0589_spine_label.nii.gz</t>
  </si>
  <si>
    <t>qc/0589_spine_qc.png</t>
  </si>
  <si>
    <t>ct/0588_pelvic_ct.nii.gz</t>
  </si>
  <si>
    <t>labels/0588_pelvic_label.nii.gz</t>
  </si>
  <si>
    <t>qc/0588_pelvic_qc.png</t>
  </si>
  <si>
    <t>1.3.6.1.4.1.9328.50.4.671932</t>
  </si>
  <si>
    <t>1.3.6.1.4.1.9328.50.4.671418</t>
  </si>
  <si>
    <t>ct/0592_spine_ct.nii.gz</t>
  </si>
  <si>
    <t>labels/0592_spine_label.nii.gz</t>
  </si>
  <si>
    <t>qc/0592_spine_qc.png</t>
  </si>
  <si>
    <t>1.3.6.1.4.1.9328.50.4.672970</t>
  </si>
  <si>
    <t>ct/0593_spine_ct.nii.gz</t>
  </si>
  <si>
    <t>labels/0593_spine_label.nii.gz</t>
  </si>
  <si>
    <t>qc/0593_spine_qc.png</t>
  </si>
  <si>
    <t>1.3.6.1.4.1.9328.50.4.676286</t>
  </si>
  <si>
    <t>1.3.6.1.4.1.9328.50.4.675737</t>
  </si>
  <si>
    <t>ct/0596_spine_ct.nii.gz</t>
  </si>
  <si>
    <t>labels/0596_spine_label.nii.gz</t>
  </si>
  <si>
    <t>qc/0596_spine_qc.png</t>
  </si>
  <si>
    <t>ct/0596_pelvic_ct.nii.gz</t>
  </si>
  <si>
    <t>labels/0596_pelvic_label.nii.gz</t>
  </si>
  <si>
    <t>qc/0596_pelvic_qc.png</t>
  </si>
  <si>
    <t>1.3.6.1.4.1.9328.50.4.662053</t>
  </si>
  <si>
    <t>ct/0584_ct.nii.gz</t>
  </si>
  <si>
    <t>labels/0584_label.nii.gz</t>
  </si>
  <si>
    <t>qc/0584_qc.png</t>
  </si>
  <si>
    <t>1.3.6.1.4.1.9328.50.4.674687</t>
  </si>
  <si>
    <t>ct/0595_ct.nii.gz</t>
  </si>
  <si>
    <t>labels/0595_label.nii.gz</t>
  </si>
  <si>
    <t>qc/0595_qc.png</t>
  </si>
  <si>
    <t>1.3.6.1.4.1.9328.50.4.677345</t>
  </si>
  <si>
    <t>1.3.6.1.4.1.9328.50.4.676831</t>
  </si>
  <si>
    <t>ct/0597_spine_ct.nii.gz</t>
  </si>
  <si>
    <t>labels/0597_spine_label.nii.gz</t>
  </si>
  <si>
    <t>qc/0597_spine_qc.png</t>
  </si>
  <si>
    <t>ct/0597_pelvic_ct.nii.gz</t>
  </si>
  <si>
    <t>labels/0597_pelvic_label.nii.gz</t>
  </si>
  <si>
    <t>qc/0597_pelvic_qc.png</t>
  </si>
  <si>
    <t>1.3.6.1.4.1.9328.50.4.673525</t>
  </si>
  <si>
    <t>ct/0594_ct.nii.gz</t>
  </si>
  <si>
    <t>labels/0594_label.nii.gz</t>
  </si>
  <si>
    <t>qc/0594_qc.png</t>
  </si>
  <si>
    <t>1.3.6.1.4.1.9328.50.4.677849</t>
  </si>
  <si>
    <t>1.3.6.1.4.1.9328.50.4.678351</t>
  </si>
  <si>
    <t>ct/0598_spine_ct.nii.gz</t>
  </si>
  <si>
    <t>labels/0598_spine_label.nii.gz</t>
  </si>
  <si>
    <t>qc/0598_spine_qc.png</t>
  </si>
  <si>
    <t>1.3.6.1.4.1.9328.50.4.678898</t>
  </si>
  <si>
    <t>1.3.6.1.4.1.9328.50.4.679388</t>
  </si>
  <si>
    <t>ct/0599_spine_ct.nii.gz</t>
  </si>
  <si>
    <t>labels/0599_spine_label.nii.gz</t>
  </si>
  <si>
    <t>qc/0599_spine_qc.png</t>
  </si>
  <si>
    <t>ct/0590_pelvic_ct.nii.gz</t>
  </si>
  <si>
    <t>labels/0590_pelvic_label.nii.gz</t>
  </si>
  <si>
    <t>qc/0590_pelvic_qc.png</t>
  </si>
  <si>
    <t>ct/0598_pelvic_ct.nii.gz</t>
  </si>
  <si>
    <t>labels/0598_pelvic_label.nii.gz</t>
  </si>
  <si>
    <t>qc/0598_pelvic_qc.png</t>
  </si>
  <si>
    <t>1.3.6.1.4.1.9328.50.4.682390</t>
  </si>
  <si>
    <t>ct/0601_spine_ct.nii.gz</t>
  </si>
  <si>
    <t>labels/0601_spine_label.nii.gz</t>
  </si>
  <si>
    <t>qc/0601_spine_qc.png</t>
  </si>
  <si>
    <t>ct/0592_pelvic_ct.nii.gz</t>
  </si>
  <si>
    <t>labels/0592_pelvic_label.nii.gz</t>
  </si>
  <si>
    <t>qc/0592_pelvic_qc.png</t>
  </si>
  <si>
    <t>1.3.6.1.4.1.9328.50.4.685195</t>
  </si>
  <si>
    <t>1.3.6.1.4.1.9328.50.4.685717</t>
  </si>
  <si>
    <t>ct/0604_spine_ct.nii.gz</t>
  </si>
  <si>
    <t>labels/0604_spine_label.nii.gz</t>
  </si>
  <si>
    <t>qc/0604_spine_qc.png</t>
  </si>
  <si>
    <t>1.3.6.1.4.1.9328.50.4.670861</t>
  </si>
  <si>
    <t>ct/0591_spine_ct.nii.gz</t>
  </si>
  <si>
    <t>labels/0591_spine_label.nii.gz</t>
  </si>
  <si>
    <t>qc/0591_spine_qc.png</t>
  </si>
  <si>
    <t>1.3.6.1.4.1.9328.50.4.682942</t>
  </si>
  <si>
    <t>1.3.6.1.4.1.9328.50.4.683517</t>
  </si>
  <si>
    <t>ct/0602_pelvic_ct.nii.gz</t>
  </si>
  <si>
    <t>labels/0602_pelvic_label.nii.gz</t>
  </si>
  <si>
    <t>qc/0602_pelvic_qc.png</t>
  </si>
  <si>
    <t>1.3.6.1.4.1.9328.50.4.686247</t>
  </si>
  <si>
    <t>1.3.6.1.4.1.9328.50.4.686773</t>
  </si>
  <si>
    <t>ct/0605_spine_ct.nii.gz</t>
  </si>
  <si>
    <t>labels/0605_spine_label.nii.gz</t>
  </si>
  <si>
    <t>qc/0605_spine_qc.png</t>
  </si>
  <si>
    <t>ct/0605_pelvic_ct.nii.gz</t>
  </si>
  <si>
    <t>labels/0605_pelvic_label.nii.gz</t>
  </si>
  <si>
    <t>qc/0605_pelvic_qc.png</t>
  </si>
  <si>
    <t>1.3.6.1.4.1.9328.50.4.681194</t>
  </si>
  <si>
    <t>ct/0600_ct.nii.gz</t>
  </si>
  <si>
    <t>labels/0600_label.nii.gz</t>
  </si>
  <si>
    <t>qc/0600_qc.png</t>
  </si>
  <si>
    <t>1.3.6.1.4.1.9328.50.4.687308</t>
  </si>
  <si>
    <t>1.3.6.1.4.1.9328.50.4.687861</t>
  </si>
  <si>
    <t>ct/0606_spine_ct.nii.gz</t>
  </si>
  <si>
    <t>labels/0606_spine_label.nii.gz</t>
  </si>
  <si>
    <t>qc/0606_spine_qc.png</t>
  </si>
  <si>
    <t>1.3.6.1.4.1.9328.50.4.688463</t>
  </si>
  <si>
    <t>1.3.6.1.4.1.9328.50.4.689482</t>
  </si>
  <si>
    <t>ct/0607_pelvic_ct.nii.gz</t>
  </si>
  <si>
    <t>labels/0607_pelvic_label.nii.gz</t>
  </si>
  <si>
    <t>qc/0607_pelvic_qc.png</t>
  </si>
  <si>
    <t>ct/0606_pelvic_ct.nii.gz</t>
  </si>
  <si>
    <t>labels/0606_pelvic_label.nii.gz</t>
  </si>
  <si>
    <t>qc/0606_pelvic_qc.png</t>
  </si>
  <si>
    <t>1.3.6.1.4.1.9328.50.4.684163</t>
  </si>
  <si>
    <t>1.3.6.1.4.1.9328.50.4.684675</t>
  </si>
  <si>
    <t>ct/0603_spine_ct.nii.gz</t>
  </si>
  <si>
    <t>labels/0603_spine_label.nii.gz</t>
  </si>
  <si>
    <t>qc/0603_spine_qc.png</t>
  </si>
  <si>
    <t>ct/0599_pelvic_ct.nii.gz</t>
  </si>
  <si>
    <t>labels/0599_pelvic_label.nii.gz</t>
  </si>
  <si>
    <t>qc/0599_pelvic_qc.png</t>
  </si>
  <si>
    <t>1.3.6.1.4.1.9328.50.4.691400</t>
  </si>
  <si>
    <t>ct/0609_ct.nii.gz</t>
  </si>
  <si>
    <t>labels/0609_label.nii.gz</t>
  </si>
  <si>
    <t>qc/0609_qc.png</t>
  </si>
  <si>
    <t>1.3.6.1.4.1.9328.50.4.693543</t>
  </si>
  <si>
    <t>ct/0610_spine_ct.nii.gz</t>
  </si>
  <si>
    <t>labels/0610_spine_label.nii.gz</t>
  </si>
  <si>
    <t>qc/0610_spine_qc.png</t>
  </si>
  <si>
    <t>1.3.6.1.4.1.9328.50.4.695185</t>
  </si>
  <si>
    <t>ct/0611_ct.nii.gz</t>
  </si>
  <si>
    <t>labels/0611_label.nii.gz</t>
  </si>
  <si>
    <t>qc/0611_qc.png</t>
  </si>
  <si>
    <t>1.3.6.1.4.1.9328.50.4.696264</t>
  </si>
  <si>
    <t>1.3.6.1.4.1.9328.50.4.696842</t>
  </si>
  <si>
    <t>ct/0612_spine_ct.nii.gz</t>
  </si>
  <si>
    <t>labels/0612_spine_label.nii.gz</t>
  </si>
  <si>
    <t>qc/0612_spine_qc.png</t>
  </si>
  <si>
    <t>ct/0603_pelvic_ct.nii.gz</t>
  </si>
  <si>
    <t>labels/0603_pelvic_label.nii.gz</t>
  </si>
  <si>
    <t>qc/0603_pelvic_qc.png</t>
  </si>
  <si>
    <t>ct/0604_pelvic_ct.nii.gz</t>
  </si>
  <si>
    <t>labels/0604_pelvic_label.nii.gz</t>
  </si>
  <si>
    <t>qc/0604_pelvic_qc.png</t>
  </si>
  <si>
    <t>ct/0602_spine_ct.nii.gz</t>
  </si>
  <si>
    <t>labels/0602_spine_label.nii.gz</t>
  </si>
  <si>
    <t>qc/0602_spine_qc.png</t>
  </si>
  <si>
    <t>1.3.6.1.4.1.9328.50.4.697947</t>
  </si>
  <si>
    <t>ct/0613_ct.nii.gz</t>
  </si>
  <si>
    <t>labels/0613_label.nii.gz</t>
  </si>
  <si>
    <t>qc/0613_qc.png</t>
  </si>
  <si>
    <t>1.3.6.1.4.1.9328.50.4.701134_orientation_fixed</t>
  </si>
  <si>
    <t>ct/0616_ct.nii.gz</t>
  </si>
  <si>
    <t>labels/0616_label.nii.gz</t>
  </si>
  <si>
    <t>qc/0616_qc.png</t>
  </si>
  <si>
    <t>1.3.6.1.4.1.9328.50.4.699038</t>
  </si>
  <si>
    <t>ct/0614_ct.nii.gz</t>
  </si>
  <si>
    <t>labels/0614_label.nii.gz</t>
  </si>
  <si>
    <t>qc/0614_qc.png</t>
  </si>
  <si>
    <t>1.3.6.1.4.1.9328.50.4.705102</t>
  </si>
  <si>
    <t>1.3.6.1.4.1.9328.50.4.704516</t>
  </si>
  <si>
    <t>ct/0619_spine_ct.nii.gz</t>
  </si>
  <si>
    <t>labels/0619_spine_label.nii.gz</t>
  </si>
  <si>
    <t>qc/0619_spine_qc.png</t>
  </si>
  <si>
    <t>ct/0607_spine_ct.nii.gz</t>
  </si>
  <si>
    <t>labels/0607_spine_label.nii.gz</t>
  </si>
  <si>
    <t>qc/0607_spine_qc.png</t>
  </si>
  <si>
    <t>1.3.6.1.4.1.9328.50.4.705639</t>
  </si>
  <si>
    <t>1.3.6.1.4.1.9328.50.4.706135</t>
  </si>
  <si>
    <t>ct/0620_spine_ct.nii.gz</t>
  </si>
  <si>
    <t>labels/0620_spine_label.nii.gz</t>
  </si>
  <si>
    <t>qc/0620_spine_qc.png</t>
  </si>
  <si>
    <t>ct/0620_pelvic_ct.nii.gz</t>
  </si>
  <si>
    <t>labels/0620_pelvic_label.nii.gz</t>
  </si>
  <si>
    <t>qc/0620_pelvic_qc.png</t>
  </si>
  <si>
    <t>ct/0619_pelvic_ct.nii.gz</t>
  </si>
  <si>
    <t>labels/0619_pelvic_label.nii.gz</t>
  </si>
  <si>
    <t>qc/0619_pelvic_qc.png</t>
  </si>
  <si>
    <t>1.3.6.1.4.1.9328.50.4.707196</t>
  </si>
  <si>
    <t>ct/0621_ct.nii.gz</t>
  </si>
  <si>
    <t>labels/0621_label.nii.gz</t>
  </si>
  <si>
    <t>qc/0621_qc.png</t>
  </si>
  <si>
    <t>1.3.6.1.4.1.9328.50.4.707771</t>
  </si>
  <si>
    <t>ct/0622_ct.nii.gz</t>
  </si>
  <si>
    <t>labels/0622_label.nii.gz</t>
  </si>
  <si>
    <t>qc/0622_qc.png</t>
  </si>
  <si>
    <t>1.3.6.1.4.1.9328.50.4.709373</t>
  </si>
  <si>
    <t>ct/0623_ct.nii.gz</t>
  </si>
  <si>
    <t>labels/0623_label.nii.gz</t>
  </si>
  <si>
    <t>qc/0623_qc.png</t>
  </si>
  <si>
    <t>1.3.6.1.4.1.9328.50.4.690385</t>
  </si>
  <si>
    <t>ct/0608_ct.nii.gz</t>
  </si>
  <si>
    <t>labels/0608_label.nii.gz</t>
  </si>
  <si>
    <t>qc/0608_qc.png</t>
  </si>
  <si>
    <t>1.3.6.1.4.1.9328.50.4.713561</t>
  </si>
  <si>
    <t>1.3.6.1.4.1.9328.50.4.714033</t>
  </si>
  <si>
    <t>ct/0627_spine_ct.nii.gz</t>
  </si>
  <si>
    <t>labels/0627_spine_label.nii.gz</t>
  </si>
  <si>
    <t>qc/0627_spine_qc.png</t>
  </si>
  <si>
    <t>ct/0612_pelvic_ct.nii.gz</t>
  </si>
  <si>
    <t>labels/0612_pelvic_label.nii.gz</t>
  </si>
  <si>
    <t>qc/0612_pelvic_qc.png</t>
  </si>
  <si>
    <t>1.3.6.1.4.1.9328.50.4.711122</t>
  </si>
  <si>
    <t>1.3.6.1.4.1.9328.50.4.711671</t>
  </si>
  <si>
    <t>ct/0625_spine_ct.nii.gz</t>
  </si>
  <si>
    <t>labels/0625_spine_label.nii.gz</t>
  </si>
  <si>
    <t>qc/0625_spine_qc.png</t>
  </si>
  <si>
    <t>ct/0625_pelvic_ct.nii.gz</t>
  </si>
  <si>
    <t>labels/0625_pelvic_label.nii.gz</t>
  </si>
  <si>
    <t>qc/0625_pelvic_qc.png</t>
  </si>
  <si>
    <t>1.3.6.1.4.1.9328.50.4.716132</t>
  </si>
  <si>
    <t>ct/0629_ct.nii.gz</t>
  </si>
  <si>
    <t>labels/0629_label.nii.gz</t>
  </si>
  <si>
    <t>qc/0629_qc.png</t>
  </si>
  <si>
    <t>1.3.6.1.4.1.9328.50.4.712865</t>
  </si>
  <si>
    <t>ct/0626_ct.nii.gz</t>
  </si>
  <si>
    <t>labels/0626_label.nii.gz</t>
  </si>
  <si>
    <t>qc/0626_qc.png</t>
  </si>
  <si>
    <t>1.3.6.1.4.1.9328.50.4.700094</t>
  </si>
  <si>
    <t>ct/0615_ct.nii.gz</t>
  </si>
  <si>
    <t>labels/0615_label.nii.gz</t>
  </si>
  <si>
    <t>qc/0615_qc.png</t>
  </si>
  <si>
    <t>1.3.6.1.4.1.9328.50.4.717070</t>
  </si>
  <si>
    <t>ct/0630_ct.nii.gz</t>
  </si>
  <si>
    <t>labels/0630_label.nii.gz</t>
  </si>
  <si>
    <t>qc/0630_qc.png</t>
  </si>
  <si>
    <t>1.3.6.1.4.1.9328.50.4.702802</t>
  </si>
  <si>
    <t>ct/0618_pelvic_ct.nii.gz</t>
  </si>
  <si>
    <t>labels/0618_pelvic_label.nii.gz</t>
  </si>
  <si>
    <t>qc/0618_pelvic_qc.png</t>
  </si>
  <si>
    <t>1.3.6.1.4.1.9328.50.4.718135</t>
  </si>
  <si>
    <t>1.3.6.1.4.1.9328.50.4.717543</t>
  </si>
  <si>
    <t>ct/0631_pelvic_ct.nii.gz</t>
  </si>
  <si>
    <t>labels/0631_pelvic_label.nii.gz</t>
  </si>
  <si>
    <t>qc/0631_pelvic_qc.png</t>
  </si>
  <si>
    <t>ct/0631_spine_ct.nii.gz</t>
  </si>
  <si>
    <t>labels/0631_spine_label.nii.gz</t>
  </si>
  <si>
    <t>qc/0631_spine_qc.png</t>
  </si>
  <si>
    <t>1.3.6.1.4.1.9328.50.4.721231</t>
  </si>
  <si>
    <t>1.3.6.1.4.1.9328.50.4.720557</t>
  </si>
  <si>
    <t>ct/0633_pelvic_ct.nii.gz</t>
  </si>
  <si>
    <t>labels/0633_pelvic_label.nii.gz</t>
  </si>
  <si>
    <t>qc/0633_pelvic_qc.png</t>
  </si>
  <si>
    <t>1.3.6.1.4.1.9328.50.4.721952</t>
  </si>
  <si>
    <t>ct/0634_ct.nii.gz</t>
  </si>
  <si>
    <t>labels/0634_label.nii.gz</t>
  </si>
  <si>
    <t>qc/0634_qc.png</t>
  </si>
  <si>
    <t>ct/0633_spine_ct.nii.gz</t>
  </si>
  <si>
    <t>labels/0633_spine_label.nii.gz</t>
  </si>
  <si>
    <t>qc/0633_spine_qc.png</t>
  </si>
  <si>
    <t>1.3.6.1.4.1.9328.50.4.723653</t>
  </si>
  <si>
    <t>1.3.6.1.4.1.9328.50.4.723053</t>
  </si>
  <si>
    <t>ct/0635_pelvic_ct.nii.gz</t>
  </si>
  <si>
    <t>labels/0635_pelvic_label.nii.gz</t>
  </si>
  <si>
    <t>qc/0635_pelvic_qc.png</t>
  </si>
  <si>
    <t>1.3.6.1.4.1.9328.50.4.724275</t>
  </si>
  <si>
    <t>ct/0636_spine_ct.nii.gz</t>
  </si>
  <si>
    <t>labels/0636_spine_label.nii.gz</t>
  </si>
  <si>
    <t>qc/0636_spine_qc.png</t>
  </si>
  <si>
    <t>1.3.6.1.4.1.9328.50.4.725373</t>
  </si>
  <si>
    <t>1.3.6.1.4.1.9328.50.4.725927</t>
  </si>
  <si>
    <t>ct/0637_pelvic_ct.nii.gz</t>
  </si>
  <si>
    <t>labels/0637_pelvic_label.nii.gz</t>
  </si>
  <si>
    <t>qc/0637_pelvic_qc.png</t>
  </si>
  <si>
    <t>ct/0635_spine_ct.nii.gz</t>
  </si>
  <si>
    <t>labels/0635_spine_label.nii.gz</t>
  </si>
  <si>
    <t>qc/0635_spine_qc.png</t>
  </si>
  <si>
    <t>ct/0627_pelvic_ct.nii.gz</t>
  </si>
  <si>
    <t>labels/0627_pelvic_label.nii.gz</t>
  </si>
  <si>
    <t>qc/0627_pelvic_qc.png</t>
  </si>
  <si>
    <t>1.3.6.1.4.1.9328.50.4.714573</t>
  </si>
  <si>
    <t>1.3.6.1.4.1.9328.50.4.715083</t>
  </si>
  <si>
    <t>ct/0628_spine_ct.nii.gz</t>
  </si>
  <si>
    <t>labels/0628_spine_label.nii.gz</t>
  </si>
  <si>
    <t>qc/0628_spine_qc.png</t>
  </si>
  <si>
    <t>1.3.6.1.4.1.9328.50.4.710480</t>
  </si>
  <si>
    <t>1.3.6.1.4.1.9328.50.4.709949</t>
  </si>
  <si>
    <t>ct/0624_pelvic_ct.nii.gz</t>
  </si>
  <si>
    <t>labels/0624_pelvic_label.nii.gz</t>
  </si>
  <si>
    <t>qc/0624_pelvic_qc.png</t>
  </si>
  <si>
    <t>1.3.6.1.4.1.9328.50.4.730780</t>
  </si>
  <si>
    <t>1.3.6.1.4.1.9328.50.4.730333</t>
  </si>
  <si>
    <t>ct/0641_spine_ct.nii.gz</t>
  </si>
  <si>
    <t>labels/0641_spine_label.nii.gz</t>
  </si>
  <si>
    <t>qc/0641_spine_qc.png</t>
  </si>
  <si>
    <t>ct/0624_spine_ct.nii.gz</t>
  </si>
  <si>
    <t>labels/0624_spine_label.nii.gz</t>
  </si>
  <si>
    <t>qc/0624_spine_qc.png</t>
  </si>
  <si>
    <t>1.3.6.1.4.1.9328.50.4.727043</t>
  </si>
  <si>
    <t>1.3.6.1.4.1.9328.50.4.726499</t>
  </si>
  <si>
    <t>ct/0638_pelvic_ct.nii.gz</t>
  </si>
  <si>
    <t>labels/0638_pelvic_label.nii.gz</t>
  </si>
  <si>
    <t>qc/0638_pelvic_qc.png</t>
  </si>
  <si>
    <t>ct/0628_pelvic_ct.nii.gz</t>
  </si>
  <si>
    <t>labels/0628_pelvic_label.nii.gz</t>
  </si>
  <si>
    <t>qc/0628_pelvic_qc.png</t>
  </si>
  <si>
    <t>1.3.6.1.4.1.9328.50.4.727587</t>
  </si>
  <si>
    <t>ct/0639_ct.nii.gz</t>
  </si>
  <si>
    <t>labels/0639_label.nii.gz</t>
  </si>
  <si>
    <t>qc/0639_qc.png</t>
  </si>
  <si>
    <t>1.3.6.1.4.1.9328.50.4.731728</t>
  </si>
  <si>
    <t>ct/0642_ct.nii.gz</t>
  </si>
  <si>
    <t>labels/0642_label.nii.gz</t>
  </si>
  <si>
    <t>qc/0642_qc.png</t>
  </si>
  <si>
    <t>1.3.6.1.4.1.9328.50.4.733250</t>
  </si>
  <si>
    <t>1.3.6.1.4.1.9328.50.4.733788</t>
  </si>
  <si>
    <t>ct/0644_spine_ct.nii.gz</t>
  </si>
  <si>
    <t>labels/0644_spine_label.nii.gz</t>
  </si>
  <si>
    <t>qc/0644_spine_qc.png</t>
  </si>
  <si>
    <t>ct/0644_pelvic_ct.nii.gz</t>
  </si>
  <si>
    <t>labels/0644_pelvic_label.nii.gz</t>
  </si>
  <si>
    <t>qc/0644_pelvic_qc.png</t>
  </si>
  <si>
    <t>1.3.6.1.4.1.9328.50.4.729210</t>
  </si>
  <si>
    <t>ct/0640_ct.nii.gz</t>
  </si>
  <si>
    <t>labels/0640_label.nii.gz</t>
  </si>
  <si>
    <t>qc/0640_qc.png</t>
  </si>
  <si>
    <t>1.3.6.1.4.1.9328.50.4.734849</t>
  </si>
  <si>
    <t>1.3.6.1.4.1.9328.50.4.734356</t>
  </si>
  <si>
    <t>ct/0645_spine_ct.nii.gz</t>
  </si>
  <si>
    <t>labels/0645_spine_label.nii.gz</t>
  </si>
  <si>
    <t>qc/0645_spine_qc.png</t>
  </si>
  <si>
    <t>ct/0645_pelvic_ct.nii.gz</t>
  </si>
  <si>
    <t>labels/0645_pelvic_label.nii.gz</t>
  </si>
  <si>
    <t>qc/0645_pelvic_qc.png</t>
  </si>
  <si>
    <t>ct/0641_pelvic_ct.nii.gz</t>
  </si>
  <si>
    <t>labels/0641_pelvic_label.nii.gz</t>
  </si>
  <si>
    <t>qc/0641_pelvic_qc.png</t>
  </si>
  <si>
    <t>1.3.6.1.4.1.9328.50.4.738332</t>
  </si>
  <si>
    <t>1.3.6.1.4.1.9328.50.4.738841</t>
  </si>
  <si>
    <t>ct/0648_spine_ct.nii.gz</t>
  </si>
  <si>
    <t>labels/0648_spine_label.nii.gz</t>
  </si>
  <si>
    <t>qc/0648_spine_qc.png</t>
  </si>
  <si>
    <t>ct/0637_spine_ct.nii.gz</t>
  </si>
  <si>
    <t>labels/0637_spine_label.nii.gz</t>
  </si>
  <si>
    <t>qc/0637_spine_qc.png</t>
  </si>
  <si>
    <t>1.3.6.1.4.1.9328.50.4.735953</t>
  </si>
  <si>
    <t>1.3.6.1.4.1.9328.50.4.735349</t>
  </si>
  <si>
    <t>ct/0646_pelvic_ct.nii.gz</t>
  </si>
  <si>
    <t>labels/0646_pelvic_label.nii.gz</t>
  </si>
  <si>
    <t>qc/0646_pelvic_qc.png</t>
  </si>
  <si>
    <t>ct/0646_spine_ct.nii.gz</t>
  </si>
  <si>
    <t>labels/0646_spine_label.nii.gz</t>
  </si>
  <si>
    <t>qc/0646_spine_qc.png</t>
  </si>
  <si>
    <t>1.3.6.1.4.1.9328.50.4.737741</t>
  </si>
  <si>
    <t>1.3.6.1.4.1.9328.50.4.737149</t>
  </si>
  <si>
    <t>ct/0647_pelvic_ct.nii.gz</t>
  </si>
  <si>
    <t>labels/0647_pelvic_label.nii.gz</t>
  </si>
  <si>
    <t>qc/0647_pelvic_qc.png</t>
  </si>
  <si>
    <t>1.3.6.1.4.1.9328.50.4.718714</t>
  </si>
  <si>
    <t>ct/0632_ct.nii.gz</t>
  </si>
  <si>
    <t>labels/0632_label.nii.gz</t>
  </si>
  <si>
    <t>qc/0632_qc.png</t>
  </si>
  <si>
    <t>1.3.6.1.4.1.9328.50.4.743476</t>
  </si>
  <si>
    <t>1.3.6.1.4.1.9328.50.4.742974</t>
  </si>
  <si>
    <t>ct/0652_spine_ct.nii.gz</t>
  </si>
  <si>
    <t>labels/0652_spine_label.nii.gz</t>
  </si>
  <si>
    <t>qc/0652_spine_qc.png</t>
  </si>
  <si>
    <t>ct/0647_spine_ct.nii.gz</t>
  </si>
  <si>
    <t>labels/0647_spine_label.nii.gz</t>
  </si>
  <si>
    <t>qc/0647_spine_qc.png</t>
  </si>
  <si>
    <t>ct/0638_spine_ct.nii.gz</t>
  </si>
  <si>
    <t>labels/0638_spine_label.nii.gz</t>
  </si>
  <si>
    <t>qc/0638_spine_qc.png</t>
  </si>
  <si>
    <t>1.3.6.1.4.1.9328.50.4.740800</t>
  </si>
  <si>
    <t>ct/0650_ct.nii.gz</t>
  </si>
  <si>
    <t>labels/0650_label.nii.gz</t>
  </si>
  <si>
    <t>qc/0650_qc.png</t>
  </si>
  <si>
    <t>1.3.6.1.4.1.9328.50.4.747084</t>
  </si>
  <si>
    <t>1.3.6.1.4.1.9328.50.4.746559</t>
  </si>
  <si>
    <t>ct/0655_pelvic_ct.nii.gz</t>
  </si>
  <si>
    <t>labels/0655_pelvic_label.nii.gz</t>
  </si>
  <si>
    <t>qc/0655_pelvic_qc.png</t>
  </si>
  <si>
    <t>1.3.6.1.4.1.9328.50.4.745410</t>
  </si>
  <si>
    <t>ct/0654_spine_ct.nii.gz</t>
  </si>
  <si>
    <t>labels/0654_spine_label.nii.gz</t>
  </si>
  <si>
    <t>qc/0654_spine_qc.png</t>
  </si>
  <si>
    <t>1.3.6.1.4.1.9328.50.4.743987</t>
  </si>
  <si>
    <t>ct/0653_ct.nii.gz</t>
  </si>
  <si>
    <t>labels/0653_label.nii.gz</t>
  </si>
  <si>
    <t>qc/0653_qc.png</t>
  </si>
  <si>
    <t>1.3.6.1.4.1.9328.50.4.739825</t>
  </si>
  <si>
    <t>1.3.6.1.4.1.9328.50.4.739375</t>
  </si>
  <si>
    <t>ct/0649_pelvic_ct.nii.gz</t>
  </si>
  <si>
    <t>labels/0649_pelvic_label.nii.gz</t>
  </si>
  <si>
    <t>qc/0649_pelvic_qc.png</t>
  </si>
  <si>
    <t>1.3.6.1.4.1.9328.50.4.732243</t>
  </si>
  <si>
    <t>ct/0643_ct.nii.gz</t>
  </si>
  <si>
    <t>labels/0643_label.nii.gz</t>
  </si>
  <si>
    <t>qc/0643_qc.png</t>
  </si>
  <si>
    <t>1.3.6.1.4.1.9328.50.4.747645_orientation_fixed</t>
  </si>
  <si>
    <t>1.3.6.1.4.1.9328.50.4.748198</t>
  </si>
  <si>
    <t>ct/0656_spine_ct.nii.gz</t>
  </si>
  <si>
    <t>labels/0656_spine_label.nii.gz</t>
  </si>
  <si>
    <t>qc/0656_spine_qc.png</t>
  </si>
  <si>
    <t>ct/0656_pelvic_ct.nii.gz</t>
  </si>
  <si>
    <t>labels/0656_pelvic_label.nii.gz</t>
  </si>
  <si>
    <t>qc/0656_pelvic_qc.png</t>
  </si>
  <si>
    <t>ct/0655_spine_ct.nii.gz</t>
  </si>
  <si>
    <t>labels/0655_spine_label.nii.gz</t>
  </si>
  <si>
    <t>qc/0655_spine_qc.png</t>
  </si>
  <si>
    <t>1.3.6.1.4.1.9328.50.4.750346</t>
  </si>
  <si>
    <t>1.3.6.1.4.1.9328.50.4.749801</t>
  </si>
  <si>
    <t>ct/0658_pelvic_ct.nii.gz</t>
  </si>
  <si>
    <t>labels/0658_pelvic_label.nii.gz</t>
  </si>
  <si>
    <t>qc/0658_pelvic_qc.png</t>
  </si>
  <si>
    <t>1.3.6.1.4.1.9328.50.4.748769</t>
  </si>
  <si>
    <t>ct/0657_ct.nii.gz</t>
  </si>
  <si>
    <t>labels/0657_label.nii.gz</t>
  </si>
  <si>
    <t>qc/0657_qc.png</t>
  </si>
  <si>
    <t>ct/0648_pelvic_ct.nii.gz</t>
  </si>
  <si>
    <t>labels/0648_pelvic_label.nii.gz</t>
  </si>
  <si>
    <t>qc/0648_pelvic_qc.png</t>
  </si>
  <si>
    <t>ct/0649_spine_ct.nii.gz</t>
  </si>
  <si>
    <t>labels/0649_spine_label.nii.gz</t>
  </si>
  <si>
    <t>qc/0649_spine_qc.png</t>
  </si>
  <si>
    <t>1.3.6.1.4.1.9328.50.4.752469</t>
  </si>
  <si>
    <t>1.3.6.1.4.1.9328.50.4.751966</t>
  </si>
  <si>
    <t>ct/0660_spine_ct.nii.gz</t>
  </si>
  <si>
    <t>labels/0660_spine_label.nii.gz</t>
  </si>
  <si>
    <t>qc/0660_spine_qc.png</t>
  </si>
  <si>
    <t>ct/0660_pelvic_ct.nii.gz</t>
  </si>
  <si>
    <t>labels/0660_pelvic_label.nii.gz</t>
  </si>
  <si>
    <t>qc/0660_pelvic_qc.png</t>
  </si>
  <si>
    <t>ct/0652_pelvic_ct.nii.gz</t>
  </si>
  <si>
    <t>labels/0652_pelvic_label.nii.gz</t>
  </si>
  <si>
    <t>qc/0652_pelvic_qc.png</t>
  </si>
  <si>
    <t>1.3.6.1.4.1.9328.50.4.756783</t>
  </si>
  <si>
    <t>1.3.6.1.4.1.9328.50.4.757305</t>
  </si>
  <si>
    <t>ct/0665_spine_ct.nii.gz</t>
  </si>
  <si>
    <t>labels/0665_spine_label.nii.gz</t>
  </si>
  <si>
    <t>qc/0665_spine_qc.png</t>
  </si>
  <si>
    <t>1.3.6.1.4.1.9328.50.4.752957</t>
  </si>
  <si>
    <t>1.3.6.1.4.1.9328.50.4.753477</t>
  </si>
  <si>
    <t>ct/0661_spine_ct.nii.gz</t>
  </si>
  <si>
    <t>labels/0661_spine_label.nii.gz</t>
  </si>
  <si>
    <t>qc/0661_spine_qc.png</t>
  </si>
  <si>
    <t>ct/0665_pelvic_ct.nii.gz</t>
  </si>
  <si>
    <t>labels/0665_pelvic_label.nii.gz</t>
  </si>
  <si>
    <t>qc/0665_pelvic_qc.png</t>
  </si>
  <si>
    <t>1.3.6.1.4.1.9328.50.4.757848</t>
  </si>
  <si>
    <t>1.3.6.1.4.1.9328.50.4.758348</t>
  </si>
  <si>
    <t>ct/0666_spine_ct.nii.gz</t>
  </si>
  <si>
    <t>labels/0666_spine_label.nii.gz</t>
  </si>
  <si>
    <t>qc/0666_spine_qc.png</t>
  </si>
  <si>
    <t>1.3.6.1.4.1.9328.50.4.741945</t>
  </si>
  <si>
    <t>ct/0651_ct.nii.gz</t>
  </si>
  <si>
    <t>labels/0651_label.nii.gz</t>
  </si>
  <si>
    <t>qc/0651_qc.png</t>
  </si>
  <si>
    <t>ct/0666_pelvic_ct.nii.gz</t>
  </si>
  <si>
    <t>labels/0666_pelvic_label.nii.gz</t>
  </si>
  <si>
    <t>qc/0666_pelvic_qc.png</t>
  </si>
  <si>
    <t>1.3.6.1.4.1.9328.50.4.755138</t>
  </si>
  <si>
    <t>ct/0663_ct.nii.gz</t>
  </si>
  <si>
    <t>labels/0663_label.nii.gz</t>
  </si>
  <si>
    <t>qc/0663_qc.png</t>
  </si>
  <si>
    <t>1.3.6.1.4.1.9328.50.4.754581</t>
  </si>
  <si>
    <t>ct/0662_ct.nii.gz</t>
  </si>
  <si>
    <t>labels/0662_label.nii.gz</t>
  </si>
  <si>
    <t>qc/0662_qc.png</t>
  </si>
  <si>
    <t>1.3.6.1.4.1.9328.50.4.759810</t>
  </si>
  <si>
    <t>1.3.6.1.4.1.9328.50.4.760421</t>
  </si>
  <si>
    <t>ct/0668_spine_ct.nii.gz</t>
  </si>
  <si>
    <t>labels/0668_spine_label.nii.gz</t>
  </si>
  <si>
    <t>qc/0668_spine_qc.png</t>
  </si>
  <si>
    <t>ct/0668_pelvic_ct.nii.gz</t>
  </si>
  <si>
    <t>labels/0668_pelvic_label.nii.gz</t>
  </si>
  <si>
    <t>qc/0668_pelvic_qc.png</t>
  </si>
  <si>
    <t>1.3.6.1.4.1.9328.50.4.762826</t>
  </si>
  <si>
    <t>1.3.6.1.4.1.9328.50.4.762150</t>
  </si>
  <si>
    <t>ct/0670_spine_ct.nii.gz</t>
  </si>
  <si>
    <t>labels/0670_spine_label.nii.gz</t>
  </si>
  <si>
    <t>qc/0670_spine_qc.png</t>
  </si>
  <si>
    <t>1.3.6.1.4.1.9328.50.4.765698</t>
  </si>
  <si>
    <t>1.3.6.1.4.1.9328.50.4.765190</t>
  </si>
  <si>
    <t>ct/0672_pelvic_ct.nii.gz</t>
  </si>
  <si>
    <t>labels/0672_pelvic_label.nii.gz</t>
  </si>
  <si>
    <t>qc/0672_pelvic_qc.png</t>
  </si>
  <si>
    <t>ct/0658_spine_ct.nii.gz</t>
  </si>
  <si>
    <t>labels/0658_spine_label.nii.gz</t>
  </si>
  <si>
    <t>qc/0658_spine_qc.png</t>
  </si>
  <si>
    <t>1.3.6.1.4.1.9328.50.4.767828</t>
  </si>
  <si>
    <t>ct/0674_ct.nii.gz</t>
  </si>
  <si>
    <t>labels/0674_label.nii.gz</t>
  </si>
  <si>
    <t>qc/0674_qc.png</t>
  </si>
  <si>
    <t>1.3.6.1.4.1.9328.50.4.766304</t>
  </si>
  <si>
    <t>1.3.6.1.4.1.9328.50.4.766759</t>
  </si>
  <si>
    <t>ct/0673_spine_ct.nii.gz</t>
  </si>
  <si>
    <t>labels/0673_spine_label.nii.gz</t>
  </si>
  <si>
    <t>qc/0673_spine_qc.png</t>
  </si>
  <si>
    <t>1.3.6.1.4.1.9328.50.4.761597</t>
  </si>
  <si>
    <t>ct/0669_ct.nii.gz</t>
  </si>
  <si>
    <t>labels/0669_label.nii.gz</t>
  </si>
  <si>
    <t>qc/0669_qc.png</t>
  </si>
  <si>
    <t>1.3.6.1.4.1.9328.50.4.771164</t>
  </si>
  <si>
    <t>1.3.6.1.4.1.9328.50.4.770647</t>
  </si>
  <si>
    <t>ct/0676_spine_ct.nii.gz</t>
  </si>
  <si>
    <t>labels/0676_spine_label.nii.gz</t>
  </si>
  <si>
    <t>qc/0676_spine_qc.png</t>
  </si>
  <si>
    <t>ct/0676_pelvic_ct.nii.gz</t>
  </si>
  <si>
    <t>labels/0676_pelvic_label.nii.gz</t>
  </si>
  <si>
    <t>qc/0676_pelvic_qc.png</t>
  </si>
  <si>
    <t>ct/0661_pelvic_ct.nii.gz</t>
  </si>
  <si>
    <t>labels/0661_pelvic_label.nii.gz</t>
  </si>
  <si>
    <t>qc/0661_pelvic_qc.png</t>
  </si>
  <si>
    <t>1.3.6.1.4.1.9328.50.4.770116</t>
  </si>
  <si>
    <t>1.3.6.1.4.1.9328.50.4.769443</t>
  </si>
  <si>
    <t>ct/0675_spine_ct.nii.gz</t>
  </si>
  <si>
    <t>labels/0675_spine_label.nii.gz</t>
  </si>
  <si>
    <t>qc/0675_spine_qc.png</t>
  </si>
  <si>
    <t>1.3.6.1.4.1.9328.50.4.751428</t>
  </si>
  <si>
    <t>ct/0659_ct.nii.gz</t>
  </si>
  <si>
    <t>labels/0659_label.nii.gz</t>
  </si>
  <si>
    <t>qc/0659_qc.png</t>
  </si>
  <si>
    <t>1.3.6.1.4.1.9328.50.4.759385</t>
  </si>
  <si>
    <t>1.3.6.1.4.1.9328.50.4.758865</t>
  </si>
  <si>
    <t>ct/0667_pelvic_ct.nii.gz</t>
  </si>
  <si>
    <t>labels/0667_pelvic_label.nii.gz</t>
  </si>
  <si>
    <t>qc/0667_pelvic_qc.png</t>
  </si>
  <si>
    <t>ct/0675_pelvic_ct.nii.gz</t>
  </si>
  <si>
    <t>labels/0675_pelvic_label.nii.gz</t>
  </si>
  <si>
    <t>qc/0675_pelvic_qc.png</t>
  </si>
  <si>
    <t>ct/0667_spine_ct.nii.gz</t>
  </si>
  <si>
    <t>labels/0667_spine_label.nii.gz</t>
  </si>
  <si>
    <t>qc/0667_spine_qc.png</t>
  </si>
  <si>
    <t>1.3.6.1.4.1.9328.50.4.772178</t>
  </si>
  <si>
    <t>1.3.6.1.4.1.9328.50.4.771687</t>
  </si>
  <si>
    <t>ct/0677_pelvic_ct.nii.gz</t>
  </si>
  <si>
    <t>labels/0677_pelvic_label.nii.gz</t>
  </si>
  <si>
    <t>qc/0677_pelvic_qc.png</t>
  </si>
  <si>
    <t>ct/0670_pelvic_ct.nii.gz</t>
  </si>
  <si>
    <t>labels/0670_pelvic_label.nii.gz</t>
  </si>
  <si>
    <t>qc/0670_pelvic_qc.png</t>
  </si>
  <si>
    <t>ct/0677_spine_ct.nii.gz</t>
  </si>
  <si>
    <t>labels/0677_spine_label.nii.gz</t>
  </si>
  <si>
    <t>qc/0677_spine_qc.png</t>
  </si>
  <si>
    <t>1.3.6.1.4.1.9328.50.4.756229</t>
  </si>
  <si>
    <t>ct/0664_ct.nii.gz</t>
  </si>
  <si>
    <t>labels/0664_label.nii.gz</t>
  </si>
  <si>
    <t>qc/0664_qc.png</t>
  </si>
  <si>
    <t>ct/0673_pelvic_ct.nii.gz</t>
  </si>
  <si>
    <t>labels/0673_pelvic_label.nii.gz</t>
  </si>
  <si>
    <t>qc/0673_pelvic_qc.png</t>
  </si>
  <si>
    <t>1.3.6.1.4.1.9328.50.4.773211</t>
  </si>
  <si>
    <t>ct/0678_ct.nii.gz</t>
  </si>
  <si>
    <t>labels/0678_label.nii.gz</t>
  </si>
  <si>
    <t>qc/0678_qc.png</t>
  </si>
  <si>
    <t>1.3.6.1.4.1.9328.50.4.773791</t>
  </si>
  <si>
    <t>ct/0679_ct.nii.gz</t>
  </si>
  <si>
    <t>labels/0679_label.nii.gz</t>
  </si>
  <si>
    <t>qc/0679_qc.png</t>
  </si>
  <si>
    <t>1.3.6.1.4.1.9328.50.4.777503</t>
  </si>
  <si>
    <t>ct/0682_spine_ct.nii.gz</t>
  </si>
  <si>
    <t>labels/0682_spine_label.nii.gz</t>
  </si>
  <si>
    <t>qc/0682_spine_qc.png</t>
  </si>
  <si>
    <t>1.3.6.1.4.1.9328.50.4.779512</t>
  </si>
  <si>
    <t>1.3.6.1.4.1.9328.50.4.779533</t>
  </si>
  <si>
    <t>ct/0684_pelvic_ct.nii.gz</t>
  </si>
  <si>
    <t>labels/0684_pelvic_label.nii.gz</t>
  </si>
  <si>
    <t>qc/0684_pelvic_qc.png</t>
  </si>
  <si>
    <t>1.3.6.1.4.1.9328.50.4.776432</t>
  </si>
  <si>
    <t>ct/0681_ct.nii.gz</t>
  </si>
  <si>
    <t>labels/0681_label.nii.gz</t>
  </si>
  <si>
    <t>qc/0681_qc.png</t>
  </si>
  <si>
    <t>ct/0672_spine_ct.nii.gz</t>
  </si>
  <si>
    <t>labels/0672_spine_label.nii.gz</t>
  </si>
  <si>
    <t>qc/0672_spine_qc.png</t>
  </si>
  <si>
    <t>1.3.6.1.4.1.9328.50.4.778522</t>
  </si>
  <si>
    <t>ct/0683_ct.nii.gz</t>
  </si>
  <si>
    <t>labels/0683_label.nii.gz</t>
  </si>
  <si>
    <t>qc/0683_qc.png</t>
  </si>
  <si>
    <t>1.3.6.1.4.1.9328.50.4.780559</t>
  </si>
  <si>
    <t>1.3.6.1.4.1.9328.50.4.780538</t>
  </si>
  <si>
    <t>ct/0685_spine_ct.nii.gz</t>
  </si>
  <si>
    <t>labels/0685_spine_label.nii.gz</t>
  </si>
  <si>
    <t>qc/0685_spine_qc.png</t>
  </si>
  <si>
    <t>1.3.6.1.4.1.9328.50.4.783985</t>
  </si>
  <si>
    <t>1.3.6.1.4.1.9328.50.4.783964</t>
  </si>
  <si>
    <t>ct/0688_pelvic_ct.nii.gz</t>
  </si>
  <si>
    <t>labels/0688_pelvic_label.nii.gz</t>
  </si>
  <si>
    <t>qc/0688_pelvic_qc.png</t>
  </si>
  <si>
    <t>1.3.6.1.4.1.9328.50.4.781662</t>
  </si>
  <si>
    <t>ct/0686_ct.nii.gz</t>
  </si>
  <si>
    <t>labels/0686_label.nii.gz</t>
  </si>
  <si>
    <t>qc/0686_qc.png</t>
  </si>
  <si>
    <t>1.3.6.1.4.1.9328.50.4.787633</t>
  </si>
  <si>
    <t>1.3.6.1.4.1.9328.50.4.787083</t>
  </si>
  <si>
    <t>ct/0691_pelvic_ct.nii.gz</t>
  </si>
  <si>
    <t>labels/0691_pelvic_label.nii.gz</t>
  </si>
  <si>
    <t>qc/0691_pelvic_qc.png</t>
  </si>
  <si>
    <t>1.3.6.1.4.1.9328.50.4.788182</t>
  </si>
  <si>
    <t>1.3.6.1.4.1.9328.50.4.788695</t>
  </si>
  <si>
    <t>ct/0692_pelvic_ct.nii.gz</t>
  </si>
  <si>
    <t>labels/0692_pelvic_label.nii.gz</t>
  </si>
  <si>
    <t>qc/0692_pelvic_qc.png</t>
  </si>
  <si>
    <t>1.3.6.1.4.1.9328.50.4.763959</t>
  </si>
  <si>
    <t>ct/0671_ct.nii.gz</t>
  </si>
  <si>
    <t>labels/0671_label.nii.gz</t>
  </si>
  <si>
    <t>qc/0671_qc.png</t>
  </si>
  <si>
    <t>1.3.6.1.4.1.9328.50.4.786032</t>
  </si>
  <si>
    <t>ct/0690_ct.nii.gz</t>
  </si>
  <si>
    <t>labels/0690_label.nii.gz</t>
  </si>
  <si>
    <t>qc/0690_qc.png</t>
  </si>
  <si>
    <t>1.3.6.1.4.1.9328.50.4.782751</t>
  </si>
  <si>
    <t>ct/0687_ct.nii.gz</t>
  </si>
  <si>
    <t>labels/0687_label.nii.gz</t>
  </si>
  <si>
    <t>qc/0687_qc.png</t>
  </si>
  <si>
    <t>1.3.6.1.4.1.9328.50.4.789216</t>
  </si>
  <si>
    <t>1.3.6.1.4.1.9328.50.4.789782</t>
  </si>
  <si>
    <t>ct/0693_pelvic_ct.nii.gz</t>
  </si>
  <si>
    <t>labels/0693_pelvic_label.nii.gz</t>
  </si>
  <si>
    <t>qc/0693_pelvic_qc.png</t>
  </si>
  <si>
    <t>1.3.6.1.4.1.9328.50.4.790847</t>
  </si>
  <si>
    <t>ct/0694_ct.nii.gz</t>
  </si>
  <si>
    <t>labels/0694_label.nii.gz</t>
  </si>
  <si>
    <t>qc/0694_qc.png</t>
  </si>
  <si>
    <t>1.3.6.1.4.1.9328.50.4.793100</t>
  </si>
  <si>
    <t>1.3.6.1.4.1.9328.50.4.793707</t>
  </si>
  <si>
    <t>ct/0696_spine_ct.nii.gz</t>
  </si>
  <si>
    <t>labels/0696_spine_label.nii.gz</t>
  </si>
  <si>
    <t>qc/0696_spine_qc.png</t>
  </si>
  <si>
    <t>ct/0685_pelvic_ct.nii.gz</t>
  </si>
  <si>
    <t>labels/0685_pelvic_label.nii.gz</t>
  </si>
  <si>
    <t>qc/0685_pelvic_qc.png</t>
  </si>
  <si>
    <t>ct/0684_spine_ct.nii.gz</t>
  </si>
  <si>
    <t>labels/0684_spine_label.nii.gz</t>
  </si>
  <si>
    <t>qc/0684_spine_qc.png</t>
  </si>
  <si>
    <t>1.3.6.1.4.1.9328.50.4.800154</t>
  </si>
  <si>
    <t>1.3.6.1.4.1.9328.50.4.799677</t>
  </si>
  <si>
    <t>ct/0701_spine_ct.nii.gz</t>
  </si>
  <si>
    <t>labels/0701_spine_label.nii.gz</t>
  </si>
  <si>
    <t>qc/0701_spine_qc.png</t>
  </si>
  <si>
    <t>ct/0696_pelvic_ct.nii.gz</t>
  </si>
  <si>
    <t>labels/0696_pelvic_label.nii.gz</t>
  </si>
  <si>
    <t>qc/0696_pelvic_qc.png</t>
  </si>
  <si>
    <t>1.3.6.1.4.1.9328.50.4.785003</t>
  </si>
  <si>
    <t>1.3.6.1.4.1.9328.50.4.785505</t>
  </si>
  <si>
    <t>ct/0689_pelvic_ct.nii.gz</t>
  </si>
  <si>
    <t>labels/0689_pelvic_label.nii.gz</t>
  </si>
  <si>
    <t>qc/0689_pelvic_qc.png</t>
  </si>
  <si>
    <t>ct/0701_pelvic_ct.nii.gz</t>
  </si>
  <si>
    <t>labels/0701_pelvic_label.nii.gz</t>
  </si>
  <si>
    <t>qc/0701_pelvic_qc.png</t>
  </si>
  <si>
    <t>ct/0688_spine_ct.nii.gz</t>
  </si>
  <si>
    <t>labels/0688_spine_label.nii.gz</t>
  </si>
  <si>
    <t>qc/0688_spine_qc.png</t>
  </si>
  <si>
    <t>1.3.6.1.4.1.9328.50.4.791914</t>
  </si>
  <si>
    <t>ct/0695_ct.nii.gz</t>
  </si>
  <si>
    <t>labels/0695_label.nii.gz</t>
  </si>
  <si>
    <t>qc/0695_qc.png</t>
  </si>
  <si>
    <t>ct/0689_spine_ct.nii.gz</t>
  </si>
  <si>
    <t>labels/0689_spine_label.nii.gz</t>
  </si>
  <si>
    <t>qc/0689_spine_qc.png</t>
  </si>
  <si>
    <t>1.3.6.1.4.1.9328.50.4.794321</t>
  </si>
  <si>
    <t>ct/0697_ct.nii.gz</t>
  </si>
  <si>
    <t>labels/0697_label.nii.gz</t>
  </si>
  <si>
    <t>qc/0697_qc.png</t>
  </si>
  <si>
    <t>1.3.6.1.4.1.9328.50.4.802055_orientation_fixed</t>
  </si>
  <si>
    <t>ct/0703_pelvic_ct.nii.gz</t>
  </si>
  <si>
    <t>labels/0703_pelvic_label.nii.gz</t>
  </si>
  <si>
    <t>qc/0703_pelvic_qc.png</t>
  </si>
  <si>
    <t>1.3.6.1.4.1.9328.50.4.800610</t>
  </si>
  <si>
    <t>ct/0702_spine_ct.nii.gz</t>
  </si>
  <si>
    <t>labels/0702_spine_label.nii.gz</t>
  </si>
  <si>
    <t>qc/0702_spine_qc.png</t>
  </si>
  <si>
    <t>1.3.6.1.4.1.9328.50.4.799052</t>
  </si>
  <si>
    <t>ct/0700_spine_ct.nii.gz</t>
  </si>
  <si>
    <t>labels/0700_spine_label.nii.gz</t>
  </si>
  <si>
    <t>qc/0700_spine_qc.png</t>
  </si>
  <si>
    <t>1.3.6.1.4.1.9328.50.4.802572</t>
  </si>
  <si>
    <t>1.3.6.1.4.1.9328.50.4.803082_orientation_fixed</t>
  </si>
  <si>
    <t>ct/0704_pelvic_ct.nii.gz</t>
  </si>
  <si>
    <t>labels/0704_pelvic_label.nii.gz</t>
  </si>
  <si>
    <t>qc/0704_pelvic_qc.png</t>
  </si>
  <si>
    <t>ct/0691_spine_ct.nii.gz</t>
  </si>
  <si>
    <t>labels/0691_spine_label.nii.gz</t>
  </si>
  <si>
    <t>qc/0691_spine_qc.png</t>
  </si>
  <si>
    <t>1.3.6.1.4.1.9328.50.4.797213</t>
  </si>
  <si>
    <t>ct/0699_ct.nii.gz</t>
  </si>
  <si>
    <t>labels/0699_label.nii.gz</t>
  </si>
  <si>
    <t>qc/0699_qc.png</t>
  </si>
  <si>
    <t>1.3.6.1.4.1.9328.50.4.803659</t>
  </si>
  <si>
    <t>ct/0705_ct.nii.gz</t>
  </si>
  <si>
    <t>labels/0705_label.nii.gz</t>
  </si>
  <si>
    <t>qc/0705_qc.png</t>
  </si>
  <si>
    <t>ct/0693_spine_ct.nii.gz</t>
  </si>
  <si>
    <t>labels/0693_spine_label.nii.gz</t>
  </si>
  <si>
    <t>qc/0693_spine_qc.png</t>
  </si>
  <si>
    <t>ct/0692_spine_ct.nii.gz</t>
  </si>
  <si>
    <t>labels/0692_spine_label.nii.gz</t>
  </si>
  <si>
    <t>qc/0692_spine_qc.png</t>
  </si>
  <si>
    <t>1.3.6.1.4.1.9328.50.4.806567</t>
  </si>
  <si>
    <t>1.3.6.1.4.1.9328.50.4.806945</t>
  </si>
  <si>
    <t>ct/0708_spine_ct.nii.gz</t>
  </si>
  <si>
    <t>labels/0708_spine_label.nii.gz</t>
  </si>
  <si>
    <t>qc/0708_spine_qc.png</t>
  </si>
  <si>
    <t>1.3.6.1.4.1.9328.50.4.806165</t>
  </si>
  <si>
    <t>ct/0707_ct.nii.gz</t>
  </si>
  <si>
    <t>labels/0707_label.nii.gz</t>
  </si>
  <si>
    <t>qc/0707_qc.png</t>
  </si>
  <si>
    <t>1.3.6.1.4.1.9328.50.4.807761</t>
  </si>
  <si>
    <t>1.3.6.1.4.1.9328.50.4.807356</t>
  </si>
  <si>
    <t>ct/0709_pelvic_ct.nii.gz</t>
  </si>
  <si>
    <t>labels/0709_pelvic_label.nii.gz</t>
  </si>
  <si>
    <t>qc/0709_pelvic_qc.png</t>
  </si>
  <si>
    <t>1.3.6.1.4.1.9328.50.4.804654</t>
  </si>
  <si>
    <t>ct/0706_ct.nii.gz</t>
  </si>
  <si>
    <t>labels/0706_label.nii.gz</t>
  </si>
  <si>
    <t>qc/0706_qc.png</t>
  </si>
  <si>
    <t>1.3.6.1.4.1.9328.50.4.811029</t>
  </si>
  <si>
    <t>1.3.6.1.4.1.9328.50.4.810536</t>
  </si>
  <si>
    <t>ct/0712_spine_ct.nii.gz</t>
  </si>
  <si>
    <t>labels/0712_spine_label.nii.gz</t>
  </si>
  <si>
    <t>qc/0712_spine_qc.png</t>
  </si>
  <si>
    <t>1.3.6.1.4.1.9328.50.4.808770</t>
  </si>
  <si>
    <t>1.3.6.1.4.1.9328.50.4.808172</t>
  </si>
  <si>
    <t>ct/0710_spine_ct.nii.gz</t>
  </si>
  <si>
    <t>labels/0710_spine_label.nii.gz</t>
  </si>
  <si>
    <t>qc/0710_spine_qc.png</t>
  </si>
  <si>
    <t>1.3.6.1.4.1.9328.50.4.809359</t>
  </si>
  <si>
    <t>1.3.6.1.4.1.9328.50.4.809937</t>
  </si>
  <si>
    <t>ct/0711_spine_ct.nii.gz</t>
  </si>
  <si>
    <t>labels/0711_spine_label.nii.gz</t>
  </si>
  <si>
    <t>qc/0711_spine_qc.png</t>
  </si>
  <si>
    <t>1.3.6.1.4.1.9328.50.4.817392</t>
  </si>
  <si>
    <t>1.3.6.1.4.1.9328.50.4.817757</t>
  </si>
  <si>
    <t>ct/0719_spine_ct.nii.gz</t>
  </si>
  <si>
    <t>labels/0719_spine_label.nii.gz</t>
  </si>
  <si>
    <t>qc/0719_spine_qc.png</t>
  </si>
  <si>
    <t>ct/0704_spine_ct.nii.gz</t>
  </si>
  <si>
    <t>labels/0704_spine_label.nii.gz</t>
  </si>
  <si>
    <t>qc/0704_spine_qc.png</t>
  </si>
  <si>
    <t>ct/0719_pelvic_ct.nii.gz</t>
  </si>
  <si>
    <t>labels/0719_pelvic_label.nii.gz</t>
  </si>
  <si>
    <t>qc/0719_pelvic_qc.png</t>
  </si>
  <si>
    <t>1.3.6.1.4.1.9328.50.4.796062</t>
  </si>
  <si>
    <t>ct/0698_ct.nii.gz</t>
  </si>
  <si>
    <t>labels/0698_label.nii.gz</t>
  </si>
  <si>
    <t>qc/0698_qc.png</t>
  </si>
  <si>
    <t>ct/0708_pelvic_ct.nii.gz</t>
  </si>
  <si>
    <t>labels/0708_pelvic_label.nii.gz</t>
  </si>
  <si>
    <t>qc/0708_pelvic_qc.png</t>
  </si>
  <si>
    <t>1.3.6.1.4.1.9328.50.4.819726</t>
  </si>
  <si>
    <t>1.3.6.1.4.1.9328.50.4.819324</t>
  </si>
  <si>
    <t>ct/0721_spine_ct.nii.gz</t>
  </si>
  <si>
    <t>labels/0721_spine_label.nii.gz</t>
  </si>
  <si>
    <t>qc/0721_spine_qc.png</t>
  </si>
  <si>
    <t>1.3.6.1.4.1.9328.50.4.811499</t>
  </si>
  <si>
    <t>1.3.6.1.4.1.9328.50.4.812088</t>
  </si>
  <si>
    <t>ct/0713_spine_ct.nii.gz</t>
  </si>
  <si>
    <t>labels/0713_spine_label.nii.gz</t>
  </si>
  <si>
    <t>qc/0713_spine_qc.png</t>
  </si>
  <si>
    <t>ct/0713_pelvic_ct.nii.gz</t>
  </si>
  <si>
    <t>labels/0713_pelvic_label.nii.gz</t>
  </si>
  <si>
    <t>qc/0713_pelvic_qc.png</t>
  </si>
  <si>
    <t>ct/0709_spine_ct.nii.gz</t>
  </si>
  <si>
    <t>labels/0709_spine_label.nii.gz</t>
  </si>
  <si>
    <t>qc/0709_spine_qc.png</t>
  </si>
  <si>
    <t>1.3.6.1.4.1.9328.50.4.813211</t>
  </si>
  <si>
    <t>ct/0715_ct.nii.gz</t>
  </si>
  <si>
    <t>labels/0715_label.nii.gz</t>
  </si>
  <si>
    <t>qc/0715_qc.png</t>
  </si>
  <si>
    <t>ct/0721_pelvic_ct.nii.gz</t>
  </si>
  <si>
    <t>labels/0721_pelvic_label.nii.gz</t>
  </si>
  <si>
    <t>qc/0721_pelvic_qc.png</t>
  </si>
  <si>
    <t>1.3.6.1.4.1.9328.50.4.818743</t>
  </si>
  <si>
    <t>1.3.6.1.4.1.9328.50.4.818160</t>
  </si>
  <si>
    <t>ct/0720_pelvic_ct.nii.gz</t>
  </si>
  <si>
    <t>labels/0720_pelvic_label.nii.gz</t>
  </si>
  <si>
    <t>qc/0720_pelvic_qc.png</t>
  </si>
  <si>
    <t>1.3.6.1.4.1.9328.50.4.813767</t>
  </si>
  <si>
    <t>ct/0716_ct.nii.gz</t>
  </si>
  <si>
    <t>labels/0716_label.nii.gz</t>
  </si>
  <si>
    <t>qc/0716_qc.png</t>
  </si>
  <si>
    <t>1.3.6.1.4.1.9328.50.4.814938</t>
  </si>
  <si>
    <t>1.3.6.1.4.1.9328.50.4.815582</t>
  </si>
  <si>
    <t>ct/0717_spine_ct.nii.gz</t>
  </si>
  <si>
    <t>labels/0717_spine_label.nii.gz</t>
  </si>
  <si>
    <t>qc/0717_spine_qc.png</t>
  </si>
  <si>
    <t>ct/0712_pelvic_ct.nii.gz</t>
  </si>
  <si>
    <t>labels/0712_pelvic_label.nii.gz</t>
  </si>
  <si>
    <t>qc/0712_pelvic_qc.png</t>
  </si>
  <si>
    <t>1.3.6.1.4.1.9328.50.4.816803</t>
  </si>
  <si>
    <t>ct/0718_ct.nii.gz</t>
  </si>
  <si>
    <t>labels/0718_label.nii.gz</t>
  </si>
  <si>
    <t>qc/0718_qc.png</t>
  </si>
  <si>
    <t>ct/0717_pelvic_ct.nii.gz</t>
  </si>
  <si>
    <t>labels/0717_pelvic_label.nii.gz</t>
  </si>
  <si>
    <t>qc/0717_pelvic_qc.png</t>
  </si>
  <si>
    <t>1.3.6.1.4.1.9328.50.4.820126</t>
  </si>
  <si>
    <t>1.3.6.1.4.1.9328.50.4.820639</t>
  </si>
  <si>
    <t>ct/0722_pelvic_ct.nii.gz</t>
  </si>
  <si>
    <t>labels/0722_pelvic_label.nii.gz</t>
  </si>
  <si>
    <t>qc/0722_pelvic_qc.png</t>
  </si>
  <si>
    <t>1.3.6.1.4.1.9328.50.4.821743</t>
  </si>
  <si>
    <t>ct/0723_spine_ct.nii.gz</t>
  </si>
  <si>
    <t>labels/0723_spine_label.nii.gz</t>
  </si>
  <si>
    <t>qc/0723_spine_qc.png</t>
  </si>
  <si>
    <t>ct/0710_pelvic_ct.nii.gz</t>
  </si>
  <si>
    <t>labels/0710_pelvic_label.nii.gz</t>
  </si>
  <si>
    <t>qc/0710_pelvic_qc.png</t>
  </si>
  <si>
    <t>1.3.6.1.4.1.9328.50.4.823489</t>
  </si>
  <si>
    <t>ct/0725_pelvic_ct.nii.gz</t>
  </si>
  <si>
    <t>labels/0725_pelvic_label.nii.gz</t>
  </si>
  <si>
    <t>qc/0725_pelvic_qc.png</t>
  </si>
  <si>
    <t>1.3.6.1.4.1.9328.50.4.822883</t>
  </si>
  <si>
    <t>ct/0724_ct.nii.gz</t>
  </si>
  <si>
    <t>labels/0724_label.nii.gz</t>
  </si>
  <si>
    <t>qc/0724_qc.png</t>
  </si>
  <si>
    <t>ct/0711_pelvic_ct.nii.gz</t>
  </si>
  <si>
    <t>labels/0711_pelvic_label.nii.gz</t>
  </si>
  <si>
    <t>qc/0711_pelvic_qc.png</t>
  </si>
  <si>
    <t>1.3.6.1.4.1.9328.50.4.827658</t>
  </si>
  <si>
    <t>ct/0727_ct.nii.gz</t>
  </si>
  <si>
    <t>labels/0727_label.nii.gz</t>
  </si>
  <si>
    <t>qc/0727_qc.png</t>
  </si>
  <si>
    <t>1.3.6.1.4.1.9328.50.4.834631</t>
  </si>
  <si>
    <t>1.3.6.1.4.1.9328.50.4.834099</t>
  </si>
  <si>
    <t>ct/0733_pelvic_ct.nii.gz</t>
  </si>
  <si>
    <t>labels/0733_pelvic_label.nii.gz</t>
  </si>
  <si>
    <t>qc/0733_pelvic_qc.png</t>
  </si>
  <si>
    <t>1.3.6.1.4.1.9328.50.4.836844</t>
  </si>
  <si>
    <t>1.3.6.1.4.1.9328.50.4.837327</t>
  </si>
  <si>
    <t>ct/0735_spine_ct.nii.gz</t>
  </si>
  <si>
    <t>labels/0735_spine_label.nii.gz</t>
  </si>
  <si>
    <t>qc/0735_spine_qc.png</t>
  </si>
  <si>
    <t>1.3.6.1.4.1.9328.50.4.835761</t>
  </si>
  <si>
    <t>1.3.6.1.4.1.9328.50.4.835138</t>
  </si>
  <si>
    <t>ct/0734_spine_ct.nii.gz</t>
  </si>
  <si>
    <t>labels/0734_spine_label.nii.gz</t>
  </si>
  <si>
    <t>qc/0734_spine_qc.png</t>
  </si>
  <si>
    <t>ct/0720_spine_ct.nii.gz</t>
  </si>
  <si>
    <t>labels/0720_spine_label.nii.gz</t>
  </si>
  <si>
    <t>qc/0720_spine_qc.png</t>
  </si>
  <si>
    <t>1.3.6.1.4.1.9328.50.4.830745</t>
  </si>
  <si>
    <t>ct/0730_spine_ct.nii.gz</t>
  </si>
  <si>
    <t>labels/0730_spine_label.nii.gz</t>
  </si>
  <si>
    <t>qc/0730_spine_qc.png</t>
  </si>
  <si>
    <t>ct/0734_pelvic_ct.nii.gz</t>
  </si>
  <si>
    <t>labels/0734_pelvic_label.nii.gz</t>
  </si>
  <si>
    <t>qc/0734_pelvic_qc.png</t>
  </si>
  <si>
    <t>1.3.6.1.4.1.9328.50.4.832495</t>
  </si>
  <si>
    <t>ct/0731_ct.nii.gz</t>
  </si>
  <si>
    <t>labels/0731_label.nii.gz</t>
  </si>
  <si>
    <t>qc/0731_qc.png</t>
  </si>
  <si>
    <t>1.3.6.1.4.1.9328.50.4.830164</t>
  </si>
  <si>
    <t>ct/0729_ct.nii.gz</t>
  </si>
  <si>
    <t>labels/0729_label.nii.gz</t>
  </si>
  <si>
    <t>qc/0729_qc.png</t>
  </si>
  <si>
    <t>1.3.6.1.4.1.9328.50.4.838334</t>
  </si>
  <si>
    <t>ct/0736_spine_ct.nii.gz</t>
  </si>
  <si>
    <t>labels/0736_spine_label.nii.gz</t>
  </si>
  <si>
    <t>qc/0736_spine_qc.png</t>
  </si>
  <si>
    <t>ct/0722_spine_ct.nii.gz</t>
  </si>
  <si>
    <t>labels/0722_spine_label.nii.gz</t>
  </si>
  <si>
    <t>qc/0722_spine_qc.png</t>
  </si>
  <si>
    <t>1.3.6.1.4.1.9328.50.4.833068</t>
  </si>
  <si>
    <t>ct/0732_ct.nii.gz</t>
  </si>
  <si>
    <t>labels/0732_label.nii.gz</t>
  </si>
  <si>
    <t>qc/0732_qc.png</t>
  </si>
  <si>
    <t>1.3.6.1.4.1.9328.50.4.839386</t>
  </si>
  <si>
    <t>ct/0737_spine_ct.nii.gz</t>
  </si>
  <si>
    <t>labels/0737_spine_label.nii.gz</t>
  </si>
  <si>
    <t>qc/0737_spine_qc.png</t>
  </si>
  <si>
    <t>1.3.6.1.4.1.9328.50.4.841581</t>
  </si>
  <si>
    <t>ct/0739_ct.nii.gz</t>
  </si>
  <si>
    <t>labels/0739_label.nii.gz</t>
  </si>
  <si>
    <t>qc/0739_qc.png</t>
  </si>
  <si>
    <t>1.3.6.1.4.1.9328.50.4.839943</t>
  </si>
  <si>
    <t>ct/0738_ct.nii.gz</t>
  </si>
  <si>
    <t>labels/0738_label.nii.gz</t>
  </si>
  <si>
    <t>qc/0738_qc.png</t>
  </si>
  <si>
    <t>1.3.6.1.4.1.9328.50.4.843733</t>
  </si>
  <si>
    <t>ct/0741_ct.nii.gz</t>
  </si>
  <si>
    <t>labels/0741_label.nii.gz</t>
  </si>
  <si>
    <t>qc/0741_qc.png</t>
  </si>
  <si>
    <t>ct/0733_spine_ct.nii.gz</t>
  </si>
  <si>
    <t>labels/0733_spine_label.nii.gz</t>
  </si>
  <si>
    <t>qc/0733_spine_qc.png</t>
  </si>
  <si>
    <t>ct/0735_pelvic_ct.nii.gz</t>
  </si>
  <si>
    <t>labels/0735_pelvic_label.nii.gz</t>
  </si>
  <si>
    <t>qc/0735_pelvic_qc.png</t>
  </si>
  <si>
    <t>1.3.6.1.4.1.9328.50.4.825227</t>
  </si>
  <si>
    <t>ct/0726_ct.nii.gz</t>
  </si>
  <si>
    <t>labels/0726_label.nii.gz</t>
  </si>
  <si>
    <t>qc/0726_qc.png</t>
  </si>
  <si>
    <t>1.3.6.1.4.1.9328.50.4.844869</t>
  </si>
  <si>
    <t>ct/0742_ct.nii.gz</t>
  </si>
  <si>
    <t>labels/0742_label.nii.gz</t>
  </si>
  <si>
    <t>qc/0742_qc.png</t>
  </si>
  <si>
    <t>1.3.6.1.4.1.9328.50.4.847690</t>
  </si>
  <si>
    <t>1.3.6.1.4.1.9328.50.4.848155</t>
  </si>
  <si>
    <t>ct/0745_pelvic_ct.nii.gz</t>
  </si>
  <si>
    <t>labels/0745_pelvic_label.nii.gz</t>
  </si>
  <si>
    <t>qc/0745_pelvic_qc.png</t>
  </si>
  <si>
    <t>ct/0745_spine_ct.nii.gz</t>
  </si>
  <si>
    <t>labels/0745_spine_label.nii.gz</t>
  </si>
  <si>
    <t>qc/0745_spine_qc.png</t>
  </si>
  <si>
    <t>1.3.6.1.4.1.9328.50.4.828332</t>
  </si>
  <si>
    <t>1.3.6.1.4.1.9328.50.4.828962</t>
  </si>
  <si>
    <t>ct/0728_pelvic_ct.nii.gz</t>
  </si>
  <si>
    <t>labels/0728_pelvic_label.nii.gz</t>
  </si>
  <si>
    <t>qc/0728_pelvic_qc.png</t>
  </si>
  <si>
    <t>ct/0728_spine_ct.nii.gz</t>
  </si>
  <si>
    <t>labels/0728_spine_label.nii.gz</t>
  </si>
  <si>
    <t>qc/0728_spine_qc.png</t>
  </si>
  <si>
    <t>1.3.6.1.4.1.9328.50.4.852367</t>
  </si>
  <si>
    <t>1.3.6.1.4.1.9328.50.4.851885</t>
  </si>
  <si>
    <t>ct/0748_spine_ct.nii.gz</t>
  </si>
  <si>
    <t>labels/0748_spine_label.nii.gz</t>
  </si>
  <si>
    <t>qc/0748_spine_qc.png</t>
  </si>
  <si>
    <t>ct/0748_pelvic_ct.nii.gz</t>
  </si>
  <si>
    <t>labels/0748_pelvic_label.nii.gz</t>
  </si>
  <si>
    <t>qc/0748_pelvic_qc.png</t>
  </si>
  <si>
    <t>1.3.6.1.4.1.9328.50.4.846165</t>
  </si>
  <si>
    <t>1.3.6.1.4.1.9328.50.4.845512</t>
  </si>
  <si>
    <t>ct/0743_pelvic_ct.nii.gz</t>
  </si>
  <si>
    <t>labels/0743_pelvic_label.nii.gz</t>
  </si>
  <si>
    <t>qc/0743_pelvic_qc.png</t>
  </si>
  <si>
    <t>1.3.6.1.4.1.9328.50.4.847198</t>
  </si>
  <si>
    <t>ct/0744_ct.nii.gz</t>
  </si>
  <si>
    <t>labels/0744_label.nii.gz</t>
  </si>
  <si>
    <t>qc/0744_qc.png</t>
  </si>
  <si>
    <t>1.3.6.1.4.1.9328.50.4.855631</t>
  </si>
  <si>
    <t>1.3.6.1.4.1.9328.50.4.855094</t>
  </si>
  <si>
    <t>ct/0751_pelvic_ct.nii.gz</t>
  </si>
  <si>
    <t>labels/0751_pelvic_label.nii.gz</t>
  </si>
  <si>
    <t>qc/0751_pelvic_qc.png</t>
  </si>
  <si>
    <t>1.3.6.1.4.1.9328.50.4.851295</t>
  </si>
  <si>
    <t>ct/0747_ct.nii.gz</t>
  </si>
  <si>
    <t>labels/0747_label.nii.gz</t>
  </si>
  <si>
    <t>qc/0747_qc.png</t>
  </si>
  <si>
    <t>1.3.6.1.4.1.9328.50.4.853917</t>
  </si>
  <si>
    <t>ct/0750_ct.nii.gz</t>
  </si>
  <si>
    <t>labels/0750_label.nii.gz</t>
  </si>
  <si>
    <t>qc/0750_qc.png</t>
  </si>
  <si>
    <t>1.3.6.1.4.1.9328.50.4.842654</t>
  </si>
  <si>
    <t>ct/0740_ct.nii.gz</t>
  </si>
  <si>
    <t>labels/0740_label.nii.gz</t>
  </si>
  <si>
    <t>qc/0740_qc.png</t>
  </si>
  <si>
    <t>1.3.6.1.4.1.9328.50.4.857150</t>
  </si>
  <si>
    <t>ct/0753_ct.nii.gz</t>
  </si>
  <si>
    <t>labels/0753_label.nii.gz</t>
  </si>
  <si>
    <t>qc/0753_qc.png</t>
  </si>
  <si>
    <t>ct/0743_spine_ct.nii.gz</t>
  </si>
  <si>
    <t>labels/0743_spine_label.nii.gz</t>
  </si>
  <si>
    <t>qc/0743_spine_qc.png</t>
  </si>
  <si>
    <t>1.3.6.1.4.1.9328.50.4.858345</t>
  </si>
  <si>
    <t>1.3.6.1.4.1.9328.50.4.858873</t>
  </si>
  <si>
    <t>ct/0754_spine_ct.nii.gz</t>
  </si>
  <si>
    <t>labels/0754_spine_label.nii.gz</t>
  </si>
  <si>
    <t>qc/0754_spine_qc.png</t>
  </si>
  <si>
    <t>ct/0754_pelvic_ct.nii.gz</t>
  </si>
  <si>
    <t>labels/0754_pelvic_label.nii.gz</t>
  </si>
  <si>
    <t>qc/0754_pelvic_qc.png</t>
  </si>
  <si>
    <t>1.3.6.1.4.1.9328.50.4.848623</t>
  </si>
  <si>
    <t>ct/0746_ct.nii.gz</t>
  </si>
  <si>
    <t>labels/0746_label.nii.gz</t>
  </si>
  <si>
    <t>qc/0746_qc.png</t>
  </si>
  <si>
    <t>1.3.6.1.4.1.9328.50.4.853345</t>
  </si>
  <si>
    <t>ct/0749_ct.nii.gz</t>
  </si>
  <si>
    <t>labels/0749_label.nii.gz</t>
  </si>
  <si>
    <t>qc/0749_qc.png</t>
  </si>
  <si>
    <t>1.3.6.1.4.1.9328.50.4.864742</t>
  </si>
  <si>
    <t>1.3.6.1.4.1.9328.50.4.864187</t>
  </si>
  <si>
    <t>ct/0759_spine_ct.nii.gz</t>
  </si>
  <si>
    <t>labels/0759_spine_label.nii.gz</t>
  </si>
  <si>
    <t>qc/0759_spine_qc.png</t>
  </si>
  <si>
    <t>ct/0759_pelvic_ct.nii.gz</t>
  </si>
  <si>
    <t>labels/0759_pelvic_label.nii.gz</t>
  </si>
  <si>
    <t>qc/0759_pelvic_qc.png</t>
  </si>
  <si>
    <t>ct/0751_spine_ct.nii.gz</t>
  </si>
  <si>
    <t>labels/0751_spine_label.nii.gz</t>
  </si>
  <si>
    <t>qc/0751_spine_qc.png</t>
  </si>
  <si>
    <t>1.3.6.1.4.1.9328.50.4.863003</t>
  </si>
  <si>
    <t>ct/0758_ct.nii.gz</t>
  </si>
  <si>
    <t>labels/0758_label.nii.gz</t>
  </si>
  <si>
    <t>qc/0758_qc.png</t>
  </si>
  <si>
    <t>1.3.6.1.4.1.9328.50.4.859436</t>
  </si>
  <si>
    <t>1.3.6.1.4.1.9328.50.4.860092</t>
  </si>
  <si>
    <t>ct/0755_spine_ct.nii.gz</t>
  </si>
  <si>
    <t>labels/0755_spine_label.nii.gz</t>
  </si>
  <si>
    <t>qc/0755_spine_qc.png</t>
  </si>
  <si>
    <t>1.3.6.1.4.1.9328.50.4.868191</t>
  </si>
  <si>
    <t>1.3.6.1.4.1.9328.50.4.867595</t>
  </si>
  <si>
    <t>ct/0762_pelvic_ct.nii.gz</t>
  </si>
  <si>
    <t>labels/0762_pelvic_label.nii.gz</t>
  </si>
  <si>
    <t>qc/0762_pelvic_qc.png</t>
  </si>
  <si>
    <t>ct/0762_spine_ct.nii.gz</t>
  </si>
  <si>
    <t>labels/0762_spine_label.nii.gz</t>
  </si>
  <si>
    <t>qc/0762_spine_qc.png</t>
  </si>
  <si>
    <t>1.3.6.1.4.1.9328.50.4.869221</t>
  </si>
  <si>
    <t>ct/0763_ct.nii.gz</t>
  </si>
  <si>
    <t>labels/0763_label.nii.gz</t>
  </si>
  <si>
    <t>qc/0763_qc.png</t>
  </si>
  <si>
    <t>1.3.6.1.4.1.9328.50.4.866422</t>
  </si>
  <si>
    <t>ct/0761_ct.nii.gz</t>
  </si>
  <si>
    <t>labels/0761_label.nii.gz</t>
  </si>
  <si>
    <t>qc/0761_qc.png</t>
  </si>
  <si>
    <t>1.3.6.1.4.1.9328.50.4.870352</t>
  </si>
  <si>
    <t>ct/0764_ct.nii.gz</t>
  </si>
  <si>
    <t>labels/0764_label.nii.gz</t>
  </si>
  <si>
    <t>qc/0764_qc.png</t>
  </si>
  <si>
    <t>1.3.6.1.4.1.9328.50.4.872653</t>
  </si>
  <si>
    <t>1.3.6.1.4.1.9328.50.4.872174</t>
  </si>
  <si>
    <t>ct/0766_spine_ct.nii.gz</t>
  </si>
  <si>
    <t>labels/0766_spine_label.nii.gz</t>
  </si>
  <si>
    <t>qc/0766_spine_qc.png</t>
  </si>
  <si>
    <t>1.3.6.1.4.1.9328.50.4.870944</t>
  </si>
  <si>
    <t>ct/0765_ct.nii.gz</t>
  </si>
  <si>
    <t>labels/0765_label.nii.gz</t>
  </si>
  <si>
    <t>qc/0765_qc.png</t>
  </si>
  <si>
    <t>1.3.6.1.4.1.9328.50.4.873648</t>
  </si>
  <si>
    <t>ct/0767_ct.nii.gz</t>
  </si>
  <si>
    <t>labels/0767_label.nii.gz</t>
  </si>
  <si>
    <t>qc/0767_qc.png</t>
  </si>
  <si>
    <t>1.3.6.1.4.1.9328.50.4.877660</t>
  </si>
  <si>
    <t>1.3.6.1.4.1.9328.50.4.878212</t>
  </si>
  <si>
    <t>ct/0770_spine_ct.nii.gz</t>
  </si>
  <si>
    <t>labels/0770_spine_label.nii.gz</t>
  </si>
  <si>
    <t>qc/0770_spine_qc.png</t>
  </si>
  <si>
    <t>1.3.6.1.4.1.9328.50.4.877104</t>
  </si>
  <si>
    <t>1.3.6.1.4.1.9328.50.4.876545</t>
  </si>
  <si>
    <t>ct/0769_spine_ct.nii.gz</t>
  </si>
  <si>
    <t>labels/0769_spine_label.nii.gz</t>
  </si>
  <si>
    <t>qc/0769_spine_qc.png</t>
  </si>
  <si>
    <t>1.3.6.1.4.1.9328.50.4.865866</t>
  </si>
  <si>
    <t>1.3.6.1.4.1.9328.50.4.865305</t>
  </si>
  <si>
    <t>ct/0760_pelvic_ct.nii.gz</t>
  </si>
  <si>
    <t>labels/0760_pelvic_label.nii.gz</t>
  </si>
  <si>
    <t>qc/0760_pelvic_qc.png</t>
  </si>
  <si>
    <t>ct/0760_spine_ct.nii.gz</t>
  </si>
  <si>
    <t>labels/0760_spine_label.nii.gz</t>
  </si>
  <si>
    <t>qc/0760_spine_qc.png</t>
  </si>
  <si>
    <t>1.3.6.1.4.1.9328.50.4.881649</t>
  </si>
  <si>
    <t>1.3.6.1.4.1.9328.50.4.881094</t>
  </si>
  <si>
    <t>ct/0773_spine_ct.nii.gz</t>
  </si>
  <si>
    <t>labels/0773_spine_label.nii.gz</t>
  </si>
  <si>
    <t>qc/0773_spine_qc.png</t>
  </si>
  <si>
    <t>1.3.6.1.4.1.9328.50.4.879405</t>
  </si>
  <si>
    <t>1.3.6.1.4.1.9328.50.4.878773</t>
  </si>
  <si>
    <t>ct/0771_spine_ct.nii.gz</t>
  </si>
  <si>
    <t>labels/0771_spine_label.nii.gz</t>
  </si>
  <si>
    <t>qc/0771_spine_qc.png</t>
  </si>
  <si>
    <t>ct/0755_pelvic_ct.nii.gz</t>
  </si>
  <si>
    <t>labels/0755_pelvic_label.nii.gz</t>
  </si>
  <si>
    <t>qc/0755_pelvic_qc.png</t>
  </si>
  <si>
    <t>ct/0773_pelvic_ct.nii.gz</t>
  </si>
  <si>
    <t>labels/0773_pelvic_label.nii.gz</t>
  </si>
  <si>
    <t>qc/0773_pelvic_qc.png</t>
  </si>
  <si>
    <t>1.3.6.1.4.1.9328.50.4.862439</t>
  </si>
  <si>
    <t>ct/0757_ct.nii.gz</t>
  </si>
  <si>
    <t>labels/0757_label.nii.gz</t>
  </si>
  <si>
    <t>qc/0757_qc.png</t>
  </si>
  <si>
    <t>1.3.6.1.4.1.9328.50.4.883300</t>
  </si>
  <si>
    <t>1.3.6.1.4.1.9328.50.4.883825</t>
  </si>
  <si>
    <t>ct/0775_spine_ct.nii.gz</t>
  </si>
  <si>
    <t>labels/0775_spine_label.nii.gz</t>
  </si>
  <si>
    <t>qc/0775_spine_qc.png</t>
  </si>
  <si>
    <t>1.3.6.1.4.1.9328.50.4.884378</t>
  </si>
  <si>
    <t>ct/0776_ct.nii.gz</t>
  </si>
  <si>
    <t>labels/0776_label.nii.gz</t>
  </si>
  <si>
    <t>qc/0776_qc.png</t>
  </si>
  <si>
    <t>1.3.6.1.4.1.9328.50.4.882714</t>
  </si>
  <si>
    <t>ct/0774_ct.nii.gz</t>
  </si>
  <si>
    <t>labels/0774_label.nii.gz</t>
  </si>
  <si>
    <t>qc/0774_qc.png</t>
  </si>
  <si>
    <t>ct/0771_pelvic_ct.nii.gz</t>
  </si>
  <si>
    <t>labels/0771_pelvic_label.nii.gz</t>
  </si>
  <si>
    <t>qc/0771_pelvic_qc.png</t>
  </si>
  <si>
    <t>ct/0775_pelvic_ct.nii.gz</t>
  </si>
  <si>
    <t>labels/0775_pelvic_label.nii.gz</t>
  </si>
  <si>
    <t>qc/0775_pelvic_qc.png</t>
  </si>
  <si>
    <t>1.3.6.1.4.1.9328.50.4.861340</t>
  </si>
  <si>
    <t>ct/0756_ct.nii.gz</t>
  </si>
  <si>
    <t>labels/0756_label.nii.gz</t>
  </si>
  <si>
    <t>qc/0756_qc.png</t>
  </si>
  <si>
    <t>ct/0769_pelvic_ct.nii.gz</t>
  </si>
  <si>
    <t>labels/0769_pelvic_label.nii.gz</t>
  </si>
  <si>
    <t>qc/0769_pelvic_qc.png</t>
  </si>
  <si>
    <t>ct/0766_pelvic_ct.nii.gz</t>
  </si>
  <si>
    <t>labels/0766_pelvic_label.nii.gz</t>
  </si>
  <si>
    <t>qc/0766_pelvic_qc.png</t>
  </si>
  <si>
    <t>1.3.6.1.4.1.9328.50.4.885224</t>
  </si>
  <si>
    <t>ct/0777_ct.nii.gz</t>
  </si>
  <si>
    <t>labels/0777_label.nii.gz</t>
  </si>
  <si>
    <t>qc/0777_qc.png</t>
  </si>
  <si>
    <t>1.3.6.1.4.1.9328.50.4.889542</t>
  </si>
  <si>
    <t>1.3.6.1.4.1.9328.50.4.890002</t>
  </si>
  <si>
    <t>ct/0781_pelvic_ct.nii.gz</t>
  </si>
  <si>
    <t>labels/0781_pelvic_label.nii.gz</t>
  </si>
  <si>
    <t>qc/0781_pelvic_qc.png</t>
  </si>
  <si>
    <t>ct/0781_spine_ct.nii.gz</t>
  </si>
  <si>
    <t>labels/0781_spine_label.nii.gz</t>
  </si>
  <si>
    <t>qc/0781_spine_qc.png</t>
  </si>
  <si>
    <t>1.3.6.1.4.1.9328.50.4.886917</t>
  </si>
  <si>
    <t>1.3.6.1.4.1.9328.50.4.886245</t>
  </si>
  <si>
    <t>ct/0778_spine_ct.nii.gz</t>
  </si>
  <si>
    <t>labels/0778_spine_label.nii.gz</t>
  </si>
  <si>
    <t>qc/0778_spine_qc.png</t>
  </si>
  <si>
    <t>ct/0778_pelvic_ct.nii.gz</t>
  </si>
  <si>
    <t>labels/0778_pelvic_label.nii.gz</t>
  </si>
  <si>
    <t>qc/0778_pelvic_qc.png</t>
  </si>
  <si>
    <t>1.3.6.1.4.1.9328.50.4.889072</t>
  </si>
  <si>
    <t>ct/0780_ct.nii.gz</t>
  </si>
  <si>
    <t>labels/0780_label.nii.gz</t>
  </si>
  <si>
    <t>qc/0780_qc.png</t>
  </si>
  <si>
    <t>ct/0770_pelvic_ct.nii.gz</t>
  </si>
  <si>
    <t>labels/0770_pelvic_label.nii.gz</t>
  </si>
  <si>
    <t>qc/0770_pelvic_qc.png</t>
  </si>
  <si>
    <t>1.3.6.1.4.1.9328.50.4.891632</t>
  </si>
  <si>
    <t>1.3.6.1.4.1.9328.50.4.892137</t>
  </si>
  <si>
    <t>ct/0783_pelvic_ct.nii.gz</t>
  </si>
  <si>
    <t>labels/0783_pelvic_label.nii.gz</t>
  </si>
  <si>
    <t>qc/0783_pelvic_qc.png</t>
  </si>
  <si>
    <t>1.3.6.1.4.1.9328.50.4.893271</t>
  </si>
  <si>
    <t>1.3.6.1.4.1.9328.50.4.892729</t>
  </si>
  <si>
    <t>ct/0784_spine_ct.nii.gz</t>
  </si>
  <si>
    <t>labels/0784_spine_label.nii.gz</t>
  </si>
  <si>
    <t>qc/0784_spine_qc.png</t>
  </si>
  <si>
    <t>1.3.6.1.4.1.9328.50.81.280030976595624109957255785536971817439</t>
  </si>
  <si>
    <t>ct/3475_spine_ct.nii.gz</t>
  </si>
  <si>
    <t>labels/3475_spine_label.nii.gz</t>
  </si>
  <si>
    <t>qc/3475_spine_qc.png</t>
  </si>
  <si>
    <t>1.3.6.1.4.1.9328.50.4.875902</t>
  </si>
  <si>
    <t>ct/0768_ct.nii.gz</t>
  </si>
  <si>
    <t>labels/0768_label.nii.gz</t>
  </si>
  <si>
    <t>qc/0768_qc.png</t>
  </si>
  <si>
    <t>1.3.6.1.4.1.9328.50.4.894408</t>
  </si>
  <si>
    <t>ct/0785_ct.nii.gz</t>
  </si>
  <si>
    <t>labels/0785_label.nii.gz</t>
  </si>
  <si>
    <t>qc/0785_qc.png</t>
  </si>
  <si>
    <t>1.3.6.1.4.1.9328.50.4.880537</t>
  </si>
  <si>
    <t>ct/0772_ct.nii.gz</t>
  </si>
  <si>
    <t>labels/0772_label.nii.gz</t>
  </si>
  <si>
    <t>qc/0772_qc.png</t>
  </si>
  <si>
    <t>1.3.6.1.4.1.9328.50.81.340086132969977338444112522807307820508</t>
  </si>
  <si>
    <t>ct/3028_spine_ct.nii.gz</t>
  </si>
  <si>
    <t>labels/3028_spine_label.nii.gz</t>
  </si>
  <si>
    <t>qc/3028_spine_qc.png</t>
  </si>
  <si>
    <t>1.3.6.1.4.1.9328.50.81.333122481095709975091857103737278053602</t>
  </si>
  <si>
    <t>ct/4901_spine_ct.nii.gz</t>
  </si>
  <si>
    <t>labels/4901_spine_label.nii.gz</t>
  </si>
  <si>
    <t>qc/4901_spine_qc.png</t>
  </si>
  <si>
    <t>1.3.6.1.4.1.9328.50.81.41594958227002292443333949414632650778</t>
  </si>
  <si>
    <t>ct/3283_spine_ct.nii.gz</t>
  </si>
  <si>
    <t>labels/3283_spine_label.nii.gz</t>
  </si>
  <si>
    <t>qc/3283_spine_qc.png</t>
  </si>
  <si>
    <t>1.3.6.1.4.1.9328.50.4.896055</t>
  </si>
  <si>
    <t>ct/0787_ct.nii.gz</t>
  </si>
  <si>
    <t>labels/0787_label.nii.gz</t>
  </si>
  <si>
    <t>qc/0787_qc.png</t>
  </si>
  <si>
    <t>1.3.6.1.4.1.9328.50.81.283435325356571763863063336457211053738</t>
  </si>
  <si>
    <t>ct/7319_spine_ct.nii.gz</t>
  </si>
  <si>
    <t>labels/7319_spine_label.nii.gz</t>
  </si>
  <si>
    <t>qc/7319_spine_qc.png</t>
  </si>
  <si>
    <t>ct/0784_pelvic_ct.nii.gz</t>
  </si>
  <si>
    <t>labels/0784_pelvic_label.nii.gz</t>
  </si>
  <si>
    <t>qc/0784_pelvic_qc.png</t>
  </si>
  <si>
    <t>ct/0783_spine_ct.nii.gz</t>
  </si>
  <si>
    <t>labels/0783_spine_label.nii.gz</t>
  </si>
  <si>
    <t>qc/0783_spine_qc.png</t>
  </si>
  <si>
    <t>1.3.6.1.4.1.9328.50.81.267883635263665773685790223274229183088</t>
  </si>
  <si>
    <t>ct/0518_spine_ct.nii.gz</t>
  </si>
  <si>
    <t>labels/0518_spine_label.nii.gz</t>
  </si>
  <si>
    <t>qc/0518_spine_qc.png</t>
  </si>
  <si>
    <t>1.3.6.1.4.1.9328.50.4.890473</t>
  </si>
  <si>
    <t>ct/0782_ct.nii.gz</t>
  </si>
  <si>
    <t>labels/0782_label.nii.gz</t>
  </si>
  <si>
    <t>qc/0782_qc.png</t>
  </si>
  <si>
    <t>1.3.6.1.4.1.9328.50.81.87682705167950673760301063198843547998</t>
  </si>
  <si>
    <t>ct/7349_spine_ct.nii.gz</t>
  </si>
  <si>
    <t>labels/7349_spine_label.nii.gz</t>
  </si>
  <si>
    <t>qc/7349_spine_qc.png</t>
  </si>
  <si>
    <t>1.3.6.1.4.1.9328.50.4.895493</t>
  </si>
  <si>
    <t>ct/0786_ct.nii.gz</t>
  </si>
  <si>
    <t>labels/0786_label.nii.gz</t>
  </si>
  <si>
    <t>qc/0786_qc.png</t>
  </si>
  <si>
    <t>1.3.6.1.4.1.9328.50.81.291041229410215290898539172160749615255</t>
  </si>
  <si>
    <t>ct/9903_spine_ct.nii.gz</t>
  </si>
  <si>
    <t>labels/9903_spine_label.nii.gz</t>
  </si>
  <si>
    <t>qc/9903_spine_qc.png</t>
  </si>
  <si>
    <t>1.3.6.1.4.1.9328.50.81.157173697606838670602397211784738227167</t>
  </si>
  <si>
    <t>ct/7518_spine_ct.nii.gz</t>
  </si>
  <si>
    <t>labels/7518_spine_label.nii.gz</t>
  </si>
  <si>
    <t>qc/7518_spine_qc.png</t>
  </si>
  <si>
    <t>1.3.6.1.4.1.9328.50.81.21658624596201999075083110032884153126</t>
  </si>
  <si>
    <t>ct/1160_spine_ct.nii.gz</t>
  </si>
  <si>
    <t>labels/1160_spine_label.nii.gz</t>
  </si>
  <si>
    <t>qc/1160_spine_qc.png</t>
  </si>
  <si>
    <t>1.3.6.1.4.1.9328.50.81.263753445350959177931158425845461348738</t>
  </si>
  <si>
    <t>ct/0168_spine_ct.nii.gz</t>
  </si>
  <si>
    <t>labels/0168_spine_label.nii.gz</t>
  </si>
  <si>
    <t>qc/0168_spine_qc.png</t>
  </si>
  <si>
    <t>1.3.6.1.4.1.9328.50.81.292252120140688003145053599019152194716</t>
  </si>
  <si>
    <t>ct/2765_spine_ct.nii.gz</t>
  </si>
  <si>
    <t>labels/2765_spine_label.nii.gz</t>
  </si>
  <si>
    <t>qc/2765_spine_qc.png</t>
  </si>
  <si>
    <t>1.3.6.1.4.1.9328.50.81.243897352348810131074434872239759130394</t>
  </si>
  <si>
    <t>ct/7567_spine_ct.nii.gz</t>
  </si>
  <si>
    <t>labels/7567_spine_label.nii.gz</t>
  </si>
  <si>
    <t>qc/7567_spine_qc.png</t>
  </si>
  <si>
    <t>1.3.6.1.4.1.9328.50.81.57943301469820822921312737576140822191</t>
  </si>
  <si>
    <t>ct/7201_spine_ct.nii.gz</t>
  </si>
  <si>
    <t>labels/7201_spine_label.nii.gz</t>
  </si>
  <si>
    <t>qc/7201_spine_qc.png</t>
  </si>
  <si>
    <t>1.3.6.1.4.1.9328.50.81.245116550859296227663892693236275609209</t>
  </si>
  <si>
    <t>ct/4560_spine_ct.nii.gz</t>
  </si>
  <si>
    <t>labels/4560_spine_label.nii.gz</t>
  </si>
  <si>
    <t>qc/4560_spine_qc.png</t>
  </si>
  <si>
    <t>1.3.6.1.4.1.9328.50.81.329118962089252943752560014821166045792</t>
  </si>
  <si>
    <t>ct/5198_spine_ct.nii.gz</t>
  </si>
  <si>
    <t>labels/5198_spine_label.nii.gz</t>
  </si>
  <si>
    <t>qc/5198_spine_qc.png</t>
  </si>
  <si>
    <t>1.3.6.1.4.1.9328.50.81.106017695567610266980334201415077265161</t>
  </si>
  <si>
    <t>ct/7155_spine_ct.nii.gz</t>
  </si>
  <si>
    <t>labels/7155_spine_label.nii.gz</t>
  </si>
  <si>
    <t>qc/7155_spine_qc.png</t>
  </si>
  <si>
    <t>1.3.6.1.4.1.9328.50.81.232511902878239016630333694507386914663</t>
  </si>
  <si>
    <t>ct/0041_spine_ct.nii.gz</t>
  </si>
  <si>
    <t>labels/0041_spine_label.nii.gz</t>
  </si>
  <si>
    <t>qc/0041_spine_qc.png</t>
  </si>
  <si>
    <t>1.3.6.1.4.1.9328.50.81.16147424463095033147395563721259311594</t>
  </si>
  <si>
    <t>1.3.6.1.4.1.9328.50.81.290528159187093396266519371012081328234</t>
  </si>
  <si>
    <t>ct/6319_spine_ct.nii.gz</t>
  </si>
  <si>
    <t>labels/6319_spine_label.nii.gz</t>
  </si>
  <si>
    <t>qc/6319_spine_qc.png</t>
  </si>
  <si>
    <t>1.3.6.1.4.1.9328.50.81.126176802968045195225845807202100360498</t>
  </si>
  <si>
    <t>ct/1485_spine_ct.nii.gz</t>
  </si>
  <si>
    <t>labels/1485_spine_label.nii.gz</t>
  </si>
  <si>
    <t>qc/1485_spine_qc.png</t>
  </si>
  <si>
    <t>1.3.6.1.4.1.9328.50.81.316367195976111085537225089376237779522</t>
  </si>
  <si>
    <t>ct/5949_spine_ct.nii.gz</t>
  </si>
  <si>
    <t>labels/5949_spine_label.nii.gz</t>
  </si>
  <si>
    <t>qc/5949_spine_qc.png</t>
  </si>
  <si>
    <t>1.3.6.1.4.1.9328.50.81.239867248289954895093405743459694607985</t>
  </si>
  <si>
    <t>ct/9614_spine_ct.nii.gz</t>
  </si>
  <si>
    <t>labels/9614_spine_label.nii.gz</t>
  </si>
  <si>
    <t>qc/9614_spine_qc.png</t>
  </si>
  <si>
    <t>1.3.6.1.4.1.9328.50.81.162592286720989154437136271657481961716</t>
  </si>
  <si>
    <t>ct/5081_spine_ct.nii.gz</t>
  </si>
  <si>
    <t>labels/5081_spine_label.nii.gz</t>
  </si>
  <si>
    <t>qc/5081_spine_qc.png</t>
  </si>
  <si>
    <t>1.3.6.1.4.1.9328.50.81.147407960935288217254446808809912343952</t>
  </si>
  <si>
    <t>ct/2832_spine_ct.nii.gz</t>
  </si>
  <si>
    <t>labels/2832_spine_label.nii.gz</t>
  </si>
  <si>
    <t>qc/2832_spine_qc.png</t>
  </si>
  <si>
    <t>1.3.6.1.4.1.9328.50.81.96050024675818554164803850463325255384</t>
  </si>
  <si>
    <t>ct/6058_spine_ct.nii.gz</t>
  </si>
  <si>
    <t>labels/6058_spine_label.nii.gz</t>
  </si>
  <si>
    <t>qc/6058_spine_qc.png</t>
  </si>
  <si>
    <t>1.3.6.1.4.1.9328.50.81.300324581985139743623004866907662114461</t>
  </si>
  <si>
    <t>1.3.6.1.4.1.9328.50.81.278367303830966335126762553319059555224</t>
  </si>
  <si>
    <t>ct/6038_spine_ct.nii.gz</t>
  </si>
  <si>
    <t>labels/6038_spine_label.nii.gz</t>
  </si>
  <si>
    <t>qc/6038_spine_qc.png</t>
  </si>
  <si>
    <t>1.3.6.1.4.1.9328.50.81.266310473360973773108562327445761722472</t>
  </si>
  <si>
    <t>ct/1710_spine_ct.nii.gz</t>
  </si>
  <si>
    <t>labels/1710_spine_label.nii.gz</t>
  </si>
  <si>
    <t>qc/1710_spine_qc.png</t>
  </si>
  <si>
    <t>1.3.6.1.4.1.9328.50.81.154271773075087948052463454403575107418</t>
  </si>
  <si>
    <t>ct/9096_spine_ct.nii.gz</t>
  </si>
  <si>
    <t>labels/9096_spine_label.nii.gz</t>
  </si>
  <si>
    <t>qc/9096_spine_qc.png</t>
  </si>
  <si>
    <t>1.3.6.1.4.1.9328.50.81.183020887400290055792502179161804595407</t>
  </si>
  <si>
    <t>ct/9747_spine_ct.nii.gz</t>
  </si>
  <si>
    <t>labels/9747_spine_label.nii.gz</t>
  </si>
  <si>
    <t>qc/9747_spine_qc.png</t>
  </si>
  <si>
    <t>1.3.6.1.4.1.9328.50.81.244598165500235167607945260439315226607</t>
  </si>
  <si>
    <t>ct/5073_spine_ct.nii.gz</t>
  </si>
  <si>
    <t>labels/5073_spine_label.nii.gz</t>
  </si>
  <si>
    <t>qc/5073_spine_qc.png</t>
  </si>
  <si>
    <t>1.3.6.1.4.1.9328.50.81.312321394354517077129042776261873232846</t>
  </si>
  <si>
    <t>ct/8033_spine_ct.nii.gz</t>
  </si>
  <si>
    <t>labels/8033_spine_label.nii.gz</t>
  </si>
  <si>
    <t>qc/8033_spine_qc.png</t>
  </si>
  <si>
    <t>1.3.6.1.4.1.9328.50.81.235580168017166531253098150149352322118</t>
  </si>
  <si>
    <t>ct/4885_spine_ct.nii.gz</t>
  </si>
  <si>
    <t>labels/4885_spine_label.nii.gz</t>
  </si>
  <si>
    <t>qc/4885_spine_qc.png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</si>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</sst>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4" applyNumberFormat="0" applyAlignment="0" applyProtection="0"/>
    <xf numFmtId="0" fontId="23" fillId="6" borderId="5" applyNumberFormat="0" applyAlignment="0" applyProtection="0"/>
    <xf numFmtId="0" fontId="24" fillId="6" borderId="4" applyNumberFormat="0" applyAlignment="0" applyProtection="0"/>
    <xf numFmtId="0" fontId="25" fillId="0" borderId="6" applyNumberFormat="0" applyFill="0" applyAlignment="0" applyProtection="0"/>
    <xf numFmtId="0" fontId="26" fillId="7" borderId="7" applyNumberFormat="0" applyAlignment="0" applyProtection="0"/>
    <xf numFmtId="0" fontId="27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" fillId="0" borderId="0" xfId="42"/>
  </cellXfs>
  <cellStyles count="79">
    <cellStyle name="20% - Accent1" xfId="19" builtinId="30" customBuiltin="1"/>
    <cellStyle name="20% - Accent1 2" xfId="56" xr:uid="{460AD9A1-8AD6-40BF-B582-D7DB0221226E}"/>
    <cellStyle name="20% - Accent2" xfId="23" builtinId="34" customBuiltin="1"/>
    <cellStyle name="20% - Accent2 2" xfId="60" xr:uid="{576A47D3-B87D-45CA-A1D7-C4EE0A239A0A}"/>
    <cellStyle name="20% - Accent3" xfId="27" builtinId="38" customBuiltin="1"/>
    <cellStyle name="20% - Accent3 2" xfId="64" xr:uid="{F4DD641E-B30C-4369-A0B6-CEAACAC0100A}"/>
    <cellStyle name="20% - Accent4" xfId="31" builtinId="42" customBuiltin="1"/>
    <cellStyle name="20% - Accent4 2" xfId="68" xr:uid="{03D307AE-9300-4B5C-BA45-E7D8CC2134A6}"/>
    <cellStyle name="20% - Accent5" xfId="35" builtinId="46" customBuiltin="1"/>
    <cellStyle name="20% - Accent5 2" xfId="72" xr:uid="{B28E2B48-8529-4F7D-ADAD-814BC6A5AD06}"/>
    <cellStyle name="20% - Accent6" xfId="39" builtinId="50" customBuiltin="1"/>
    <cellStyle name="20% - Accent6 2" xfId="76" xr:uid="{715FED47-EC0A-4882-9D91-08A3934C68C8}"/>
    <cellStyle name="40% - Accent1" xfId="20" builtinId="31" customBuiltin="1"/>
    <cellStyle name="40% - Accent1 2" xfId="57" xr:uid="{F787311C-6AEC-47A3-AC61-F5E3E93F2B84}"/>
    <cellStyle name="40% - Accent2" xfId="24" builtinId="35" customBuiltin="1"/>
    <cellStyle name="40% - Accent2 2" xfId="61" xr:uid="{8900D37B-3503-4144-A8A2-DACB69283006}"/>
    <cellStyle name="40% - Accent3" xfId="28" builtinId="39" customBuiltin="1"/>
    <cellStyle name="40% - Accent3 2" xfId="65" xr:uid="{9EACF33E-2BA2-4B24-BFCC-C72297A9C51E}"/>
    <cellStyle name="40% - Accent4" xfId="32" builtinId="43" customBuiltin="1"/>
    <cellStyle name="40% - Accent4 2" xfId="69" xr:uid="{7E316227-7A72-4F34-AE37-C883CE31A9FE}"/>
    <cellStyle name="40% - Accent5" xfId="36" builtinId="47" customBuiltin="1"/>
    <cellStyle name="40% - Accent5 2" xfId="73" xr:uid="{820221CA-EBB1-4AB7-A8FC-53EC956418BE}"/>
    <cellStyle name="40% - Accent6" xfId="40" builtinId="51" customBuiltin="1"/>
    <cellStyle name="40% - Accent6 2" xfId="77" xr:uid="{5753AEDE-0E06-4FC2-86E5-28B5D448342A}"/>
    <cellStyle name="60% - Accent1" xfId="21" builtinId="32" customBuiltin="1"/>
    <cellStyle name="60% - Accent1 2" xfId="58" xr:uid="{76E04A64-D500-496F-8C15-837F4DC4D6CD}"/>
    <cellStyle name="60% - Accent2" xfId="25" builtinId="36" customBuiltin="1"/>
    <cellStyle name="60% - Accent2 2" xfId="62" xr:uid="{EA39884C-3FB7-47C5-A0D0-1FB401550122}"/>
    <cellStyle name="60% - Accent3" xfId="29" builtinId="40" customBuiltin="1"/>
    <cellStyle name="60% - Accent3 2" xfId="66" xr:uid="{A910033C-26AB-4DE5-9F3D-529CC96CBD6C}"/>
    <cellStyle name="60% - Accent4" xfId="33" builtinId="44" customBuiltin="1"/>
    <cellStyle name="60% - Accent4 2" xfId="70" xr:uid="{7B83029D-EE28-4D6F-893C-641985AF3077}"/>
    <cellStyle name="60% - Accent5" xfId="37" builtinId="48" customBuiltin="1"/>
    <cellStyle name="60% - Accent5 2" xfId="74" xr:uid="{15DBB1F8-624E-4A8C-83B3-66E7A9AFEAE6}"/>
    <cellStyle name="60% - Accent6" xfId="41" builtinId="52" customBuiltin="1"/>
    <cellStyle name="60% - Accent6 2" xfId="78" xr:uid="{078A6297-AF9A-4CC6-A7CD-E8DAF2EF51EE}"/>
    <cellStyle name="Accent1" xfId="18" builtinId="29" customBuiltin="1"/>
    <cellStyle name="Accent1 2" xfId="55" xr:uid="{AB9B563D-72E5-45F7-887E-98F4F02E545F}"/>
    <cellStyle name="Accent2" xfId="22" builtinId="33" customBuiltin="1"/>
    <cellStyle name="Accent2 2" xfId="59" xr:uid="{0A5926C4-FDCD-4E47-8F7A-EBAE396F8E26}"/>
    <cellStyle name="Accent3" xfId="26" builtinId="37" customBuiltin="1"/>
    <cellStyle name="Accent3 2" xfId="63" xr:uid="{61920FAC-52EB-4C08-A8A2-E6D3E97B41F1}"/>
    <cellStyle name="Accent4" xfId="30" builtinId="41" customBuiltin="1"/>
    <cellStyle name="Accent4 2" xfId="67" xr:uid="{B83AAE16-D5FD-4BF0-AB73-481010D0FDE6}"/>
    <cellStyle name="Accent5" xfId="34" builtinId="45" customBuiltin="1"/>
    <cellStyle name="Accent5 2" xfId="71" xr:uid="{B90C2AC3-CF58-44CE-8ACB-837B8B0BB123}"/>
    <cellStyle name="Accent6" xfId="38" builtinId="49" customBuiltin="1"/>
    <cellStyle name="Accent6 2" xfId="75" xr:uid="{C5911644-BD1A-4078-828E-B66CDF03684E}"/>
    <cellStyle name="Bad" xfId="7" builtinId="27" customBuiltin="1"/>
    <cellStyle name="Bad 2" xfId="44" xr:uid="{4C13ED1E-13DC-4185-961C-2935013A2BEA}"/>
    <cellStyle name="Calculation" xfId="11" builtinId="22" customBuiltin="1"/>
    <cellStyle name="Calculation 2" xfId="48" xr:uid="{76988A0F-9874-40EC-9E6D-DFF188FCBB41}"/>
    <cellStyle name="Check Cell" xfId="13" builtinId="23" customBuiltin="1"/>
    <cellStyle name="Check Cell 2" xfId="50" xr:uid="{B49A36FD-2029-4D74-A254-F7779BD315CF}"/>
    <cellStyle name="Explanatory Text" xfId="16" builtinId="53" customBuiltin="1"/>
    <cellStyle name="Explanatory Text 2" xfId="53" xr:uid="{73BAB605-372E-4EA7-AB12-68A6CB3315A5}"/>
    <cellStyle name="Good" xfId="6" builtinId="26" customBuiltin="1"/>
    <cellStyle name="Good 2" xfId="43" xr:uid="{1C281736-0C46-4636-AD9B-FE8A7D8AC1FA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Input 2" xfId="46" xr:uid="{D1975BAE-60EE-42BF-B3A2-7A443BFD835E}"/>
    <cellStyle name="Linked Cell" xfId="12" builtinId="24" customBuiltin="1"/>
    <cellStyle name="Linked Cell 2" xfId="49" xr:uid="{8BBAE3F6-C57A-4E26-8E61-02221533FB66}"/>
    <cellStyle name="Neutral" xfId="8" builtinId="28" customBuiltin="1"/>
    <cellStyle name="Neutral 2" xfId="45" xr:uid="{170F5908-E4F2-466D-84A6-BA2774F8711B}"/>
    <cellStyle name="Normal" xfId="0" builtinId="0"/>
    <cellStyle name="Normal 2" xfId="42" xr:uid="{34693E6C-0118-48F2-A545-B571591AB883}"/>
    <cellStyle name="Note" xfId="15" builtinId="10" customBuiltin="1"/>
    <cellStyle name="Note 2" xfId="52" xr:uid="{B70DF5B8-2FEC-4B8C-A61B-E4FE08EAFDD5}"/>
    <cellStyle name="Output" xfId="10" builtinId="21" customBuiltin="1"/>
    <cellStyle name="Output 2" xfId="47" xr:uid="{C7E363DB-607D-44E1-B496-78A2D8CD738D}"/>
    <cellStyle name="Title" xfId="1" builtinId="15" customBuiltin="1"/>
    <cellStyle name="Total" xfId="17" builtinId="25" customBuiltin="1"/>
    <cellStyle name="Total 2" xfId="54" xr:uid="{E56D8316-1B15-461E-9420-C382B2032F12}"/>
    <cellStyle name="Warning Text" xfId="14" builtinId="11" customBuiltin="1"/>
    <cellStyle name="Warning Text 2" xfId="51" xr:uid="{85F6789B-D317-48F2-A15B-13D7EAFAA8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3FD8-29D5-BE43-BE71-1676CB7397B0}">
  <dimension ref="A1:I3914"/>
  <sheetViews>
    <sheetView tabSelected="1" workbookViewId="0">
      <selection sqref="A1:XFD1"/>
    </sheetView>
  </sheetViews>
  <sheetFormatPr defaultColWidth="11" defaultRowHeight="15.6" x14ac:dyDescent="0.6"/>
  <sheetData>
    <row r="1" spans="1:9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</v>
      </c>
      <c r="I1" t="s">
        <v>53</v>
      </c>
    </row>
    <row r="2" spans="1:9" x14ac:dyDescent="0.6">
      <c r="A2">
        <v>36</v>
      </c>
      <c r="B2" t="s">
        <v>7</v>
      </c>
      <c r="C2" t="s">
        <v>8</v>
      </c>
      <c r="D2">
        <v>176</v>
      </c>
      <c r="E2">
        <v>138.97</v>
      </c>
      <c r="F2">
        <v>19792</v>
      </c>
      <c r="G2" t="s">
        <v>9</v>
      </c>
      <c r="H2">
        <f>_xlfn.LET(_xlpm.v, IFERROR(VLOOKUP($A2, manifest!$A:$E, 3, FALSE), ""), IF(OR(_xlpm.v=0, _xlpm.v=""), "", _xlpm.v))</f>
        <v>69</v>
      </c>
      <c r="I2" t="str">
        <f>_xlfn.LET(_xlpm.v, IFERROR(VLOOKUP($A2, manifest!$A:$E, 5, FALSE), ""), IF(OR(_xlpm.v=0, _xlpm.v=""), "", _xlpm.v))</f>
        <v>female</v>
      </c>
    </row>
    <row r="3" spans="1:9" x14ac:dyDescent="0.6">
      <c r="A3">
        <v>36</v>
      </c>
      <c r="B3" t="s">
        <v>7</v>
      </c>
      <c r="C3" t="s">
        <v>10</v>
      </c>
      <c r="D3">
        <v>180.66</v>
      </c>
      <c r="E3">
        <v>154.19999999999999</v>
      </c>
      <c r="F3">
        <v>23409</v>
      </c>
      <c r="H3">
        <f>_xlfn.LET(_xlpm.v, IFERROR(VLOOKUP($A3, manifest!$A:$E, 3, FALSE), ""), IF(OR(_xlpm.v=0, _xlpm.v=""), "", _xlpm.v))</f>
        <v>69</v>
      </c>
      <c r="I3" t="str">
        <f>_xlfn.LET(_xlpm.v, IFERROR(VLOOKUP($A3, manifest!$A:$E, 5, FALSE), ""), IF(OR(_xlpm.v=0, _xlpm.v=""), "", _xlpm.v))</f>
        <v>female</v>
      </c>
    </row>
    <row r="4" spans="1:9" x14ac:dyDescent="0.6">
      <c r="A4">
        <v>36</v>
      </c>
      <c r="B4" t="s">
        <v>7</v>
      </c>
      <c r="C4" t="s">
        <v>11</v>
      </c>
      <c r="D4">
        <v>199.29</v>
      </c>
      <c r="E4">
        <v>121.2</v>
      </c>
      <c r="F4">
        <v>25716</v>
      </c>
      <c r="H4">
        <f>_xlfn.LET(_xlpm.v, IFERROR(VLOOKUP($A4, manifest!$A:$E, 3, FALSE), ""), IF(OR(_xlpm.v=0, _xlpm.v=""), "", _xlpm.v))</f>
        <v>69</v>
      </c>
      <c r="I4" t="str">
        <f>_xlfn.LET(_xlpm.v, IFERROR(VLOOKUP($A4, manifest!$A:$E, 5, FALSE), ""), IF(OR(_xlpm.v=0, _xlpm.v=""), "", _xlpm.v))</f>
        <v>female</v>
      </c>
    </row>
    <row r="5" spans="1:9" x14ac:dyDescent="0.6">
      <c r="A5">
        <v>36</v>
      </c>
      <c r="B5" t="s">
        <v>7</v>
      </c>
      <c r="C5" t="s">
        <v>12</v>
      </c>
      <c r="D5">
        <v>281.76</v>
      </c>
      <c r="E5">
        <v>200.65</v>
      </c>
      <c r="F5">
        <v>35461</v>
      </c>
      <c r="H5">
        <f>_xlfn.LET(_xlpm.v, IFERROR(VLOOKUP($A5, manifest!$A:$E, 3, FALSE), ""), IF(OR(_xlpm.v=0, _xlpm.v=""), "", _xlpm.v))</f>
        <v>69</v>
      </c>
      <c r="I5" t="str">
        <f>_xlfn.LET(_xlpm.v, IFERROR(VLOOKUP($A5, manifest!$A:$E, 5, FALSE), ""), IF(OR(_xlpm.v=0, _xlpm.v=""), "", _xlpm.v))</f>
        <v>female</v>
      </c>
    </row>
    <row r="6" spans="1:9" x14ac:dyDescent="0.6">
      <c r="A6">
        <v>36</v>
      </c>
      <c r="B6" t="s">
        <v>7</v>
      </c>
      <c r="C6" t="s">
        <v>13</v>
      </c>
      <c r="D6">
        <v>210.94</v>
      </c>
      <c r="E6">
        <v>156.82</v>
      </c>
      <c r="F6">
        <v>43094</v>
      </c>
      <c r="H6">
        <f>_xlfn.LET(_xlpm.v, IFERROR(VLOOKUP($A6, manifest!$A:$E, 3, FALSE), ""), IF(OR(_xlpm.v=0, _xlpm.v=""), "", _xlpm.v))</f>
        <v>69</v>
      </c>
      <c r="I6" t="str">
        <f>_xlfn.LET(_xlpm.v, IFERROR(VLOOKUP($A6, manifest!$A:$E, 5, FALSE), ""), IF(OR(_xlpm.v=0, _xlpm.v=""), "", _xlpm.v))</f>
        <v>female</v>
      </c>
    </row>
    <row r="7" spans="1:9" x14ac:dyDescent="0.6">
      <c r="A7">
        <v>13</v>
      </c>
      <c r="B7" t="s">
        <v>7</v>
      </c>
      <c r="C7" t="s">
        <v>8</v>
      </c>
      <c r="D7">
        <v>255.84</v>
      </c>
      <c r="E7">
        <v>109.77</v>
      </c>
      <c r="F7">
        <v>23607</v>
      </c>
      <c r="G7" t="s">
        <v>9</v>
      </c>
      <c r="H7">
        <f>_xlfn.LET(_xlpm.v, IFERROR(VLOOKUP($A7, manifest!$A:$E, 3, FALSE), ""), IF(OR(_xlpm.v=0, _xlpm.v=""), "", _xlpm.v))</f>
        <v>52</v>
      </c>
      <c r="I7" t="str">
        <f>_xlfn.LET(_xlpm.v, IFERROR(VLOOKUP($A7, manifest!$A:$E, 5, FALSE), ""), IF(OR(_xlpm.v=0, _xlpm.v=""), "", _xlpm.v))</f>
        <v>female</v>
      </c>
    </row>
    <row r="8" spans="1:9" x14ac:dyDescent="0.6">
      <c r="A8">
        <v>13</v>
      </c>
      <c r="B8" t="s">
        <v>7</v>
      </c>
      <c r="C8" t="s">
        <v>10</v>
      </c>
      <c r="D8">
        <v>292.45</v>
      </c>
      <c r="E8">
        <v>179.65</v>
      </c>
      <c r="F8">
        <v>22938</v>
      </c>
      <c r="H8">
        <f>_xlfn.LET(_xlpm.v, IFERROR(VLOOKUP($A8, manifest!$A:$E, 3, FALSE), ""), IF(OR(_xlpm.v=0, _xlpm.v=""), "", _xlpm.v))</f>
        <v>52</v>
      </c>
      <c r="I8" t="str">
        <f>_xlfn.LET(_xlpm.v, IFERROR(VLOOKUP($A8, manifest!$A:$E, 5, FALSE), ""), IF(OR(_xlpm.v=0, _xlpm.v=""), "", _xlpm.v))</f>
        <v>female</v>
      </c>
    </row>
    <row r="9" spans="1:9" x14ac:dyDescent="0.6">
      <c r="A9">
        <v>13</v>
      </c>
      <c r="B9" t="s">
        <v>7</v>
      </c>
      <c r="C9" t="s">
        <v>11</v>
      </c>
      <c r="D9">
        <v>279.58</v>
      </c>
      <c r="E9">
        <v>185.05</v>
      </c>
      <c r="F9">
        <v>26413</v>
      </c>
      <c r="H9">
        <f>_xlfn.LET(_xlpm.v, IFERROR(VLOOKUP($A9, manifest!$A:$E, 3, FALSE), ""), IF(OR(_xlpm.v=0, _xlpm.v=""), "", _xlpm.v))</f>
        <v>52</v>
      </c>
      <c r="I9" t="str">
        <f>_xlfn.LET(_xlpm.v, IFERROR(VLOOKUP($A9, manifest!$A:$E, 5, FALSE), ""), IF(OR(_xlpm.v=0, _xlpm.v=""), "", _xlpm.v))</f>
        <v>female</v>
      </c>
    </row>
    <row r="10" spans="1:9" x14ac:dyDescent="0.6">
      <c r="A10">
        <v>13</v>
      </c>
      <c r="B10" t="s">
        <v>7</v>
      </c>
      <c r="C10" t="s">
        <v>12</v>
      </c>
      <c r="D10">
        <v>290.56</v>
      </c>
      <c r="E10">
        <v>222.85</v>
      </c>
      <c r="F10">
        <v>28974</v>
      </c>
      <c r="H10">
        <f>_xlfn.LET(_xlpm.v, IFERROR(VLOOKUP($A10, manifest!$A:$E, 3, FALSE), ""), IF(OR(_xlpm.v=0, _xlpm.v=""), "", _xlpm.v))</f>
        <v>52</v>
      </c>
      <c r="I10" t="str">
        <f>_xlfn.LET(_xlpm.v, IFERROR(VLOOKUP($A10, manifest!$A:$E, 5, FALSE), ""), IF(OR(_xlpm.v=0, _xlpm.v=""), "", _xlpm.v))</f>
        <v>female</v>
      </c>
    </row>
    <row r="11" spans="1:9" x14ac:dyDescent="0.6">
      <c r="A11">
        <v>13</v>
      </c>
      <c r="B11" t="s">
        <v>7</v>
      </c>
      <c r="C11" t="s">
        <v>13</v>
      </c>
      <c r="D11">
        <v>281.36</v>
      </c>
      <c r="E11">
        <v>180.2</v>
      </c>
      <c r="F11">
        <v>36225</v>
      </c>
      <c r="H11">
        <f>_xlfn.LET(_xlpm.v, IFERROR(VLOOKUP($A11, manifest!$A:$E, 3, FALSE), ""), IF(OR(_xlpm.v=0, _xlpm.v=""), "", _xlpm.v))</f>
        <v>52</v>
      </c>
      <c r="I11" t="str">
        <f>_xlfn.LET(_xlpm.v, IFERROR(VLOOKUP($A11, manifest!$A:$E, 5, FALSE), ""), IF(OR(_xlpm.v=0, _xlpm.v=""), "", _xlpm.v))</f>
        <v>female</v>
      </c>
    </row>
    <row r="12" spans="1:9" x14ac:dyDescent="0.6">
      <c r="A12">
        <v>26</v>
      </c>
      <c r="B12" t="s">
        <v>14</v>
      </c>
      <c r="C12" t="s">
        <v>8</v>
      </c>
      <c r="D12">
        <v>166.4</v>
      </c>
      <c r="E12">
        <v>122.52</v>
      </c>
      <c r="F12">
        <v>33167</v>
      </c>
      <c r="G12" t="s">
        <v>9</v>
      </c>
      <c r="H12">
        <f>_xlfn.LET(_xlpm.v, IFERROR(VLOOKUP($A12, manifest!$A:$E, 3, FALSE), ""), IF(OR(_xlpm.v=0, _xlpm.v=""), "", _xlpm.v))</f>
        <v>51</v>
      </c>
      <c r="I12" t="str">
        <f>_xlfn.LET(_xlpm.v, IFERROR(VLOOKUP($A12, manifest!$A:$E, 5, FALSE), ""), IF(OR(_xlpm.v=0, _xlpm.v=""), "", _xlpm.v))</f>
        <v>male</v>
      </c>
    </row>
    <row r="13" spans="1:9" x14ac:dyDescent="0.6">
      <c r="A13">
        <v>26</v>
      </c>
      <c r="B13" t="s">
        <v>14</v>
      </c>
      <c r="C13" t="s">
        <v>10</v>
      </c>
      <c r="D13">
        <v>182.18</v>
      </c>
      <c r="E13">
        <v>169.4</v>
      </c>
      <c r="F13">
        <v>40649</v>
      </c>
      <c r="H13">
        <f>_xlfn.LET(_xlpm.v, IFERROR(VLOOKUP($A13, manifest!$A:$E, 3, FALSE), ""), IF(OR(_xlpm.v=0, _xlpm.v=""), "", _xlpm.v))</f>
        <v>51</v>
      </c>
      <c r="I13" t="str">
        <f>_xlfn.LET(_xlpm.v, IFERROR(VLOOKUP($A13, manifest!$A:$E, 5, FALSE), ""), IF(OR(_xlpm.v=0, _xlpm.v=""), "", _xlpm.v))</f>
        <v>male</v>
      </c>
    </row>
    <row r="14" spans="1:9" x14ac:dyDescent="0.6">
      <c r="A14">
        <v>26</v>
      </c>
      <c r="B14" t="s">
        <v>14</v>
      </c>
      <c r="C14" t="s">
        <v>11</v>
      </c>
      <c r="D14">
        <v>159.41</v>
      </c>
      <c r="E14">
        <v>129.15</v>
      </c>
      <c r="F14">
        <v>42960</v>
      </c>
      <c r="H14">
        <f>_xlfn.LET(_xlpm.v, IFERROR(VLOOKUP($A14, manifest!$A:$E, 3, FALSE), ""), IF(OR(_xlpm.v=0, _xlpm.v=""), "", _xlpm.v))</f>
        <v>51</v>
      </c>
      <c r="I14" t="str">
        <f>_xlfn.LET(_xlpm.v, IFERROR(VLOOKUP($A14, manifest!$A:$E, 5, FALSE), ""), IF(OR(_xlpm.v=0, _xlpm.v=""), "", _xlpm.v))</f>
        <v>male</v>
      </c>
    </row>
    <row r="15" spans="1:9" x14ac:dyDescent="0.6">
      <c r="A15">
        <v>26</v>
      </c>
      <c r="B15" t="s">
        <v>14</v>
      </c>
      <c r="C15" t="s">
        <v>12</v>
      </c>
      <c r="D15">
        <v>165.89</v>
      </c>
      <c r="E15">
        <v>133.76</v>
      </c>
      <c r="F15">
        <v>47657</v>
      </c>
      <c r="H15">
        <f>_xlfn.LET(_xlpm.v, IFERROR(VLOOKUP($A15, manifest!$A:$E, 3, FALSE), ""), IF(OR(_xlpm.v=0, _xlpm.v=""), "", _xlpm.v))</f>
        <v>51</v>
      </c>
      <c r="I15" t="str">
        <f>_xlfn.LET(_xlpm.v, IFERROR(VLOOKUP($A15, manifest!$A:$E, 5, FALSE), ""), IF(OR(_xlpm.v=0, _xlpm.v=""), "", _xlpm.v))</f>
        <v>male</v>
      </c>
    </row>
    <row r="16" spans="1:9" x14ac:dyDescent="0.6">
      <c r="A16">
        <v>26</v>
      </c>
      <c r="B16" t="s">
        <v>14</v>
      </c>
      <c r="C16" t="s">
        <v>13</v>
      </c>
      <c r="D16">
        <v>181.18</v>
      </c>
      <c r="E16">
        <v>139.37</v>
      </c>
      <c r="F16">
        <v>50902</v>
      </c>
      <c r="H16">
        <f>_xlfn.LET(_xlpm.v, IFERROR(VLOOKUP($A16, manifest!$A:$E, 3, FALSE), ""), IF(OR(_xlpm.v=0, _xlpm.v=""), "", _xlpm.v))</f>
        <v>51</v>
      </c>
      <c r="I16" t="str">
        <f>_xlfn.LET(_xlpm.v, IFERROR(VLOOKUP($A16, manifest!$A:$E, 5, FALSE), ""), IF(OR(_xlpm.v=0, _xlpm.v=""), "", _xlpm.v))</f>
        <v>male</v>
      </c>
    </row>
    <row r="17" spans="1:9" x14ac:dyDescent="0.6">
      <c r="A17">
        <v>4</v>
      </c>
      <c r="B17" t="s">
        <v>14</v>
      </c>
      <c r="C17" t="s">
        <v>8</v>
      </c>
      <c r="D17">
        <v>123.53</v>
      </c>
      <c r="E17">
        <v>80.98</v>
      </c>
      <c r="F17">
        <v>32412</v>
      </c>
      <c r="G17" t="s">
        <v>15</v>
      </c>
      <c r="H17">
        <f>_xlfn.LET(_xlpm.v, IFERROR(VLOOKUP($A17, manifest!$A:$E, 3, FALSE), ""), IF(OR(_xlpm.v=0, _xlpm.v=""), "", _xlpm.v))</f>
        <v>51</v>
      </c>
      <c r="I17" t="str">
        <f>_xlfn.LET(_xlpm.v, IFERROR(VLOOKUP($A17, manifest!$A:$E, 5, FALSE), ""), IF(OR(_xlpm.v=0, _xlpm.v=""), "", _xlpm.v))</f>
        <v>male</v>
      </c>
    </row>
    <row r="18" spans="1:9" x14ac:dyDescent="0.6">
      <c r="A18">
        <v>4</v>
      </c>
      <c r="B18" t="s">
        <v>14</v>
      </c>
      <c r="C18" t="s">
        <v>10</v>
      </c>
      <c r="D18">
        <v>134.12</v>
      </c>
      <c r="E18">
        <v>106.5</v>
      </c>
      <c r="F18">
        <v>29262</v>
      </c>
      <c r="H18">
        <f>_xlfn.LET(_xlpm.v, IFERROR(VLOOKUP($A18, manifest!$A:$E, 3, FALSE), ""), IF(OR(_xlpm.v=0, _xlpm.v=""), "", _xlpm.v))</f>
        <v>51</v>
      </c>
      <c r="I18" t="str">
        <f>_xlfn.LET(_xlpm.v, IFERROR(VLOOKUP($A18, manifest!$A:$E, 5, FALSE), ""), IF(OR(_xlpm.v=0, _xlpm.v=""), "", _xlpm.v))</f>
        <v>male</v>
      </c>
    </row>
    <row r="19" spans="1:9" x14ac:dyDescent="0.6">
      <c r="A19">
        <v>4</v>
      </c>
      <c r="B19" t="s">
        <v>14</v>
      </c>
      <c r="C19" t="s">
        <v>11</v>
      </c>
      <c r="D19">
        <v>131.88</v>
      </c>
      <c r="E19">
        <v>116.27</v>
      </c>
      <c r="F19">
        <v>33216</v>
      </c>
      <c r="H19">
        <f>_xlfn.LET(_xlpm.v, IFERROR(VLOOKUP($A19, manifest!$A:$E, 3, FALSE), ""), IF(OR(_xlpm.v=0, _xlpm.v=""), "", _xlpm.v))</f>
        <v>51</v>
      </c>
      <c r="I19" t="str">
        <f>_xlfn.LET(_xlpm.v, IFERROR(VLOOKUP($A19, manifest!$A:$E, 5, FALSE), ""), IF(OR(_xlpm.v=0, _xlpm.v=""), "", _xlpm.v))</f>
        <v>male</v>
      </c>
    </row>
    <row r="20" spans="1:9" x14ac:dyDescent="0.6">
      <c r="A20">
        <v>4</v>
      </c>
      <c r="B20" t="s">
        <v>14</v>
      </c>
      <c r="C20" t="s">
        <v>12</v>
      </c>
      <c r="D20">
        <v>129.85</v>
      </c>
      <c r="E20">
        <v>110.83</v>
      </c>
      <c r="F20">
        <v>38913</v>
      </c>
      <c r="H20">
        <f>_xlfn.LET(_xlpm.v, IFERROR(VLOOKUP($A20, manifest!$A:$E, 3, FALSE), ""), IF(OR(_xlpm.v=0, _xlpm.v=""), "", _xlpm.v))</f>
        <v>51</v>
      </c>
      <c r="I20" t="str">
        <f>_xlfn.LET(_xlpm.v, IFERROR(VLOOKUP($A20, manifest!$A:$E, 5, FALSE), ""), IF(OR(_xlpm.v=0, _xlpm.v=""), "", _xlpm.v))</f>
        <v>male</v>
      </c>
    </row>
    <row r="21" spans="1:9" x14ac:dyDescent="0.6">
      <c r="A21">
        <v>4</v>
      </c>
      <c r="B21" t="s">
        <v>14</v>
      </c>
      <c r="C21" t="s">
        <v>13</v>
      </c>
      <c r="D21">
        <v>123.25</v>
      </c>
      <c r="E21">
        <v>100.83</v>
      </c>
      <c r="F21">
        <v>45209</v>
      </c>
      <c r="H21">
        <f>_xlfn.LET(_xlpm.v, IFERROR(VLOOKUP($A21, manifest!$A:$E, 3, FALSE), ""), IF(OR(_xlpm.v=0, _xlpm.v=""), "", _xlpm.v))</f>
        <v>51</v>
      </c>
      <c r="I21" t="str">
        <f>_xlfn.LET(_xlpm.v, IFERROR(VLOOKUP($A21, manifest!$A:$E, 5, FALSE), ""), IF(OR(_xlpm.v=0, _xlpm.v=""), "", _xlpm.v))</f>
        <v>male</v>
      </c>
    </row>
    <row r="22" spans="1:9" x14ac:dyDescent="0.6">
      <c r="A22">
        <v>4</v>
      </c>
      <c r="B22" t="s">
        <v>14</v>
      </c>
      <c r="C22" t="s">
        <v>16</v>
      </c>
      <c r="D22">
        <v>146.69999999999999</v>
      </c>
      <c r="E22">
        <v>121.59</v>
      </c>
      <c r="F22">
        <v>54479</v>
      </c>
      <c r="H22">
        <f>_xlfn.LET(_xlpm.v, IFERROR(VLOOKUP($A22, manifest!$A:$E, 3, FALSE), ""), IF(OR(_xlpm.v=0, _xlpm.v=""), "", _xlpm.v))</f>
        <v>51</v>
      </c>
      <c r="I22" t="str">
        <f>_xlfn.LET(_xlpm.v, IFERROR(VLOOKUP($A22, manifest!$A:$E, 5, FALSE), ""), IF(OR(_xlpm.v=0, _xlpm.v=""), "", _xlpm.v))</f>
        <v>male</v>
      </c>
    </row>
    <row r="23" spans="1:9" x14ac:dyDescent="0.6">
      <c r="A23">
        <v>42</v>
      </c>
      <c r="B23" t="s">
        <v>14</v>
      </c>
      <c r="C23" t="s">
        <v>8</v>
      </c>
      <c r="D23">
        <v>211.15</v>
      </c>
      <c r="E23">
        <v>144.6</v>
      </c>
      <c r="F23">
        <v>44198</v>
      </c>
      <c r="G23" t="s">
        <v>9</v>
      </c>
      <c r="H23">
        <f>_xlfn.LET(_xlpm.v, IFERROR(VLOOKUP($A23, manifest!$A:$E, 3, FALSE), ""), IF(OR(_xlpm.v=0, _xlpm.v=""), "", _xlpm.v))</f>
        <v>52</v>
      </c>
      <c r="I23" t="str">
        <f>_xlfn.LET(_xlpm.v, IFERROR(VLOOKUP($A23, manifest!$A:$E, 5, FALSE), ""), IF(OR(_xlpm.v=0, _xlpm.v=""), "", _xlpm.v))</f>
        <v>female</v>
      </c>
    </row>
    <row r="24" spans="1:9" x14ac:dyDescent="0.6">
      <c r="A24">
        <v>42</v>
      </c>
      <c r="B24" t="s">
        <v>14</v>
      </c>
      <c r="C24" t="s">
        <v>10</v>
      </c>
      <c r="D24">
        <v>238.39</v>
      </c>
      <c r="E24">
        <v>197.33</v>
      </c>
      <c r="F24">
        <v>48681</v>
      </c>
      <c r="H24">
        <f>_xlfn.LET(_xlpm.v, IFERROR(VLOOKUP($A24, manifest!$A:$E, 3, FALSE), ""), IF(OR(_xlpm.v=0, _xlpm.v=""), "", _xlpm.v))</f>
        <v>52</v>
      </c>
      <c r="I24" t="str">
        <f>_xlfn.LET(_xlpm.v, IFERROR(VLOOKUP($A24, manifest!$A:$E, 5, FALSE), ""), IF(OR(_xlpm.v=0, _xlpm.v=""), "", _xlpm.v))</f>
        <v>female</v>
      </c>
    </row>
    <row r="25" spans="1:9" x14ac:dyDescent="0.6">
      <c r="A25">
        <v>42</v>
      </c>
      <c r="B25" t="s">
        <v>14</v>
      </c>
      <c r="C25" t="s">
        <v>11</v>
      </c>
      <c r="D25">
        <v>233.74</v>
      </c>
      <c r="E25">
        <v>200.51</v>
      </c>
      <c r="F25">
        <v>59253</v>
      </c>
      <c r="H25">
        <f>_xlfn.LET(_xlpm.v, IFERROR(VLOOKUP($A25, manifest!$A:$E, 3, FALSE), ""), IF(OR(_xlpm.v=0, _xlpm.v=""), "", _xlpm.v))</f>
        <v>52</v>
      </c>
      <c r="I25" t="str">
        <f>_xlfn.LET(_xlpm.v, IFERROR(VLOOKUP($A25, manifest!$A:$E, 5, FALSE), ""), IF(OR(_xlpm.v=0, _xlpm.v=""), "", _xlpm.v))</f>
        <v>female</v>
      </c>
    </row>
    <row r="26" spans="1:9" x14ac:dyDescent="0.6">
      <c r="A26">
        <v>42</v>
      </c>
      <c r="B26" t="s">
        <v>14</v>
      </c>
      <c r="C26" t="s">
        <v>12</v>
      </c>
      <c r="D26">
        <v>203.08</v>
      </c>
      <c r="E26">
        <v>150.41</v>
      </c>
      <c r="F26">
        <v>61122</v>
      </c>
      <c r="H26">
        <f>_xlfn.LET(_xlpm.v, IFERROR(VLOOKUP($A26, manifest!$A:$E, 3, FALSE), ""), IF(OR(_xlpm.v=0, _xlpm.v=""), "", _xlpm.v))</f>
        <v>52</v>
      </c>
      <c r="I26" t="str">
        <f>_xlfn.LET(_xlpm.v, IFERROR(VLOOKUP($A26, manifest!$A:$E, 5, FALSE), ""), IF(OR(_xlpm.v=0, _xlpm.v=""), "", _xlpm.v))</f>
        <v>female</v>
      </c>
    </row>
    <row r="27" spans="1:9" x14ac:dyDescent="0.6">
      <c r="A27">
        <v>42</v>
      </c>
      <c r="B27" t="s">
        <v>14</v>
      </c>
      <c r="C27" t="s">
        <v>13</v>
      </c>
      <c r="D27">
        <v>188.12</v>
      </c>
      <c r="E27">
        <v>122.48</v>
      </c>
      <c r="F27">
        <v>81021</v>
      </c>
      <c r="H27">
        <f>_xlfn.LET(_xlpm.v, IFERROR(VLOOKUP($A27, manifest!$A:$E, 3, FALSE), ""), IF(OR(_xlpm.v=0, _xlpm.v=""), "", _xlpm.v))</f>
        <v>52</v>
      </c>
      <c r="I27" t="str">
        <f>_xlfn.LET(_xlpm.v, IFERROR(VLOOKUP($A27, manifest!$A:$E, 5, FALSE), ""), IF(OR(_xlpm.v=0, _xlpm.v=""), "", _xlpm.v))</f>
        <v>female</v>
      </c>
    </row>
    <row r="28" spans="1:9" x14ac:dyDescent="0.6">
      <c r="A28">
        <v>33</v>
      </c>
      <c r="B28" t="s">
        <v>7</v>
      </c>
      <c r="C28" t="s">
        <v>8</v>
      </c>
      <c r="D28">
        <v>260.27</v>
      </c>
      <c r="E28">
        <v>213.54</v>
      </c>
      <c r="F28">
        <v>26766</v>
      </c>
      <c r="G28" t="s">
        <v>9</v>
      </c>
      <c r="H28">
        <f>_xlfn.LET(_xlpm.v, IFERROR(VLOOKUP($A28, manifest!$A:$E, 3, FALSE), ""), IF(OR(_xlpm.v=0, _xlpm.v=""), "", _xlpm.v))</f>
        <v>61</v>
      </c>
      <c r="I28" t="str">
        <f>_xlfn.LET(_xlpm.v, IFERROR(VLOOKUP($A28, manifest!$A:$E, 5, FALSE), ""), IF(OR(_xlpm.v=0, _xlpm.v=""), "", _xlpm.v))</f>
        <v>female</v>
      </c>
    </row>
    <row r="29" spans="1:9" x14ac:dyDescent="0.6">
      <c r="A29">
        <v>33</v>
      </c>
      <c r="B29" t="s">
        <v>7</v>
      </c>
      <c r="C29" t="s">
        <v>10</v>
      </c>
      <c r="D29">
        <v>232.34</v>
      </c>
      <c r="E29">
        <v>208.5</v>
      </c>
      <c r="F29">
        <v>33431</v>
      </c>
      <c r="H29">
        <f>_xlfn.LET(_xlpm.v, IFERROR(VLOOKUP($A29, manifest!$A:$E, 3, FALSE), ""), IF(OR(_xlpm.v=0, _xlpm.v=""), "", _xlpm.v))</f>
        <v>61</v>
      </c>
      <c r="I29" t="str">
        <f>_xlfn.LET(_xlpm.v, IFERROR(VLOOKUP($A29, manifest!$A:$E, 5, FALSE), ""), IF(OR(_xlpm.v=0, _xlpm.v=""), "", _xlpm.v))</f>
        <v>female</v>
      </c>
    </row>
    <row r="30" spans="1:9" x14ac:dyDescent="0.6">
      <c r="A30">
        <v>33</v>
      </c>
      <c r="B30" t="s">
        <v>7</v>
      </c>
      <c r="C30" t="s">
        <v>11</v>
      </c>
      <c r="D30">
        <v>207.76</v>
      </c>
      <c r="E30">
        <v>188.4</v>
      </c>
      <c r="F30">
        <v>49483</v>
      </c>
      <c r="H30">
        <f>_xlfn.LET(_xlpm.v, IFERROR(VLOOKUP($A30, manifest!$A:$E, 3, FALSE), ""), IF(OR(_xlpm.v=0, _xlpm.v=""), "", _xlpm.v))</f>
        <v>61</v>
      </c>
      <c r="I30" t="str">
        <f>_xlfn.LET(_xlpm.v, IFERROR(VLOOKUP($A30, manifest!$A:$E, 5, FALSE), ""), IF(OR(_xlpm.v=0, _xlpm.v=""), "", _xlpm.v))</f>
        <v>female</v>
      </c>
    </row>
    <row r="31" spans="1:9" x14ac:dyDescent="0.6">
      <c r="A31">
        <v>33</v>
      </c>
      <c r="B31" t="s">
        <v>7</v>
      </c>
      <c r="C31" t="s">
        <v>12</v>
      </c>
      <c r="D31">
        <v>246.59</v>
      </c>
      <c r="E31">
        <v>245.4</v>
      </c>
      <c r="F31">
        <v>55116</v>
      </c>
      <c r="H31">
        <f>_xlfn.LET(_xlpm.v, IFERROR(VLOOKUP($A31, manifest!$A:$E, 3, FALSE), ""), IF(OR(_xlpm.v=0, _xlpm.v=""), "", _xlpm.v))</f>
        <v>61</v>
      </c>
      <c r="I31" t="str">
        <f>_xlfn.LET(_xlpm.v, IFERROR(VLOOKUP($A31, manifest!$A:$E, 5, FALSE), ""), IF(OR(_xlpm.v=0, _xlpm.v=""), "", _xlpm.v))</f>
        <v>female</v>
      </c>
    </row>
    <row r="32" spans="1:9" x14ac:dyDescent="0.6">
      <c r="A32">
        <v>33</v>
      </c>
      <c r="B32" t="s">
        <v>7</v>
      </c>
      <c r="C32" t="s">
        <v>13</v>
      </c>
      <c r="D32">
        <v>229.94</v>
      </c>
      <c r="E32">
        <v>212.93</v>
      </c>
      <c r="F32">
        <v>61280</v>
      </c>
      <c r="H32">
        <f>_xlfn.LET(_xlpm.v, IFERROR(VLOOKUP($A32, manifest!$A:$E, 3, FALSE), ""), IF(OR(_xlpm.v=0, _xlpm.v=""), "", _xlpm.v))</f>
        <v>61</v>
      </c>
      <c r="I32" t="str">
        <f>_xlfn.LET(_xlpm.v, IFERROR(VLOOKUP($A32, manifest!$A:$E, 5, FALSE), ""), IF(OR(_xlpm.v=0, _xlpm.v=""), "", _xlpm.v))</f>
        <v>female</v>
      </c>
    </row>
    <row r="33" spans="1:9" x14ac:dyDescent="0.6">
      <c r="A33">
        <v>6</v>
      </c>
      <c r="B33" t="s">
        <v>14</v>
      </c>
      <c r="C33" t="s">
        <v>8</v>
      </c>
      <c r="D33">
        <v>199.86</v>
      </c>
      <c r="E33">
        <v>194.47</v>
      </c>
      <c r="F33">
        <v>37076</v>
      </c>
      <c r="G33" t="s">
        <v>9</v>
      </c>
      <c r="H33">
        <f>_xlfn.LET(_xlpm.v, IFERROR(VLOOKUP($A33, manifest!$A:$E, 3, FALSE), ""), IF(OR(_xlpm.v=0, _xlpm.v=""), "", _xlpm.v))</f>
        <v>50</v>
      </c>
      <c r="I33" t="str">
        <f>_xlfn.LET(_xlpm.v, IFERROR(VLOOKUP($A33, manifest!$A:$E, 5, FALSE), ""), IF(OR(_xlpm.v=0, _xlpm.v=""), "", _xlpm.v))</f>
        <v>male</v>
      </c>
    </row>
    <row r="34" spans="1:9" x14ac:dyDescent="0.6">
      <c r="A34">
        <v>6</v>
      </c>
      <c r="B34" t="s">
        <v>14</v>
      </c>
      <c r="C34" t="s">
        <v>10</v>
      </c>
      <c r="D34">
        <v>213.18</v>
      </c>
      <c r="E34">
        <v>211.43</v>
      </c>
      <c r="F34">
        <v>41718</v>
      </c>
      <c r="H34">
        <f>_xlfn.LET(_xlpm.v, IFERROR(VLOOKUP($A34, manifest!$A:$E, 3, FALSE), ""), IF(OR(_xlpm.v=0, _xlpm.v=""), "", _xlpm.v))</f>
        <v>50</v>
      </c>
      <c r="I34" t="str">
        <f>_xlfn.LET(_xlpm.v, IFERROR(VLOOKUP($A34, manifest!$A:$E, 5, FALSE), ""), IF(OR(_xlpm.v=0, _xlpm.v=""), "", _xlpm.v))</f>
        <v>male</v>
      </c>
    </row>
    <row r="35" spans="1:9" x14ac:dyDescent="0.6">
      <c r="A35">
        <v>6</v>
      </c>
      <c r="B35" t="s">
        <v>14</v>
      </c>
      <c r="C35" t="s">
        <v>11</v>
      </c>
      <c r="D35">
        <v>188.44</v>
      </c>
      <c r="E35">
        <v>178.87</v>
      </c>
      <c r="F35">
        <v>47744</v>
      </c>
      <c r="H35">
        <f>_xlfn.LET(_xlpm.v, IFERROR(VLOOKUP($A35, manifest!$A:$E, 3, FALSE), ""), IF(OR(_xlpm.v=0, _xlpm.v=""), "", _xlpm.v))</f>
        <v>50</v>
      </c>
      <c r="I35" t="str">
        <f>_xlfn.LET(_xlpm.v, IFERROR(VLOOKUP($A35, manifest!$A:$E, 5, FALSE), ""), IF(OR(_xlpm.v=0, _xlpm.v=""), "", _xlpm.v))</f>
        <v>male</v>
      </c>
    </row>
    <row r="36" spans="1:9" x14ac:dyDescent="0.6">
      <c r="A36">
        <v>6</v>
      </c>
      <c r="B36" t="s">
        <v>14</v>
      </c>
      <c r="C36" t="s">
        <v>12</v>
      </c>
      <c r="D36">
        <v>196.87</v>
      </c>
      <c r="E36">
        <v>191.05</v>
      </c>
      <c r="F36">
        <v>51947</v>
      </c>
      <c r="H36">
        <f>_xlfn.LET(_xlpm.v, IFERROR(VLOOKUP($A36, manifest!$A:$E, 3, FALSE), ""), IF(OR(_xlpm.v=0, _xlpm.v=""), "", _xlpm.v))</f>
        <v>50</v>
      </c>
      <c r="I36" t="str">
        <f>_xlfn.LET(_xlpm.v, IFERROR(VLOOKUP($A36, manifest!$A:$E, 5, FALSE), ""), IF(OR(_xlpm.v=0, _xlpm.v=""), "", _xlpm.v))</f>
        <v>male</v>
      </c>
    </row>
    <row r="37" spans="1:9" x14ac:dyDescent="0.6">
      <c r="A37">
        <v>6</v>
      </c>
      <c r="B37" t="s">
        <v>14</v>
      </c>
      <c r="C37" t="s">
        <v>13</v>
      </c>
      <c r="D37">
        <v>193.29</v>
      </c>
      <c r="E37">
        <v>185.46</v>
      </c>
      <c r="F37">
        <v>61986</v>
      </c>
      <c r="H37">
        <f>_xlfn.LET(_xlpm.v, IFERROR(VLOOKUP($A37, manifest!$A:$E, 3, FALSE), ""), IF(OR(_xlpm.v=0, _xlpm.v=""), "", _xlpm.v))</f>
        <v>50</v>
      </c>
      <c r="I37" t="str">
        <f>_xlfn.LET(_xlpm.v, IFERROR(VLOOKUP($A37, manifest!$A:$E, 5, FALSE), ""), IF(OR(_xlpm.v=0, _xlpm.v=""), "", _xlpm.v))</f>
        <v>male</v>
      </c>
    </row>
    <row r="38" spans="1:9" x14ac:dyDescent="0.6">
      <c r="A38">
        <v>54</v>
      </c>
      <c r="B38" t="s">
        <v>14</v>
      </c>
      <c r="C38" t="s">
        <v>8</v>
      </c>
      <c r="D38">
        <v>199.32</v>
      </c>
      <c r="E38">
        <v>113.55</v>
      </c>
      <c r="F38">
        <v>21802</v>
      </c>
      <c r="G38" t="s">
        <v>9</v>
      </c>
      <c r="H38" t="str">
        <f>_xlfn.LET(_xlpm.v, IFERROR(VLOOKUP($A38, manifest!$A:$E, 3, FALSE), ""), IF(OR(_xlpm.v=0, _xlpm.v=""), "", _xlpm.v))</f>
        <v/>
      </c>
      <c r="I38" t="str">
        <f>_xlfn.LET(_xlpm.v, IFERROR(VLOOKUP($A38, manifest!$A:$E, 5, FALSE), ""), IF(OR(_xlpm.v=0, _xlpm.v=""), "", _xlpm.v))</f>
        <v>male</v>
      </c>
    </row>
    <row r="39" spans="1:9" x14ac:dyDescent="0.6">
      <c r="A39">
        <v>54</v>
      </c>
      <c r="B39" t="s">
        <v>14</v>
      </c>
      <c r="C39" t="s">
        <v>10</v>
      </c>
      <c r="D39">
        <v>203.6</v>
      </c>
      <c r="E39">
        <v>124.65</v>
      </c>
      <c r="F39">
        <v>21954</v>
      </c>
      <c r="H39" t="str">
        <f>_xlfn.LET(_xlpm.v, IFERROR(VLOOKUP($A39, manifest!$A:$E, 3, FALSE), ""), IF(OR(_xlpm.v=0, _xlpm.v=""), "", _xlpm.v))</f>
        <v/>
      </c>
      <c r="I39" t="str">
        <f>_xlfn.LET(_xlpm.v, IFERROR(VLOOKUP($A39, manifest!$A:$E, 5, FALSE), ""), IF(OR(_xlpm.v=0, _xlpm.v=""), "", _xlpm.v))</f>
        <v>male</v>
      </c>
    </row>
    <row r="40" spans="1:9" x14ac:dyDescent="0.6">
      <c r="A40">
        <v>54</v>
      </c>
      <c r="B40" t="s">
        <v>14</v>
      </c>
      <c r="C40" t="s">
        <v>11</v>
      </c>
      <c r="D40">
        <v>205.05</v>
      </c>
      <c r="E40">
        <v>125.2</v>
      </c>
      <c r="F40">
        <v>25335</v>
      </c>
      <c r="H40" t="str">
        <f>_xlfn.LET(_xlpm.v, IFERROR(VLOOKUP($A40, manifest!$A:$E, 3, FALSE), ""), IF(OR(_xlpm.v=0, _xlpm.v=""), "", _xlpm.v))</f>
        <v/>
      </c>
      <c r="I40" t="str">
        <f>_xlfn.LET(_xlpm.v, IFERROR(VLOOKUP($A40, manifest!$A:$E, 5, FALSE), ""), IF(OR(_xlpm.v=0, _xlpm.v=""), "", _xlpm.v))</f>
        <v>male</v>
      </c>
    </row>
    <row r="41" spans="1:9" x14ac:dyDescent="0.6">
      <c r="A41">
        <v>54</v>
      </c>
      <c r="B41" t="s">
        <v>14</v>
      </c>
      <c r="C41" t="s">
        <v>12</v>
      </c>
      <c r="D41">
        <v>217.52</v>
      </c>
      <c r="E41">
        <v>124.51</v>
      </c>
      <c r="F41">
        <v>32994</v>
      </c>
      <c r="H41" t="str">
        <f>_xlfn.LET(_xlpm.v, IFERROR(VLOOKUP($A41, manifest!$A:$E, 3, FALSE), ""), IF(OR(_xlpm.v=0, _xlpm.v=""), "", _xlpm.v))</f>
        <v/>
      </c>
      <c r="I41" t="str">
        <f>_xlfn.LET(_xlpm.v, IFERROR(VLOOKUP($A41, manifest!$A:$E, 5, FALSE), ""), IF(OR(_xlpm.v=0, _xlpm.v=""), "", _xlpm.v))</f>
        <v>male</v>
      </c>
    </row>
    <row r="42" spans="1:9" x14ac:dyDescent="0.6">
      <c r="A42">
        <v>54</v>
      </c>
      <c r="B42" t="s">
        <v>14</v>
      </c>
      <c r="C42" t="s">
        <v>13</v>
      </c>
      <c r="D42">
        <v>203.22</v>
      </c>
      <c r="E42">
        <v>109.35</v>
      </c>
      <c r="F42">
        <v>38807</v>
      </c>
      <c r="H42" t="str">
        <f>_xlfn.LET(_xlpm.v, IFERROR(VLOOKUP($A42, manifest!$A:$E, 3, FALSE), ""), IF(OR(_xlpm.v=0, _xlpm.v=""), "", _xlpm.v))</f>
        <v/>
      </c>
      <c r="I42" t="str">
        <f>_xlfn.LET(_xlpm.v, IFERROR(VLOOKUP($A42, manifest!$A:$E, 5, FALSE), ""), IF(OR(_xlpm.v=0, _xlpm.v=""), "", _xlpm.v))</f>
        <v>male</v>
      </c>
    </row>
    <row r="43" spans="1:9" x14ac:dyDescent="0.6">
      <c r="A43">
        <v>15</v>
      </c>
      <c r="B43" t="s">
        <v>14</v>
      </c>
      <c r="C43" t="s">
        <v>8</v>
      </c>
      <c r="D43">
        <v>120.63</v>
      </c>
      <c r="E43">
        <v>75.819999999999993</v>
      </c>
      <c r="F43">
        <v>32999</v>
      </c>
      <c r="G43" t="s">
        <v>15</v>
      </c>
      <c r="H43">
        <f>_xlfn.LET(_xlpm.v, IFERROR(VLOOKUP($A43, manifest!$A:$E, 3, FALSE), ""), IF(OR(_xlpm.v=0, _xlpm.v=""), "", _xlpm.v))</f>
        <v>89</v>
      </c>
      <c r="I43" t="str">
        <f>_xlfn.LET(_xlpm.v, IFERROR(VLOOKUP($A43, manifest!$A:$E, 5, FALSE), ""), IF(OR(_xlpm.v=0, _xlpm.v=""), "", _xlpm.v))</f>
        <v>other</v>
      </c>
    </row>
    <row r="44" spans="1:9" x14ac:dyDescent="0.6">
      <c r="A44">
        <v>15</v>
      </c>
      <c r="B44" t="s">
        <v>14</v>
      </c>
      <c r="C44" t="s">
        <v>10</v>
      </c>
      <c r="D44">
        <v>134.41</v>
      </c>
      <c r="E44">
        <v>108.95</v>
      </c>
      <c r="F44">
        <v>32931</v>
      </c>
      <c r="H44">
        <f>_xlfn.LET(_xlpm.v, IFERROR(VLOOKUP($A44, manifest!$A:$E, 3, FALSE), ""), IF(OR(_xlpm.v=0, _xlpm.v=""), "", _xlpm.v))</f>
        <v>89</v>
      </c>
      <c r="I44" t="str">
        <f>_xlfn.LET(_xlpm.v, IFERROR(VLOOKUP($A44, manifest!$A:$E, 5, FALSE), ""), IF(OR(_xlpm.v=0, _xlpm.v=""), "", _xlpm.v))</f>
        <v>other</v>
      </c>
    </row>
    <row r="45" spans="1:9" x14ac:dyDescent="0.6">
      <c r="A45">
        <v>15</v>
      </c>
      <c r="B45" t="s">
        <v>14</v>
      </c>
      <c r="C45" t="s">
        <v>11</v>
      </c>
      <c r="D45">
        <v>142.32</v>
      </c>
      <c r="E45">
        <v>135.97</v>
      </c>
      <c r="F45">
        <v>41987</v>
      </c>
      <c r="H45">
        <f>_xlfn.LET(_xlpm.v, IFERROR(VLOOKUP($A45, manifest!$A:$E, 3, FALSE), ""), IF(OR(_xlpm.v=0, _xlpm.v=""), "", _xlpm.v))</f>
        <v>89</v>
      </c>
      <c r="I45" t="str">
        <f>_xlfn.LET(_xlpm.v, IFERROR(VLOOKUP($A45, manifest!$A:$E, 5, FALSE), ""), IF(OR(_xlpm.v=0, _xlpm.v=""), "", _xlpm.v))</f>
        <v>other</v>
      </c>
    </row>
    <row r="46" spans="1:9" x14ac:dyDescent="0.6">
      <c r="A46">
        <v>15</v>
      </c>
      <c r="B46" t="s">
        <v>14</v>
      </c>
      <c r="C46" t="s">
        <v>12</v>
      </c>
      <c r="D46">
        <v>163.71</v>
      </c>
      <c r="E46">
        <v>179.1</v>
      </c>
      <c r="F46">
        <v>45957</v>
      </c>
      <c r="H46">
        <f>_xlfn.LET(_xlpm.v, IFERROR(VLOOKUP($A46, manifest!$A:$E, 3, FALSE), ""), IF(OR(_xlpm.v=0, _xlpm.v=""), "", _xlpm.v))</f>
        <v>89</v>
      </c>
      <c r="I46" t="str">
        <f>_xlfn.LET(_xlpm.v, IFERROR(VLOOKUP($A46, manifest!$A:$E, 5, FALSE), ""), IF(OR(_xlpm.v=0, _xlpm.v=""), "", _xlpm.v))</f>
        <v>other</v>
      </c>
    </row>
    <row r="47" spans="1:9" x14ac:dyDescent="0.6">
      <c r="A47">
        <v>15</v>
      </c>
      <c r="B47" t="s">
        <v>14</v>
      </c>
      <c r="C47" t="s">
        <v>13</v>
      </c>
      <c r="D47">
        <v>147.61000000000001</v>
      </c>
      <c r="E47">
        <v>138.91</v>
      </c>
      <c r="F47">
        <v>49428</v>
      </c>
      <c r="H47">
        <f>_xlfn.LET(_xlpm.v, IFERROR(VLOOKUP($A47, manifest!$A:$E, 3, FALSE), ""), IF(OR(_xlpm.v=0, _xlpm.v=""), "", _xlpm.v))</f>
        <v>89</v>
      </c>
      <c r="I47" t="str">
        <f>_xlfn.LET(_xlpm.v, IFERROR(VLOOKUP($A47, manifest!$A:$E, 5, FALSE), ""), IF(OR(_xlpm.v=0, _xlpm.v=""), "", _xlpm.v))</f>
        <v>other</v>
      </c>
    </row>
    <row r="48" spans="1:9" x14ac:dyDescent="0.6">
      <c r="A48">
        <v>5</v>
      </c>
      <c r="B48" t="s">
        <v>7</v>
      </c>
      <c r="C48" t="s">
        <v>8</v>
      </c>
      <c r="D48">
        <v>210.78</v>
      </c>
      <c r="E48">
        <v>162.35</v>
      </c>
      <c r="F48">
        <v>51857</v>
      </c>
      <c r="G48" t="s">
        <v>9</v>
      </c>
      <c r="H48">
        <f>_xlfn.LET(_xlpm.v, IFERROR(VLOOKUP($A48, manifest!$A:$E, 3, FALSE), ""), IF(OR(_xlpm.v=0, _xlpm.v=""), "", _xlpm.v))</f>
        <v>61</v>
      </c>
      <c r="I48" t="str">
        <f>_xlfn.LET(_xlpm.v, IFERROR(VLOOKUP($A48, manifest!$A:$E, 5, FALSE), ""), IF(OR(_xlpm.v=0, _xlpm.v=""), "", _xlpm.v))</f>
        <v>male</v>
      </c>
    </row>
    <row r="49" spans="1:9" x14ac:dyDescent="0.6">
      <c r="A49">
        <v>5</v>
      </c>
      <c r="B49" t="s">
        <v>7</v>
      </c>
      <c r="C49" t="s">
        <v>10</v>
      </c>
      <c r="D49">
        <v>194.88</v>
      </c>
      <c r="E49">
        <v>151.58000000000001</v>
      </c>
      <c r="F49">
        <v>51950</v>
      </c>
      <c r="H49">
        <f>_xlfn.LET(_xlpm.v, IFERROR(VLOOKUP($A49, manifest!$A:$E, 3, FALSE), ""), IF(OR(_xlpm.v=0, _xlpm.v=""), "", _xlpm.v))</f>
        <v>61</v>
      </c>
      <c r="I49" t="str">
        <f>_xlfn.LET(_xlpm.v, IFERROR(VLOOKUP($A49, manifest!$A:$E, 5, FALSE), ""), IF(OR(_xlpm.v=0, _xlpm.v=""), "", _xlpm.v))</f>
        <v>male</v>
      </c>
    </row>
    <row r="50" spans="1:9" x14ac:dyDescent="0.6">
      <c r="A50">
        <v>5</v>
      </c>
      <c r="B50" t="s">
        <v>7</v>
      </c>
      <c r="C50" t="s">
        <v>11</v>
      </c>
      <c r="D50">
        <v>186.9</v>
      </c>
      <c r="E50">
        <v>135.05000000000001</v>
      </c>
      <c r="F50">
        <v>44700</v>
      </c>
      <c r="H50">
        <f>_xlfn.LET(_xlpm.v, IFERROR(VLOOKUP($A50, manifest!$A:$E, 3, FALSE), ""), IF(OR(_xlpm.v=0, _xlpm.v=""), "", _xlpm.v))</f>
        <v>61</v>
      </c>
      <c r="I50" t="str">
        <f>_xlfn.LET(_xlpm.v, IFERROR(VLOOKUP($A50, manifest!$A:$E, 5, FALSE), ""), IF(OR(_xlpm.v=0, _xlpm.v=""), "", _xlpm.v))</f>
        <v>male</v>
      </c>
    </row>
    <row r="51" spans="1:9" x14ac:dyDescent="0.6">
      <c r="A51">
        <v>5</v>
      </c>
      <c r="B51" t="s">
        <v>7</v>
      </c>
      <c r="C51" t="s">
        <v>12</v>
      </c>
      <c r="D51">
        <v>181.88</v>
      </c>
      <c r="E51">
        <v>122.19</v>
      </c>
      <c r="F51">
        <v>48627</v>
      </c>
      <c r="H51">
        <f>_xlfn.LET(_xlpm.v, IFERROR(VLOOKUP($A51, manifest!$A:$E, 3, FALSE), ""), IF(OR(_xlpm.v=0, _xlpm.v=""), "", _xlpm.v))</f>
        <v>61</v>
      </c>
      <c r="I51" t="str">
        <f>_xlfn.LET(_xlpm.v, IFERROR(VLOOKUP($A51, manifest!$A:$E, 5, FALSE), ""), IF(OR(_xlpm.v=0, _xlpm.v=""), "", _xlpm.v))</f>
        <v>male</v>
      </c>
    </row>
    <row r="52" spans="1:9" x14ac:dyDescent="0.6">
      <c r="A52">
        <v>5</v>
      </c>
      <c r="B52" t="s">
        <v>7</v>
      </c>
      <c r="C52" t="s">
        <v>13</v>
      </c>
      <c r="D52">
        <v>218.64</v>
      </c>
      <c r="E52">
        <v>134.29</v>
      </c>
      <c r="F52">
        <v>50914</v>
      </c>
      <c r="H52">
        <f>_xlfn.LET(_xlpm.v, IFERROR(VLOOKUP($A52, manifest!$A:$E, 3, FALSE), ""), IF(OR(_xlpm.v=0, _xlpm.v=""), "", _xlpm.v))</f>
        <v>61</v>
      </c>
      <c r="I52" t="str">
        <f>_xlfn.LET(_xlpm.v, IFERROR(VLOOKUP($A52, manifest!$A:$E, 5, FALSE), ""), IF(OR(_xlpm.v=0, _xlpm.v=""), "", _xlpm.v))</f>
        <v>male</v>
      </c>
    </row>
    <row r="53" spans="1:9" x14ac:dyDescent="0.6">
      <c r="A53">
        <v>43</v>
      </c>
      <c r="B53" t="s">
        <v>7</v>
      </c>
      <c r="C53" t="s">
        <v>8</v>
      </c>
      <c r="D53">
        <v>250.46</v>
      </c>
      <c r="E53">
        <v>243.87</v>
      </c>
      <c r="F53">
        <v>24776</v>
      </c>
      <c r="G53" t="s">
        <v>9</v>
      </c>
      <c r="H53">
        <f>_xlfn.LET(_xlpm.v, IFERROR(VLOOKUP($A53, manifest!$A:$E, 3, FALSE), ""), IF(OR(_xlpm.v=0, _xlpm.v=""), "", _xlpm.v))</f>
        <v>55</v>
      </c>
      <c r="I53" t="str">
        <f>_xlfn.LET(_xlpm.v, IFERROR(VLOOKUP($A53, manifest!$A:$E, 5, FALSE), ""), IF(OR(_xlpm.v=0, _xlpm.v=""), "", _xlpm.v))</f>
        <v>female</v>
      </c>
    </row>
    <row r="54" spans="1:9" x14ac:dyDescent="0.6">
      <c r="A54">
        <v>43</v>
      </c>
      <c r="B54" t="s">
        <v>7</v>
      </c>
      <c r="C54" t="s">
        <v>10</v>
      </c>
      <c r="D54">
        <v>266.72000000000003</v>
      </c>
      <c r="E54">
        <v>286.02</v>
      </c>
      <c r="F54">
        <v>27362</v>
      </c>
      <c r="H54">
        <f>_xlfn.LET(_xlpm.v, IFERROR(VLOOKUP($A54, manifest!$A:$E, 3, FALSE), ""), IF(OR(_xlpm.v=0, _xlpm.v=""), "", _xlpm.v))</f>
        <v>55</v>
      </c>
      <c r="I54" t="str">
        <f>_xlfn.LET(_xlpm.v, IFERROR(VLOOKUP($A54, manifest!$A:$E, 5, FALSE), ""), IF(OR(_xlpm.v=0, _xlpm.v=""), "", _xlpm.v))</f>
        <v>female</v>
      </c>
    </row>
    <row r="55" spans="1:9" x14ac:dyDescent="0.6">
      <c r="A55">
        <v>43</v>
      </c>
      <c r="B55" t="s">
        <v>7</v>
      </c>
      <c r="C55" t="s">
        <v>11</v>
      </c>
      <c r="D55">
        <v>245.15</v>
      </c>
      <c r="E55">
        <v>255.58</v>
      </c>
      <c r="F55">
        <v>34711</v>
      </c>
      <c r="H55">
        <f>_xlfn.LET(_xlpm.v, IFERROR(VLOOKUP($A55, manifest!$A:$E, 3, FALSE), ""), IF(OR(_xlpm.v=0, _xlpm.v=""), "", _xlpm.v))</f>
        <v>55</v>
      </c>
      <c r="I55" t="str">
        <f>_xlfn.LET(_xlpm.v, IFERROR(VLOOKUP($A55, manifest!$A:$E, 5, FALSE), ""), IF(OR(_xlpm.v=0, _xlpm.v=""), "", _xlpm.v))</f>
        <v>female</v>
      </c>
    </row>
    <row r="56" spans="1:9" x14ac:dyDescent="0.6">
      <c r="A56">
        <v>43</v>
      </c>
      <c r="B56" t="s">
        <v>7</v>
      </c>
      <c r="C56" t="s">
        <v>12</v>
      </c>
      <c r="D56">
        <v>214.63</v>
      </c>
      <c r="E56">
        <v>201.2</v>
      </c>
      <c r="F56">
        <v>40916</v>
      </c>
      <c r="H56">
        <f>_xlfn.LET(_xlpm.v, IFERROR(VLOOKUP($A56, manifest!$A:$E, 3, FALSE), ""), IF(OR(_xlpm.v=0, _xlpm.v=""), "", _xlpm.v))</f>
        <v>55</v>
      </c>
      <c r="I56" t="str">
        <f>_xlfn.LET(_xlpm.v, IFERROR(VLOOKUP($A56, manifest!$A:$E, 5, FALSE), ""), IF(OR(_xlpm.v=0, _xlpm.v=""), "", _xlpm.v))</f>
        <v>female</v>
      </c>
    </row>
    <row r="57" spans="1:9" x14ac:dyDescent="0.6">
      <c r="A57">
        <v>43</v>
      </c>
      <c r="B57" t="s">
        <v>7</v>
      </c>
      <c r="C57" t="s">
        <v>13</v>
      </c>
      <c r="D57">
        <v>205.66</v>
      </c>
      <c r="E57">
        <v>174.44</v>
      </c>
      <c r="F57">
        <v>44673</v>
      </c>
      <c r="H57">
        <f>_xlfn.LET(_xlpm.v, IFERROR(VLOOKUP($A57, manifest!$A:$E, 3, FALSE), ""), IF(OR(_xlpm.v=0, _xlpm.v=""), "", _xlpm.v))</f>
        <v>55</v>
      </c>
      <c r="I57" t="str">
        <f>_xlfn.LET(_xlpm.v, IFERROR(VLOOKUP($A57, manifest!$A:$E, 5, FALSE), ""), IF(OR(_xlpm.v=0, _xlpm.v=""), "", _xlpm.v))</f>
        <v>female</v>
      </c>
    </row>
    <row r="58" spans="1:9" x14ac:dyDescent="0.6">
      <c r="A58">
        <v>28</v>
      </c>
      <c r="B58" t="s">
        <v>7</v>
      </c>
      <c r="C58" t="s">
        <v>8</v>
      </c>
      <c r="D58">
        <v>240.75</v>
      </c>
      <c r="E58">
        <v>135.58000000000001</v>
      </c>
      <c r="F58">
        <v>31169</v>
      </c>
      <c r="G58" t="s">
        <v>9</v>
      </c>
      <c r="H58">
        <f>_xlfn.LET(_xlpm.v, IFERROR(VLOOKUP($A58, manifest!$A:$E, 3, FALSE), ""), IF(OR(_xlpm.v=0, _xlpm.v=""), "", _xlpm.v))</f>
        <v>77</v>
      </c>
      <c r="I58" t="str">
        <f>_xlfn.LET(_xlpm.v, IFERROR(VLOOKUP($A58, manifest!$A:$E, 5, FALSE), ""), IF(OR(_xlpm.v=0, _xlpm.v=""), "", _xlpm.v))</f>
        <v>male</v>
      </c>
    </row>
    <row r="59" spans="1:9" x14ac:dyDescent="0.6">
      <c r="A59">
        <v>28</v>
      </c>
      <c r="B59" t="s">
        <v>7</v>
      </c>
      <c r="C59" t="s">
        <v>10</v>
      </c>
      <c r="D59">
        <v>202.33</v>
      </c>
      <c r="E59">
        <v>194.12</v>
      </c>
      <c r="F59">
        <v>32849</v>
      </c>
      <c r="H59">
        <f>_xlfn.LET(_xlpm.v, IFERROR(VLOOKUP($A59, manifest!$A:$E, 3, FALSE), ""), IF(OR(_xlpm.v=0, _xlpm.v=""), "", _xlpm.v))</f>
        <v>77</v>
      </c>
      <c r="I59" t="str">
        <f>_xlfn.LET(_xlpm.v, IFERROR(VLOOKUP($A59, manifest!$A:$E, 5, FALSE), ""), IF(OR(_xlpm.v=0, _xlpm.v=""), "", _xlpm.v))</f>
        <v>male</v>
      </c>
    </row>
    <row r="60" spans="1:9" x14ac:dyDescent="0.6">
      <c r="A60">
        <v>28</v>
      </c>
      <c r="B60" t="s">
        <v>7</v>
      </c>
      <c r="C60" t="s">
        <v>11</v>
      </c>
      <c r="D60">
        <v>196.3</v>
      </c>
      <c r="E60">
        <v>192.97</v>
      </c>
      <c r="F60">
        <v>42780</v>
      </c>
      <c r="H60">
        <f>_xlfn.LET(_xlpm.v, IFERROR(VLOOKUP($A60, manifest!$A:$E, 3, FALSE), ""), IF(OR(_xlpm.v=0, _xlpm.v=""), "", _xlpm.v))</f>
        <v>77</v>
      </c>
      <c r="I60" t="str">
        <f>_xlfn.LET(_xlpm.v, IFERROR(VLOOKUP($A60, manifest!$A:$E, 5, FALSE), ""), IF(OR(_xlpm.v=0, _xlpm.v=""), "", _xlpm.v))</f>
        <v>male</v>
      </c>
    </row>
    <row r="61" spans="1:9" x14ac:dyDescent="0.6">
      <c r="A61">
        <v>28</v>
      </c>
      <c r="B61" t="s">
        <v>7</v>
      </c>
      <c r="C61" t="s">
        <v>12</v>
      </c>
      <c r="D61">
        <v>238.09</v>
      </c>
      <c r="E61">
        <v>236.98</v>
      </c>
      <c r="F61">
        <v>46110</v>
      </c>
      <c r="H61">
        <f>_xlfn.LET(_xlpm.v, IFERROR(VLOOKUP($A61, manifest!$A:$E, 3, FALSE), ""), IF(OR(_xlpm.v=0, _xlpm.v=""), "", _xlpm.v))</f>
        <v>77</v>
      </c>
      <c r="I61" t="str">
        <f>_xlfn.LET(_xlpm.v, IFERROR(VLOOKUP($A61, manifest!$A:$E, 5, FALSE), ""), IF(OR(_xlpm.v=0, _xlpm.v=""), "", _xlpm.v))</f>
        <v>male</v>
      </c>
    </row>
    <row r="62" spans="1:9" x14ac:dyDescent="0.6">
      <c r="A62">
        <v>28</v>
      </c>
      <c r="B62" t="s">
        <v>7</v>
      </c>
      <c r="C62" t="s">
        <v>13</v>
      </c>
      <c r="D62">
        <v>275.39999999999998</v>
      </c>
      <c r="E62">
        <v>200.94</v>
      </c>
      <c r="F62">
        <v>50534</v>
      </c>
      <c r="H62">
        <f>_xlfn.LET(_xlpm.v, IFERROR(VLOOKUP($A62, manifest!$A:$E, 3, FALSE), ""), IF(OR(_xlpm.v=0, _xlpm.v=""), "", _xlpm.v))</f>
        <v>77</v>
      </c>
      <c r="I62" t="str">
        <f>_xlfn.LET(_xlpm.v, IFERROR(VLOOKUP($A62, manifest!$A:$E, 5, FALSE), ""), IF(OR(_xlpm.v=0, _xlpm.v=""), "", _xlpm.v))</f>
        <v>male</v>
      </c>
    </row>
    <row r="63" spans="1:9" x14ac:dyDescent="0.6">
      <c r="A63">
        <v>12</v>
      </c>
      <c r="B63" t="s">
        <v>14</v>
      </c>
      <c r="C63" t="s">
        <v>8</v>
      </c>
      <c r="D63">
        <v>173.96</v>
      </c>
      <c r="E63">
        <v>120.48</v>
      </c>
      <c r="F63">
        <v>21752</v>
      </c>
      <c r="G63" t="s">
        <v>9</v>
      </c>
      <c r="H63">
        <f>_xlfn.LET(_xlpm.v, IFERROR(VLOOKUP($A63, manifest!$A:$E, 3, FALSE), ""), IF(OR(_xlpm.v=0, _xlpm.v=""), "", _xlpm.v))</f>
        <v>70</v>
      </c>
      <c r="I63" t="str">
        <f>_xlfn.LET(_xlpm.v, IFERROR(VLOOKUP($A63, manifest!$A:$E, 5, FALSE), ""), IF(OR(_xlpm.v=0, _xlpm.v=""), "", _xlpm.v))</f>
        <v>female</v>
      </c>
    </row>
    <row r="64" spans="1:9" x14ac:dyDescent="0.6">
      <c r="A64">
        <v>12</v>
      </c>
      <c r="B64" t="s">
        <v>14</v>
      </c>
      <c r="C64" t="s">
        <v>10</v>
      </c>
      <c r="D64">
        <v>174.55</v>
      </c>
      <c r="E64">
        <v>139.32</v>
      </c>
      <c r="F64">
        <v>23454</v>
      </c>
      <c r="H64">
        <f>_xlfn.LET(_xlpm.v, IFERROR(VLOOKUP($A64, manifest!$A:$E, 3, FALSE), ""), IF(OR(_xlpm.v=0, _xlpm.v=""), "", _xlpm.v))</f>
        <v>70</v>
      </c>
      <c r="I64" t="str">
        <f>_xlfn.LET(_xlpm.v, IFERROR(VLOOKUP($A64, manifest!$A:$E, 5, FALSE), ""), IF(OR(_xlpm.v=0, _xlpm.v=""), "", _xlpm.v))</f>
        <v>female</v>
      </c>
    </row>
    <row r="65" spans="1:9" x14ac:dyDescent="0.6">
      <c r="A65">
        <v>12</v>
      </c>
      <c r="B65" t="s">
        <v>14</v>
      </c>
      <c r="C65" t="s">
        <v>11</v>
      </c>
      <c r="D65">
        <v>147.57</v>
      </c>
      <c r="E65">
        <v>136.94</v>
      </c>
      <c r="F65">
        <v>27076</v>
      </c>
      <c r="H65">
        <f>_xlfn.LET(_xlpm.v, IFERROR(VLOOKUP($A65, manifest!$A:$E, 3, FALSE), ""), IF(OR(_xlpm.v=0, _xlpm.v=""), "", _xlpm.v))</f>
        <v>70</v>
      </c>
      <c r="I65" t="str">
        <f>_xlfn.LET(_xlpm.v, IFERROR(VLOOKUP($A65, manifest!$A:$E, 5, FALSE), ""), IF(OR(_xlpm.v=0, _xlpm.v=""), "", _xlpm.v))</f>
        <v>female</v>
      </c>
    </row>
    <row r="66" spans="1:9" x14ac:dyDescent="0.6">
      <c r="A66">
        <v>12</v>
      </c>
      <c r="B66" t="s">
        <v>14</v>
      </c>
      <c r="C66" t="s">
        <v>12</v>
      </c>
      <c r="D66">
        <v>159.61000000000001</v>
      </c>
      <c r="E66">
        <v>174.11</v>
      </c>
      <c r="F66">
        <v>39668</v>
      </c>
      <c r="H66">
        <f>_xlfn.LET(_xlpm.v, IFERROR(VLOOKUP($A66, manifest!$A:$E, 3, FALSE), ""), IF(OR(_xlpm.v=0, _xlpm.v=""), "", _xlpm.v))</f>
        <v>70</v>
      </c>
      <c r="I66" t="str">
        <f>_xlfn.LET(_xlpm.v, IFERROR(VLOOKUP($A66, manifest!$A:$E, 5, FALSE), ""), IF(OR(_xlpm.v=0, _xlpm.v=""), "", _xlpm.v))</f>
        <v>female</v>
      </c>
    </row>
    <row r="67" spans="1:9" x14ac:dyDescent="0.6">
      <c r="A67">
        <v>12</v>
      </c>
      <c r="B67" t="s">
        <v>14</v>
      </c>
      <c r="C67" t="s">
        <v>13</v>
      </c>
      <c r="D67">
        <v>206.01</v>
      </c>
      <c r="E67">
        <v>189.82</v>
      </c>
      <c r="F67">
        <v>55275</v>
      </c>
      <c r="H67">
        <f>_xlfn.LET(_xlpm.v, IFERROR(VLOOKUP($A67, manifest!$A:$E, 3, FALSE), ""), IF(OR(_xlpm.v=0, _xlpm.v=""), "", _xlpm.v))</f>
        <v>70</v>
      </c>
      <c r="I67" t="str">
        <f>_xlfn.LET(_xlpm.v, IFERROR(VLOOKUP($A67, manifest!$A:$E, 5, FALSE), ""), IF(OR(_xlpm.v=0, _xlpm.v=""), "", _xlpm.v))</f>
        <v>female</v>
      </c>
    </row>
    <row r="68" spans="1:9" x14ac:dyDescent="0.6">
      <c r="A68">
        <v>38</v>
      </c>
      <c r="B68" t="s">
        <v>7</v>
      </c>
      <c r="C68" t="s">
        <v>8</v>
      </c>
      <c r="D68">
        <v>174.97</v>
      </c>
      <c r="E68">
        <v>176.02</v>
      </c>
      <c r="F68">
        <v>29489</v>
      </c>
      <c r="G68" t="s">
        <v>9</v>
      </c>
      <c r="H68">
        <f>_xlfn.LET(_xlpm.v, IFERROR(VLOOKUP($A68, manifest!$A:$E, 3, FALSE), ""), IF(OR(_xlpm.v=0, _xlpm.v=""), "", _xlpm.v))</f>
        <v>60</v>
      </c>
      <c r="I68" t="str">
        <f>_xlfn.LET(_xlpm.v, IFERROR(VLOOKUP($A68, manifest!$A:$E, 5, FALSE), ""), IF(OR(_xlpm.v=0, _xlpm.v=""), "", _xlpm.v))</f>
        <v>female</v>
      </c>
    </row>
    <row r="69" spans="1:9" x14ac:dyDescent="0.6">
      <c r="A69">
        <v>38</v>
      </c>
      <c r="B69" t="s">
        <v>7</v>
      </c>
      <c r="C69" t="s">
        <v>10</v>
      </c>
      <c r="D69">
        <v>203.46</v>
      </c>
      <c r="E69">
        <v>229.23</v>
      </c>
      <c r="F69">
        <v>33979</v>
      </c>
      <c r="H69">
        <f>_xlfn.LET(_xlpm.v, IFERROR(VLOOKUP($A69, manifest!$A:$E, 3, FALSE), ""), IF(OR(_xlpm.v=0, _xlpm.v=""), "", _xlpm.v))</f>
        <v>60</v>
      </c>
      <c r="I69" t="str">
        <f>_xlfn.LET(_xlpm.v, IFERROR(VLOOKUP($A69, manifest!$A:$E, 5, FALSE), ""), IF(OR(_xlpm.v=0, _xlpm.v=""), "", _xlpm.v))</f>
        <v>female</v>
      </c>
    </row>
    <row r="70" spans="1:9" x14ac:dyDescent="0.6">
      <c r="A70">
        <v>38</v>
      </c>
      <c r="B70" t="s">
        <v>7</v>
      </c>
      <c r="C70" t="s">
        <v>11</v>
      </c>
      <c r="D70">
        <v>195.87</v>
      </c>
      <c r="E70">
        <v>233.43</v>
      </c>
      <c r="F70">
        <v>39690</v>
      </c>
      <c r="H70">
        <f>_xlfn.LET(_xlpm.v, IFERROR(VLOOKUP($A70, manifest!$A:$E, 3, FALSE), ""), IF(OR(_xlpm.v=0, _xlpm.v=""), "", _xlpm.v))</f>
        <v>60</v>
      </c>
      <c r="I70" t="str">
        <f>_xlfn.LET(_xlpm.v, IFERROR(VLOOKUP($A70, manifest!$A:$E, 5, FALSE), ""), IF(OR(_xlpm.v=0, _xlpm.v=""), "", _xlpm.v))</f>
        <v>female</v>
      </c>
    </row>
    <row r="71" spans="1:9" x14ac:dyDescent="0.6">
      <c r="A71">
        <v>38</v>
      </c>
      <c r="B71" t="s">
        <v>7</v>
      </c>
      <c r="C71" t="s">
        <v>12</v>
      </c>
      <c r="D71">
        <v>234.32</v>
      </c>
      <c r="E71">
        <v>213.65</v>
      </c>
      <c r="F71">
        <v>43318</v>
      </c>
      <c r="H71">
        <f>_xlfn.LET(_xlpm.v, IFERROR(VLOOKUP($A71, manifest!$A:$E, 3, FALSE), ""), IF(OR(_xlpm.v=0, _xlpm.v=""), "", _xlpm.v))</f>
        <v>60</v>
      </c>
      <c r="I71" t="str">
        <f>_xlfn.LET(_xlpm.v, IFERROR(VLOOKUP($A71, manifest!$A:$E, 5, FALSE), ""), IF(OR(_xlpm.v=0, _xlpm.v=""), "", _xlpm.v))</f>
        <v>female</v>
      </c>
    </row>
    <row r="72" spans="1:9" x14ac:dyDescent="0.6">
      <c r="A72">
        <v>38</v>
      </c>
      <c r="B72" t="s">
        <v>7</v>
      </c>
      <c r="C72" t="s">
        <v>13</v>
      </c>
      <c r="D72">
        <v>253.66</v>
      </c>
      <c r="E72">
        <v>221.21</v>
      </c>
      <c r="F72">
        <v>58546</v>
      </c>
      <c r="H72">
        <f>_xlfn.LET(_xlpm.v, IFERROR(VLOOKUP($A72, manifest!$A:$E, 3, FALSE), ""), IF(OR(_xlpm.v=0, _xlpm.v=""), "", _xlpm.v))</f>
        <v>60</v>
      </c>
      <c r="I72" t="str">
        <f>_xlfn.LET(_xlpm.v, IFERROR(VLOOKUP($A72, manifest!$A:$E, 5, FALSE), ""), IF(OR(_xlpm.v=0, _xlpm.v=""), "", _xlpm.v))</f>
        <v>female</v>
      </c>
    </row>
    <row r="73" spans="1:9" x14ac:dyDescent="0.6">
      <c r="A73">
        <v>11</v>
      </c>
      <c r="B73" t="s">
        <v>14</v>
      </c>
      <c r="C73" t="s">
        <v>8</v>
      </c>
      <c r="D73">
        <v>293.94</v>
      </c>
      <c r="E73">
        <v>152.24</v>
      </c>
      <c r="F73">
        <v>18843</v>
      </c>
      <c r="G73" t="s">
        <v>9</v>
      </c>
      <c r="H73">
        <f>_xlfn.LET(_xlpm.v, IFERROR(VLOOKUP($A73, manifest!$A:$E, 3, FALSE), ""), IF(OR(_xlpm.v=0, _xlpm.v=""), "", _xlpm.v))</f>
        <v>56</v>
      </c>
      <c r="I73" t="str">
        <f>_xlfn.LET(_xlpm.v, IFERROR(VLOOKUP($A73, manifest!$A:$E, 5, FALSE), ""), IF(OR(_xlpm.v=0, _xlpm.v=""), "", _xlpm.v))</f>
        <v>male</v>
      </c>
    </row>
    <row r="74" spans="1:9" x14ac:dyDescent="0.6">
      <c r="A74">
        <v>11</v>
      </c>
      <c r="B74" t="s">
        <v>14</v>
      </c>
      <c r="C74" t="s">
        <v>10</v>
      </c>
      <c r="D74">
        <v>310.55</v>
      </c>
      <c r="E74">
        <v>179.09</v>
      </c>
      <c r="F74">
        <v>22059</v>
      </c>
      <c r="H74">
        <f>_xlfn.LET(_xlpm.v, IFERROR(VLOOKUP($A74, manifest!$A:$E, 3, FALSE), ""), IF(OR(_xlpm.v=0, _xlpm.v=""), "", _xlpm.v))</f>
        <v>56</v>
      </c>
      <c r="I74" t="str">
        <f>_xlfn.LET(_xlpm.v, IFERROR(VLOOKUP($A74, manifest!$A:$E, 5, FALSE), ""), IF(OR(_xlpm.v=0, _xlpm.v=""), "", _xlpm.v))</f>
        <v>male</v>
      </c>
    </row>
    <row r="75" spans="1:9" x14ac:dyDescent="0.6">
      <c r="A75">
        <v>11</v>
      </c>
      <c r="B75" t="s">
        <v>14</v>
      </c>
      <c r="C75" t="s">
        <v>11</v>
      </c>
      <c r="D75">
        <v>306.10000000000002</v>
      </c>
      <c r="E75">
        <v>166.9</v>
      </c>
      <c r="F75">
        <v>25661</v>
      </c>
      <c r="H75">
        <f>_xlfn.LET(_xlpm.v, IFERROR(VLOOKUP($A75, manifest!$A:$E, 3, FALSE), ""), IF(OR(_xlpm.v=0, _xlpm.v=""), "", _xlpm.v))</f>
        <v>56</v>
      </c>
      <c r="I75" t="str">
        <f>_xlfn.LET(_xlpm.v, IFERROR(VLOOKUP($A75, manifest!$A:$E, 5, FALSE), ""), IF(OR(_xlpm.v=0, _xlpm.v=""), "", _xlpm.v))</f>
        <v>male</v>
      </c>
    </row>
    <row r="76" spans="1:9" x14ac:dyDescent="0.6">
      <c r="A76">
        <v>11</v>
      </c>
      <c r="B76" t="s">
        <v>14</v>
      </c>
      <c r="C76" t="s">
        <v>12</v>
      </c>
      <c r="D76">
        <v>319.64999999999998</v>
      </c>
      <c r="E76">
        <v>180.48</v>
      </c>
      <c r="F76">
        <v>28965</v>
      </c>
      <c r="H76">
        <f>_xlfn.LET(_xlpm.v, IFERROR(VLOOKUP($A76, manifest!$A:$E, 3, FALSE), ""), IF(OR(_xlpm.v=0, _xlpm.v=""), "", _xlpm.v))</f>
        <v>56</v>
      </c>
      <c r="I76" t="str">
        <f>_xlfn.LET(_xlpm.v, IFERROR(VLOOKUP($A76, manifest!$A:$E, 5, FALSE), ""), IF(OR(_xlpm.v=0, _xlpm.v=""), "", _xlpm.v))</f>
        <v>male</v>
      </c>
    </row>
    <row r="77" spans="1:9" x14ac:dyDescent="0.6">
      <c r="A77">
        <v>11</v>
      </c>
      <c r="B77" t="s">
        <v>14</v>
      </c>
      <c r="C77" t="s">
        <v>13</v>
      </c>
      <c r="D77">
        <v>306.32</v>
      </c>
      <c r="E77">
        <v>153.75</v>
      </c>
      <c r="F77">
        <v>35019</v>
      </c>
      <c r="H77">
        <f>_xlfn.LET(_xlpm.v, IFERROR(VLOOKUP($A77, manifest!$A:$E, 3, FALSE), ""), IF(OR(_xlpm.v=0, _xlpm.v=""), "", _xlpm.v))</f>
        <v>56</v>
      </c>
      <c r="I77" t="str">
        <f>_xlfn.LET(_xlpm.v, IFERROR(VLOOKUP($A77, manifest!$A:$E, 5, FALSE), ""), IF(OR(_xlpm.v=0, _xlpm.v=""), "", _xlpm.v))</f>
        <v>male</v>
      </c>
    </row>
    <row r="78" spans="1:9" x14ac:dyDescent="0.6">
      <c r="A78">
        <v>32</v>
      </c>
      <c r="B78" t="s">
        <v>7</v>
      </c>
      <c r="C78" t="s">
        <v>8</v>
      </c>
      <c r="D78">
        <v>276.3</v>
      </c>
      <c r="E78">
        <v>203.13</v>
      </c>
      <c r="F78">
        <v>19032</v>
      </c>
      <c r="G78" t="s">
        <v>9</v>
      </c>
      <c r="H78">
        <f>_xlfn.LET(_xlpm.v, IFERROR(VLOOKUP($A78, manifest!$A:$E, 3, FALSE), ""), IF(OR(_xlpm.v=0, _xlpm.v=""), "", _xlpm.v))</f>
        <v>59</v>
      </c>
      <c r="I78" t="str">
        <f>_xlfn.LET(_xlpm.v, IFERROR(VLOOKUP($A78, manifest!$A:$E, 5, FALSE), ""), IF(OR(_xlpm.v=0, _xlpm.v=""), "", _xlpm.v))</f>
        <v>female</v>
      </c>
    </row>
    <row r="79" spans="1:9" x14ac:dyDescent="0.6">
      <c r="A79">
        <v>32</v>
      </c>
      <c r="B79" t="s">
        <v>7</v>
      </c>
      <c r="C79" t="s">
        <v>10</v>
      </c>
      <c r="D79">
        <v>291.48</v>
      </c>
      <c r="E79">
        <v>240.26</v>
      </c>
      <c r="F79">
        <v>24672</v>
      </c>
      <c r="H79">
        <f>_xlfn.LET(_xlpm.v, IFERROR(VLOOKUP($A79, manifest!$A:$E, 3, FALSE), ""), IF(OR(_xlpm.v=0, _xlpm.v=""), "", _xlpm.v))</f>
        <v>59</v>
      </c>
      <c r="I79" t="str">
        <f>_xlfn.LET(_xlpm.v, IFERROR(VLOOKUP($A79, manifest!$A:$E, 5, FALSE), ""), IF(OR(_xlpm.v=0, _xlpm.v=""), "", _xlpm.v))</f>
        <v>female</v>
      </c>
    </row>
    <row r="80" spans="1:9" x14ac:dyDescent="0.6">
      <c r="A80">
        <v>32</v>
      </c>
      <c r="B80" t="s">
        <v>7</v>
      </c>
      <c r="C80" t="s">
        <v>11</v>
      </c>
      <c r="D80">
        <v>269.61</v>
      </c>
      <c r="E80">
        <v>200.42</v>
      </c>
      <c r="F80">
        <v>31378</v>
      </c>
      <c r="H80">
        <f>_xlfn.LET(_xlpm.v, IFERROR(VLOOKUP($A80, manifest!$A:$E, 3, FALSE), ""), IF(OR(_xlpm.v=0, _xlpm.v=""), "", _xlpm.v))</f>
        <v>59</v>
      </c>
      <c r="I80" t="str">
        <f>_xlfn.LET(_xlpm.v, IFERROR(VLOOKUP($A80, manifest!$A:$E, 5, FALSE), ""), IF(OR(_xlpm.v=0, _xlpm.v=""), "", _xlpm.v))</f>
        <v>female</v>
      </c>
    </row>
    <row r="81" spans="1:9" x14ac:dyDescent="0.6">
      <c r="A81">
        <v>32</v>
      </c>
      <c r="B81" t="s">
        <v>7</v>
      </c>
      <c r="C81" t="s">
        <v>12</v>
      </c>
      <c r="D81">
        <v>249.38</v>
      </c>
      <c r="E81">
        <v>184.04</v>
      </c>
      <c r="F81">
        <v>37700</v>
      </c>
      <c r="H81">
        <f>_xlfn.LET(_xlpm.v, IFERROR(VLOOKUP($A81, manifest!$A:$E, 3, FALSE), ""), IF(OR(_xlpm.v=0, _xlpm.v=""), "", _xlpm.v))</f>
        <v>59</v>
      </c>
      <c r="I81" t="str">
        <f>_xlfn.LET(_xlpm.v, IFERROR(VLOOKUP($A81, manifest!$A:$E, 5, FALSE), ""), IF(OR(_xlpm.v=0, _xlpm.v=""), "", _xlpm.v))</f>
        <v>female</v>
      </c>
    </row>
    <row r="82" spans="1:9" x14ac:dyDescent="0.6">
      <c r="A82">
        <v>32</v>
      </c>
      <c r="B82" t="s">
        <v>7</v>
      </c>
      <c r="C82" t="s">
        <v>13</v>
      </c>
      <c r="D82">
        <v>272.66000000000003</v>
      </c>
      <c r="E82">
        <v>208.44</v>
      </c>
      <c r="F82">
        <v>38464</v>
      </c>
      <c r="H82">
        <f>_xlfn.LET(_xlpm.v, IFERROR(VLOOKUP($A82, manifest!$A:$E, 3, FALSE), ""), IF(OR(_xlpm.v=0, _xlpm.v=""), "", _xlpm.v))</f>
        <v>59</v>
      </c>
      <c r="I82" t="str">
        <f>_xlfn.LET(_xlpm.v, IFERROR(VLOOKUP($A82, manifest!$A:$E, 5, FALSE), ""), IF(OR(_xlpm.v=0, _xlpm.v=""), "", _xlpm.v))</f>
        <v>female</v>
      </c>
    </row>
    <row r="83" spans="1:9" x14ac:dyDescent="0.6">
      <c r="A83">
        <v>16</v>
      </c>
      <c r="B83" t="s">
        <v>14</v>
      </c>
      <c r="C83" t="s">
        <v>8</v>
      </c>
      <c r="D83">
        <v>208.02</v>
      </c>
      <c r="E83">
        <v>166.68</v>
      </c>
      <c r="F83">
        <v>30370</v>
      </c>
      <c r="G83" t="s">
        <v>9</v>
      </c>
      <c r="H83">
        <f>_xlfn.LET(_xlpm.v, IFERROR(VLOOKUP($A83, manifest!$A:$E, 3, FALSE), ""), IF(OR(_xlpm.v=0, _xlpm.v=""), "", _xlpm.v))</f>
        <v>52</v>
      </c>
      <c r="I83" t="str">
        <f>_xlfn.LET(_xlpm.v, IFERROR(VLOOKUP($A83, manifest!$A:$E, 5, FALSE), ""), IF(OR(_xlpm.v=0, _xlpm.v=""), "", _xlpm.v))</f>
        <v>female</v>
      </c>
    </row>
    <row r="84" spans="1:9" x14ac:dyDescent="0.6">
      <c r="A84">
        <v>16</v>
      </c>
      <c r="B84" t="s">
        <v>14</v>
      </c>
      <c r="C84" t="s">
        <v>10</v>
      </c>
      <c r="D84">
        <v>209.04</v>
      </c>
      <c r="E84">
        <v>179.21</v>
      </c>
      <c r="F84">
        <v>35518</v>
      </c>
      <c r="H84">
        <f>_xlfn.LET(_xlpm.v, IFERROR(VLOOKUP($A84, manifest!$A:$E, 3, FALSE), ""), IF(OR(_xlpm.v=0, _xlpm.v=""), "", _xlpm.v))</f>
        <v>52</v>
      </c>
      <c r="I84" t="str">
        <f>_xlfn.LET(_xlpm.v, IFERROR(VLOOKUP($A84, manifest!$A:$E, 5, FALSE), ""), IF(OR(_xlpm.v=0, _xlpm.v=""), "", _xlpm.v))</f>
        <v>female</v>
      </c>
    </row>
    <row r="85" spans="1:9" x14ac:dyDescent="0.6">
      <c r="A85">
        <v>16</v>
      </c>
      <c r="B85" t="s">
        <v>14</v>
      </c>
      <c r="C85" t="s">
        <v>11</v>
      </c>
      <c r="D85">
        <v>210.61</v>
      </c>
      <c r="E85">
        <v>203.38</v>
      </c>
      <c r="F85">
        <v>46010</v>
      </c>
      <c r="H85">
        <f>_xlfn.LET(_xlpm.v, IFERROR(VLOOKUP($A85, manifest!$A:$E, 3, FALSE), ""), IF(OR(_xlpm.v=0, _xlpm.v=""), "", _xlpm.v))</f>
        <v>52</v>
      </c>
      <c r="I85" t="str">
        <f>_xlfn.LET(_xlpm.v, IFERROR(VLOOKUP($A85, manifest!$A:$E, 5, FALSE), ""), IF(OR(_xlpm.v=0, _xlpm.v=""), "", _xlpm.v))</f>
        <v>female</v>
      </c>
    </row>
    <row r="86" spans="1:9" x14ac:dyDescent="0.6">
      <c r="A86">
        <v>16</v>
      </c>
      <c r="B86" t="s">
        <v>14</v>
      </c>
      <c r="C86" t="s">
        <v>12</v>
      </c>
      <c r="D86">
        <v>207.32</v>
      </c>
      <c r="E86">
        <v>218.5</v>
      </c>
      <c r="F86">
        <v>53988</v>
      </c>
      <c r="H86">
        <f>_xlfn.LET(_xlpm.v, IFERROR(VLOOKUP($A86, manifest!$A:$E, 3, FALSE), ""), IF(OR(_xlpm.v=0, _xlpm.v=""), "", _xlpm.v))</f>
        <v>52</v>
      </c>
      <c r="I86" t="str">
        <f>_xlfn.LET(_xlpm.v, IFERROR(VLOOKUP($A86, manifest!$A:$E, 5, FALSE), ""), IF(OR(_xlpm.v=0, _xlpm.v=""), "", _xlpm.v))</f>
        <v>female</v>
      </c>
    </row>
    <row r="87" spans="1:9" x14ac:dyDescent="0.6">
      <c r="A87">
        <v>16</v>
      </c>
      <c r="B87" t="s">
        <v>14</v>
      </c>
      <c r="C87" t="s">
        <v>13</v>
      </c>
      <c r="D87">
        <v>199.18</v>
      </c>
      <c r="E87">
        <v>187.35</v>
      </c>
      <c r="F87">
        <v>47702</v>
      </c>
      <c r="H87">
        <f>_xlfn.LET(_xlpm.v, IFERROR(VLOOKUP($A87, manifest!$A:$E, 3, FALSE), ""), IF(OR(_xlpm.v=0, _xlpm.v=""), "", _xlpm.v))</f>
        <v>52</v>
      </c>
      <c r="I87" t="str">
        <f>_xlfn.LET(_xlpm.v, IFERROR(VLOOKUP($A87, manifest!$A:$E, 5, FALSE), ""), IF(OR(_xlpm.v=0, _xlpm.v=""), "", _xlpm.v))</f>
        <v>female</v>
      </c>
    </row>
    <row r="88" spans="1:9" x14ac:dyDescent="0.6">
      <c r="A88">
        <v>24</v>
      </c>
      <c r="B88" t="s">
        <v>14</v>
      </c>
      <c r="C88" t="s">
        <v>8</v>
      </c>
      <c r="D88">
        <v>190.43</v>
      </c>
      <c r="E88">
        <v>163.25</v>
      </c>
      <c r="F88">
        <v>29705</v>
      </c>
      <c r="G88" t="s">
        <v>9</v>
      </c>
      <c r="H88">
        <f>_xlfn.LET(_xlpm.v, IFERROR(VLOOKUP($A88, manifest!$A:$E, 3, FALSE), ""), IF(OR(_xlpm.v=0, _xlpm.v=""), "", _xlpm.v))</f>
        <v>58</v>
      </c>
      <c r="I88" t="str">
        <f>_xlfn.LET(_xlpm.v, IFERROR(VLOOKUP($A88, manifest!$A:$E, 5, FALSE), ""), IF(OR(_xlpm.v=0, _xlpm.v=""), "", _xlpm.v))</f>
        <v>female</v>
      </c>
    </row>
    <row r="89" spans="1:9" x14ac:dyDescent="0.6">
      <c r="A89">
        <v>24</v>
      </c>
      <c r="B89" t="s">
        <v>14</v>
      </c>
      <c r="C89" t="s">
        <v>10</v>
      </c>
      <c r="D89">
        <v>231.45</v>
      </c>
      <c r="E89">
        <v>242.38</v>
      </c>
      <c r="F89">
        <v>29612</v>
      </c>
      <c r="H89">
        <f>_xlfn.LET(_xlpm.v, IFERROR(VLOOKUP($A89, manifest!$A:$E, 3, FALSE), ""), IF(OR(_xlpm.v=0, _xlpm.v=""), "", _xlpm.v))</f>
        <v>58</v>
      </c>
      <c r="I89" t="str">
        <f>_xlfn.LET(_xlpm.v, IFERROR(VLOOKUP($A89, manifest!$A:$E, 5, FALSE), ""), IF(OR(_xlpm.v=0, _xlpm.v=""), "", _xlpm.v))</f>
        <v>female</v>
      </c>
    </row>
    <row r="90" spans="1:9" x14ac:dyDescent="0.6">
      <c r="A90">
        <v>24</v>
      </c>
      <c r="B90" t="s">
        <v>14</v>
      </c>
      <c r="C90" t="s">
        <v>11</v>
      </c>
      <c r="D90">
        <v>225.35</v>
      </c>
      <c r="E90">
        <v>229.46</v>
      </c>
      <c r="F90">
        <v>34240</v>
      </c>
      <c r="H90">
        <f>_xlfn.LET(_xlpm.v, IFERROR(VLOOKUP($A90, manifest!$A:$E, 3, FALSE), ""), IF(OR(_xlpm.v=0, _xlpm.v=""), "", _xlpm.v))</f>
        <v>58</v>
      </c>
      <c r="I90" t="str">
        <f>_xlfn.LET(_xlpm.v, IFERROR(VLOOKUP($A90, manifest!$A:$E, 5, FALSE), ""), IF(OR(_xlpm.v=0, _xlpm.v=""), "", _xlpm.v))</f>
        <v>female</v>
      </c>
    </row>
    <row r="91" spans="1:9" x14ac:dyDescent="0.6">
      <c r="A91">
        <v>24</v>
      </c>
      <c r="B91" t="s">
        <v>14</v>
      </c>
      <c r="C91" t="s">
        <v>12</v>
      </c>
      <c r="D91">
        <v>222.73</v>
      </c>
      <c r="E91">
        <v>248.9</v>
      </c>
      <c r="F91">
        <v>42176</v>
      </c>
      <c r="H91">
        <f>_xlfn.LET(_xlpm.v, IFERROR(VLOOKUP($A91, manifest!$A:$E, 3, FALSE), ""), IF(OR(_xlpm.v=0, _xlpm.v=""), "", _xlpm.v))</f>
        <v>58</v>
      </c>
      <c r="I91" t="str">
        <f>_xlfn.LET(_xlpm.v, IFERROR(VLOOKUP($A91, manifest!$A:$E, 5, FALSE), ""), IF(OR(_xlpm.v=0, _xlpm.v=""), "", _xlpm.v))</f>
        <v>female</v>
      </c>
    </row>
    <row r="92" spans="1:9" x14ac:dyDescent="0.6">
      <c r="A92">
        <v>24</v>
      </c>
      <c r="B92" t="s">
        <v>14</v>
      </c>
      <c r="C92" t="s">
        <v>13</v>
      </c>
      <c r="D92">
        <v>208.2</v>
      </c>
      <c r="E92">
        <v>230.57</v>
      </c>
      <c r="F92">
        <v>39133</v>
      </c>
      <c r="H92">
        <f>_xlfn.LET(_xlpm.v, IFERROR(VLOOKUP($A92, manifest!$A:$E, 3, FALSE), ""), IF(OR(_xlpm.v=0, _xlpm.v=""), "", _xlpm.v))</f>
        <v>58</v>
      </c>
      <c r="I92" t="str">
        <f>_xlfn.LET(_xlpm.v, IFERROR(VLOOKUP($A92, manifest!$A:$E, 5, FALSE), ""), IF(OR(_xlpm.v=0, _xlpm.v=""), "", _xlpm.v))</f>
        <v>female</v>
      </c>
    </row>
    <row r="93" spans="1:9" x14ac:dyDescent="0.6">
      <c r="A93">
        <v>48</v>
      </c>
      <c r="B93" t="s">
        <v>14</v>
      </c>
      <c r="C93" t="s">
        <v>8</v>
      </c>
      <c r="D93">
        <v>245.36</v>
      </c>
      <c r="E93">
        <v>146.62</v>
      </c>
      <c r="F93">
        <v>26537</v>
      </c>
      <c r="G93" t="s">
        <v>9</v>
      </c>
      <c r="H93">
        <f>_xlfn.LET(_xlpm.v, IFERROR(VLOOKUP($A93, manifest!$A:$E, 3, FALSE), ""), IF(OR(_xlpm.v=0, _xlpm.v=""), "", _xlpm.v))</f>
        <v>54</v>
      </c>
      <c r="I93" t="str">
        <f>_xlfn.LET(_xlpm.v, IFERROR(VLOOKUP($A93, manifest!$A:$E, 5, FALSE), ""), IF(OR(_xlpm.v=0, _xlpm.v=""), "", _xlpm.v))</f>
        <v>female</v>
      </c>
    </row>
    <row r="94" spans="1:9" x14ac:dyDescent="0.6">
      <c r="A94">
        <v>48</v>
      </c>
      <c r="B94" t="s">
        <v>14</v>
      </c>
      <c r="C94" t="s">
        <v>10</v>
      </c>
      <c r="D94">
        <v>281.16000000000003</v>
      </c>
      <c r="E94">
        <v>207.42</v>
      </c>
      <c r="F94">
        <v>29812</v>
      </c>
      <c r="H94">
        <f>_xlfn.LET(_xlpm.v, IFERROR(VLOOKUP($A94, manifest!$A:$E, 3, FALSE), ""), IF(OR(_xlpm.v=0, _xlpm.v=""), "", _xlpm.v))</f>
        <v>54</v>
      </c>
      <c r="I94" t="str">
        <f>_xlfn.LET(_xlpm.v, IFERROR(VLOOKUP($A94, manifest!$A:$E, 5, FALSE), ""), IF(OR(_xlpm.v=0, _xlpm.v=""), "", _xlpm.v))</f>
        <v>female</v>
      </c>
    </row>
    <row r="95" spans="1:9" x14ac:dyDescent="0.6">
      <c r="A95">
        <v>48</v>
      </c>
      <c r="B95" t="s">
        <v>14</v>
      </c>
      <c r="C95" t="s">
        <v>11</v>
      </c>
      <c r="D95">
        <v>263.68</v>
      </c>
      <c r="E95">
        <v>217.19</v>
      </c>
      <c r="F95">
        <v>40477</v>
      </c>
      <c r="H95">
        <f>_xlfn.LET(_xlpm.v, IFERROR(VLOOKUP($A95, manifest!$A:$E, 3, FALSE), ""), IF(OR(_xlpm.v=0, _xlpm.v=""), "", _xlpm.v))</f>
        <v>54</v>
      </c>
      <c r="I95" t="str">
        <f>_xlfn.LET(_xlpm.v, IFERROR(VLOOKUP($A95, manifest!$A:$E, 5, FALSE), ""), IF(OR(_xlpm.v=0, _xlpm.v=""), "", _xlpm.v))</f>
        <v>female</v>
      </c>
    </row>
    <row r="96" spans="1:9" x14ac:dyDescent="0.6">
      <c r="A96">
        <v>48</v>
      </c>
      <c r="B96" t="s">
        <v>14</v>
      </c>
      <c r="C96" t="s">
        <v>12</v>
      </c>
      <c r="D96">
        <v>245.2</v>
      </c>
      <c r="E96">
        <v>205.41</v>
      </c>
      <c r="F96">
        <v>50195</v>
      </c>
      <c r="H96">
        <f>_xlfn.LET(_xlpm.v, IFERROR(VLOOKUP($A96, manifest!$A:$E, 3, FALSE), ""), IF(OR(_xlpm.v=0, _xlpm.v=""), "", _xlpm.v))</f>
        <v>54</v>
      </c>
      <c r="I96" t="str">
        <f>_xlfn.LET(_xlpm.v, IFERROR(VLOOKUP($A96, manifest!$A:$E, 5, FALSE), ""), IF(OR(_xlpm.v=0, _xlpm.v=""), "", _xlpm.v))</f>
        <v>female</v>
      </c>
    </row>
    <row r="97" spans="1:9" x14ac:dyDescent="0.6">
      <c r="A97">
        <v>48</v>
      </c>
      <c r="B97" t="s">
        <v>14</v>
      </c>
      <c r="C97" t="s">
        <v>13</v>
      </c>
      <c r="D97">
        <v>232.01</v>
      </c>
      <c r="E97">
        <v>182.44</v>
      </c>
      <c r="F97">
        <v>52194</v>
      </c>
      <c r="H97">
        <f>_xlfn.LET(_xlpm.v, IFERROR(VLOOKUP($A97, manifest!$A:$E, 3, FALSE), ""), IF(OR(_xlpm.v=0, _xlpm.v=""), "", _xlpm.v))</f>
        <v>54</v>
      </c>
      <c r="I97" t="str">
        <f>_xlfn.LET(_xlpm.v, IFERROR(VLOOKUP($A97, manifest!$A:$E, 5, FALSE), ""), IF(OR(_xlpm.v=0, _xlpm.v=""), "", _xlpm.v))</f>
        <v>female</v>
      </c>
    </row>
    <row r="98" spans="1:9" x14ac:dyDescent="0.6">
      <c r="A98">
        <v>34</v>
      </c>
      <c r="B98" t="s">
        <v>14</v>
      </c>
      <c r="C98" t="s">
        <v>8</v>
      </c>
      <c r="D98">
        <v>194.78</v>
      </c>
      <c r="E98">
        <v>159.16999999999999</v>
      </c>
      <c r="F98">
        <v>60619</v>
      </c>
      <c r="G98" t="s">
        <v>9</v>
      </c>
      <c r="H98">
        <f>_xlfn.LET(_xlpm.v, IFERROR(VLOOKUP($A98, manifest!$A:$E, 3, FALSE), ""), IF(OR(_xlpm.v=0, _xlpm.v=""), "", _xlpm.v))</f>
        <v>53</v>
      </c>
      <c r="I98" t="str">
        <f>_xlfn.LET(_xlpm.v, IFERROR(VLOOKUP($A98, manifest!$A:$E, 5, FALSE), ""), IF(OR(_xlpm.v=0, _xlpm.v=""), "", _xlpm.v))</f>
        <v>male</v>
      </c>
    </row>
    <row r="99" spans="1:9" x14ac:dyDescent="0.6">
      <c r="A99">
        <v>34</v>
      </c>
      <c r="B99" t="s">
        <v>14</v>
      </c>
      <c r="C99" t="s">
        <v>10</v>
      </c>
      <c r="D99">
        <v>209.46</v>
      </c>
      <c r="E99">
        <v>178.2</v>
      </c>
      <c r="F99">
        <v>58026</v>
      </c>
      <c r="H99">
        <f>_xlfn.LET(_xlpm.v, IFERROR(VLOOKUP($A99, manifest!$A:$E, 3, FALSE), ""), IF(OR(_xlpm.v=0, _xlpm.v=""), "", _xlpm.v))</f>
        <v>53</v>
      </c>
      <c r="I99" t="str">
        <f>_xlfn.LET(_xlpm.v, IFERROR(VLOOKUP($A99, manifest!$A:$E, 5, FALSE), ""), IF(OR(_xlpm.v=0, _xlpm.v=""), "", _xlpm.v))</f>
        <v>male</v>
      </c>
    </row>
    <row r="100" spans="1:9" x14ac:dyDescent="0.6">
      <c r="A100">
        <v>34</v>
      </c>
      <c r="B100" t="s">
        <v>14</v>
      </c>
      <c r="C100" t="s">
        <v>11</v>
      </c>
      <c r="D100">
        <v>218.94</v>
      </c>
      <c r="E100">
        <v>189.42</v>
      </c>
      <c r="F100">
        <v>69492</v>
      </c>
      <c r="H100">
        <f>_xlfn.LET(_xlpm.v, IFERROR(VLOOKUP($A100, manifest!$A:$E, 3, FALSE), ""), IF(OR(_xlpm.v=0, _xlpm.v=""), "", _xlpm.v))</f>
        <v>53</v>
      </c>
      <c r="I100" t="str">
        <f>_xlfn.LET(_xlpm.v, IFERROR(VLOOKUP($A100, manifest!$A:$E, 5, FALSE), ""), IF(OR(_xlpm.v=0, _xlpm.v=""), "", _xlpm.v))</f>
        <v>male</v>
      </c>
    </row>
    <row r="101" spans="1:9" x14ac:dyDescent="0.6">
      <c r="A101">
        <v>34</v>
      </c>
      <c r="B101" t="s">
        <v>14</v>
      </c>
      <c r="C101" t="s">
        <v>12</v>
      </c>
      <c r="D101">
        <v>212.5</v>
      </c>
      <c r="E101">
        <v>181.13</v>
      </c>
      <c r="F101">
        <v>74227</v>
      </c>
      <c r="H101">
        <f>_xlfn.LET(_xlpm.v, IFERROR(VLOOKUP($A101, manifest!$A:$E, 3, FALSE), ""), IF(OR(_xlpm.v=0, _xlpm.v=""), "", _xlpm.v))</f>
        <v>53</v>
      </c>
      <c r="I101" t="str">
        <f>_xlfn.LET(_xlpm.v, IFERROR(VLOOKUP($A101, manifest!$A:$E, 5, FALSE), ""), IF(OR(_xlpm.v=0, _xlpm.v=""), "", _xlpm.v))</f>
        <v>male</v>
      </c>
    </row>
    <row r="102" spans="1:9" x14ac:dyDescent="0.6">
      <c r="A102">
        <v>34</v>
      </c>
      <c r="B102" t="s">
        <v>14</v>
      </c>
      <c r="C102" t="s">
        <v>13</v>
      </c>
      <c r="D102">
        <v>193.97</v>
      </c>
      <c r="E102">
        <v>168.48</v>
      </c>
      <c r="F102">
        <v>81568</v>
      </c>
      <c r="H102">
        <f>_xlfn.LET(_xlpm.v, IFERROR(VLOOKUP($A102, manifest!$A:$E, 3, FALSE), ""), IF(OR(_xlpm.v=0, _xlpm.v=""), "", _xlpm.v))</f>
        <v>53</v>
      </c>
      <c r="I102" t="str">
        <f>_xlfn.LET(_xlpm.v, IFERROR(VLOOKUP($A102, manifest!$A:$E, 5, FALSE), ""), IF(OR(_xlpm.v=0, _xlpm.v=""), "", _xlpm.v))</f>
        <v>male</v>
      </c>
    </row>
    <row r="103" spans="1:9" x14ac:dyDescent="0.6">
      <c r="A103">
        <v>35</v>
      </c>
      <c r="B103" t="s">
        <v>14</v>
      </c>
      <c r="C103" t="s">
        <v>8</v>
      </c>
      <c r="D103">
        <v>208.93</v>
      </c>
      <c r="E103">
        <v>177.52</v>
      </c>
      <c r="F103">
        <v>41186</v>
      </c>
      <c r="G103" t="s">
        <v>9</v>
      </c>
      <c r="H103">
        <f>_xlfn.LET(_xlpm.v, IFERROR(VLOOKUP($A103, manifest!$A:$E, 3, FALSE), ""), IF(OR(_xlpm.v=0, _xlpm.v=""), "", _xlpm.v))</f>
        <v>54</v>
      </c>
      <c r="I103" t="str">
        <f>_xlfn.LET(_xlpm.v, IFERROR(VLOOKUP($A103, manifest!$A:$E, 5, FALSE), ""), IF(OR(_xlpm.v=0, _xlpm.v=""), "", _xlpm.v))</f>
        <v>male</v>
      </c>
    </row>
    <row r="104" spans="1:9" x14ac:dyDescent="0.6">
      <c r="A104">
        <v>35</v>
      </c>
      <c r="B104" t="s">
        <v>14</v>
      </c>
      <c r="C104" t="s">
        <v>10</v>
      </c>
      <c r="D104">
        <v>239.54</v>
      </c>
      <c r="E104">
        <v>234.2</v>
      </c>
      <c r="F104">
        <v>45595</v>
      </c>
      <c r="H104">
        <f>_xlfn.LET(_xlpm.v, IFERROR(VLOOKUP($A104, manifest!$A:$E, 3, FALSE), ""), IF(OR(_xlpm.v=0, _xlpm.v=""), "", _xlpm.v))</f>
        <v>54</v>
      </c>
      <c r="I104" t="str">
        <f>_xlfn.LET(_xlpm.v, IFERROR(VLOOKUP($A104, manifest!$A:$E, 5, FALSE), ""), IF(OR(_xlpm.v=0, _xlpm.v=""), "", _xlpm.v))</f>
        <v>male</v>
      </c>
    </row>
    <row r="105" spans="1:9" x14ac:dyDescent="0.6">
      <c r="A105">
        <v>35</v>
      </c>
      <c r="B105" t="s">
        <v>14</v>
      </c>
      <c r="C105" t="s">
        <v>11</v>
      </c>
      <c r="D105">
        <v>245.03</v>
      </c>
      <c r="E105">
        <v>251</v>
      </c>
      <c r="F105">
        <v>47059</v>
      </c>
      <c r="H105">
        <f>_xlfn.LET(_xlpm.v, IFERROR(VLOOKUP($A105, manifest!$A:$E, 3, FALSE), ""), IF(OR(_xlpm.v=0, _xlpm.v=""), "", _xlpm.v))</f>
        <v>54</v>
      </c>
      <c r="I105" t="str">
        <f>_xlfn.LET(_xlpm.v, IFERROR(VLOOKUP($A105, manifest!$A:$E, 5, FALSE), ""), IF(OR(_xlpm.v=0, _xlpm.v=""), "", _xlpm.v))</f>
        <v>male</v>
      </c>
    </row>
    <row r="106" spans="1:9" x14ac:dyDescent="0.6">
      <c r="A106">
        <v>35</v>
      </c>
      <c r="B106" t="s">
        <v>14</v>
      </c>
      <c r="C106" t="s">
        <v>12</v>
      </c>
      <c r="D106">
        <v>237.18</v>
      </c>
      <c r="E106">
        <v>242.35</v>
      </c>
      <c r="F106">
        <v>53004</v>
      </c>
      <c r="H106">
        <f>_xlfn.LET(_xlpm.v, IFERROR(VLOOKUP($A106, manifest!$A:$E, 3, FALSE), ""), IF(OR(_xlpm.v=0, _xlpm.v=""), "", _xlpm.v))</f>
        <v>54</v>
      </c>
      <c r="I106" t="str">
        <f>_xlfn.LET(_xlpm.v, IFERROR(VLOOKUP($A106, manifest!$A:$E, 5, FALSE), ""), IF(OR(_xlpm.v=0, _xlpm.v=""), "", _xlpm.v))</f>
        <v>male</v>
      </c>
    </row>
    <row r="107" spans="1:9" x14ac:dyDescent="0.6">
      <c r="A107">
        <v>35</v>
      </c>
      <c r="B107" t="s">
        <v>14</v>
      </c>
      <c r="C107" t="s">
        <v>13</v>
      </c>
      <c r="D107">
        <v>228.59</v>
      </c>
      <c r="E107">
        <v>225.94</v>
      </c>
      <c r="F107">
        <v>56956</v>
      </c>
      <c r="H107">
        <f>_xlfn.LET(_xlpm.v, IFERROR(VLOOKUP($A107, manifest!$A:$E, 3, FALSE), ""), IF(OR(_xlpm.v=0, _xlpm.v=""), "", _xlpm.v))</f>
        <v>54</v>
      </c>
      <c r="I107" t="str">
        <f>_xlfn.LET(_xlpm.v, IFERROR(VLOOKUP($A107, manifest!$A:$E, 5, FALSE), ""), IF(OR(_xlpm.v=0, _xlpm.v=""), "", _xlpm.v))</f>
        <v>male</v>
      </c>
    </row>
    <row r="108" spans="1:9" x14ac:dyDescent="0.6">
      <c r="A108">
        <v>37</v>
      </c>
      <c r="B108" t="s">
        <v>14</v>
      </c>
      <c r="C108" t="s">
        <v>8</v>
      </c>
      <c r="D108">
        <v>144.38999999999999</v>
      </c>
      <c r="E108">
        <v>110.83</v>
      </c>
      <c r="F108">
        <v>25009</v>
      </c>
      <c r="G108" t="s">
        <v>15</v>
      </c>
      <c r="H108">
        <f>_xlfn.LET(_xlpm.v, IFERROR(VLOOKUP($A108, manifest!$A:$E, 3, FALSE), ""), IF(OR(_xlpm.v=0, _xlpm.v=""), "", _xlpm.v))</f>
        <v>51</v>
      </c>
      <c r="I108" t="str">
        <f>_xlfn.LET(_xlpm.v, IFERROR(VLOOKUP($A108, manifest!$A:$E, 5, FALSE), ""), IF(OR(_xlpm.v=0, _xlpm.v=""), "", _xlpm.v))</f>
        <v>female</v>
      </c>
    </row>
    <row r="109" spans="1:9" x14ac:dyDescent="0.6">
      <c r="A109">
        <v>37</v>
      </c>
      <c r="B109" t="s">
        <v>14</v>
      </c>
      <c r="C109" t="s">
        <v>10</v>
      </c>
      <c r="D109">
        <v>225.07</v>
      </c>
      <c r="E109">
        <v>199.33</v>
      </c>
      <c r="F109">
        <v>30343</v>
      </c>
      <c r="H109">
        <f>_xlfn.LET(_xlpm.v, IFERROR(VLOOKUP($A109, manifest!$A:$E, 3, FALSE), ""), IF(OR(_xlpm.v=0, _xlpm.v=""), "", _xlpm.v))</f>
        <v>51</v>
      </c>
      <c r="I109" t="str">
        <f>_xlfn.LET(_xlpm.v, IFERROR(VLOOKUP($A109, manifest!$A:$E, 5, FALSE), ""), IF(OR(_xlpm.v=0, _xlpm.v=""), "", _xlpm.v))</f>
        <v>female</v>
      </c>
    </row>
    <row r="110" spans="1:9" x14ac:dyDescent="0.6">
      <c r="A110">
        <v>37</v>
      </c>
      <c r="B110" t="s">
        <v>14</v>
      </c>
      <c r="C110" t="s">
        <v>11</v>
      </c>
      <c r="D110">
        <v>138.16</v>
      </c>
      <c r="E110">
        <v>134.52000000000001</v>
      </c>
      <c r="F110">
        <v>33955</v>
      </c>
      <c r="H110">
        <f>_xlfn.LET(_xlpm.v, IFERROR(VLOOKUP($A110, manifest!$A:$E, 3, FALSE), ""), IF(OR(_xlpm.v=0, _xlpm.v=""), "", _xlpm.v))</f>
        <v>51</v>
      </c>
      <c r="I110" t="str">
        <f>_xlfn.LET(_xlpm.v, IFERROR(VLOOKUP($A110, manifest!$A:$E, 5, FALSE), ""), IF(OR(_xlpm.v=0, _xlpm.v=""), "", _xlpm.v))</f>
        <v>female</v>
      </c>
    </row>
    <row r="111" spans="1:9" x14ac:dyDescent="0.6">
      <c r="A111">
        <v>37</v>
      </c>
      <c r="B111" t="s">
        <v>14</v>
      </c>
      <c r="C111" t="s">
        <v>12</v>
      </c>
      <c r="D111">
        <v>156.57</v>
      </c>
      <c r="E111">
        <v>153.43</v>
      </c>
      <c r="F111">
        <v>34012</v>
      </c>
      <c r="H111">
        <f>_xlfn.LET(_xlpm.v, IFERROR(VLOOKUP($A111, manifest!$A:$E, 3, FALSE), ""), IF(OR(_xlpm.v=0, _xlpm.v=""), "", _xlpm.v))</f>
        <v>51</v>
      </c>
      <c r="I111" t="str">
        <f>_xlfn.LET(_xlpm.v, IFERROR(VLOOKUP($A111, manifest!$A:$E, 5, FALSE), ""), IF(OR(_xlpm.v=0, _xlpm.v=""), "", _xlpm.v))</f>
        <v>female</v>
      </c>
    </row>
    <row r="112" spans="1:9" x14ac:dyDescent="0.6">
      <c r="A112">
        <v>37</v>
      </c>
      <c r="B112" t="s">
        <v>14</v>
      </c>
      <c r="C112" t="s">
        <v>13</v>
      </c>
      <c r="D112">
        <v>144.66999999999999</v>
      </c>
      <c r="E112">
        <v>153.44</v>
      </c>
      <c r="F112">
        <v>42186</v>
      </c>
      <c r="H112">
        <f>_xlfn.LET(_xlpm.v, IFERROR(VLOOKUP($A112, manifest!$A:$E, 3, FALSE), ""), IF(OR(_xlpm.v=0, _xlpm.v=""), "", _xlpm.v))</f>
        <v>51</v>
      </c>
      <c r="I112" t="str">
        <f>_xlfn.LET(_xlpm.v, IFERROR(VLOOKUP($A112, manifest!$A:$E, 5, FALSE), ""), IF(OR(_xlpm.v=0, _xlpm.v=""), "", _xlpm.v))</f>
        <v>female</v>
      </c>
    </row>
    <row r="113" spans="1:9" x14ac:dyDescent="0.6">
      <c r="A113">
        <v>31</v>
      </c>
      <c r="B113" t="s">
        <v>14</v>
      </c>
      <c r="C113" t="s">
        <v>8</v>
      </c>
      <c r="D113">
        <v>164.55</v>
      </c>
      <c r="E113">
        <v>115.71</v>
      </c>
      <c r="F113">
        <v>48731</v>
      </c>
      <c r="G113" t="s">
        <v>9</v>
      </c>
      <c r="H113">
        <f>_xlfn.LET(_xlpm.v, IFERROR(VLOOKUP($A113, manifest!$A:$E, 3, FALSE), ""), IF(OR(_xlpm.v=0, _xlpm.v=""), "", _xlpm.v))</f>
        <v>54</v>
      </c>
      <c r="I113" t="str">
        <f>_xlfn.LET(_xlpm.v, IFERROR(VLOOKUP($A113, manifest!$A:$E, 5, FALSE), ""), IF(OR(_xlpm.v=0, _xlpm.v=""), "", _xlpm.v))</f>
        <v>male</v>
      </c>
    </row>
    <row r="114" spans="1:9" x14ac:dyDescent="0.6">
      <c r="A114">
        <v>31</v>
      </c>
      <c r="B114" t="s">
        <v>14</v>
      </c>
      <c r="C114" t="s">
        <v>10</v>
      </c>
      <c r="D114">
        <v>158.83000000000001</v>
      </c>
      <c r="E114">
        <v>100.14</v>
      </c>
      <c r="F114">
        <v>54602</v>
      </c>
      <c r="H114">
        <f>_xlfn.LET(_xlpm.v, IFERROR(VLOOKUP($A114, manifest!$A:$E, 3, FALSE), ""), IF(OR(_xlpm.v=0, _xlpm.v=""), "", _xlpm.v))</f>
        <v>54</v>
      </c>
      <c r="I114" t="str">
        <f>_xlfn.LET(_xlpm.v, IFERROR(VLOOKUP($A114, manifest!$A:$E, 5, FALSE), ""), IF(OR(_xlpm.v=0, _xlpm.v=""), "", _xlpm.v))</f>
        <v>male</v>
      </c>
    </row>
    <row r="115" spans="1:9" x14ac:dyDescent="0.6">
      <c r="A115">
        <v>31</v>
      </c>
      <c r="B115" t="s">
        <v>14</v>
      </c>
      <c r="C115" t="s">
        <v>11</v>
      </c>
      <c r="D115">
        <v>169.89</v>
      </c>
      <c r="E115">
        <v>127.38</v>
      </c>
      <c r="F115">
        <v>47423</v>
      </c>
      <c r="H115">
        <f>_xlfn.LET(_xlpm.v, IFERROR(VLOOKUP($A115, manifest!$A:$E, 3, FALSE), ""), IF(OR(_xlpm.v=0, _xlpm.v=""), "", _xlpm.v))</f>
        <v>54</v>
      </c>
      <c r="I115" t="str">
        <f>_xlfn.LET(_xlpm.v, IFERROR(VLOOKUP($A115, manifest!$A:$E, 5, FALSE), ""), IF(OR(_xlpm.v=0, _xlpm.v=""), "", _xlpm.v))</f>
        <v>male</v>
      </c>
    </row>
    <row r="116" spans="1:9" x14ac:dyDescent="0.6">
      <c r="A116">
        <v>31</v>
      </c>
      <c r="B116" t="s">
        <v>14</v>
      </c>
      <c r="C116" t="s">
        <v>12</v>
      </c>
      <c r="D116">
        <v>166.9</v>
      </c>
      <c r="E116">
        <v>119.59</v>
      </c>
      <c r="F116">
        <v>49931</v>
      </c>
      <c r="H116">
        <f>_xlfn.LET(_xlpm.v, IFERROR(VLOOKUP($A116, manifest!$A:$E, 3, FALSE), ""), IF(OR(_xlpm.v=0, _xlpm.v=""), "", _xlpm.v))</f>
        <v>54</v>
      </c>
      <c r="I116" t="str">
        <f>_xlfn.LET(_xlpm.v, IFERROR(VLOOKUP($A116, manifest!$A:$E, 5, FALSE), ""), IF(OR(_xlpm.v=0, _xlpm.v=""), "", _xlpm.v))</f>
        <v>male</v>
      </c>
    </row>
    <row r="117" spans="1:9" x14ac:dyDescent="0.6">
      <c r="A117">
        <v>31</v>
      </c>
      <c r="B117" t="s">
        <v>14</v>
      </c>
      <c r="C117" t="s">
        <v>13</v>
      </c>
      <c r="D117">
        <v>159.99</v>
      </c>
      <c r="E117">
        <v>123.97</v>
      </c>
      <c r="F117">
        <v>56264</v>
      </c>
      <c r="H117">
        <f>_xlfn.LET(_xlpm.v, IFERROR(VLOOKUP($A117, manifest!$A:$E, 3, FALSE), ""), IF(OR(_xlpm.v=0, _xlpm.v=""), "", _xlpm.v))</f>
        <v>54</v>
      </c>
      <c r="I117" t="str">
        <f>_xlfn.LET(_xlpm.v, IFERROR(VLOOKUP($A117, manifest!$A:$E, 5, FALSE), ""), IF(OR(_xlpm.v=0, _xlpm.v=""), "", _xlpm.v))</f>
        <v>male</v>
      </c>
    </row>
    <row r="118" spans="1:9" x14ac:dyDescent="0.6">
      <c r="A118">
        <v>39</v>
      </c>
      <c r="B118" t="s">
        <v>7</v>
      </c>
      <c r="C118" t="s">
        <v>8</v>
      </c>
      <c r="D118">
        <v>289.32</v>
      </c>
      <c r="E118">
        <v>163.91</v>
      </c>
      <c r="F118">
        <v>20632</v>
      </c>
      <c r="G118" t="s">
        <v>9</v>
      </c>
      <c r="H118">
        <f>_xlfn.LET(_xlpm.v, IFERROR(VLOOKUP($A118, manifest!$A:$E, 3, FALSE), ""), IF(OR(_xlpm.v=0, _xlpm.v=""), "", _xlpm.v))</f>
        <v>57</v>
      </c>
      <c r="I118" t="str">
        <f>_xlfn.LET(_xlpm.v, IFERROR(VLOOKUP($A118, manifest!$A:$E, 5, FALSE), ""), IF(OR(_xlpm.v=0, _xlpm.v=""), "", _xlpm.v))</f>
        <v>female</v>
      </c>
    </row>
    <row r="119" spans="1:9" x14ac:dyDescent="0.6">
      <c r="A119">
        <v>39</v>
      </c>
      <c r="B119" t="s">
        <v>7</v>
      </c>
      <c r="C119" t="s">
        <v>10</v>
      </c>
      <c r="D119">
        <v>302.99</v>
      </c>
      <c r="E119">
        <v>198.8</v>
      </c>
      <c r="F119">
        <v>24230</v>
      </c>
      <c r="H119">
        <f>_xlfn.LET(_xlpm.v, IFERROR(VLOOKUP($A119, manifest!$A:$E, 3, FALSE), ""), IF(OR(_xlpm.v=0, _xlpm.v=""), "", _xlpm.v))</f>
        <v>57</v>
      </c>
      <c r="I119" t="str">
        <f>_xlfn.LET(_xlpm.v, IFERROR(VLOOKUP($A119, manifest!$A:$E, 5, FALSE), ""), IF(OR(_xlpm.v=0, _xlpm.v=""), "", _xlpm.v))</f>
        <v>female</v>
      </c>
    </row>
    <row r="120" spans="1:9" x14ac:dyDescent="0.6">
      <c r="A120">
        <v>39</v>
      </c>
      <c r="B120" t="s">
        <v>7</v>
      </c>
      <c r="C120" t="s">
        <v>11</v>
      </c>
      <c r="D120">
        <v>295.42</v>
      </c>
      <c r="E120">
        <v>188.87</v>
      </c>
      <c r="F120">
        <v>29979</v>
      </c>
      <c r="H120">
        <f>_xlfn.LET(_xlpm.v, IFERROR(VLOOKUP($A120, manifest!$A:$E, 3, FALSE), ""), IF(OR(_xlpm.v=0, _xlpm.v=""), "", _xlpm.v))</f>
        <v>57</v>
      </c>
      <c r="I120" t="str">
        <f>_xlfn.LET(_xlpm.v, IFERROR(VLOOKUP($A120, manifest!$A:$E, 5, FALSE), ""), IF(OR(_xlpm.v=0, _xlpm.v=""), "", _xlpm.v))</f>
        <v>female</v>
      </c>
    </row>
    <row r="121" spans="1:9" x14ac:dyDescent="0.6">
      <c r="A121">
        <v>39</v>
      </c>
      <c r="B121" t="s">
        <v>7</v>
      </c>
      <c r="C121" t="s">
        <v>12</v>
      </c>
      <c r="D121">
        <v>302.7</v>
      </c>
      <c r="E121">
        <v>223.19</v>
      </c>
      <c r="F121">
        <v>36161</v>
      </c>
      <c r="H121">
        <f>_xlfn.LET(_xlpm.v, IFERROR(VLOOKUP($A121, manifest!$A:$E, 3, FALSE), ""), IF(OR(_xlpm.v=0, _xlpm.v=""), "", _xlpm.v))</f>
        <v>57</v>
      </c>
      <c r="I121" t="str">
        <f>_xlfn.LET(_xlpm.v, IFERROR(VLOOKUP($A121, manifest!$A:$E, 5, FALSE), ""), IF(OR(_xlpm.v=0, _xlpm.v=""), "", _xlpm.v))</f>
        <v>female</v>
      </c>
    </row>
    <row r="122" spans="1:9" x14ac:dyDescent="0.6">
      <c r="A122">
        <v>39</v>
      </c>
      <c r="B122" t="s">
        <v>7</v>
      </c>
      <c r="C122" t="s">
        <v>13</v>
      </c>
      <c r="D122">
        <v>307.64</v>
      </c>
      <c r="E122">
        <v>160.66</v>
      </c>
      <c r="F122">
        <v>39384</v>
      </c>
      <c r="H122">
        <f>_xlfn.LET(_xlpm.v, IFERROR(VLOOKUP($A122, manifest!$A:$E, 3, FALSE), ""), IF(OR(_xlpm.v=0, _xlpm.v=""), "", _xlpm.v))</f>
        <v>57</v>
      </c>
      <c r="I122" t="str">
        <f>_xlfn.LET(_xlpm.v, IFERROR(VLOOKUP($A122, manifest!$A:$E, 5, FALSE), ""), IF(OR(_xlpm.v=0, _xlpm.v=""), "", _xlpm.v))</f>
        <v>female</v>
      </c>
    </row>
    <row r="123" spans="1:9" x14ac:dyDescent="0.6">
      <c r="A123">
        <v>27</v>
      </c>
      <c r="B123" t="s">
        <v>14</v>
      </c>
      <c r="C123" t="s">
        <v>8</v>
      </c>
      <c r="D123">
        <v>293.49</v>
      </c>
      <c r="E123">
        <v>214.56</v>
      </c>
      <c r="F123">
        <v>24412</v>
      </c>
      <c r="G123" t="s">
        <v>9</v>
      </c>
      <c r="H123">
        <f>_xlfn.LET(_xlpm.v, IFERROR(VLOOKUP($A123, manifest!$A:$E, 3, FALSE), ""), IF(OR(_xlpm.v=0, _xlpm.v=""), "", _xlpm.v))</f>
        <v>51</v>
      </c>
      <c r="I123" t="str">
        <f>_xlfn.LET(_xlpm.v, IFERROR(VLOOKUP($A123, manifest!$A:$E, 5, FALSE), ""), IF(OR(_xlpm.v=0, _xlpm.v=""), "", _xlpm.v))</f>
        <v>male</v>
      </c>
    </row>
    <row r="124" spans="1:9" x14ac:dyDescent="0.6">
      <c r="A124">
        <v>27</v>
      </c>
      <c r="B124" t="s">
        <v>14</v>
      </c>
      <c r="C124" t="s">
        <v>10</v>
      </c>
      <c r="D124">
        <v>314.61</v>
      </c>
      <c r="E124">
        <v>240.33</v>
      </c>
      <c r="F124">
        <v>26899</v>
      </c>
      <c r="H124">
        <f>_xlfn.LET(_xlpm.v, IFERROR(VLOOKUP($A124, manifest!$A:$E, 3, FALSE), ""), IF(OR(_xlpm.v=0, _xlpm.v=""), "", _xlpm.v))</f>
        <v>51</v>
      </c>
      <c r="I124" t="str">
        <f>_xlfn.LET(_xlpm.v, IFERROR(VLOOKUP($A124, manifest!$A:$E, 5, FALSE), ""), IF(OR(_xlpm.v=0, _xlpm.v=""), "", _xlpm.v))</f>
        <v>male</v>
      </c>
    </row>
    <row r="125" spans="1:9" x14ac:dyDescent="0.6">
      <c r="A125">
        <v>27</v>
      </c>
      <c r="B125" t="s">
        <v>14</v>
      </c>
      <c r="C125" t="s">
        <v>11</v>
      </c>
      <c r="D125">
        <v>354.83</v>
      </c>
      <c r="E125">
        <v>248.72</v>
      </c>
      <c r="F125">
        <v>29428</v>
      </c>
      <c r="H125">
        <f>_xlfn.LET(_xlpm.v, IFERROR(VLOOKUP($A125, manifest!$A:$E, 3, FALSE), ""), IF(OR(_xlpm.v=0, _xlpm.v=""), "", _xlpm.v))</f>
        <v>51</v>
      </c>
      <c r="I125" t="str">
        <f>_xlfn.LET(_xlpm.v, IFERROR(VLOOKUP($A125, manifest!$A:$E, 5, FALSE), ""), IF(OR(_xlpm.v=0, _xlpm.v=""), "", _xlpm.v))</f>
        <v>male</v>
      </c>
    </row>
    <row r="126" spans="1:9" x14ac:dyDescent="0.6">
      <c r="A126">
        <v>27</v>
      </c>
      <c r="B126" t="s">
        <v>14</v>
      </c>
      <c r="C126" t="s">
        <v>12</v>
      </c>
      <c r="D126">
        <v>330.37</v>
      </c>
      <c r="E126">
        <v>229.12</v>
      </c>
      <c r="F126">
        <v>30556</v>
      </c>
      <c r="H126">
        <f>_xlfn.LET(_xlpm.v, IFERROR(VLOOKUP($A126, manifest!$A:$E, 3, FALSE), ""), IF(OR(_xlpm.v=0, _xlpm.v=""), "", _xlpm.v))</f>
        <v>51</v>
      </c>
      <c r="I126" t="str">
        <f>_xlfn.LET(_xlpm.v, IFERROR(VLOOKUP($A126, manifest!$A:$E, 5, FALSE), ""), IF(OR(_xlpm.v=0, _xlpm.v=""), "", _xlpm.v))</f>
        <v>male</v>
      </c>
    </row>
    <row r="127" spans="1:9" x14ac:dyDescent="0.6">
      <c r="A127">
        <v>27</v>
      </c>
      <c r="B127" t="s">
        <v>14</v>
      </c>
      <c r="C127" t="s">
        <v>13</v>
      </c>
      <c r="D127">
        <v>321.51</v>
      </c>
      <c r="E127">
        <v>233.5</v>
      </c>
      <c r="F127">
        <v>33367</v>
      </c>
      <c r="H127">
        <f>_xlfn.LET(_xlpm.v, IFERROR(VLOOKUP($A127, manifest!$A:$E, 3, FALSE), ""), IF(OR(_xlpm.v=0, _xlpm.v=""), "", _xlpm.v))</f>
        <v>51</v>
      </c>
      <c r="I127" t="str">
        <f>_xlfn.LET(_xlpm.v, IFERROR(VLOOKUP($A127, manifest!$A:$E, 5, FALSE), ""), IF(OR(_xlpm.v=0, _xlpm.v=""), "", _xlpm.v))</f>
        <v>male</v>
      </c>
    </row>
    <row r="128" spans="1:9" x14ac:dyDescent="0.6">
      <c r="A128">
        <v>7</v>
      </c>
      <c r="B128" t="s">
        <v>14</v>
      </c>
      <c r="C128" t="s">
        <v>8</v>
      </c>
      <c r="D128">
        <v>191.12</v>
      </c>
      <c r="E128">
        <v>186.09</v>
      </c>
      <c r="F128">
        <v>28650</v>
      </c>
      <c r="G128" t="s">
        <v>9</v>
      </c>
      <c r="H128">
        <f>_xlfn.LET(_xlpm.v, IFERROR(VLOOKUP($A128, manifest!$A:$E, 3, FALSE), ""), IF(OR(_xlpm.v=0, _xlpm.v=""), "", _xlpm.v))</f>
        <v>61</v>
      </c>
      <c r="I128" t="str">
        <f>_xlfn.LET(_xlpm.v, IFERROR(VLOOKUP($A128, manifest!$A:$E, 5, FALSE), ""), IF(OR(_xlpm.v=0, _xlpm.v=""), "", _xlpm.v))</f>
        <v>male</v>
      </c>
    </row>
    <row r="129" spans="1:9" x14ac:dyDescent="0.6">
      <c r="A129">
        <v>7</v>
      </c>
      <c r="B129" t="s">
        <v>14</v>
      </c>
      <c r="C129" t="s">
        <v>10</v>
      </c>
      <c r="D129">
        <v>207.71</v>
      </c>
      <c r="E129">
        <v>213.49</v>
      </c>
      <c r="F129">
        <v>34856</v>
      </c>
      <c r="H129">
        <f>_xlfn.LET(_xlpm.v, IFERROR(VLOOKUP($A129, manifest!$A:$E, 3, FALSE), ""), IF(OR(_xlpm.v=0, _xlpm.v=""), "", _xlpm.v))</f>
        <v>61</v>
      </c>
      <c r="I129" t="str">
        <f>_xlfn.LET(_xlpm.v, IFERROR(VLOOKUP($A129, manifest!$A:$E, 5, FALSE), ""), IF(OR(_xlpm.v=0, _xlpm.v=""), "", _xlpm.v))</f>
        <v>male</v>
      </c>
    </row>
    <row r="130" spans="1:9" x14ac:dyDescent="0.6">
      <c r="A130">
        <v>7</v>
      </c>
      <c r="B130" t="s">
        <v>14</v>
      </c>
      <c r="C130" t="s">
        <v>11</v>
      </c>
      <c r="D130">
        <v>209.9</v>
      </c>
      <c r="E130">
        <v>235.55</v>
      </c>
      <c r="F130">
        <v>36507</v>
      </c>
      <c r="H130">
        <f>_xlfn.LET(_xlpm.v, IFERROR(VLOOKUP($A130, manifest!$A:$E, 3, FALSE), ""), IF(OR(_xlpm.v=0, _xlpm.v=""), "", _xlpm.v))</f>
        <v>61</v>
      </c>
      <c r="I130" t="str">
        <f>_xlfn.LET(_xlpm.v, IFERROR(VLOOKUP($A130, manifest!$A:$E, 5, FALSE), ""), IF(OR(_xlpm.v=0, _xlpm.v=""), "", _xlpm.v))</f>
        <v>male</v>
      </c>
    </row>
    <row r="131" spans="1:9" x14ac:dyDescent="0.6">
      <c r="A131">
        <v>7</v>
      </c>
      <c r="B131" t="s">
        <v>14</v>
      </c>
      <c r="C131" t="s">
        <v>12</v>
      </c>
      <c r="D131">
        <v>208.62</v>
      </c>
      <c r="E131">
        <v>224.84</v>
      </c>
      <c r="F131">
        <v>38402</v>
      </c>
      <c r="H131">
        <f>_xlfn.LET(_xlpm.v, IFERROR(VLOOKUP($A131, manifest!$A:$E, 3, FALSE), ""), IF(OR(_xlpm.v=0, _xlpm.v=""), "", _xlpm.v))</f>
        <v>61</v>
      </c>
      <c r="I131" t="str">
        <f>_xlfn.LET(_xlpm.v, IFERROR(VLOOKUP($A131, manifest!$A:$E, 5, FALSE), ""), IF(OR(_xlpm.v=0, _xlpm.v=""), "", _xlpm.v))</f>
        <v>male</v>
      </c>
    </row>
    <row r="132" spans="1:9" x14ac:dyDescent="0.6">
      <c r="A132">
        <v>7</v>
      </c>
      <c r="B132" t="s">
        <v>14</v>
      </c>
      <c r="C132" t="s">
        <v>13</v>
      </c>
      <c r="D132">
        <v>198.81</v>
      </c>
      <c r="E132">
        <v>197.15</v>
      </c>
      <c r="F132">
        <v>49919</v>
      </c>
      <c r="H132">
        <f>_xlfn.LET(_xlpm.v, IFERROR(VLOOKUP($A132, manifest!$A:$E, 3, FALSE), ""), IF(OR(_xlpm.v=0, _xlpm.v=""), "", _xlpm.v))</f>
        <v>61</v>
      </c>
      <c r="I132" t="str">
        <f>_xlfn.LET(_xlpm.v, IFERROR(VLOOKUP($A132, manifest!$A:$E, 5, FALSE), ""), IF(OR(_xlpm.v=0, _xlpm.v=""), "", _xlpm.v))</f>
        <v>male</v>
      </c>
    </row>
    <row r="133" spans="1:9" x14ac:dyDescent="0.6">
      <c r="A133">
        <v>19</v>
      </c>
      <c r="B133" t="s">
        <v>14</v>
      </c>
      <c r="C133" t="s">
        <v>8</v>
      </c>
      <c r="D133">
        <v>239.66</v>
      </c>
      <c r="E133">
        <v>77.61</v>
      </c>
      <c r="F133">
        <v>29348</v>
      </c>
      <c r="G133" t="s">
        <v>9</v>
      </c>
      <c r="H133">
        <f>_xlfn.LET(_xlpm.v, IFERROR(VLOOKUP($A133, manifest!$A:$E, 3, FALSE), ""), IF(OR(_xlpm.v=0, _xlpm.v=""), "", _xlpm.v))</f>
        <v>51</v>
      </c>
      <c r="I133" t="str">
        <f>_xlfn.LET(_xlpm.v, IFERROR(VLOOKUP($A133, manifest!$A:$E, 5, FALSE), ""), IF(OR(_xlpm.v=0, _xlpm.v=""), "", _xlpm.v))</f>
        <v>female</v>
      </c>
    </row>
    <row r="134" spans="1:9" x14ac:dyDescent="0.6">
      <c r="A134">
        <v>19</v>
      </c>
      <c r="B134" t="s">
        <v>14</v>
      </c>
      <c r="C134" t="s">
        <v>10</v>
      </c>
      <c r="D134">
        <v>254.62</v>
      </c>
      <c r="E134">
        <v>92.77</v>
      </c>
      <c r="F134">
        <v>39106</v>
      </c>
      <c r="H134">
        <f>_xlfn.LET(_xlpm.v, IFERROR(VLOOKUP($A134, manifest!$A:$E, 3, FALSE), ""), IF(OR(_xlpm.v=0, _xlpm.v=""), "", _xlpm.v))</f>
        <v>51</v>
      </c>
      <c r="I134" t="str">
        <f>_xlfn.LET(_xlpm.v, IFERROR(VLOOKUP($A134, manifest!$A:$E, 5, FALSE), ""), IF(OR(_xlpm.v=0, _xlpm.v=""), "", _xlpm.v))</f>
        <v>female</v>
      </c>
    </row>
    <row r="135" spans="1:9" x14ac:dyDescent="0.6">
      <c r="A135">
        <v>19</v>
      </c>
      <c r="B135" t="s">
        <v>14</v>
      </c>
      <c r="C135" t="s">
        <v>11</v>
      </c>
      <c r="D135">
        <v>247.05</v>
      </c>
      <c r="E135">
        <v>94.53</v>
      </c>
      <c r="F135">
        <v>50735</v>
      </c>
      <c r="H135">
        <f>_xlfn.LET(_xlpm.v, IFERROR(VLOOKUP($A135, manifest!$A:$E, 3, FALSE), ""), IF(OR(_xlpm.v=0, _xlpm.v=""), "", _xlpm.v))</f>
        <v>51</v>
      </c>
      <c r="I135" t="str">
        <f>_xlfn.LET(_xlpm.v, IFERROR(VLOOKUP($A135, manifest!$A:$E, 5, FALSE), ""), IF(OR(_xlpm.v=0, _xlpm.v=""), "", _xlpm.v))</f>
        <v>female</v>
      </c>
    </row>
    <row r="136" spans="1:9" x14ac:dyDescent="0.6">
      <c r="A136">
        <v>19</v>
      </c>
      <c r="B136" t="s">
        <v>14</v>
      </c>
      <c r="C136" t="s">
        <v>12</v>
      </c>
      <c r="D136">
        <v>256.82</v>
      </c>
      <c r="E136">
        <v>121.67</v>
      </c>
      <c r="F136">
        <v>55775</v>
      </c>
      <c r="H136">
        <f>_xlfn.LET(_xlpm.v, IFERROR(VLOOKUP($A136, manifest!$A:$E, 3, FALSE), ""), IF(OR(_xlpm.v=0, _xlpm.v=""), "", _xlpm.v))</f>
        <v>51</v>
      </c>
      <c r="I136" t="str">
        <f>_xlfn.LET(_xlpm.v, IFERROR(VLOOKUP($A136, manifest!$A:$E, 5, FALSE), ""), IF(OR(_xlpm.v=0, _xlpm.v=""), "", _xlpm.v))</f>
        <v>female</v>
      </c>
    </row>
    <row r="137" spans="1:9" x14ac:dyDescent="0.6">
      <c r="A137">
        <v>19</v>
      </c>
      <c r="B137" t="s">
        <v>14</v>
      </c>
      <c r="C137" t="s">
        <v>13</v>
      </c>
      <c r="D137">
        <v>248.38</v>
      </c>
      <c r="E137">
        <v>132.22</v>
      </c>
      <c r="F137">
        <v>59608</v>
      </c>
      <c r="H137">
        <f>_xlfn.LET(_xlpm.v, IFERROR(VLOOKUP($A137, manifest!$A:$E, 3, FALSE), ""), IF(OR(_xlpm.v=0, _xlpm.v=""), "", _xlpm.v))</f>
        <v>51</v>
      </c>
      <c r="I137" t="str">
        <f>_xlfn.LET(_xlpm.v, IFERROR(VLOOKUP($A137, manifest!$A:$E, 5, FALSE), ""), IF(OR(_xlpm.v=0, _xlpm.v=""), "", _xlpm.v))</f>
        <v>female</v>
      </c>
    </row>
    <row r="138" spans="1:9" x14ac:dyDescent="0.6">
      <c r="A138">
        <v>23</v>
      </c>
      <c r="B138" t="s">
        <v>14</v>
      </c>
      <c r="C138" t="s">
        <v>8</v>
      </c>
      <c r="D138">
        <v>312.77999999999997</v>
      </c>
      <c r="E138">
        <v>154.88999999999999</v>
      </c>
      <c r="F138">
        <v>14255</v>
      </c>
      <c r="G138" t="s">
        <v>9</v>
      </c>
      <c r="H138">
        <f>_xlfn.LET(_xlpm.v, IFERROR(VLOOKUP($A138, manifest!$A:$E, 3, FALSE), ""), IF(OR(_xlpm.v=0, _xlpm.v=""), "", _xlpm.v))</f>
        <v>52</v>
      </c>
      <c r="I138" t="str">
        <f>_xlfn.LET(_xlpm.v, IFERROR(VLOOKUP($A138, manifest!$A:$E, 5, FALSE), ""), IF(OR(_xlpm.v=0, _xlpm.v=""), "", _xlpm.v))</f>
        <v>female</v>
      </c>
    </row>
    <row r="139" spans="1:9" x14ac:dyDescent="0.6">
      <c r="A139">
        <v>23</v>
      </c>
      <c r="B139" t="s">
        <v>14</v>
      </c>
      <c r="C139" t="s">
        <v>10</v>
      </c>
      <c r="D139">
        <v>323.83999999999997</v>
      </c>
      <c r="E139">
        <v>186.59</v>
      </c>
      <c r="F139">
        <v>15991</v>
      </c>
      <c r="H139">
        <f>_xlfn.LET(_xlpm.v, IFERROR(VLOOKUP($A139, manifest!$A:$E, 3, FALSE), ""), IF(OR(_xlpm.v=0, _xlpm.v=""), "", _xlpm.v))</f>
        <v>52</v>
      </c>
      <c r="I139" t="str">
        <f>_xlfn.LET(_xlpm.v, IFERROR(VLOOKUP($A139, manifest!$A:$E, 5, FALSE), ""), IF(OR(_xlpm.v=0, _xlpm.v=""), "", _xlpm.v))</f>
        <v>female</v>
      </c>
    </row>
    <row r="140" spans="1:9" x14ac:dyDescent="0.6">
      <c r="A140">
        <v>23</v>
      </c>
      <c r="B140" t="s">
        <v>14</v>
      </c>
      <c r="C140" t="s">
        <v>11</v>
      </c>
      <c r="D140">
        <v>343.96</v>
      </c>
      <c r="E140">
        <v>225.98</v>
      </c>
      <c r="F140">
        <v>17126</v>
      </c>
      <c r="H140">
        <f>_xlfn.LET(_xlpm.v, IFERROR(VLOOKUP($A140, manifest!$A:$E, 3, FALSE), ""), IF(OR(_xlpm.v=0, _xlpm.v=""), "", _xlpm.v))</f>
        <v>52</v>
      </c>
      <c r="I140" t="str">
        <f>_xlfn.LET(_xlpm.v, IFERROR(VLOOKUP($A140, manifest!$A:$E, 5, FALSE), ""), IF(OR(_xlpm.v=0, _xlpm.v=""), "", _xlpm.v))</f>
        <v>female</v>
      </c>
    </row>
    <row r="141" spans="1:9" x14ac:dyDescent="0.6">
      <c r="A141">
        <v>23</v>
      </c>
      <c r="B141" t="s">
        <v>14</v>
      </c>
      <c r="C141" t="s">
        <v>12</v>
      </c>
      <c r="D141">
        <v>334.17</v>
      </c>
      <c r="E141">
        <v>208.04</v>
      </c>
      <c r="F141">
        <v>19247</v>
      </c>
      <c r="H141">
        <f>_xlfn.LET(_xlpm.v, IFERROR(VLOOKUP($A141, manifest!$A:$E, 3, FALSE), ""), IF(OR(_xlpm.v=0, _xlpm.v=""), "", _xlpm.v))</f>
        <v>52</v>
      </c>
      <c r="I141" t="str">
        <f>_xlfn.LET(_xlpm.v, IFERROR(VLOOKUP($A141, manifest!$A:$E, 5, FALSE), ""), IF(OR(_xlpm.v=0, _xlpm.v=""), "", _xlpm.v))</f>
        <v>female</v>
      </c>
    </row>
    <row r="142" spans="1:9" x14ac:dyDescent="0.6">
      <c r="A142">
        <v>23</v>
      </c>
      <c r="B142" t="s">
        <v>14</v>
      </c>
      <c r="C142" t="s">
        <v>13</v>
      </c>
      <c r="D142">
        <v>324.17</v>
      </c>
      <c r="E142">
        <v>242.23</v>
      </c>
      <c r="F142">
        <v>27823</v>
      </c>
      <c r="H142">
        <f>_xlfn.LET(_xlpm.v, IFERROR(VLOOKUP($A142, manifest!$A:$E, 3, FALSE), ""), IF(OR(_xlpm.v=0, _xlpm.v=""), "", _xlpm.v))</f>
        <v>52</v>
      </c>
      <c r="I142" t="str">
        <f>_xlfn.LET(_xlpm.v, IFERROR(VLOOKUP($A142, manifest!$A:$E, 5, FALSE), ""), IF(OR(_xlpm.v=0, _xlpm.v=""), "", _xlpm.v))</f>
        <v>female</v>
      </c>
    </row>
    <row r="143" spans="1:9" x14ac:dyDescent="0.6">
      <c r="A143">
        <v>50</v>
      </c>
      <c r="B143" t="s">
        <v>7</v>
      </c>
      <c r="C143" t="s">
        <v>8</v>
      </c>
      <c r="D143">
        <v>190.97</v>
      </c>
      <c r="E143">
        <v>131.63999999999999</v>
      </c>
      <c r="F143">
        <v>41102</v>
      </c>
      <c r="G143" t="s">
        <v>9</v>
      </c>
      <c r="H143" t="str">
        <f>_xlfn.LET(_xlpm.v, IFERROR(VLOOKUP($A143, manifest!$A:$E, 3, FALSE), ""), IF(OR(_xlpm.v=0, _xlpm.v=""), "", _xlpm.v))</f>
        <v/>
      </c>
      <c r="I143" t="str">
        <f>_xlfn.LET(_xlpm.v, IFERROR(VLOOKUP($A143, manifest!$A:$E, 5, FALSE), ""), IF(OR(_xlpm.v=0, _xlpm.v=""), "", _xlpm.v))</f>
        <v>male</v>
      </c>
    </row>
    <row r="144" spans="1:9" x14ac:dyDescent="0.6">
      <c r="A144">
        <v>50</v>
      </c>
      <c r="B144" t="s">
        <v>7</v>
      </c>
      <c r="C144" t="s">
        <v>10</v>
      </c>
      <c r="D144">
        <v>207.76</v>
      </c>
      <c r="E144">
        <v>138.71</v>
      </c>
      <c r="F144">
        <v>45083</v>
      </c>
      <c r="H144" t="str">
        <f>_xlfn.LET(_xlpm.v, IFERROR(VLOOKUP($A144, manifest!$A:$E, 3, FALSE), ""), IF(OR(_xlpm.v=0, _xlpm.v=""), "", _xlpm.v))</f>
        <v/>
      </c>
      <c r="I144" t="str">
        <f>_xlfn.LET(_xlpm.v, IFERROR(VLOOKUP($A144, manifest!$A:$E, 5, FALSE), ""), IF(OR(_xlpm.v=0, _xlpm.v=""), "", _xlpm.v))</f>
        <v>male</v>
      </c>
    </row>
    <row r="145" spans="1:9" x14ac:dyDescent="0.6">
      <c r="A145">
        <v>50</v>
      </c>
      <c r="B145" t="s">
        <v>7</v>
      </c>
      <c r="C145" t="s">
        <v>11</v>
      </c>
      <c r="D145">
        <v>215.23</v>
      </c>
      <c r="E145">
        <v>175.96</v>
      </c>
      <c r="F145">
        <v>48281</v>
      </c>
      <c r="H145" t="str">
        <f>_xlfn.LET(_xlpm.v, IFERROR(VLOOKUP($A145, manifest!$A:$E, 3, FALSE), ""), IF(OR(_xlpm.v=0, _xlpm.v=""), "", _xlpm.v))</f>
        <v/>
      </c>
      <c r="I145" t="str">
        <f>_xlfn.LET(_xlpm.v, IFERROR(VLOOKUP($A145, manifest!$A:$E, 5, FALSE), ""), IF(OR(_xlpm.v=0, _xlpm.v=""), "", _xlpm.v))</f>
        <v>male</v>
      </c>
    </row>
    <row r="146" spans="1:9" x14ac:dyDescent="0.6">
      <c r="A146">
        <v>50</v>
      </c>
      <c r="B146" t="s">
        <v>7</v>
      </c>
      <c r="C146" t="s">
        <v>12</v>
      </c>
      <c r="D146">
        <v>209.67</v>
      </c>
      <c r="E146">
        <v>159.03</v>
      </c>
      <c r="F146">
        <v>58614</v>
      </c>
      <c r="H146" t="str">
        <f>_xlfn.LET(_xlpm.v, IFERROR(VLOOKUP($A146, manifest!$A:$E, 3, FALSE), ""), IF(OR(_xlpm.v=0, _xlpm.v=""), "", _xlpm.v))</f>
        <v/>
      </c>
      <c r="I146" t="str">
        <f>_xlfn.LET(_xlpm.v, IFERROR(VLOOKUP($A146, manifest!$A:$E, 5, FALSE), ""), IF(OR(_xlpm.v=0, _xlpm.v=""), "", _xlpm.v))</f>
        <v>male</v>
      </c>
    </row>
    <row r="147" spans="1:9" x14ac:dyDescent="0.6">
      <c r="A147">
        <v>50</v>
      </c>
      <c r="B147" t="s">
        <v>7</v>
      </c>
      <c r="C147" t="s">
        <v>13</v>
      </c>
      <c r="D147">
        <v>222.19</v>
      </c>
      <c r="E147">
        <v>151.93</v>
      </c>
      <c r="F147">
        <v>60584</v>
      </c>
      <c r="H147" t="str">
        <f>_xlfn.LET(_xlpm.v, IFERROR(VLOOKUP($A147, manifest!$A:$E, 3, FALSE), ""), IF(OR(_xlpm.v=0, _xlpm.v=""), "", _xlpm.v))</f>
        <v/>
      </c>
      <c r="I147" t="str">
        <f>_xlfn.LET(_xlpm.v, IFERROR(VLOOKUP($A147, manifest!$A:$E, 5, FALSE), ""), IF(OR(_xlpm.v=0, _xlpm.v=""), "", _xlpm.v))</f>
        <v>male</v>
      </c>
    </row>
    <row r="148" spans="1:9" x14ac:dyDescent="0.6">
      <c r="A148">
        <v>41</v>
      </c>
      <c r="B148" t="s">
        <v>7</v>
      </c>
      <c r="C148" t="s">
        <v>8</v>
      </c>
      <c r="D148">
        <v>232.16</v>
      </c>
      <c r="E148">
        <v>181.63</v>
      </c>
      <c r="F148">
        <v>36694</v>
      </c>
      <c r="G148" t="s">
        <v>9</v>
      </c>
      <c r="H148">
        <f>_xlfn.LET(_xlpm.v, IFERROR(VLOOKUP($A148, manifest!$A:$E, 3, FALSE), ""), IF(OR(_xlpm.v=0, _xlpm.v=""), "", _xlpm.v))</f>
        <v>63</v>
      </c>
      <c r="I148" t="str">
        <f>_xlfn.LET(_xlpm.v, IFERROR(VLOOKUP($A148, manifest!$A:$E, 5, FALSE), ""), IF(OR(_xlpm.v=0, _xlpm.v=""), "", _xlpm.v))</f>
        <v>female</v>
      </c>
    </row>
    <row r="149" spans="1:9" x14ac:dyDescent="0.6">
      <c r="A149">
        <v>41</v>
      </c>
      <c r="B149" t="s">
        <v>7</v>
      </c>
      <c r="C149" t="s">
        <v>10</v>
      </c>
      <c r="D149">
        <v>255.97</v>
      </c>
      <c r="E149">
        <v>190.58</v>
      </c>
      <c r="F149">
        <v>39875</v>
      </c>
      <c r="H149">
        <f>_xlfn.LET(_xlpm.v, IFERROR(VLOOKUP($A149, manifest!$A:$E, 3, FALSE), ""), IF(OR(_xlpm.v=0, _xlpm.v=""), "", _xlpm.v))</f>
        <v>63</v>
      </c>
      <c r="I149" t="str">
        <f>_xlfn.LET(_xlpm.v, IFERROR(VLOOKUP($A149, manifest!$A:$E, 5, FALSE), ""), IF(OR(_xlpm.v=0, _xlpm.v=""), "", _xlpm.v))</f>
        <v>female</v>
      </c>
    </row>
    <row r="150" spans="1:9" x14ac:dyDescent="0.6">
      <c r="A150">
        <v>41</v>
      </c>
      <c r="B150" t="s">
        <v>7</v>
      </c>
      <c r="C150" t="s">
        <v>11</v>
      </c>
      <c r="D150">
        <v>244.7</v>
      </c>
      <c r="E150">
        <v>177.27</v>
      </c>
      <c r="F150">
        <v>46677</v>
      </c>
      <c r="H150">
        <f>_xlfn.LET(_xlpm.v, IFERROR(VLOOKUP($A150, manifest!$A:$E, 3, FALSE), ""), IF(OR(_xlpm.v=0, _xlpm.v=""), "", _xlpm.v))</f>
        <v>63</v>
      </c>
      <c r="I150" t="str">
        <f>_xlfn.LET(_xlpm.v, IFERROR(VLOOKUP($A150, manifest!$A:$E, 5, FALSE), ""), IF(OR(_xlpm.v=0, _xlpm.v=""), "", _xlpm.v))</f>
        <v>female</v>
      </c>
    </row>
    <row r="151" spans="1:9" x14ac:dyDescent="0.6">
      <c r="A151">
        <v>41</v>
      </c>
      <c r="B151" t="s">
        <v>7</v>
      </c>
      <c r="C151" t="s">
        <v>12</v>
      </c>
      <c r="D151">
        <v>234.93</v>
      </c>
      <c r="E151">
        <v>174.83</v>
      </c>
      <c r="F151">
        <v>51786</v>
      </c>
      <c r="H151">
        <f>_xlfn.LET(_xlpm.v, IFERROR(VLOOKUP($A151, manifest!$A:$E, 3, FALSE), ""), IF(OR(_xlpm.v=0, _xlpm.v=""), "", _xlpm.v))</f>
        <v>63</v>
      </c>
      <c r="I151" t="str">
        <f>_xlfn.LET(_xlpm.v, IFERROR(VLOOKUP($A151, manifest!$A:$E, 5, FALSE), ""), IF(OR(_xlpm.v=0, _xlpm.v=""), "", _xlpm.v))</f>
        <v>female</v>
      </c>
    </row>
    <row r="152" spans="1:9" x14ac:dyDescent="0.6">
      <c r="A152">
        <v>41</v>
      </c>
      <c r="B152" t="s">
        <v>7</v>
      </c>
      <c r="C152" t="s">
        <v>13</v>
      </c>
      <c r="D152">
        <v>242.23</v>
      </c>
      <c r="E152">
        <v>194.8</v>
      </c>
      <c r="F152">
        <v>62178</v>
      </c>
      <c r="H152">
        <f>_xlfn.LET(_xlpm.v, IFERROR(VLOOKUP($A152, manifest!$A:$E, 3, FALSE), ""), IF(OR(_xlpm.v=0, _xlpm.v=""), "", _xlpm.v))</f>
        <v>63</v>
      </c>
      <c r="I152" t="str">
        <f>_xlfn.LET(_xlpm.v, IFERROR(VLOOKUP($A152, manifest!$A:$E, 5, FALSE), ""), IF(OR(_xlpm.v=0, _xlpm.v=""), "", _xlpm.v))</f>
        <v>female</v>
      </c>
    </row>
    <row r="153" spans="1:9" x14ac:dyDescent="0.6">
      <c r="A153">
        <v>9</v>
      </c>
      <c r="B153" t="s">
        <v>14</v>
      </c>
      <c r="C153" t="s">
        <v>8</v>
      </c>
      <c r="D153">
        <v>234.82</v>
      </c>
      <c r="E153">
        <v>169.77</v>
      </c>
      <c r="F153">
        <v>26612</v>
      </c>
      <c r="G153" t="s">
        <v>9</v>
      </c>
      <c r="H153">
        <f>_xlfn.LET(_xlpm.v, IFERROR(VLOOKUP($A153, manifest!$A:$E, 3, FALSE), ""), IF(OR(_xlpm.v=0, _xlpm.v=""), "", _xlpm.v))</f>
        <v>50</v>
      </c>
      <c r="I153" t="str">
        <f>_xlfn.LET(_xlpm.v, IFERROR(VLOOKUP($A153, manifest!$A:$E, 5, FALSE), ""), IF(OR(_xlpm.v=0, _xlpm.v=""), "", _xlpm.v))</f>
        <v>female</v>
      </c>
    </row>
    <row r="154" spans="1:9" x14ac:dyDescent="0.6">
      <c r="A154">
        <v>9</v>
      </c>
      <c r="B154" t="s">
        <v>14</v>
      </c>
      <c r="C154" t="s">
        <v>10</v>
      </c>
      <c r="D154">
        <v>281.8</v>
      </c>
      <c r="E154">
        <v>220.33</v>
      </c>
      <c r="F154">
        <v>31694</v>
      </c>
      <c r="H154">
        <f>_xlfn.LET(_xlpm.v, IFERROR(VLOOKUP($A154, manifest!$A:$E, 3, FALSE), ""), IF(OR(_xlpm.v=0, _xlpm.v=""), "", _xlpm.v))</f>
        <v>50</v>
      </c>
      <c r="I154" t="str">
        <f>_xlfn.LET(_xlpm.v, IFERROR(VLOOKUP($A154, manifest!$A:$E, 5, FALSE), ""), IF(OR(_xlpm.v=0, _xlpm.v=""), "", _xlpm.v))</f>
        <v>female</v>
      </c>
    </row>
    <row r="155" spans="1:9" x14ac:dyDescent="0.6">
      <c r="A155">
        <v>9</v>
      </c>
      <c r="B155" t="s">
        <v>14</v>
      </c>
      <c r="C155" t="s">
        <v>11</v>
      </c>
      <c r="D155">
        <v>278.91000000000003</v>
      </c>
      <c r="E155">
        <v>229.17</v>
      </c>
      <c r="F155">
        <v>33331</v>
      </c>
      <c r="H155">
        <f>_xlfn.LET(_xlpm.v, IFERROR(VLOOKUP($A155, manifest!$A:$E, 3, FALSE), ""), IF(OR(_xlpm.v=0, _xlpm.v=""), "", _xlpm.v))</f>
        <v>50</v>
      </c>
      <c r="I155" t="str">
        <f>_xlfn.LET(_xlpm.v, IFERROR(VLOOKUP($A155, manifest!$A:$E, 5, FALSE), ""), IF(OR(_xlpm.v=0, _xlpm.v=""), "", _xlpm.v))</f>
        <v>female</v>
      </c>
    </row>
    <row r="156" spans="1:9" x14ac:dyDescent="0.6">
      <c r="A156">
        <v>9</v>
      </c>
      <c r="B156" t="s">
        <v>14</v>
      </c>
      <c r="C156" t="s">
        <v>12</v>
      </c>
      <c r="D156">
        <v>296.01</v>
      </c>
      <c r="E156">
        <v>238.48</v>
      </c>
      <c r="F156">
        <v>32641</v>
      </c>
      <c r="H156">
        <f>_xlfn.LET(_xlpm.v, IFERROR(VLOOKUP($A156, manifest!$A:$E, 3, FALSE), ""), IF(OR(_xlpm.v=0, _xlpm.v=""), "", _xlpm.v))</f>
        <v>50</v>
      </c>
      <c r="I156" t="str">
        <f>_xlfn.LET(_xlpm.v, IFERROR(VLOOKUP($A156, manifest!$A:$E, 5, FALSE), ""), IF(OR(_xlpm.v=0, _xlpm.v=""), "", _xlpm.v))</f>
        <v>female</v>
      </c>
    </row>
    <row r="157" spans="1:9" x14ac:dyDescent="0.6">
      <c r="A157">
        <v>9</v>
      </c>
      <c r="B157" t="s">
        <v>14</v>
      </c>
      <c r="C157" t="s">
        <v>13</v>
      </c>
      <c r="D157">
        <v>302.73</v>
      </c>
      <c r="E157">
        <v>244.56</v>
      </c>
      <c r="F157">
        <v>41835</v>
      </c>
      <c r="H157">
        <f>_xlfn.LET(_xlpm.v, IFERROR(VLOOKUP($A157, manifest!$A:$E, 3, FALSE), ""), IF(OR(_xlpm.v=0, _xlpm.v=""), "", _xlpm.v))</f>
        <v>50</v>
      </c>
      <c r="I157" t="str">
        <f>_xlfn.LET(_xlpm.v, IFERROR(VLOOKUP($A157, manifest!$A:$E, 5, FALSE), ""), IF(OR(_xlpm.v=0, _xlpm.v=""), "", _xlpm.v))</f>
        <v>female</v>
      </c>
    </row>
    <row r="158" spans="1:9" x14ac:dyDescent="0.6">
      <c r="A158">
        <v>18</v>
      </c>
      <c r="B158" t="s">
        <v>14</v>
      </c>
      <c r="C158" t="s">
        <v>8</v>
      </c>
      <c r="D158">
        <v>265.57</v>
      </c>
      <c r="E158">
        <v>113.84</v>
      </c>
      <c r="F158">
        <v>25549</v>
      </c>
      <c r="G158" t="s">
        <v>9</v>
      </c>
      <c r="H158" t="str">
        <f>_xlfn.LET(_xlpm.v, IFERROR(VLOOKUP($A158, manifest!$A:$E, 3, FALSE), ""), IF(OR(_xlpm.v=0, _xlpm.v=""), "", _xlpm.v))</f>
        <v/>
      </c>
      <c r="I158" t="str">
        <f>_xlfn.LET(_xlpm.v, IFERROR(VLOOKUP($A158, manifest!$A:$E, 5, FALSE), ""), IF(OR(_xlpm.v=0, _xlpm.v=""), "", _xlpm.v))</f>
        <v>female</v>
      </c>
    </row>
    <row r="159" spans="1:9" x14ac:dyDescent="0.6">
      <c r="A159">
        <v>18</v>
      </c>
      <c r="B159" t="s">
        <v>14</v>
      </c>
      <c r="C159" t="s">
        <v>10</v>
      </c>
      <c r="D159">
        <v>265.52</v>
      </c>
      <c r="E159">
        <v>148.66999999999999</v>
      </c>
      <c r="F159">
        <v>32703</v>
      </c>
      <c r="H159" t="str">
        <f>_xlfn.LET(_xlpm.v, IFERROR(VLOOKUP($A159, manifest!$A:$E, 3, FALSE), ""), IF(OR(_xlpm.v=0, _xlpm.v=""), "", _xlpm.v))</f>
        <v/>
      </c>
      <c r="I159" t="str">
        <f>_xlfn.LET(_xlpm.v, IFERROR(VLOOKUP($A159, manifest!$A:$E, 5, FALSE), ""), IF(OR(_xlpm.v=0, _xlpm.v=""), "", _xlpm.v))</f>
        <v>female</v>
      </c>
    </row>
    <row r="160" spans="1:9" x14ac:dyDescent="0.6">
      <c r="A160">
        <v>18</v>
      </c>
      <c r="B160" t="s">
        <v>14</v>
      </c>
      <c r="C160" t="s">
        <v>11</v>
      </c>
      <c r="D160">
        <v>250.11</v>
      </c>
      <c r="E160">
        <v>118.22</v>
      </c>
      <c r="F160">
        <v>35226</v>
      </c>
      <c r="H160" t="str">
        <f>_xlfn.LET(_xlpm.v, IFERROR(VLOOKUP($A160, manifest!$A:$E, 3, FALSE), ""), IF(OR(_xlpm.v=0, _xlpm.v=""), "", _xlpm.v))</f>
        <v/>
      </c>
      <c r="I160" t="str">
        <f>_xlfn.LET(_xlpm.v, IFERROR(VLOOKUP($A160, manifest!$A:$E, 5, FALSE), ""), IF(OR(_xlpm.v=0, _xlpm.v=""), "", _xlpm.v))</f>
        <v>female</v>
      </c>
    </row>
    <row r="161" spans="1:9" x14ac:dyDescent="0.6">
      <c r="A161">
        <v>18</v>
      </c>
      <c r="B161" t="s">
        <v>14</v>
      </c>
      <c r="C161" t="s">
        <v>12</v>
      </c>
      <c r="D161">
        <v>254.48</v>
      </c>
      <c r="E161">
        <v>130.78</v>
      </c>
      <c r="F161">
        <v>51094</v>
      </c>
      <c r="H161" t="str">
        <f>_xlfn.LET(_xlpm.v, IFERROR(VLOOKUP($A161, manifest!$A:$E, 3, FALSE), ""), IF(OR(_xlpm.v=0, _xlpm.v=""), "", _xlpm.v))</f>
        <v/>
      </c>
      <c r="I161" t="str">
        <f>_xlfn.LET(_xlpm.v, IFERROR(VLOOKUP($A161, manifest!$A:$E, 5, FALSE), ""), IF(OR(_xlpm.v=0, _xlpm.v=""), "", _xlpm.v))</f>
        <v>female</v>
      </c>
    </row>
    <row r="162" spans="1:9" x14ac:dyDescent="0.6">
      <c r="A162">
        <v>18</v>
      </c>
      <c r="B162" t="s">
        <v>14</v>
      </c>
      <c r="C162" t="s">
        <v>13</v>
      </c>
      <c r="D162">
        <v>247.47</v>
      </c>
      <c r="E162">
        <v>145.88</v>
      </c>
      <c r="F162">
        <v>52488</v>
      </c>
      <c r="H162" t="str">
        <f>_xlfn.LET(_xlpm.v, IFERROR(VLOOKUP($A162, manifest!$A:$E, 3, FALSE), ""), IF(OR(_xlpm.v=0, _xlpm.v=""), "", _xlpm.v))</f>
        <v/>
      </c>
      <c r="I162" t="str">
        <f>_xlfn.LET(_xlpm.v, IFERROR(VLOOKUP($A162, manifest!$A:$E, 5, FALSE), ""), IF(OR(_xlpm.v=0, _xlpm.v=""), "", _xlpm.v))</f>
        <v>female</v>
      </c>
    </row>
    <row r="163" spans="1:9" x14ac:dyDescent="0.6">
      <c r="A163">
        <v>3</v>
      </c>
      <c r="B163" t="s">
        <v>7</v>
      </c>
      <c r="C163" t="s">
        <v>8</v>
      </c>
      <c r="D163">
        <v>215.1</v>
      </c>
      <c r="E163">
        <v>105.06</v>
      </c>
      <c r="F163">
        <v>35606</v>
      </c>
      <c r="G163" t="s">
        <v>9</v>
      </c>
      <c r="H163">
        <f>_xlfn.LET(_xlpm.v, IFERROR(VLOOKUP($A163, manifest!$A:$E, 3, FALSE), ""), IF(OR(_xlpm.v=0, _xlpm.v=""), "", _xlpm.v))</f>
        <v>65</v>
      </c>
      <c r="I163" t="str">
        <f>_xlfn.LET(_xlpm.v, IFERROR(VLOOKUP($A163, manifest!$A:$E, 5, FALSE), ""), IF(OR(_xlpm.v=0, _xlpm.v=""), "", _xlpm.v))</f>
        <v>male</v>
      </c>
    </row>
    <row r="164" spans="1:9" x14ac:dyDescent="0.6">
      <c r="A164">
        <v>3</v>
      </c>
      <c r="B164" t="s">
        <v>7</v>
      </c>
      <c r="C164" t="s">
        <v>10</v>
      </c>
      <c r="D164">
        <v>336.63</v>
      </c>
      <c r="E164">
        <v>197.76</v>
      </c>
      <c r="F164">
        <v>39538</v>
      </c>
      <c r="H164">
        <f>_xlfn.LET(_xlpm.v, IFERROR(VLOOKUP($A164, manifest!$A:$E, 3, FALSE), ""), IF(OR(_xlpm.v=0, _xlpm.v=""), "", _xlpm.v))</f>
        <v>65</v>
      </c>
      <c r="I164" t="str">
        <f>_xlfn.LET(_xlpm.v, IFERROR(VLOOKUP($A164, manifest!$A:$E, 5, FALSE), ""), IF(OR(_xlpm.v=0, _xlpm.v=""), "", _xlpm.v))</f>
        <v>male</v>
      </c>
    </row>
    <row r="165" spans="1:9" x14ac:dyDescent="0.6">
      <c r="A165">
        <v>3</v>
      </c>
      <c r="B165" t="s">
        <v>7</v>
      </c>
      <c r="C165" t="s">
        <v>11</v>
      </c>
      <c r="D165">
        <v>246.95</v>
      </c>
      <c r="E165">
        <v>161.72999999999999</v>
      </c>
      <c r="F165">
        <v>45532</v>
      </c>
      <c r="H165">
        <f>_xlfn.LET(_xlpm.v, IFERROR(VLOOKUP($A165, manifest!$A:$E, 3, FALSE), ""), IF(OR(_xlpm.v=0, _xlpm.v=""), "", _xlpm.v))</f>
        <v>65</v>
      </c>
      <c r="I165" t="str">
        <f>_xlfn.LET(_xlpm.v, IFERROR(VLOOKUP($A165, manifest!$A:$E, 5, FALSE), ""), IF(OR(_xlpm.v=0, _xlpm.v=""), "", _xlpm.v))</f>
        <v>male</v>
      </c>
    </row>
    <row r="166" spans="1:9" x14ac:dyDescent="0.6">
      <c r="A166">
        <v>3</v>
      </c>
      <c r="B166" t="s">
        <v>7</v>
      </c>
      <c r="C166" t="s">
        <v>12</v>
      </c>
      <c r="D166">
        <v>217.44</v>
      </c>
      <c r="E166">
        <v>138.99</v>
      </c>
      <c r="F166">
        <v>48647</v>
      </c>
      <c r="H166">
        <f>_xlfn.LET(_xlpm.v, IFERROR(VLOOKUP($A166, manifest!$A:$E, 3, FALSE), ""), IF(OR(_xlpm.v=0, _xlpm.v=""), "", _xlpm.v))</f>
        <v>65</v>
      </c>
      <c r="I166" t="str">
        <f>_xlfn.LET(_xlpm.v, IFERROR(VLOOKUP($A166, manifest!$A:$E, 5, FALSE), ""), IF(OR(_xlpm.v=0, _xlpm.v=""), "", _xlpm.v))</f>
        <v>male</v>
      </c>
    </row>
    <row r="167" spans="1:9" x14ac:dyDescent="0.6">
      <c r="A167">
        <v>3</v>
      </c>
      <c r="B167" t="s">
        <v>7</v>
      </c>
      <c r="C167" t="s">
        <v>13</v>
      </c>
      <c r="D167">
        <v>240.13</v>
      </c>
      <c r="E167">
        <v>140.91</v>
      </c>
      <c r="F167">
        <v>50691</v>
      </c>
      <c r="H167">
        <f>_xlfn.LET(_xlpm.v, IFERROR(VLOOKUP($A167, manifest!$A:$E, 3, FALSE), ""), IF(OR(_xlpm.v=0, _xlpm.v=""), "", _xlpm.v))</f>
        <v>65</v>
      </c>
      <c r="I167" t="str">
        <f>_xlfn.LET(_xlpm.v, IFERROR(VLOOKUP($A167, manifest!$A:$E, 5, FALSE), ""), IF(OR(_xlpm.v=0, _xlpm.v=""), "", _xlpm.v))</f>
        <v>male</v>
      </c>
    </row>
    <row r="168" spans="1:9" x14ac:dyDescent="0.6">
      <c r="A168">
        <v>45</v>
      </c>
      <c r="B168" t="s">
        <v>7</v>
      </c>
      <c r="C168" t="s">
        <v>8</v>
      </c>
      <c r="D168">
        <v>221.15</v>
      </c>
      <c r="E168">
        <v>138.54</v>
      </c>
      <c r="F168">
        <v>27598</v>
      </c>
      <c r="G168" t="s">
        <v>9</v>
      </c>
      <c r="H168">
        <f>_xlfn.LET(_xlpm.v, IFERROR(VLOOKUP($A168, manifest!$A:$E, 3, FALSE), ""), IF(OR(_xlpm.v=0, _xlpm.v=""), "", _xlpm.v))</f>
        <v>55</v>
      </c>
      <c r="I168" t="str">
        <f>_xlfn.LET(_xlpm.v, IFERROR(VLOOKUP($A168, manifest!$A:$E, 5, FALSE), ""), IF(OR(_xlpm.v=0, _xlpm.v=""), "", _xlpm.v))</f>
        <v>female</v>
      </c>
    </row>
    <row r="169" spans="1:9" x14ac:dyDescent="0.6">
      <c r="A169">
        <v>45</v>
      </c>
      <c r="B169" t="s">
        <v>7</v>
      </c>
      <c r="C169" t="s">
        <v>10</v>
      </c>
      <c r="D169">
        <v>223.68</v>
      </c>
      <c r="E169">
        <v>132.07</v>
      </c>
      <c r="F169">
        <v>29900</v>
      </c>
      <c r="H169">
        <f>_xlfn.LET(_xlpm.v, IFERROR(VLOOKUP($A169, manifest!$A:$E, 3, FALSE), ""), IF(OR(_xlpm.v=0, _xlpm.v=""), "", _xlpm.v))</f>
        <v>55</v>
      </c>
      <c r="I169" t="str">
        <f>_xlfn.LET(_xlpm.v, IFERROR(VLOOKUP($A169, manifest!$A:$E, 5, FALSE), ""), IF(OR(_xlpm.v=0, _xlpm.v=""), "", _xlpm.v))</f>
        <v>female</v>
      </c>
    </row>
    <row r="170" spans="1:9" x14ac:dyDescent="0.6">
      <c r="A170">
        <v>45</v>
      </c>
      <c r="B170" t="s">
        <v>7</v>
      </c>
      <c r="C170" t="s">
        <v>11</v>
      </c>
      <c r="D170">
        <v>217.85</v>
      </c>
      <c r="E170">
        <v>139.56</v>
      </c>
      <c r="F170">
        <v>38278</v>
      </c>
      <c r="H170">
        <f>_xlfn.LET(_xlpm.v, IFERROR(VLOOKUP($A170, manifest!$A:$E, 3, FALSE), ""), IF(OR(_xlpm.v=0, _xlpm.v=""), "", _xlpm.v))</f>
        <v>55</v>
      </c>
      <c r="I170" t="str">
        <f>_xlfn.LET(_xlpm.v, IFERROR(VLOOKUP($A170, manifest!$A:$E, 5, FALSE), ""), IF(OR(_xlpm.v=0, _xlpm.v=""), "", _xlpm.v))</f>
        <v>female</v>
      </c>
    </row>
    <row r="171" spans="1:9" x14ac:dyDescent="0.6">
      <c r="A171">
        <v>45</v>
      </c>
      <c r="B171" t="s">
        <v>7</v>
      </c>
      <c r="C171" t="s">
        <v>12</v>
      </c>
      <c r="D171">
        <v>215.6</v>
      </c>
      <c r="E171">
        <v>147.69999999999999</v>
      </c>
      <c r="F171">
        <v>52897</v>
      </c>
      <c r="H171">
        <f>_xlfn.LET(_xlpm.v, IFERROR(VLOOKUP($A171, manifest!$A:$E, 3, FALSE), ""), IF(OR(_xlpm.v=0, _xlpm.v=""), "", _xlpm.v))</f>
        <v>55</v>
      </c>
      <c r="I171" t="str">
        <f>_xlfn.LET(_xlpm.v, IFERROR(VLOOKUP($A171, manifest!$A:$E, 5, FALSE), ""), IF(OR(_xlpm.v=0, _xlpm.v=""), "", _xlpm.v))</f>
        <v>female</v>
      </c>
    </row>
    <row r="172" spans="1:9" x14ac:dyDescent="0.6">
      <c r="A172">
        <v>45</v>
      </c>
      <c r="B172" t="s">
        <v>7</v>
      </c>
      <c r="C172" t="s">
        <v>13</v>
      </c>
      <c r="D172">
        <v>219.55</v>
      </c>
      <c r="E172">
        <v>156.31</v>
      </c>
      <c r="F172">
        <v>44447</v>
      </c>
      <c r="H172">
        <f>_xlfn.LET(_xlpm.v, IFERROR(VLOOKUP($A172, manifest!$A:$E, 3, FALSE), ""), IF(OR(_xlpm.v=0, _xlpm.v=""), "", _xlpm.v))</f>
        <v>55</v>
      </c>
      <c r="I172" t="str">
        <f>_xlfn.LET(_xlpm.v, IFERROR(VLOOKUP($A172, manifest!$A:$E, 5, FALSE), ""), IF(OR(_xlpm.v=0, _xlpm.v=""), "", _xlpm.v))</f>
        <v>female</v>
      </c>
    </row>
    <row r="173" spans="1:9" x14ac:dyDescent="0.6">
      <c r="A173">
        <v>40</v>
      </c>
      <c r="B173" t="s">
        <v>7</v>
      </c>
      <c r="C173" t="s">
        <v>8</v>
      </c>
      <c r="D173">
        <v>188.11</v>
      </c>
      <c r="E173">
        <v>172.11</v>
      </c>
      <c r="F173">
        <v>28596</v>
      </c>
      <c r="G173" t="s">
        <v>9</v>
      </c>
      <c r="H173">
        <f>_xlfn.LET(_xlpm.v, IFERROR(VLOOKUP($A173, manifest!$A:$E, 3, FALSE), ""), IF(OR(_xlpm.v=0, _xlpm.v=""), "", _xlpm.v))</f>
        <v>71</v>
      </c>
      <c r="I173" t="str">
        <f>_xlfn.LET(_xlpm.v, IFERROR(VLOOKUP($A173, manifest!$A:$E, 5, FALSE), ""), IF(OR(_xlpm.v=0, _xlpm.v=""), "", _xlpm.v))</f>
        <v>male</v>
      </c>
    </row>
    <row r="174" spans="1:9" x14ac:dyDescent="0.6">
      <c r="A174">
        <v>40</v>
      </c>
      <c r="B174" t="s">
        <v>7</v>
      </c>
      <c r="C174" t="s">
        <v>10</v>
      </c>
      <c r="D174">
        <v>194.54</v>
      </c>
      <c r="E174">
        <v>165.87</v>
      </c>
      <c r="F174">
        <v>37723</v>
      </c>
      <c r="H174">
        <f>_xlfn.LET(_xlpm.v, IFERROR(VLOOKUP($A174, manifest!$A:$E, 3, FALSE), ""), IF(OR(_xlpm.v=0, _xlpm.v=""), "", _xlpm.v))</f>
        <v>71</v>
      </c>
      <c r="I174" t="str">
        <f>_xlfn.LET(_xlpm.v, IFERROR(VLOOKUP($A174, manifest!$A:$E, 5, FALSE), ""), IF(OR(_xlpm.v=0, _xlpm.v=""), "", _xlpm.v))</f>
        <v>male</v>
      </c>
    </row>
    <row r="175" spans="1:9" x14ac:dyDescent="0.6">
      <c r="A175">
        <v>40</v>
      </c>
      <c r="B175" t="s">
        <v>7</v>
      </c>
      <c r="C175" t="s">
        <v>11</v>
      </c>
      <c r="D175">
        <v>180.48</v>
      </c>
      <c r="E175">
        <v>168.68</v>
      </c>
      <c r="F175">
        <v>39946</v>
      </c>
      <c r="H175">
        <f>_xlfn.LET(_xlpm.v, IFERROR(VLOOKUP($A175, manifest!$A:$E, 3, FALSE), ""), IF(OR(_xlpm.v=0, _xlpm.v=""), "", _xlpm.v))</f>
        <v>71</v>
      </c>
      <c r="I175" t="str">
        <f>_xlfn.LET(_xlpm.v, IFERROR(VLOOKUP($A175, manifest!$A:$E, 5, FALSE), ""), IF(OR(_xlpm.v=0, _xlpm.v=""), "", _xlpm.v))</f>
        <v>male</v>
      </c>
    </row>
    <row r="176" spans="1:9" x14ac:dyDescent="0.6">
      <c r="A176">
        <v>40</v>
      </c>
      <c r="B176" t="s">
        <v>7</v>
      </c>
      <c r="C176" t="s">
        <v>12</v>
      </c>
      <c r="D176">
        <v>204.76</v>
      </c>
      <c r="E176">
        <v>184.98</v>
      </c>
      <c r="F176">
        <v>36876</v>
      </c>
      <c r="H176">
        <f>_xlfn.LET(_xlpm.v, IFERROR(VLOOKUP($A176, manifest!$A:$E, 3, FALSE), ""), IF(OR(_xlpm.v=0, _xlpm.v=""), "", _xlpm.v))</f>
        <v>71</v>
      </c>
      <c r="I176" t="str">
        <f>_xlfn.LET(_xlpm.v, IFERROR(VLOOKUP($A176, manifest!$A:$E, 5, FALSE), ""), IF(OR(_xlpm.v=0, _xlpm.v=""), "", _xlpm.v))</f>
        <v>male</v>
      </c>
    </row>
    <row r="177" spans="1:9" x14ac:dyDescent="0.6">
      <c r="A177">
        <v>40</v>
      </c>
      <c r="B177" t="s">
        <v>7</v>
      </c>
      <c r="C177" t="s">
        <v>13</v>
      </c>
      <c r="D177">
        <v>228.22</v>
      </c>
      <c r="E177">
        <v>166.52</v>
      </c>
      <c r="F177">
        <v>51690</v>
      </c>
      <c r="H177">
        <f>_xlfn.LET(_xlpm.v, IFERROR(VLOOKUP($A177, manifest!$A:$E, 3, FALSE), ""), IF(OR(_xlpm.v=0, _xlpm.v=""), "", _xlpm.v))</f>
        <v>71</v>
      </c>
      <c r="I177" t="str">
        <f>_xlfn.LET(_xlpm.v, IFERROR(VLOOKUP($A177, manifest!$A:$E, 5, FALSE), ""), IF(OR(_xlpm.v=0, _xlpm.v=""), "", _xlpm.v))</f>
        <v>male</v>
      </c>
    </row>
    <row r="178" spans="1:9" x14ac:dyDescent="0.6">
      <c r="A178">
        <v>21</v>
      </c>
      <c r="B178" t="s">
        <v>14</v>
      </c>
      <c r="C178" t="s">
        <v>8</v>
      </c>
      <c r="D178">
        <v>150.69</v>
      </c>
      <c r="E178">
        <v>161.37</v>
      </c>
      <c r="F178">
        <v>35422</v>
      </c>
      <c r="G178" t="s">
        <v>15</v>
      </c>
      <c r="H178">
        <f>_xlfn.LET(_xlpm.v, IFERROR(VLOOKUP($A178, manifest!$A:$E, 3, FALSE), ""), IF(OR(_xlpm.v=0, _xlpm.v=""), "", _xlpm.v))</f>
        <v>51</v>
      </c>
      <c r="I178" t="str">
        <f>_xlfn.LET(_xlpm.v, IFERROR(VLOOKUP($A178, manifest!$A:$E, 5, FALSE), ""), IF(OR(_xlpm.v=0, _xlpm.v=""), "", _xlpm.v))</f>
        <v>male</v>
      </c>
    </row>
    <row r="179" spans="1:9" x14ac:dyDescent="0.6">
      <c r="A179">
        <v>21</v>
      </c>
      <c r="B179" t="s">
        <v>14</v>
      </c>
      <c r="C179" t="s">
        <v>10</v>
      </c>
      <c r="D179">
        <v>170.34</v>
      </c>
      <c r="E179">
        <v>211.89</v>
      </c>
      <c r="F179">
        <v>33625</v>
      </c>
      <c r="H179">
        <f>_xlfn.LET(_xlpm.v, IFERROR(VLOOKUP($A179, manifest!$A:$E, 3, FALSE), ""), IF(OR(_xlpm.v=0, _xlpm.v=""), "", _xlpm.v))</f>
        <v>51</v>
      </c>
      <c r="I179" t="str">
        <f>_xlfn.LET(_xlpm.v, IFERROR(VLOOKUP($A179, manifest!$A:$E, 5, FALSE), ""), IF(OR(_xlpm.v=0, _xlpm.v=""), "", _xlpm.v))</f>
        <v>male</v>
      </c>
    </row>
    <row r="180" spans="1:9" x14ac:dyDescent="0.6">
      <c r="A180">
        <v>21</v>
      </c>
      <c r="B180" t="s">
        <v>14</v>
      </c>
      <c r="C180" t="s">
        <v>11</v>
      </c>
      <c r="D180">
        <v>170.47</v>
      </c>
      <c r="E180">
        <v>222.52</v>
      </c>
      <c r="F180">
        <v>41850</v>
      </c>
      <c r="H180">
        <f>_xlfn.LET(_xlpm.v, IFERROR(VLOOKUP($A180, manifest!$A:$E, 3, FALSE), ""), IF(OR(_xlpm.v=0, _xlpm.v=""), "", _xlpm.v))</f>
        <v>51</v>
      </c>
      <c r="I180" t="str">
        <f>_xlfn.LET(_xlpm.v, IFERROR(VLOOKUP($A180, manifest!$A:$E, 5, FALSE), ""), IF(OR(_xlpm.v=0, _xlpm.v=""), "", _xlpm.v))</f>
        <v>male</v>
      </c>
    </row>
    <row r="181" spans="1:9" x14ac:dyDescent="0.6">
      <c r="A181">
        <v>21</v>
      </c>
      <c r="B181" t="s">
        <v>14</v>
      </c>
      <c r="C181" t="s">
        <v>12</v>
      </c>
      <c r="D181">
        <v>160.57</v>
      </c>
      <c r="E181">
        <v>210.6</v>
      </c>
      <c r="F181">
        <v>47286</v>
      </c>
      <c r="H181">
        <f>_xlfn.LET(_xlpm.v, IFERROR(VLOOKUP($A181, manifest!$A:$E, 3, FALSE), ""), IF(OR(_xlpm.v=0, _xlpm.v=""), "", _xlpm.v))</f>
        <v>51</v>
      </c>
      <c r="I181" t="str">
        <f>_xlfn.LET(_xlpm.v, IFERROR(VLOOKUP($A181, manifest!$A:$E, 5, FALSE), ""), IF(OR(_xlpm.v=0, _xlpm.v=""), "", _xlpm.v))</f>
        <v>male</v>
      </c>
    </row>
    <row r="182" spans="1:9" x14ac:dyDescent="0.6">
      <c r="A182">
        <v>21</v>
      </c>
      <c r="B182" t="s">
        <v>14</v>
      </c>
      <c r="C182" t="s">
        <v>13</v>
      </c>
      <c r="D182">
        <v>151.38999999999999</v>
      </c>
      <c r="E182">
        <v>189.71</v>
      </c>
      <c r="F182">
        <v>57390</v>
      </c>
      <c r="H182">
        <f>_xlfn.LET(_xlpm.v, IFERROR(VLOOKUP($A182, manifest!$A:$E, 3, FALSE), ""), IF(OR(_xlpm.v=0, _xlpm.v=""), "", _xlpm.v))</f>
        <v>51</v>
      </c>
      <c r="I182" t="str">
        <f>_xlfn.LET(_xlpm.v, IFERROR(VLOOKUP($A182, manifest!$A:$E, 5, FALSE), ""), IF(OR(_xlpm.v=0, _xlpm.v=""), "", _xlpm.v))</f>
        <v>male</v>
      </c>
    </row>
    <row r="183" spans="1:9" x14ac:dyDescent="0.6">
      <c r="A183">
        <v>1</v>
      </c>
      <c r="B183" t="s">
        <v>14</v>
      </c>
      <c r="C183" t="s">
        <v>8</v>
      </c>
      <c r="D183">
        <v>131.78</v>
      </c>
      <c r="E183">
        <v>99</v>
      </c>
      <c r="F183">
        <v>23979</v>
      </c>
      <c r="G183" t="s">
        <v>15</v>
      </c>
      <c r="H183">
        <f>_xlfn.LET(_xlpm.v, IFERROR(VLOOKUP($A183, manifest!$A:$E, 3, FALSE), ""), IF(OR(_xlpm.v=0, _xlpm.v=""), "", _xlpm.v))</f>
        <v>59</v>
      </c>
      <c r="I183" t="str">
        <f>_xlfn.LET(_xlpm.v, IFERROR(VLOOKUP($A183, manifest!$A:$E, 5, FALSE), ""), IF(OR(_xlpm.v=0, _xlpm.v=""), "", _xlpm.v))</f>
        <v>female</v>
      </c>
    </row>
    <row r="184" spans="1:9" x14ac:dyDescent="0.6">
      <c r="A184">
        <v>1</v>
      </c>
      <c r="B184" t="s">
        <v>14</v>
      </c>
      <c r="C184" t="s">
        <v>10</v>
      </c>
      <c r="D184">
        <v>152.44</v>
      </c>
      <c r="E184">
        <v>140.56</v>
      </c>
      <c r="F184">
        <v>24479</v>
      </c>
      <c r="H184">
        <f>_xlfn.LET(_xlpm.v, IFERROR(VLOOKUP($A184, manifest!$A:$E, 3, FALSE), ""), IF(OR(_xlpm.v=0, _xlpm.v=""), "", _xlpm.v))</f>
        <v>59</v>
      </c>
      <c r="I184" t="str">
        <f>_xlfn.LET(_xlpm.v, IFERROR(VLOOKUP($A184, manifest!$A:$E, 5, FALSE), ""), IF(OR(_xlpm.v=0, _xlpm.v=""), "", _xlpm.v))</f>
        <v>female</v>
      </c>
    </row>
    <row r="185" spans="1:9" x14ac:dyDescent="0.6">
      <c r="A185">
        <v>1</v>
      </c>
      <c r="B185" t="s">
        <v>14</v>
      </c>
      <c r="C185" t="s">
        <v>11</v>
      </c>
      <c r="D185">
        <v>135.91</v>
      </c>
      <c r="E185">
        <v>116.15</v>
      </c>
      <c r="F185">
        <v>30047</v>
      </c>
      <c r="H185">
        <f>_xlfn.LET(_xlpm.v, IFERROR(VLOOKUP($A185, manifest!$A:$E, 3, FALSE), ""), IF(OR(_xlpm.v=0, _xlpm.v=""), "", _xlpm.v))</f>
        <v>59</v>
      </c>
      <c r="I185" t="str">
        <f>_xlfn.LET(_xlpm.v, IFERROR(VLOOKUP($A185, manifest!$A:$E, 5, FALSE), ""), IF(OR(_xlpm.v=0, _xlpm.v=""), "", _xlpm.v))</f>
        <v>female</v>
      </c>
    </row>
    <row r="186" spans="1:9" x14ac:dyDescent="0.6">
      <c r="A186">
        <v>1</v>
      </c>
      <c r="B186" t="s">
        <v>14</v>
      </c>
      <c r="C186" t="s">
        <v>12</v>
      </c>
      <c r="D186">
        <v>135.01</v>
      </c>
      <c r="E186">
        <v>132.06</v>
      </c>
      <c r="F186">
        <v>30396</v>
      </c>
      <c r="H186">
        <f>_xlfn.LET(_xlpm.v, IFERROR(VLOOKUP($A186, manifest!$A:$E, 3, FALSE), ""), IF(OR(_xlpm.v=0, _xlpm.v=""), "", _xlpm.v))</f>
        <v>59</v>
      </c>
      <c r="I186" t="str">
        <f>_xlfn.LET(_xlpm.v, IFERROR(VLOOKUP($A186, manifest!$A:$E, 5, FALSE), ""), IF(OR(_xlpm.v=0, _xlpm.v=""), "", _xlpm.v))</f>
        <v>female</v>
      </c>
    </row>
    <row r="187" spans="1:9" x14ac:dyDescent="0.6">
      <c r="A187">
        <v>1</v>
      </c>
      <c r="B187" t="s">
        <v>14</v>
      </c>
      <c r="C187" t="s">
        <v>13</v>
      </c>
      <c r="D187">
        <v>142.1</v>
      </c>
      <c r="E187">
        <v>148.97</v>
      </c>
      <c r="F187">
        <v>35110</v>
      </c>
      <c r="H187">
        <f>_xlfn.LET(_xlpm.v, IFERROR(VLOOKUP($A187, manifest!$A:$E, 3, FALSE), ""), IF(OR(_xlpm.v=0, _xlpm.v=""), "", _xlpm.v))</f>
        <v>59</v>
      </c>
      <c r="I187" t="str">
        <f>_xlfn.LET(_xlpm.v, IFERROR(VLOOKUP($A187, manifest!$A:$E, 5, FALSE), ""), IF(OR(_xlpm.v=0, _xlpm.v=""), "", _xlpm.v))</f>
        <v>female</v>
      </c>
    </row>
    <row r="188" spans="1:9" x14ac:dyDescent="0.6">
      <c r="A188">
        <v>30</v>
      </c>
      <c r="B188" t="s">
        <v>14</v>
      </c>
      <c r="C188" t="s">
        <v>8</v>
      </c>
      <c r="D188">
        <v>251.79</v>
      </c>
      <c r="E188">
        <v>203.89</v>
      </c>
      <c r="F188">
        <v>35586</v>
      </c>
      <c r="G188" t="s">
        <v>9</v>
      </c>
      <c r="H188">
        <f>_xlfn.LET(_xlpm.v, IFERROR(VLOOKUP($A188, manifest!$A:$E, 3, FALSE), ""), IF(OR(_xlpm.v=0, _xlpm.v=""), "", _xlpm.v))</f>
        <v>70</v>
      </c>
      <c r="I188" t="str">
        <f>_xlfn.LET(_xlpm.v, IFERROR(VLOOKUP($A188, manifest!$A:$E, 5, FALSE), ""), IF(OR(_xlpm.v=0, _xlpm.v=""), "", _xlpm.v))</f>
        <v>male</v>
      </c>
    </row>
    <row r="189" spans="1:9" x14ac:dyDescent="0.6">
      <c r="A189">
        <v>30</v>
      </c>
      <c r="B189" t="s">
        <v>14</v>
      </c>
      <c r="C189" t="s">
        <v>10</v>
      </c>
      <c r="D189">
        <v>236.36</v>
      </c>
      <c r="E189">
        <v>197.9</v>
      </c>
      <c r="F189">
        <v>37983</v>
      </c>
      <c r="H189">
        <f>_xlfn.LET(_xlpm.v, IFERROR(VLOOKUP($A189, manifest!$A:$E, 3, FALSE), ""), IF(OR(_xlpm.v=0, _xlpm.v=""), "", _xlpm.v))</f>
        <v>70</v>
      </c>
      <c r="I189" t="str">
        <f>_xlfn.LET(_xlpm.v, IFERROR(VLOOKUP($A189, manifest!$A:$E, 5, FALSE), ""), IF(OR(_xlpm.v=0, _xlpm.v=""), "", _xlpm.v))</f>
        <v>male</v>
      </c>
    </row>
    <row r="190" spans="1:9" x14ac:dyDescent="0.6">
      <c r="A190">
        <v>30</v>
      </c>
      <c r="B190" t="s">
        <v>14</v>
      </c>
      <c r="C190" t="s">
        <v>11</v>
      </c>
      <c r="D190">
        <v>239.59</v>
      </c>
      <c r="E190">
        <v>189.84</v>
      </c>
      <c r="F190">
        <v>42965</v>
      </c>
      <c r="H190">
        <f>_xlfn.LET(_xlpm.v, IFERROR(VLOOKUP($A190, manifest!$A:$E, 3, FALSE), ""), IF(OR(_xlpm.v=0, _xlpm.v=""), "", _xlpm.v))</f>
        <v>70</v>
      </c>
      <c r="I190" t="str">
        <f>_xlfn.LET(_xlpm.v, IFERROR(VLOOKUP($A190, manifest!$A:$E, 5, FALSE), ""), IF(OR(_xlpm.v=0, _xlpm.v=""), "", _xlpm.v))</f>
        <v>male</v>
      </c>
    </row>
    <row r="191" spans="1:9" x14ac:dyDescent="0.6">
      <c r="A191">
        <v>30</v>
      </c>
      <c r="B191" t="s">
        <v>14</v>
      </c>
      <c r="C191" t="s">
        <v>12</v>
      </c>
      <c r="D191">
        <v>218.54</v>
      </c>
      <c r="E191">
        <v>168.7</v>
      </c>
      <c r="F191">
        <v>54660</v>
      </c>
      <c r="H191">
        <f>_xlfn.LET(_xlpm.v, IFERROR(VLOOKUP($A191, manifest!$A:$E, 3, FALSE), ""), IF(OR(_xlpm.v=0, _xlpm.v=""), "", _xlpm.v))</f>
        <v>70</v>
      </c>
      <c r="I191" t="str">
        <f>_xlfn.LET(_xlpm.v, IFERROR(VLOOKUP($A191, manifest!$A:$E, 5, FALSE), ""), IF(OR(_xlpm.v=0, _xlpm.v=""), "", _xlpm.v))</f>
        <v>male</v>
      </c>
    </row>
    <row r="192" spans="1:9" x14ac:dyDescent="0.6">
      <c r="A192">
        <v>30</v>
      </c>
      <c r="B192" t="s">
        <v>14</v>
      </c>
      <c r="C192" t="s">
        <v>13</v>
      </c>
      <c r="D192">
        <v>296.92</v>
      </c>
      <c r="E192">
        <v>206.01</v>
      </c>
      <c r="F192">
        <v>45869</v>
      </c>
      <c r="H192">
        <f>_xlfn.LET(_xlpm.v, IFERROR(VLOOKUP($A192, manifest!$A:$E, 3, FALSE), ""), IF(OR(_xlpm.v=0, _xlpm.v=""), "", _xlpm.v))</f>
        <v>70</v>
      </c>
      <c r="I192" t="str">
        <f>_xlfn.LET(_xlpm.v, IFERROR(VLOOKUP($A192, manifest!$A:$E, 5, FALSE), ""), IF(OR(_xlpm.v=0, _xlpm.v=""), "", _xlpm.v))</f>
        <v>male</v>
      </c>
    </row>
    <row r="193" spans="1:9" x14ac:dyDescent="0.6">
      <c r="A193">
        <v>29</v>
      </c>
      <c r="B193" t="s">
        <v>7</v>
      </c>
      <c r="C193" t="s">
        <v>8</v>
      </c>
      <c r="D193">
        <v>225.78</v>
      </c>
      <c r="E193">
        <v>160.21</v>
      </c>
      <c r="F193">
        <v>36088</v>
      </c>
      <c r="G193" t="s">
        <v>9</v>
      </c>
      <c r="H193">
        <f>_xlfn.LET(_xlpm.v, IFERROR(VLOOKUP($A193, manifest!$A:$E, 3, FALSE), ""), IF(OR(_xlpm.v=0, _xlpm.v=""), "", _xlpm.v))</f>
        <v>79</v>
      </c>
      <c r="I193" t="str">
        <f>_xlfn.LET(_xlpm.v, IFERROR(VLOOKUP($A193, manifest!$A:$E, 5, FALSE), ""), IF(OR(_xlpm.v=0, _xlpm.v=""), "", _xlpm.v))</f>
        <v>male</v>
      </c>
    </row>
    <row r="194" spans="1:9" x14ac:dyDescent="0.6">
      <c r="A194">
        <v>29</v>
      </c>
      <c r="B194" t="s">
        <v>7</v>
      </c>
      <c r="C194" t="s">
        <v>10</v>
      </c>
      <c r="D194">
        <v>263.92</v>
      </c>
      <c r="E194">
        <v>208.3</v>
      </c>
      <c r="F194">
        <v>44921</v>
      </c>
      <c r="H194">
        <f>_xlfn.LET(_xlpm.v, IFERROR(VLOOKUP($A194, manifest!$A:$E, 3, FALSE), ""), IF(OR(_xlpm.v=0, _xlpm.v=""), "", _xlpm.v))</f>
        <v>79</v>
      </c>
      <c r="I194" t="str">
        <f>_xlfn.LET(_xlpm.v, IFERROR(VLOOKUP($A194, manifest!$A:$E, 5, FALSE), ""), IF(OR(_xlpm.v=0, _xlpm.v=""), "", _xlpm.v))</f>
        <v>male</v>
      </c>
    </row>
    <row r="195" spans="1:9" x14ac:dyDescent="0.6">
      <c r="A195">
        <v>29</v>
      </c>
      <c r="B195" t="s">
        <v>7</v>
      </c>
      <c r="C195" t="s">
        <v>11</v>
      </c>
      <c r="D195">
        <v>235.34</v>
      </c>
      <c r="E195">
        <v>192.35</v>
      </c>
      <c r="F195">
        <v>54208</v>
      </c>
      <c r="H195">
        <f>_xlfn.LET(_xlpm.v, IFERROR(VLOOKUP($A195, manifest!$A:$E, 3, FALSE), ""), IF(OR(_xlpm.v=0, _xlpm.v=""), "", _xlpm.v))</f>
        <v>79</v>
      </c>
      <c r="I195" t="str">
        <f>_xlfn.LET(_xlpm.v, IFERROR(VLOOKUP($A195, manifest!$A:$E, 5, FALSE), ""), IF(OR(_xlpm.v=0, _xlpm.v=""), "", _xlpm.v))</f>
        <v>male</v>
      </c>
    </row>
    <row r="196" spans="1:9" x14ac:dyDescent="0.6">
      <c r="A196">
        <v>29</v>
      </c>
      <c r="B196" t="s">
        <v>7</v>
      </c>
      <c r="C196" t="s">
        <v>12</v>
      </c>
      <c r="D196">
        <v>276.04000000000002</v>
      </c>
      <c r="E196">
        <v>258.20999999999998</v>
      </c>
      <c r="F196">
        <v>46340</v>
      </c>
      <c r="H196">
        <f>_xlfn.LET(_xlpm.v, IFERROR(VLOOKUP($A196, manifest!$A:$E, 3, FALSE), ""), IF(OR(_xlpm.v=0, _xlpm.v=""), "", _xlpm.v))</f>
        <v>79</v>
      </c>
      <c r="I196" t="str">
        <f>_xlfn.LET(_xlpm.v, IFERROR(VLOOKUP($A196, manifest!$A:$E, 5, FALSE), ""), IF(OR(_xlpm.v=0, _xlpm.v=""), "", _xlpm.v))</f>
        <v>male</v>
      </c>
    </row>
    <row r="197" spans="1:9" x14ac:dyDescent="0.6">
      <c r="A197">
        <v>29</v>
      </c>
      <c r="B197" t="s">
        <v>7</v>
      </c>
      <c r="C197" t="s">
        <v>13</v>
      </c>
      <c r="D197">
        <v>236.46</v>
      </c>
      <c r="E197">
        <v>190.49</v>
      </c>
      <c r="F197">
        <v>61093</v>
      </c>
      <c r="H197">
        <f>_xlfn.LET(_xlpm.v, IFERROR(VLOOKUP($A197, manifest!$A:$E, 3, FALSE), ""), IF(OR(_xlpm.v=0, _xlpm.v=""), "", _xlpm.v))</f>
        <v>79</v>
      </c>
      <c r="I197" t="str">
        <f>_xlfn.LET(_xlpm.v, IFERROR(VLOOKUP($A197, manifest!$A:$E, 5, FALSE), ""), IF(OR(_xlpm.v=0, _xlpm.v=""), "", _xlpm.v))</f>
        <v>male</v>
      </c>
    </row>
    <row r="198" spans="1:9" x14ac:dyDescent="0.6">
      <c r="A198">
        <v>17</v>
      </c>
      <c r="B198" t="s">
        <v>7</v>
      </c>
      <c r="C198" t="s">
        <v>8</v>
      </c>
      <c r="D198">
        <v>153.66</v>
      </c>
      <c r="E198">
        <v>122.9</v>
      </c>
      <c r="F198">
        <v>32928</v>
      </c>
      <c r="G198" t="s">
        <v>15</v>
      </c>
      <c r="H198">
        <f>_xlfn.LET(_xlpm.v, IFERROR(VLOOKUP($A198, manifest!$A:$E, 3, FALSE), ""), IF(OR(_xlpm.v=0, _xlpm.v=""), "", _xlpm.v))</f>
        <v>57</v>
      </c>
      <c r="I198" t="str">
        <f>_xlfn.LET(_xlpm.v, IFERROR(VLOOKUP($A198, manifest!$A:$E, 5, FALSE), ""), IF(OR(_xlpm.v=0, _xlpm.v=""), "", _xlpm.v))</f>
        <v>female</v>
      </c>
    </row>
    <row r="199" spans="1:9" x14ac:dyDescent="0.6">
      <c r="A199">
        <v>17</v>
      </c>
      <c r="B199" t="s">
        <v>7</v>
      </c>
      <c r="C199" t="s">
        <v>10</v>
      </c>
      <c r="D199">
        <v>172.76</v>
      </c>
      <c r="E199">
        <v>142.6</v>
      </c>
      <c r="F199">
        <v>37514</v>
      </c>
      <c r="H199">
        <f>_xlfn.LET(_xlpm.v, IFERROR(VLOOKUP($A199, manifest!$A:$E, 3, FALSE), ""), IF(OR(_xlpm.v=0, _xlpm.v=""), "", _xlpm.v))</f>
        <v>57</v>
      </c>
      <c r="I199" t="str">
        <f>_xlfn.LET(_xlpm.v, IFERROR(VLOOKUP($A199, manifest!$A:$E, 5, FALSE), ""), IF(OR(_xlpm.v=0, _xlpm.v=""), "", _xlpm.v))</f>
        <v>female</v>
      </c>
    </row>
    <row r="200" spans="1:9" x14ac:dyDescent="0.6">
      <c r="A200">
        <v>17</v>
      </c>
      <c r="B200" t="s">
        <v>7</v>
      </c>
      <c r="C200" t="s">
        <v>11</v>
      </c>
      <c r="D200">
        <v>166.86</v>
      </c>
      <c r="E200">
        <v>151.69</v>
      </c>
      <c r="F200">
        <v>40608</v>
      </c>
      <c r="H200">
        <f>_xlfn.LET(_xlpm.v, IFERROR(VLOOKUP($A200, manifest!$A:$E, 3, FALSE), ""), IF(OR(_xlpm.v=0, _xlpm.v=""), "", _xlpm.v))</f>
        <v>57</v>
      </c>
      <c r="I200" t="str">
        <f>_xlfn.LET(_xlpm.v, IFERROR(VLOOKUP($A200, manifest!$A:$E, 5, FALSE), ""), IF(OR(_xlpm.v=0, _xlpm.v=""), "", _xlpm.v))</f>
        <v>female</v>
      </c>
    </row>
    <row r="201" spans="1:9" x14ac:dyDescent="0.6">
      <c r="A201">
        <v>17</v>
      </c>
      <c r="B201" t="s">
        <v>7</v>
      </c>
      <c r="C201" t="s">
        <v>12</v>
      </c>
      <c r="D201">
        <v>166.59</v>
      </c>
      <c r="E201">
        <v>145.97999999999999</v>
      </c>
      <c r="F201">
        <v>55015</v>
      </c>
      <c r="H201">
        <f>_xlfn.LET(_xlpm.v, IFERROR(VLOOKUP($A201, manifest!$A:$E, 3, FALSE), ""), IF(OR(_xlpm.v=0, _xlpm.v=""), "", _xlpm.v))</f>
        <v>57</v>
      </c>
      <c r="I201" t="str">
        <f>_xlfn.LET(_xlpm.v, IFERROR(VLOOKUP($A201, manifest!$A:$E, 5, FALSE), ""), IF(OR(_xlpm.v=0, _xlpm.v=""), "", _xlpm.v))</f>
        <v>female</v>
      </c>
    </row>
    <row r="202" spans="1:9" x14ac:dyDescent="0.6">
      <c r="A202">
        <v>17</v>
      </c>
      <c r="B202" t="s">
        <v>7</v>
      </c>
      <c r="C202" t="s">
        <v>13</v>
      </c>
      <c r="D202">
        <v>171.69</v>
      </c>
      <c r="E202">
        <v>144.59</v>
      </c>
      <c r="F202">
        <v>63511</v>
      </c>
      <c r="H202">
        <f>_xlfn.LET(_xlpm.v, IFERROR(VLOOKUP($A202, manifest!$A:$E, 3, FALSE), ""), IF(OR(_xlpm.v=0, _xlpm.v=""), "", _xlpm.v))</f>
        <v>57</v>
      </c>
      <c r="I202" t="str">
        <f>_xlfn.LET(_xlpm.v, IFERROR(VLOOKUP($A202, manifest!$A:$E, 5, FALSE), ""), IF(OR(_xlpm.v=0, _xlpm.v=""), "", _xlpm.v))</f>
        <v>female</v>
      </c>
    </row>
    <row r="203" spans="1:9" x14ac:dyDescent="0.6">
      <c r="A203">
        <v>25</v>
      </c>
      <c r="B203" t="s">
        <v>7</v>
      </c>
      <c r="C203" t="s">
        <v>8</v>
      </c>
      <c r="D203">
        <v>229.35</v>
      </c>
      <c r="E203">
        <v>118.48</v>
      </c>
      <c r="F203">
        <v>35944</v>
      </c>
      <c r="G203" t="s">
        <v>9</v>
      </c>
      <c r="H203">
        <f>_xlfn.LET(_xlpm.v, IFERROR(VLOOKUP($A203, manifest!$A:$E, 3, FALSE), ""), IF(OR(_xlpm.v=0, _xlpm.v=""), "", _xlpm.v))</f>
        <v>62</v>
      </c>
      <c r="I203" t="str">
        <f>_xlfn.LET(_xlpm.v, IFERROR(VLOOKUP($A203, manifest!$A:$E, 5, FALSE), ""), IF(OR(_xlpm.v=0, _xlpm.v=""), "", _xlpm.v))</f>
        <v>male</v>
      </c>
    </row>
    <row r="204" spans="1:9" x14ac:dyDescent="0.6">
      <c r="A204">
        <v>25</v>
      </c>
      <c r="B204" t="s">
        <v>7</v>
      </c>
      <c r="C204" t="s">
        <v>10</v>
      </c>
      <c r="D204">
        <v>252.11</v>
      </c>
      <c r="E204">
        <v>151.33000000000001</v>
      </c>
      <c r="F204">
        <v>39013</v>
      </c>
      <c r="H204">
        <f>_xlfn.LET(_xlpm.v, IFERROR(VLOOKUP($A204, manifest!$A:$E, 3, FALSE), ""), IF(OR(_xlpm.v=0, _xlpm.v=""), "", _xlpm.v))</f>
        <v>62</v>
      </c>
      <c r="I204" t="str">
        <f>_xlfn.LET(_xlpm.v, IFERROR(VLOOKUP($A204, manifest!$A:$E, 5, FALSE), ""), IF(OR(_xlpm.v=0, _xlpm.v=""), "", _xlpm.v))</f>
        <v>male</v>
      </c>
    </row>
    <row r="205" spans="1:9" x14ac:dyDescent="0.6">
      <c r="A205">
        <v>25</v>
      </c>
      <c r="B205" t="s">
        <v>7</v>
      </c>
      <c r="C205" t="s">
        <v>11</v>
      </c>
      <c r="D205">
        <v>245.54</v>
      </c>
      <c r="E205">
        <v>157.43</v>
      </c>
      <c r="F205">
        <v>42186</v>
      </c>
      <c r="H205">
        <f>_xlfn.LET(_xlpm.v, IFERROR(VLOOKUP($A205, manifest!$A:$E, 3, FALSE), ""), IF(OR(_xlpm.v=0, _xlpm.v=""), "", _xlpm.v))</f>
        <v>62</v>
      </c>
      <c r="I205" t="str">
        <f>_xlfn.LET(_xlpm.v, IFERROR(VLOOKUP($A205, manifest!$A:$E, 5, FALSE), ""), IF(OR(_xlpm.v=0, _xlpm.v=""), "", _xlpm.v))</f>
        <v>male</v>
      </c>
    </row>
    <row r="206" spans="1:9" x14ac:dyDescent="0.6">
      <c r="A206">
        <v>25</v>
      </c>
      <c r="B206" t="s">
        <v>7</v>
      </c>
      <c r="C206" t="s">
        <v>12</v>
      </c>
      <c r="D206">
        <v>245.14</v>
      </c>
      <c r="E206">
        <v>190.67</v>
      </c>
      <c r="F206">
        <v>62040</v>
      </c>
      <c r="H206">
        <f>_xlfn.LET(_xlpm.v, IFERROR(VLOOKUP($A206, manifest!$A:$E, 3, FALSE), ""), IF(OR(_xlpm.v=0, _xlpm.v=""), "", _xlpm.v))</f>
        <v>62</v>
      </c>
      <c r="I206" t="str">
        <f>_xlfn.LET(_xlpm.v, IFERROR(VLOOKUP($A206, manifest!$A:$E, 5, FALSE), ""), IF(OR(_xlpm.v=0, _xlpm.v=""), "", _xlpm.v))</f>
        <v>male</v>
      </c>
    </row>
    <row r="207" spans="1:9" x14ac:dyDescent="0.6">
      <c r="A207">
        <v>25</v>
      </c>
      <c r="B207" t="s">
        <v>7</v>
      </c>
      <c r="C207" t="s">
        <v>13</v>
      </c>
      <c r="D207">
        <v>227.34</v>
      </c>
      <c r="E207">
        <v>164.47</v>
      </c>
      <c r="F207">
        <v>61001</v>
      </c>
      <c r="H207">
        <f>_xlfn.LET(_xlpm.v, IFERROR(VLOOKUP($A207, manifest!$A:$E, 3, FALSE), ""), IF(OR(_xlpm.v=0, _xlpm.v=""), "", _xlpm.v))</f>
        <v>62</v>
      </c>
      <c r="I207" t="str">
        <f>_xlfn.LET(_xlpm.v, IFERROR(VLOOKUP($A207, manifest!$A:$E, 5, FALSE), ""), IF(OR(_xlpm.v=0, _xlpm.v=""), "", _xlpm.v))</f>
        <v>male</v>
      </c>
    </row>
    <row r="208" spans="1:9" x14ac:dyDescent="0.6">
      <c r="A208">
        <v>2</v>
      </c>
      <c r="B208" t="s">
        <v>7</v>
      </c>
      <c r="C208" t="s">
        <v>8</v>
      </c>
      <c r="D208">
        <v>189.06</v>
      </c>
      <c r="E208">
        <v>115.07</v>
      </c>
      <c r="F208">
        <v>39827</v>
      </c>
      <c r="G208" t="s">
        <v>9</v>
      </c>
      <c r="H208">
        <f>_xlfn.LET(_xlpm.v, IFERROR(VLOOKUP($A208, manifest!$A:$E, 3, FALSE), ""), IF(OR(_xlpm.v=0, _xlpm.v=""), "", _xlpm.v))</f>
        <v>60</v>
      </c>
      <c r="I208" t="str">
        <f>_xlfn.LET(_xlpm.v, IFERROR(VLOOKUP($A208, manifest!$A:$E, 5, FALSE), ""), IF(OR(_xlpm.v=0, _xlpm.v=""), "", _xlpm.v))</f>
        <v>male</v>
      </c>
    </row>
    <row r="209" spans="1:9" x14ac:dyDescent="0.6">
      <c r="A209">
        <v>2</v>
      </c>
      <c r="B209" t="s">
        <v>7</v>
      </c>
      <c r="C209" t="s">
        <v>10</v>
      </c>
      <c r="D209">
        <v>174.29</v>
      </c>
      <c r="E209">
        <v>114.55</v>
      </c>
      <c r="F209">
        <v>42264</v>
      </c>
      <c r="H209">
        <f>_xlfn.LET(_xlpm.v, IFERROR(VLOOKUP($A209, manifest!$A:$E, 3, FALSE), ""), IF(OR(_xlpm.v=0, _xlpm.v=""), "", _xlpm.v))</f>
        <v>60</v>
      </c>
      <c r="I209" t="str">
        <f>_xlfn.LET(_xlpm.v, IFERROR(VLOOKUP($A209, manifest!$A:$E, 5, FALSE), ""), IF(OR(_xlpm.v=0, _xlpm.v=""), "", _xlpm.v))</f>
        <v>male</v>
      </c>
    </row>
    <row r="210" spans="1:9" x14ac:dyDescent="0.6">
      <c r="A210">
        <v>2</v>
      </c>
      <c r="B210" t="s">
        <v>7</v>
      </c>
      <c r="C210" t="s">
        <v>11</v>
      </c>
      <c r="D210">
        <v>161.31</v>
      </c>
      <c r="E210">
        <v>113.85</v>
      </c>
      <c r="F210">
        <v>50191</v>
      </c>
      <c r="H210">
        <f>_xlfn.LET(_xlpm.v, IFERROR(VLOOKUP($A210, manifest!$A:$E, 3, FALSE), ""), IF(OR(_xlpm.v=0, _xlpm.v=""), "", _xlpm.v))</f>
        <v>60</v>
      </c>
      <c r="I210" t="str">
        <f>_xlfn.LET(_xlpm.v, IFERROR(VLOOKUP($A210, manifest!$A:$E, 5, FALSE), ""), IF(OR(_xlpm.v=0, _xlpm.v=""), "", _xlpm.v))</f>
        <v>male</v>
      </c>
    </row>
    <row r="211" spans="1:9" x14ac:dyDescent="0.6">
      <c r="A211">
        <v>2</v>
      </c>
      <c r="B211" t="s">
        <v>7</v>
      </c>
      <c r="C211" t="s">
        <v>12</v>
      </c>
      <c r="D211">
        <v>183.05</v>
      </c>
      <c r="E211">
        <v>136.26</v>
      </c>
      <c r="F211">
        <v>52459</v>
      </c>
      <c r="H211">
        <f>_xlfn.LET(_xlpm.v, IFERROR(VLOOKUP($A211, manifest!$A:$E, 3, FALSE), ""), IF(OR(_xlpm.v=0, _xlpm.v=""), "", _xlpm.v))</f>
        <v>60</v>
      </c>
      <c r="I211" t="str">
        <f>_xlfn.LET(_xlpm.v, IFERROR(VLOOKUP($A211, manifest!$A:$E, 5, FALSE), ""), IF(OR(_xlpm.v=0, _xlpm.v=""), "", _xlpm.v))</f>
        <v>male</v>
      </c>
    </row>
    <row r="212" spans="1:9" x14ac:dyDescent="0.6">
      <c r="A212">
        <v>2</v>
      </c>
      <c r="B212" t="s">
        <v>7</v>
      </c>
      <c r="C212" t="s">
        <v>13</v>
      </c>
      <c r="D212">
        <v>203.7</v>
      </c>
      <c r="E212">
        <v>155.02000000000001</v>
      </c>
      <c r="F212">
        <v>48333</v>
      </c>
      <c r="H212">
        <f>_xlfn.LET(_xlpm.v, IFERROR(VLOOKUP($A212, manifest!$A:$E, 3, FALSE), ""), IF(OR(_xlpm.v=0, _xlpm.v=""), "", _xlpm.v))</f>
        <v>60</v>
      </c>
      <c r="I212" t="str">
        <f>_xlfn.LET(_xlpm.v, IFERROR(VLOOKUP($A212, manifest!$A:$E, 5, FALSE), ""), IF(OR(_xlpm.v=0, _xlpm.v=""), "", _xlpm.v))</f>
        <v>male</v>
      </c>
    </row>
    <row r="213" spans="1:9" x14ac:dyDescent="0.6">
      <c r="A213">
        <v>53</v>
      </c>
      <c r="B213" t="s">
        <v>7</v>
      </c>
      <c r="C213" t="s">
        <v>8</v>
      </c>
      <c r="D213">
        <v>182.92</v>
      </c>
      <c r="E213">
        <v>103.93</v>
      </c>
      <c r="F213">
        <v>38842</v>
      </c>
      <c r="G213" t="s">
        <v>9</v>
      </c>
      <c r="H213" t="str">
        <f>_xlfn.LET(_xlpm.v, IFERROR(VLOOKUP($A213, manifest!$A:$E, 3, FALSE), ""), IF(OR(_xlpm.v=0, _xlpm.v=""), "", _xlpm.v))</f>
        <v/>
      </c>
      <c r="I213" t="str">
        <f>_xlfn.LET(_xlpm.v, IFERROR(VLOOKUP($A213, manifest!$A:$E, 5, FALSE), ""), IF(OR(_xlpm.v=0, _xlpm.v=""), "", _xlpm.v))</f>
        <v>male</v>
      </c>
    </row>
    <row r="214" spans="1:9" x14ac:dyDescent="0.6">
      <c r="A214">
        <v>53</v>
      </c>
      <c r="B214" t="s">
        <v>7</v>
      </c>
      <c r="C214" t="s">
        <v>10</v>
      </c>
      <c r="D214">
        <v>191.88</v>
      </c>
      <c r="E214">
        <v>132.63999999999999</v>
      </c>
      <c r="F214">
        <v>38604</v>
      </c>
      <c r="H214" t="str">
        <f>_xlfn.LET(_xlpm.v, IFERROR(VLOOKUP($A214, manifest!$A:$E, 3, FALSE), ""), IF(OR(_xlpm.v=0, _xlpm.v=""), "", _xlpm.v))</f>
        <v/>
      </c>
      <c r="I214" t="str">
        <f>_xlfn.LET(_xlpm.v, IFERROR(VLOOKUP($A214, manifest!$A:$E, 5, FALSE), ""), IF(OR(_xlpm.v=0, _xlpm.v=""), "", _xlpm.v))</f>
        <v>male</v>
      </c>
    </row>
    <row r="215" spans="1:9" x14ac:dyDescent="0.6">
      <c r="A215">
        <v>53</v>
      </c>
      <c r="B215" t="s">
        <v>7</v>
      </c>
      <c r="C215" t="s">
        <v>11</v>
      </c>
      <c r="D215">
        <v>193.07</v>
      </c>
      <c r="E215">
        <v>142.33000000000001</v>
      </c>
      <c r="F215">
        <v>38145</v>
      </c>
      <c r="H215" t="str">
        <f>_xlfn.LET(_xlpm.v, IFERROR(VLOOKUP($A215, manifest!$A:$E, 3, FALSE), ""), IF(OR(_xlpm.v=0, _xlpm.v=""), "", _xlpm.v))</f>
        <v/>
      </c>
      <c r="I215" t="str">
        <f>_xlfn.LET(_xlpm.v, IFERROR(VLOOKUP($A215, manifest!$A:$E, 5, FALSE), ""), IF(OR(_xlpm.v=0, _xlpm.v=""), "", _xlpm.v))</f>
        <v>male</v>
      </c>
    </row>
    <row r="216" spans="1:9" x14ac:dyDescent="0.6">
      <c r="A216">
        <v>53</v>
      </c>
      <c r="B216" t="s">
        <v>7</v>
      </c>
      <c r="C216" t="s">
        <v>12</v>
      </c>
      <c r="D216">
        <v>194.31</v>
      </c>
      <c r="E216">
        <v>152.93</v>
      </c>
      <c r="F216">
        <v>48439</v>
      </c>
      <c r="H216" t="str">
        <f>_xlfn.LET(_xlpm.v, IFERROR(VLOOKUP($A216, manifest!$A:$E, 3, FALSE), ""), IF(OR(_xlpm.v=0, _xlpm.v=""), "", _xlpm.v))</f>
        <v/>
      </c>
      <c r="I216" t="str">
        <f>_xlfn.LET(_xlpm.v, IFERROR(VLOOKUP($A216, manifest!$A:$E, 5, FALSE), ""), IF(OR(_xlpm.v=0, _xlpm.v=""), "", _xlpm.v))</f>
        <v>male</v>
      </c>
    </row>
    <row r="217" spans="1:9" x14ac:dyDescent="0.6">
      <c r="A217">
        <v>53</v>
      </c>
      <c r="B217" t="s">
        <v>7</v>
      </c>
      <c r="C217" t="s">
        <v>13</v>
      </c>
      <c r="D217">
        <v>196.16</v>
      </c>
      <c r="E217">
        <v>132.13999999999999</v>
      </c>
      <c r="F217">
        <v>51110</v>
      </c>
      <c r="H217" t="str">
        <f>_xlfn.LET(_xlpm.v, IFERROR(VLOOKUP($A217, manifest!$A:$E, 3, FALSE), ""), IF(OR(_xlpm.v=0, _xlpm.v=""), "", _xlpm.v))</f>
        <v/>
      </c>
      <c r="I217" t="str">
        <f>_xlfn.LET(_xlpm.v, IFERROR(VLOOKUP($A217, manifest!$A:$E, 5, FALSE), ""), IF(OR(_xlpm.v=0, _xlpm.v=""), "", _xlpm.v))</f>
        <v>male</v>
      </c>
    </row>
    <row r="218" spans="1:9" x14ac:dyDescent="0.6">
      <c r="A218">
        <v>10</v>
      </c>
      <c r="B218" t="s">
        <v>7</v>
      </c>
      <c r="C218" t="s">
        <v>8</v>
      </c>
      <c r="D218">
        <v>156.61000000000001</v>
      </c>
      <c r="E218">
        <v>111.81</v>
      </c>
      <c r="F218">
        <v>43953</v>
      </c>
      <c r="G218" t="s">
        <v>15</v>
      </c>
      <c r="H218">
        <f>_xlfn.LET(_xlpm.v, IFERROR(VLOOKUP($A218, manifest!$A:$E, 3, FALSE), ""), IF(OR(_xlpm.v=0, _xlpm.v=""), "", _xlpm.v))</f>
        <v>68</v>
      </c>
      <c r="I218" t="str">
        <f>_xlfn.LET(_xlpm.v, IFERROR(VLOOKUP($A218, manifest!$A:$E, 5, FALSE), ""), IF(OR(_xlpm.v=0, _xlpm.v=""), "", _xlpm.v))</f>
        <v>male</v>
      </c>
    </row>
    <row r="219" spans="1:9" x14ac:dyDescent="0.6">
      <c r="A219">
        <v>10</v>
      </c>
      <c r="B219" t="s">
        <v>7</v>
      </c>
      <c r="C219" t="s">
        <v>10</v>
      </c>
      <c r="D219">
        <v>153.85</v>
      </c>
      <c r="E219">
        <v>109.6</v>
      </c>
      <c r="F219">
        <v>42800</v>
      </c>
      <c r="H219">
        <f>_xlfn.LET(_xlpm.v, IFERROR(VLOOKUP($A219, manifest!$A:$E, 3, FALSE), ""), IF(OR(_xlpm.v=0, _xlpm.v=""), "", _xlpm.v))</f>
        <v>68</v>
      </c>
      <c r="I219" t="str">
        <f>_xlfn.LET(_xlpm.v, IFERROR(VLOOKUP($A219, manifest!$A:$E, 5, FALSE), ""), IF(OR(_xlpm.v=0, _xlpm.v=""), "", _xlpm.v))</f>
        <v>male</v>
      </c>
    </row>
    <row r="220" spans="1:9" x14ac:dyDescent="0.6">
      <c r="A220">
        <v>10</v>
      </c>
      <c r="B220" t="s">
        <v>7</v>
      </c>
      <c r="C220" t="s">
        <v>11</v>
      </c>
      <c r="D220">
        <v>156.13</v>
      </c>
      <c r="E220">
        <v>123.37</v>
      </c>
      <c r="F220">
        <v>57465</v>
      </c>
      <c r="H220">
        <f>_xlfn.LET(_xlpm.v, IFERROR(VLOOKUP($A220, manifest!$A:$E, 3, FALSE), ""), IF(OR(_xlpm.v=0, _xlpm.v=""), "", _xlpm.v))</f>
        <v>68</v>
      </c>
      <c r="I220" t="str">
        <f>_xlfn.LET(_xlpm.v, IFERROR(VLOOKUP($A220, manifest!$A:$E, 5, FALSE), ""), IF(OR(_xlpm.v=0, _xlpm.v=""), "", _xlpm.v))</f>
        <v>male</v>
      </c>
    </row>
    <row r="221" spans="1:9" x14ac:dyDescent="0.6">
      <c r="A221">
        <v>10</v>
      </c>
      <c r="B221" t="s">
        <v>7</v>
      </c>
      <c r="C221" t="s">
        <v>12</v>
      </c>
      <c r="D221">
        <v>159.26</v>
      </c>
      <c r="E221">
        <v>146.26</v>
      </c>
      <c r="F221">
        <v>67221</v>
      </c>
      <c r="H221">
        <f>_xlfn.LET(_xlpm.v, IFERROR(VLOOKUP($A221, manifest!$A:$E, 3, FALSE), ""), IF(OR(_xlpm.v=0, _xlpm.v=""), "", _xlpm.v))</f>
        <v>68</v>
      </c>
      <c r="I221" t="str">
        <f>_xlfn.LET(_xlpm.v, IFERROR(VLOOKUP($A221, manifest!$A:$E, 5, FALSE), ""), IF(OR(_xlpm.v=0, _xlpm.v=""), "", _xlpm.v))</f>
        <v>male</v>
      </c>
    </row>
    <row r="222" spans="1:9" x14ac:dyDescent="0.6">
      <c r="A222">
        <v>10</v>
      </c>
      <c r="B222" t="s">
        <v>7</v>
      </c>
      <c r="C222" t="s">
        <v>13</v>
      </c>
      <c r="D222">
        <v>194.81</v>
      </c>
      <c r="E222">
        <v>156.58000000000001</v>
      </c>
      <c r="F222">
        <v>64815</v>
      </c>
      <c r="H222">
        <f>_xlfn.LET(_xlpm.v, IFERROR(VLOOKUP($A222, manifest!$A:$E, 3, FALSE), ""), IF(OR(_xlpm.v=0, _xlpm.v=""), "", _xlpm.v))</f>
        <v>68</v>
      </c>
      <c r="I222" t="str">
        <f>_xlfn.LET(_xlpm.v, IFERROR(VLOOKUP($A222, manifest!$A:$E, 5, FALSE), ""), IF(OR(_xlpm.v=0, _xlpm.v=""), "", _xlpm.v))</f>
        <v>male</v>
      </c>
    </row>
    <row r="223" spans="1:9" x14ac:dyDescent="0.6">
      <c r="A223">
        <v>14</v>
      </c>
      <c r="B223" t="s">
        <v>7</v>
      </c>
      <c r="C223" t="s">
        <v>8</v>
      </c>
      <c r="D223">
        <v>237.17</v>
      </c>
      <c r="E223">
        <v>142.44999999999999</v>
      </c>
      <c r="F223">
        <v>23253</v>
      </c>
      <c r="G223" t="s">
        <v>9</v>
      </c>
      <c r="H223" t="str">
        <f>_xlfn.LET(_xlpm.v, IFERROR(VLOOKUP($A223, manifest!$A:$E, 3, FALSE), ""), IF(OR(_xlpm.v=0, _xlpm.v=""), "", _xlpm.v))</f>
        <v/>
      </c>
      <c r="I223" t="str">
        <f>_xlfn.LET(_xlpm.v, IFERROR(VLOOKUP($A223, manifest!$A:$E, 5, FALSE), ""), IF(OR(_xlpm.v=0, _xlpm.v=""), "", _xlpm.v))</f>
        <v>female</v>
      </c>
    </row>
    <row r="224" spans="1:9" x14ac:dyDescent="0.6">
      <c r="A224">
        <v>14</v>
      </c>
      <c r="B224" t="s">
        <v>7</v>
      </c>
      <c r="C224" t="s">
        <v>10</v>
      </c>
      <c r="D224">
        <v>248.24</v>
      </c>
      <c r="E224">
        <v>188.3</v>
      </c>
      <c r="F224">
        <v>25353</v>
      </c>
      <c r="H224" t="str">
        <f>_xlfn.LET(_xlpm.v, IFERROR(VLOOKUP($A224, manifest!$A:$E, 3, FALSE), ""), IF(OR(_xlpm.v=0, _xlpm.v=""), "", _xlpm.v))</f>
        <v/>
      </c>
      <c r="I224" t="str">
        <f>_xlfn.LET(_xlpm.v, IFERROR(VLOOKUP($A224, manifest!$A:$E, 5, FALSE), ""), IF(OR(_xlpm.v=0, _xlpm.v=""), "", _xlpm.v))</f>
        <v>female</v>
      </c>
    </row>
    <row r="225" spans="1:9" x14ac:dyDescent="0.6">
      <c r="A225">
        <v>14</v>
      </c>
      <c r="B225" t="s">
        <v>7</v>
      </c>
      <c r="C225" t="s">
        <v>11</v>
      </c>
      <c r="D225">
        <v>258.32</v>
      </c>
      <c r="E225">
        <v>218.11</v>
      </c>
      <c r="F225">
        <v>29401</v>
      </c>
      <c r="H225" t="str">
        <f>_xlfn.LET(_xlpm.v, IFERROR(VLOOKUP($A225, manifest!$A:$E, 3, FALSE), ""), IF(OR(_xlpm.v=0, _xlpm.v=""), "", _xlpm.v))</f>
        <v/>
      </c>
      <c r="I225" t="str">
        <f>_xlfn.LET(_xlpm.v, IFERROR(VLOOKUP($A225, manifest!$A:$E, 5, FALSE), ""), IF(OR(_xlpm.v=0, _xlpm.v=""), "", _xlpm.v))</f>
        <v>female</v>
      </c>
    </row>
    <row r="226" spans="1:9" x14ac:dyDescent="0.6">
      <c r="A226">
        <v>14</v>
      </c>
      <c r="B226" t="s">
        <v>7</v>
      </c>
      <c r="C226" t="s">
        <v>12</v>
      </c>
      <c r="D226">
        <v>267.52</v>
      </c>
      <c r="E226">
        <v>242.25</v>
      </c>
      <c r="F226">
        <v>35795</v>
      </c>
      <c r="H226" t="str">
        <f>_xlfn.LET(_xlpm.v, IFERROR(VLOOKUP($A226, manifest!$A:$E, 3, FALSE), ""), IF(OR(_xlpm.v=0, _xlpm.v=""), "", _xlpm.v))</f>
        <v/>
      </c>
      <c r="I226" t="str">
        <f>_xlfn.LET(_xlpm.v, IFERROR(VLOOKUP($A226, manifest!$A:$E, 5, FALSE), ""), IF(OR(_xlpm.v=0, _xlpm.v=""), "", _xlpm.v))</f>
        <v>female</v>
      </c>
    </row>
    <row r="227" spans="1:9" x14ac:dyDescent="0.6">
      <c r="A227">
        <v>14</v>
      </c>
      <c r="B227" t="s">
        <v>7</v>
      </c>
      <c r="C227" t="s">
        <v>13</v>
      </c>
      <c r="D227">
        <v>262.60000000000002</v>
      </c>
      <c r="E227">
        <v>252.27</v>
      </c>
      <c r="F227">
        <v>45187</v>
      </c>
      <c r="H227" t="str">
        <f>_xlfn.LET(_xlpm.v, IFERROR(VLOOKUP($A227, manifest!$A:$E, 3, FALSE), ""), IF(OR(_xlpm.v=0, _xlpm.v=""), "", _xlpm.v))</f>
        <v/>
      </c>
      <c r="I227" t="str">
        <f>_xlfn.LET(_xlpm.v, IFERROR(VLOOKUP($A227, manifest!$A:$E, 5, FALSE), ""), IF(OR(_xlpm.v=0, _xlpm.v=""), "", _xlpm.v))</f>
        <v>female</v>
      </c>
    </row>
    <row r="228" spans="1:9" x14ac:dyDescent="0.6">
      <c r="A228">
        <v>8</v>
      </c>
      <c r="B228" t="s">
        <v>14</v>
      </c>
      <c r="C228" t="s">
        <v>8</v>
      </c>
      <c r="D228">
        <v>174.72</v>
      </c>
      <c r="E228">
        <v>159.57</v>
      </c>
      <c r="F228">
        <v>30914</v>
      </c>
      <c r="G228" t="s">
        <v>9</v>
      </c>
      <c r="H228">
        <f>_xlfn.LET(_xlpm.v, IFERROR(VLOOKUP($A228, manifest!$A:$E, 3, FALSE), ""), IF(OR(_xlpm.v=0, _xlpm.v=""), "", _xlpm.v))</f>
        <v>70</v>
      </c>
      <c r="I228" t="str">
        <f>_xlfn.LET(_xlpm.v, IFERROR(VLOOKUP($A228, manifest!$A:$E, 5, FALSE), ""), IF(OR(_xlpm.v=0, _xlpm.v=""), "", _xlpm.v))</f>
        <v>male</v>
      </c>
    </row>
    <row r="229" spans="1:9" x14ac:dyDescent="0.6">
      <c r="A229">
        <v>8</v>
      </c>
      <c r="B229" t="s">
        <v>14</v>
      </c>
      <c r="C229" t="s">
        <v>10</v>
      </c>
      <c r="D229">
        <v>210.08</v>
      </c>
      <c r="E229">
        <v>204.6</v>
      </c>
      <c r="F229">
        <v>31607</v>
      </c>
      <c r="H229">
        <f>_xlfn.LET(_xlpm.v, IFERROR(VLOOKUP($A229, manifest!$A:$E, 3, FALSE), ""), IF(OR(_xlpm.v=0, _xlpm.v=""), "", _xlpm.v))</f>
        <v>70</v>
      </c>
      <c r="I229" t="str">
        <f>_xlfn.LET(_xlpm.v, IFERROR(VLOOKUP($A229, manifest!$A:$E, 5, FALSE), ""), IF(OR(_xlpm.v=0, _xlpm.v=""), "", _xlpm.v))</f>
        <v>male</v>
      </c>
    </row>
    <row r="230" spans="1:9" x14ac:dyDescent="0.6">
      <c r="A230">
        <v>8</v>
      </c>
      <c r="B230" t="s">
        <v>14</v>
      </c>
      <c r="C230" t="s">
        <v>11</v>
      </c>
      <c r="D230">
        <v>187.03</v>
      </c>
      <c r="E230">
        <v>187</v>
      </c>
      <c r="F230">
        <v>41672</v>
      </c>
      <c r="H230">
        <f>_xlfn.LET(_xlpm.v, IFERROR(VLOOKUP($A230, manifest!$A:$E, 3, FALSE), ""), IF(OR(_xlpm.v=0, _xlpm.v=""), "", _xlpm.v))</f>
        <v>70</v>
      </c>
      <c r="I230" t="str">
        <f>_xlfn.LET(_xlpm.v, IFERROR(VLOOKUP($A230, manifest!$A:$E, 5, FALSE), ""), IF(OR(_xlpm.v=0, _xlpm.v=""), "", _xlpm.v))</f>
        <v>male</v>
      </c>
    </row>
    <row r="231" spans="1:9" x14ac:dyDescent="0.6">
      <c r="A231">
        <v>8</v>
      </c>
      <c r="B231" t="s">
        <v>14</v>
      </c>
      <c r="C231" t="s">
        <v>12</v>
      </c>
      <c r="D231">
        <v>159.32</v>
      </c>
      <c r="E231">
        <v>150.57</v>
      </c>
      <c r="F231">
        <v>44433</v>
      </c>
      <c r="H231">
        <f>_xlfn.LET(_xlpm.v, IFERROR(VLOOKUP($A231, manifest!$A:$E, 3, FALSE), ""), IF(OR(_xlpm.v=0, _xlpm.v=""), "", _xlpm.v))</f>
        <v>70</v>
      </c>
      <c r="I231" t="str">
        <f>_xlfn.LET(_xlpm.v, IFERROR(VLOOKUP($A231, manifest!$A:$E, 5, FALSE), ""), IF(OR(_xlpm.v=0, _xlpm.v=""), "", _xlpm.v))</f>
        <v>male</v>
      </c>
    </row>
    <row r="232" spans="1:9" x14ac:dyDescent="0.6">
      <c r="A232">
        <v>8</v>
      </c>
      <c r="B232" t="s">
        <v>14</v>
      </c>
      <c r="C232" t="s">
        <v>13</v>
      </c>
      <c r="D232">
        <v>180.17</v>
      </c>
      <c r="E232">
        <v>124.81</v>
      </c>
      <c r="F232">
        <v>47364</v>
      </c>
      <c r="H232">
        <f>_xlfn.LET(_xlpm.v, IFERROR(VLOOKUP($A232, manifest!$A:$E, 3, FALSE), ""), IF(OR(_xlpm.v=0, _xlpm.v=""), "", _xlpm.v))</f>
        <v>70</v>
      </c>
      <c r="I232" t="str">
        <f>_xlfn.LET(_xlpm.v, IFERROR(VLOOKUP($A232, manifest!$A:$E, 5, FALSE), ""), IF(OR(_xlpm.v=0, _xlpm.v=""), "", _xlpm.v))</f>
        <v>male</v>
      </c>
    </row>
    <row r="233" spans="1:9" x14ac:dyDescent="0.6">
      <c r="A233">
        <v>47</v>
      </c>
      <c r="B233" t="s">
        <v>7</v>
      </c>
      <c r="C233" t="s">
        <v>8</v>
      </c>
      <c r="D233">
        <v>172</v>
      </c>
      <c r="E233">
        <v>154.84</v>
      </c>
      <c r="F233">
        <v>25471</v>
      </c>
      <c r="G233" t="s">
        <v>9</v>
      </c>
      <c r="H233">
        <f>_xlfn.LET(_xlpm.v, IFERROR(VLOOKUP($A233, manifest!$A:$E, 3, FALSE), ""), IF(OR(_xlpm.v=0, _xlpm.v=""), "", _xlpm.v))</f>
        <v>57</v>
      </c>
      <c r="I233" t="str">
        <f>_xlfn.LET(_xlpm.v, IFERROR(VLOOKUP($A233, manifest!$A:$E, 5, FALSE), ""), IF(OR(_xlpm.v=0, _xlpm.v=""), "", _xlpm.v))</f>
        <v>female</v>
      </c>
    </row>
    <row r="234" spans="1:9" x14ac:dyDescent="0.6">
      <c r="A234">
        <v>47</v>
      </c>
      <c r="B234" t="s">
        <v>7</v>
      </c>
      <c r="C234" t="s">
        <v>10</v>
      </c>
      <c r="D234">
        <v>196.92</v>
      </c>
      <c r="E234">
        <v>210.04</v>
      </c>
      <c r="F234">
        <v>28226</v>
      </c>
      <c r="H234">
        <f>_xlfn.LET(_xlpm.v, IFERROR(VLOOKUP($A234, manifest!$A:$E, 3, FALSE), ""), IF(OR(_xlpm.v=0, _xlpm.v=""), "", _xlpm.v))</f>
        <v>57</v>
      </c>
      <c r="I234" t="str">
        <f>_xlfn.LET(_xlpm.v, IFERROR(VLOOKUP($A234, manifest!$A:$E, 5, FALSE), ""), IF(OR(_xlpm.v=0, _xlpm.v=""), "", _xlpm.v))</f>
        <v>female</v>
      </c>
    </row>
    <row r="235" spans="1:9" x14ac:dyDescent="0.6">
      <c r="A235">
        <v>47</v>
      </c>
      <c r="B235" t="s">
        <v>7</v>
      </c>
      <c r="C235" t="s">
        <v>11</v>
      </c>
      <c r="D235">
        <v>199.1</v>
      </c>
      <c r="E235">
        <v>209.62</v>
      </c>
      <c r="F235">
        <v>33024</v>
      </c>
      <c r="H235">
        <f>_xlfn.LET(_xlpm.v, IFERROR(VLOOKUP($A235, manifest!$A:$E, 3, FALSE), ""), IF(OR(_xlpm.v=0, _xlpm.v=""), "", _xlpm.v))</f>
        <v>57</v>
      </c>
      <c r="I235" t="str">
        <f>_xlfn.LET(_xlpm.v, IFERROR(VLOOKUP($A235, manifest!$A:$E, 5, FALSE), ""), IF(OR(_xlpm.v=0, _xlpm.v=""), "", _xlpm.v))</f>
        <v>female</v>
      </c>
    </row>
    <row r="236" spans="1:9" x14ac:dyDescent="0.6">
      <c r="A236">
        <v>47</v>
      </c>
      <c r="B236" t="s">
        <v>7</v>
      </c>
      <c r="C236" t="s">
        <v>12</v>
      </c>
      <c r="D236">
        <v>207.54</v>
      </c>
      <c r="E236">
        <v>218.45</v>
      </c>
      <c r="F236">
        <v>36789</v>
      </c>
      <c r="H236">
        <f>_xlfn.LET(_xlpm.v, IFERROR(VLOOKUP($A236, manifest!$A:$E, 3, FALSE), ""), IF(OR(_xlpm.v=0, _xlpm.v=""), "", _xlpm.v))</f>
        <v>57</v>
      </c>
      <c r="I236" t="str">
        <f>_xlfn.LET(_xlpm.v, IFERROR(VLOOKUP($A236, manifest!$A:$E, 5, FALSE), ""), IF(OR(_xlpm.v=0, _xlpm.v=""), "", _xlpm.v))</f>
        <v>female</v>
      </c>
    </row>
    <row r="237" spans="1:9" x14ac:dyDescent="0.6">
      <c r="A237">
        <v>47</v>
      </c>
      <c r="B237" t="s">
        <v>7</v>
      </c>
      <c r="C237" t="s">
        <v>13</v>
      </c>
      <c r="D237">
        <v>222.88</v>
      </c>
      <c r="E237">
        <v>233.45</v>
      </c>
      <c r="F237">
        <v>40542</v>
      </c>
      <c r="H237">
        <f>_xlfn.LET(_xlpm.v, IFERROR(VLOOKUP($A237, manifest!$A:$E, 3, FALSE), ""), IF(OR(_xlpm.v=0, _xlpm.v=""), "", _xlpm.v))</f>
        <v>57</v>
      </c>
      <c r="I237" t="str">
        <f>_xlfn.LET(_xlpm.v, IFERROR(VLOOKUP($A237, manifest!$A:$E, 5, FALSE), ""), IF(OR(_xlpm.v=0, _xlpm.v=""), "", _xlpm.v))</f>
        <v>female</v>
      </c>
    </row>
    <row r="238" spans="1:9" x14ac:dyDescent="0.6">
      <c r="A238">
        <v>58</v>
      </c>
      <c r="B238" t="s">
        <v>7</v>
      </c>
      <c r="C238" t="s">
        <v>8</v>
      </c>
      <c r="D238">
        <v>135.03</v>
      </c>
      <c r="E238">
        <v>90.65</v>
      </c>
      <c r="F238">
        <v>32983</v>
      </c>
      <c r="G238" t="s">
        <v>15</v>
      </c>
      <c r="H238">
        <f>_xlfn.LET(_xlpm.v, IFERROR(VLOOKUP($A238, manifest!$A:$E, 3, FALSE), ""), IF(OR(_xlpm.v=0, _xlpm.v=""), "", _xlpm.v))</f>
        <v>53</v>
      </c>
      <c r="I238" t="str">
        <f>_xlfn.LET(_xlpm.v, IFERROR(VLOOKUP($A238, manifest!$A:$E, 5, FALSE), ""), IF(OR(_xlpm.v=0, _xlpm.v=""), "", _xlpm.v))</f>
        <v>female</v>
      </c>
    </row>
    <row r="239" spans="1:9" x14ac:dyDescent="0.6">
      <c r="A239">
        <v>58</v>
      </c>
      <c r="B239" t="s">
        <v>7</v>
      </c>
      <c r="C239" t="s">
        <v>10</v>
      </c>
      <c r="D239">
        <v>165.66</v>
      </c>
      <c r="E239">
        <v>153.53</v>
      </c>
      <c r="F239">
        <v>37277</v>
      </c>
      <c r="H239">
        <f>_xlfn.LET(_xlpm.v, IFERROR(VLOOKUP($A239, manifest!$A:$E, 3, FALSE), ""), IF(OR(_xlpm.v=0, _xlpm.v=""), "", _xlpm.v))</f>
        <v>53</v>
      </c>
      <c r="I239" t="str">
        <f>_xlfn.LET(_xlpm.v, IFERROR(VLOOKUP($A239, manifest!$A:$E, 5, FALSE), ""), IF(OR(_xlpm.v=0, _xlpm.v=""), "", _xlpm.v))</f>
        <v>female</v>
      </c>
    </row>
    <row r="240" spans="1:9" x14ac:dyDescent="0.6">
      <c r="A240">
        <v>58</v>
      </c>
      <c r="B240" t="s">
        <v>7</v>
      </c>
      <c r="C240" t="s">
        <v>11</v>
      </c>
      <c r="D240">
        <v>182.94</v>
      </c>
      <c r="E240">
        <v>197.59</v>
      </c>
      <c r="F240">
        <v>41108</v>
      </c>
      <c r="H240">
        <f>_xlfn.LET(_xlpm.v, IFERROR(VLOOKUP($A240, manifest!$A:$E, 3, FALSE), ""), IF(OR(_xlpm.v=0, _xlpm.v=""), "", _xlpm.v))</f>
        <v>53</v>
      </c>
      <c r="I240" t="str">
        <f>_xlfn.LET(_xlpm.v, IFERROR(VLOOKUP($A240, manifest!$A:$E, 5, FALSE), ""), IF(OR(_xlpm.v=0, _xlpm.v=""), "", _xlpm.v))</f>
        <v>female</v>
      </c>
    </row>
    <row r="241" spans="1:9" x14ac:dyDescent="0.6">
      <c r="A241">
        <v>58</v>
      </c>
      <c r="B241" t="s">
        <v>7</v>
      </c>
      <c r="C241" t="s">
        <v>12</v>
      </c>
      <c r="D241">
        <v>173.94</v>
      </c>
      <c r="E241">
        <v>186.36</v>
      </c>
      <c r="F241">
        <v>42299</v>
      </c>
      <c r="H241">
        <f>_xlfn.LET(_xlpm.v, IFERROR(VLOOKUP($A241, manifest!$A:$E, 3, FALSE), ""), IF(OR(_xlpm.v=0, _xlpm.v=""), "", _xlpm.v))</f>
        <v>53</v>
      </c>
      <c r="I241" t="str">
        <f>_xlfn.LET(_xlpm.v, IFERROR(VLOOKUP($A241, manifest!$A:$E, 5, FALSE), ""), IF(OR(_xlpm.v=0, _xlpm.v=""), "", _xlpm.v))</f>
        <v>female</v>
      </c>
    </row>
    <row r="242" spans="1:9" x14ac:dyDescent="0.6">
      <c r="A242">
        <v>58</v>
      </c>
      <c r="B242" t="s">
        <v>7</v>
      </c>
      <c r="C242" t="s">
        <v>13</v>
      </c>
      <c r="D242">
        <v>167.42</v>
      </c>
      <c r="E242">
        <v>175.14</v>
      </c>
      <c r="F242">
        <v>46258</v>
      </c>
      <c r="H242">
        <f>_xlfn.LET(_xlpm.v, IFERROR(VLOOKUP($A242, manifest!$A:$E, 3, FALSE), ""), IF(OR(_xlpm.v=0, _xlpm.v=""), "", _xlpm.v))</f>
        <v>53</v>
      </c>
      <c r="I242" t="str">
        <f>_xlfn.LET(_xlpm.v, IFERROR(VLOOKUP($A242, manifest!$A:$E, 5, FALSE), ""), IF(OR(_xlpm.v=0, _xlpm.v=""), "", _xlpm.v))</f>
        <v>female</v>
      </c>
    </row>
    <row r="243" spans="1:9" x14ac:dyDescent="0.6">
      <c r="A243">
        <v>20</v>
      </c>
      <c r="B243" t="s">
        <v>14</v>
      </c>
      <c r="C243" t="s">
        <v>8</v>
      </c>
      <c r="D243">
        <v>241.65</v>
      </c>
      <c r="E243">
        <v>177.25</v>
      </c>
      <c r="F243">
        <v>50996</v>
      </c>
      <c r="G243" t="s">
        <v>9</v>
      </c>
      <c r="H243">
        <f>_xlfn.LET(_xlpm.v, IFERROR(VLOOKUP($A243, manifest!$A:$E, 3, FALSE), ""), IF(OR(_xlpm.v=0, _xlpm.v=""), "", _xlpm.v))</f>
        <v>54</v>
      </c>
      <c r="I243" t="str">
        <f>_xlfn.LET(_xlpm.v, IFERROR(VLOOKUP($A243, manifest!$A:$E, 5, FALSE), ""), IF(OR(_xlpm.v=0, _xlpm.v=""), "", _xlpm.v))</f>
        <v>male</v>
      </c>
    </row>
    <row r="244" spans="1:9" x14ac:dyDescent="0.6">
      <c r="A244">
        <v>20</v>
      </c>
      <c r="B244" t="s">
        <v>14</v>
      </c>
      <c r="C244" t="s">
        <v>10</v>
      </c>
      <c r="D244">
        <v>254.88</v>
      </c>
      <c r="E244">
        <v>226.99</v>
      </c>
      <c r="F244">
        <v>55169</v>
      </c>
      <c r="H244">
        <f>_xlfn.LET(_xlpm.v, IFERROR(VLOOKUP($A244, manifest!$A:$E, 3, FALSE), ""), IF(OR(_xlpm.v=0, _xlpm.v=""), "", _xlpm.v))</f>
        <v>54</v>
      </c>
      <c r="I244" t="str">
        <f>_xlfn.LET(_xlpm.v, IFERROR(VLOOKUP($A244, manifest!$A:$E, 5, FALSE), ""), IF(OR(_xlpm.v=0, _xlpm.v=""), "", _xlpm.v))</f>
        <v>male</v>
      </c>
    </row>
    <row r="245" spans="1:9" x14ac:dyDescent="0.6">
      <c r="A245">
        <v>20</v>
      </c>
      <c r="B245" t="s">
        <v>14</v>
      </c>
      <c r="C245" t="s">
        <v>11</v>
      </c>
      <c r="D245">
        <v>263.85000000000002</v>
      </c>
      <c r="E245">
        <v>233.77</v>
      </c>
      <c r="F245">
        <v>68393</v>
      </c>
      <c r="H245">
        <f>_xlfn.LET(_xlpm.v, IFERROR(VLOOKUP($A245, manifest!$A:$E, 3, FALSE), ""), IF(OR(_xlpm.v=0, _xlpm.v=""), "", _xlpm.v))</f>
        <v>54</v>
      </c>
      <c r="I245" t="str">
        <f>_xlfn.LET(_xlpm.v, IFERROR(VLOOKUP($A245, manifest!$A:$E, 5, FALSE), ""), IF(OR(_xlpm.v=0, _xlpm.v=""), "", _xlpm.v))</f>
        <v>male</v>
      </c>
    </row>
    <row r="246" spans="1:9" x14ac:dyDescent="0.6">
      <c r="A246">
        <v>20</v>
      </c>
      <c r="B246" t="s">
        <v>14</v>
      </c>
      <c r="C246" t="s">
        <v>12</v>
      </c>
      <c r="D246">
        <v>245.74</v>
      </c>
      <c r="E246">
        <v>210.11</v>
      </c>
      <c r="F246">
        <v>73540</v>
      </c>
      <c r="H246">
        <f>_xlfn.LET(_xlpm.v, IFERROR(VLOOKUP($A246, manifest!$A:$E, 3, FALSE), ""), IF(OR(_xlpm.v=0, _xlpm.v=""), "", _xlpm.v))</f>
        <v>54</v>
      </c>
      <c r="I246" t="str">
        <f>_xlfn.LET(_xlpm.v, IFERROR(VLOOKUP($A246, manifest!$A:$E, 5, FALSE), ""), IF(OR(_xlpm.v=0, _xlpm.v=""), "", _xlpm.v))</f>
        <v>male</v>
      </c>
    </row>
    <row r="247" spans="1:9" x14ac:dyDescent="0.6">
      <c r="A247">
        <v>20</v>
      </c>
      <c r="B247" t="s">
        <v>14</v>
      </c>
      <c r="C247" t="s">
        <v>13</v>
      </c>
      <c r="D247">
        <v>252.82</v>
      </c>
      <c r="E247">
        <v>181.01</v>
      </c>
      <c r="F247">
        <v>71084</v>
      </c>
      <c r="H247">
        <f>_xlfn.LET(_xlpm.v, IFERROR(VLOOKUP($A247, manifest!$A:$E, 3, FALSE), ""), IF(OR(_xlpm.v=0, _xlpm.v=""), "", _xlpm.v))</f>
        <v>54</v>
      </c>
      <c r="I247" t="str">
        <f>_xlfn.LET(_xlpm.v, IFERROR(VLOOKUP($A247, manifest!$A:$E, 5, FALSE), ""), IF(OR(_xlpm.v=0, _xlpm.v=""), "", _xlpm.v))</f>
        <v>male</v>
      </c>
    </row>
    <row r="248" spans="1:9" x14ac:dyDescent="0.6">
      <c r="A248">
        <v>52</v>
      </c>
      <c r="B248" t="s">
        <v>7</v>
      </c>
      <c r="C248" t="s">
        <v>8</v>
      </c>
      <c r="D248">
        <v>154.59</v>
      </c>
      <c r="E248">
        <v>118.65</v>
      </c>
      <c r="F248">
        <v>29759</v>
      </c>
      <c r="G248" t="s">
        <v>15</v>
      </c>
      <c r="H248" t="str">
        <f>_xlfn.LET(_xlpm.v, IFERROR(VLOOKUP($A248, manifest!$A:$E, 3, FALSE), ""), IF(OR(_xlpm.v=0, _xlpm.v=""), "", _xlpm.v))</f>
        <v/>
      </c>
      <c r="I248" t="str">
        <f>_xlfn.LET(_xlpm.v, IFERROR(VLOOKUP($A248, manifest!$A:$E, 5, FALSE), ""), IF(OR(_xlpm.v=0, _xlpm.v=""), "", _xlpm.v))</f>
        <v>male</v>
      </c>
    </row>
    <row r="249" spans="1:9" x14ac:dyDescent="0.6">
      <c r="A249">
        <v>52</v>
      </c>
      <c r="B249" t="s">
        <v>7</v>
      </c>
      <c r="C249" t="s">
        <v>10</v>
      </c>
      <c r="D249">
        <v>182.72</v>
      </c>
      <c r="E249">
        <v>137.63999999999999</v>
      </c>
      <c r="F249">
        <v>29370</v>
      </c>
      <c r="H249" t="str">
        <f>_xlfn.LET(_xlpm.v, IFERROR(VLOOKUP($A249, manifest!$A:$E, 3, FALSE), ""), IF(OR(_xlpm.v=0, _xlpm.v=""), "", _xlpm.v))</f>
        <v/>
      </c>
      <c r="I249" t="str">
        <f>_xlfn.LET(_xlpm.v, IFERROR(VLOOKUP($A249, manifest!$A:$E, 5, FALSE), ""), IF(OR(_xlpm.v=0, _xlpm.v=""), "", _xlpm.v))</f>
        <v>male</v>
      </c>
    </row>
    <row r="250" spans="1:9" x14ac:dyDescent="0.6">
      <c r="A250">
        <v>52</v>
      </c>
      <c r="B250" t="s">
        <v>7</v>
      </c>
      <c r="C250" t="s">
        <v>11</v>
      </c>
      <c r="D250">
        <v>184.5</v>
      </c>
      <c r="E250">
        <v>136.22</v>
      </c>
      <c r="F250">
        <v>32261</v>
      </c>
      <c r="H250" t="str">
        <f>_xlfn.LET(_xlpm.v, IFERROR(VLOOKUP($A250, manifest!$A:$E, 3, FALSE), ""), IF(OR(_xlpm.v=0, _xlpm.v=""), "", _xlpm.v))</f>
        <v/>
      </c>
      <c r="I250" t="str">
        <f>_xlfn.LET(_xlpm.v, IFERROR(VLOOKUP($A250, manifest!$A:$E, 5, FALSE), ""), IF(OR(_xlpm.v=0, _xlpm.v=""), "", _xlpm.v))</f>
        <v>male</v>
      </c>
    </row>
    <row r="251" spans="1:9" x14ac:dyDescent="0.6">
      <c r="A251">
        <v>52</v>
      </c>
      <c r="B251" t="s">
        <v>7</v>
      </c>
      <c r="C251" t="s">
        <v>12</v>
      </c>
      <c r="D251">
        <v>186.12</v>
      </c>
      <c r="E251">
        <v>157.63</v>
      </c>
      <c r="F251">
        <v>39094</v>
      </c>
      <c r="H251" t="str">
        <f>_xlfn.LET(_xlpm.v, IFERROR(VLOOKUP($A251, manifest!$A:$E, 3, FALSE), ""), IF(OR(_xlpm.v=0, _xlpm.v=""), "", _xlpm.v))</f>
        <v/>
      </c>
      <c r="I251" t="str">
        <f>_xlfn.LET(_xlpm.v, IFERROR(VLOOKUP($A251, manifest!$A:$E, 5, FALSE), ""), IF(OR(_xlpm.v=0, _xlpm.v=""), "", _xlpm.v))</f>
        <v>male</v>
      </c>
    </row>
    <row r="252" spans="1:9" x14ac:dyDescent="0.6">
      <c r="A252">
        <v>52</v>
      </c>
      <c r="B252" t="s">
        <v>7</v>
      </c>
      <c r="C252" t="s">
        <v>13</v>
      </c>
      <c r="D252">
        <v>203.91</v>
      </c>
      <c r="E252">
        <v>166.46</v>
      </c>
      <c r="F252">
        <v>44225</v>
      </c>
      <c r="H252" t="str">
        <f>_xlfn.LET(_xlpm.v, IFERROR(VLOOKUP($A252, manifest!$A:$E, 3, FALSE), ""), IF(OR(_xlpm.v=0, _xlpm.v=""), "", _xlpm.v))</f>
        <v/>
      </c>
      <c r="I252" t="str">
        <f>_xlfn.LET(_xlpm.v, IFERROR(VLOOKUP($A252, manifest!$A:$E, 5, FALSE), ""), IF(OR(_xlpm.v=0, _xlpm.v=""), "", _xlpm.v))</f>
        <v>male</v>
      </c>
    </row>
    <row r="253" spans="1:9" x14ac:dyDescent="0.6">
      <c r="A253">
        <v>51</v>
      </c>
      <c r="B253" t="s">
        <v>7</v>
      </c>
      <c r="C253" t="s">
        <v>8</v>
      </c>
      <c r="D253">
        <v>199.18</v>
      </c>
      <c r="E253">
        <v>149.22</v>
      </c>
      <c r="F253">
        <v>34693</v>
      </c>
      <c r="G253" t="s">
        <v>9</v>
      </c>
      <c r="H253" t="str">
        <f>_xlfn.LET(_xlpm.v, IFERROR(VLOOKUP($A253, manifest!$A:$E, 3, FALSE), ""), IF(OR(_xlpm.v=0, _xlpm.v=""), "", _xlpm.v))</f>
        <v/>
      </c>
      <c r="I253" t="str">
        <f>_xlfn.LET(_xlpm.v, IFERROR(VLOOKUP($A253, manifest!$A:$E, 5, FALSE), ""), IF(OR(_xlpm.v=0, _xlpm.v=""), "", _xlpm.v))</f>
        <v>male</v>
      </c>
    </row>
    <row r="254" spans="1:9" x14ac:dyDescent="0.6">
      <c r="A254">
        <v>51</v>
      </c>
      <c r="B254" t="s">
        <v>7</v>
      </c>
      <c r="C254" t="s">
        <v>10</v>
      </c>
      <c r="D254">
        <v>191.1</v>
      </c>
      <c r="E254">
        <v>138.36000000000001</v>
      </c>
      <c r="F254">
        <v>37363</v>
      </c>
      <c r="H254" t="str">
        <f>_xlfn.LET(_xlpm.v, IFERROR(VLOOKUP($A254, manifest!$A:$E, 3, FALSE), ""), IF(OR(_xlpm.v=0, _xlpm.v=""), "", _xlpm.v))</f>
        <v/>
      </c>
      <c r="I254" t="str">
        <f>_xlfn.LET(_xlpm.v, IFERROR(VLOOKUP($A254, manifest!$A:$E, 5, FALSE), ""), IF(OR(_xlpm.v=0, _xlpm.v=""), "", _xlpm.v))</f>
        <v>male</v>
      </c>
    </row>
    <row r="255" spans="1:9" x14ac:dyDescent="0.6">
      <c r="A255">
        <v>51</v>
      </c>
      <c r="B255" t="s">
        <v>7</v>
      </c>
      <c r="C255" t="s">
        <v>11</v>
      </c>
      <c r="D255">
        <v>170.29</v>
      </c>
      <c r="E255">
        <v>122.42</v>
      </c>
      <c r="F255">
        <v>47133</v>
      </c>
      <c r="H255" t="str">
        <f>_xlfn.LET(_xlpm.v, IFERROR(VLOOKUP($A255, manifest!$A:$E, 3, FALSE), ""), IF(OR(_xlpm.v=0, _xlpm.v=""), "", _xlpm.v))</f>
        <v/>
      </c>
      <c r="I255" t="str">
        <f>_xlfn.LET(_xlpm.v, IFERROR(VLOOKUP($A255, manifest!$A:$E, 5, FALSE), ""), IF(OR(_xlpm.v=0, _xlpm.v=""), "", _xlpm.v))</f>
        <v>male</v>
      </c>
    </row>
    <row r="256" spans="1:9" x14ac:dyDescent="0.6">
      <c r="A256">
        <v>51</v>
      </c>
      <c r="B256" t="s">
        <v>7</v>
      </c>
      <c r="C256" t="s">
        <v>12</v>
      </c>
      <c r="D256">
        <v>179.56</v>
      </c>
      <c r="E256">
        <v>136.31</v>
      </c>
      <c r="F256">
        <v>50472</v>
      </c>
      <c r="H256" t="str">
        <f>_xlfn.LET(_xlpm.v, IFERROR(VLOOKUP($A256, manifest!$A:$E, 3, FALSE), ""), IF(OR(_xlpm.v=0, _xlpm.v=""), "", _xlpm.v))</f>
        <v/>
      </c>
      <c r="I256" t="str">
        <f>_xlfn.LET(_xlpm.v, IFERROR(VLOOKUP($A256, manifest!$A:$E, 5, FALSE), ""), IF(OR(_xlpm.v=0, _xlpm.v=""), "", _xlpm.v))</f>
        <v>male</v>
      </c>
    </row>
    <row r="257" spans="1:9" x14ac:dyDescent="0.6">
      <c r="A257">
        <v>51</v>
      </c>
      <c r="B257" t="s">
        <v>7</v>
      </c>
      <c r="C257" t="s">
        <v>13</v>
      </c>
      <c r="D257">
        <v>200.39</v>
      </c>
      <c r="E257">
        <v>148.72</v>
      </c>
      <c r="F257">
        <v>53502</v>
      </c>
      <c r="H257" t="str">
        <f>_xlfn.LET(_xlpm.v, IFERROR(VLOOKUP($A257, manifest!$A:$E, 3, FALSE), ""), IF(OR(_xlpm.v=0, _xlpm.v=""), "", _xlpm.v))</f>
        <v/>
      </c>
      <c r="I257" t="str">
        <f>_xlfn.LET(_xlpm.v, IFERROR(VLOOKUP($A257, manifest!$A:$E, 5, FALSE), ""), IF(OR(_xlpm.v=0, _xlpm.v=""), "", _xlpm.v))</f>
        <v>male</v>
      </c>
    </row>
    <row r="258" spans="1:9" x14ac:dyDescent="0.6">
      <c r="A258">
        <v>44</v>
      </c>
      <c r="B258" t="s">
        <v>14</v>
      </c>
      <c r="C258" t="s">
        <v>8</v>
      </c>
      <c r="D258">
        <v>173.22</v>
      </c>
      <c r="E258">
        <v>173.23</v>
      </c>
      <c r="F258">
        <v>33004</v>
      </c>
      <c r="G258" t="s">
        <v>9</v>
      </c>
      <c r="H258">
        <f>_xlfn.LET(_xlpm.v, IFERROR(VLOOKUP($A258, manifest!$A:$E, 3, FALSE), ""), IF(OR(_xlpm.v=0, _xlpm.v=""), "", _xlpm.v))</f>
        <v>72</v>
      </c>
      <c r="I258" t="str">
        <f>_xlfn.LET(_xlpm.v, IFERROR(VLOOKUP($A258, manifest!$A:$E, 5, FALSE), ""), IF(OR(_xlpm.v=0, _xlpm.v=""), "", _xlpm.v))</f>
        <v>female</v>
      </c>
    </row>
    <row r="259" spans="1:9" x14ac:dyDescent="0.6">
      <c r="A259">
        <v>44</v>
      </c>
      <c r="B259" t="s">
        <v>14</v>
      </c>
      <c r="C259" t="s">
        <v>10</v>
      </c>
      <c r="D259">
        <v>185.14</v>
      </c>
      <c r="E259">
        <v>182.91</v>
      </c>
      <c r="F259">
        <v>39277</v>
      </c>
      <c r="H259">
        <f>_xlfn.LET(_xlpm.v, IFERROR(VLOOKUP($A259, manifest!$A:$E, 3, FALSE), ""), IF(OR(_xlpm.v=0, _xlpm.v=""), "", _xlpm.v))</f>
        <v>72</v>
      </c>
      <c r="I259" t="str">
        <f>_xlfn.LET(_xlpm.v, IFERROR(VLOOKUP($A259, manifest!$A:$E, 5, FALSE), ""), IF(OR(_xlpm.v=0, _xlpm.v=""), "", _xlpm.v))</f>
        <v>female</v>
      </c>
    </row>
    <row r="260" spans="1:9" x14ac:dyDescent="0.6">
      <c r="A260">
        <v>44</v>
      </c>
      <c r="B260" t="s">
        <v>14</v>
      </c>
      <c r="C260" t="s">
        <v>11</v>
      </c>
      <c r="D260">
        <v>185.44</v>
      </c>
      <c r="E260">
        <v>205.66</v>
      </c>
      <c r="F260">
        <v>45660</v>
      </c>
      <c r="H260">
        <f>_xlfn.LET(_xlpm.v, IFERROR(VLOOKUP($A260, manifest!$A:$E, 3, FALSE), ""), IF(OR(_xlpm.v=0, _xlpm.v=""), "", _xlpm.v))</f>
        <v>72</v>
      </c>
      <c r="I260" t="str">
        <f>_xlfn.LET(_xlpm.v, IFERROR(VLOOKUP($A260, manifest!$A:$E, 5, FALSE), ""), IF(OR(_xlpm.v=0, _xlpm.v=""), "", _xlpm.v))</f>
        <v>female</v>
      </c>
    </row>
    <row r="261" spans="1:9" x14ac:dyDescent="0.6">
      <c r="A261">
        <v>44</v>
      </c>
      <c r="B261" t="s">
        <v>14</v>
      </c>
      <c r="C261" t="s">
        <v>12</v>
      </c>
      <c r="D261">
        <v>194.87</v>
      </c>
      <c r="E261">
        <v>222.97</v>
      </c>
      <c r="F261">
        <v>53914</v>
      </c>
      <c r="H261">
        <f>_xlfn.LET(_xlpm.v, IFERROR(VLOOKUP($A261, manifest!$A:$E, 3, FALSE), ""), IF(OR(_xlpm.v=0, _xlpm.v=""), "", _xlpm.v))</f>
        <v>72</v>
      </c>
      <c r="I261" t="str">
        <f>_xlfn.LET(_xlpm.v, IFERROR(VLOOKUP($A261, manifest!$A:$E, 5, FALSE), ""), IF(OR(_xlpm.v=0, _xlpm.v=""), "", _xlpm.v))</f>
        <v>female</v>
      </c>
    </row>
    <row r="262" spans="1:9" x14ac:dyDescent="0.6">
      <c r="A262">
        <v>44</v>
      </c>
      <c r="B262" t="s">
        <v>14</v>
      </c>
      <c r="C262" t="s">
        <v>13</v>
      </c>
      <c r="D262">
        <v>284.51</v>
      </c>
      <c r="E262">
        <v>299.58999999999997</v>
      </c>
      <c r="F262">
        <v>55936</v>
      </c>
      <c r="H262">
        <f>_xlfn.LET(_xlpm.v, IFERROR(VLOOKUP($A262, manifest!$A:$E, 3, FALSE), ""), IF(OR(_xlpm.v=0, _xlpm.v=""), "", _xlpm.v))</f>
        <v>72</v>
      </c>
      <c r="I262" t="str">
        <f>_xlfn.LET(_xlpm.v, IFERROR(VLOOKUP($A262, manifest!$A:$E, 5, FALSE), ""), IF(OR(_xlpm.v=0, _xlpm.v=""), "", _xlpm.v))</f>
        <v>female</v>
      </c>
    </row>
    <row r="263" spans="1:9" x14ac:dyDescent="0.6">
      <c r="A263">
        <v>62</v>
      </c>
      <c r="B263" t="s">
        <v>14</v>
      </c>
      <c r="C263" t="s">
        <v>8</v>
      </c>
      <c r="D263">
        <v>271.37</v>
      </c>
      <c r="E263">
        <v>134.54</v>
      </c>
      <c r="F263">
        <v>28452</v>
      </c>
      <c r="G263" t="s">
        <v>9</v>
      </c>
      <c r="H263">
        <f>_xlfn.LET(_xlpm.v, IFERROR(VLOOKUP($A263, manifest!$A:$E, 3, FALSE), ""), IF(OR(_xlpm.v=0, _xlpm.v=""), "", _xlpm.v))</f>
        <v>57</v>
      </c>
      <c r="I263" t="str">
        <f>_xlfn.LET(_xlpm.v, IFERROR(VLOOKUP($A263, manifest!$A:$E, 5, FALSE), ""), IF(OR(_xlpm.v=0, _xlpm.v=""), "", _xlpm.v))</f>
        <v>female</v>
      </c>
    </row>
    <row r="264" spans="1:9" x14ac:dyDescent="0.6">
      <c r="A264">
        <v>62</v>
      </c>
      <c r="B264" t="s">
        <v>14</v>
      </c>
      <c r="C264" t="s">
        <v>10</v>
      </c>
      <c r="D264">
        <v>289.66000000000003</v>
      </c>
      <c r="E264">
        <v>173.16</v>
      </c>
      <c r="F264">
        <v>34073</v>
      </c>
      <c r="H264">
        <f>_xlfn.LET(_xlpm.v, IFERROR(VLOOKUP($A264, manifest!$A:$E, 3, FALSE), ""), IF(OR(_xlpm.v=0, _xlpm.v=""), "", _xlpm.v))</f>
        <v>57</v>
      </c>
      <c r="I264" t="str">
        <f>_xlfn.LET(_xlpm.v, IFERROR(VLOOKUP($A264, manifest!$A:$E, 5, FALSE), ""), IF(OR(_xlpm.v=0, _xlpm.v=""), "", _xlpm.v))</f>
        <v>female</v>
      </c>
    </row>
    <row r="265" spans="1:9" x14ac:dyDescent="0.6">
      <c r="A265">
        <v>62</v>
      </c>
      <c r="B265" t="s">
        <v>14</v>
      </c>
      <c r="C265" t="s">
        <v>11</v>
      </c>
      <c r="D265">
        <v>274.56</v>
      </c>
      <c r="E265">
        <v>181.41</v>
      </c>
      <c r="F265">
        <v>35622</v>
      </c>
      <c r="H265">
        <f>_xlfn.LET(_xlpm.v, IFERROR(VLOOKUP($A265, manifest!$A:$E, 3, FALSE), ""), IF(OR(_xlpm.v=0, _xlpm.v=""), "", _xlpm.v))</f>
        <v>57</v>
      </c>
      <c r="I265" t="str">
        <f>_xlfn.LET(_xlpm.v, IFERROR(VLOOKUP($A265, manifest!$A:$E, 5, FALSE), ""), IF(OR(_xlpm.v=0, _xlpm.v=""), "", _xlpm.v))</f>
        <v>female</v>
      </c>
    </row>
    <row r="266" spans="1:9" x14ac:dyDescent="0.6">
      <c r="A266">
        <v>62</v>
      </c>
      <c r="B266" t="s">
        <v>14</v>
      </c>
      <c r="C266" t="s">
        <v>12</v>
      </c>
      <c r="D266">
        <v>300.10000000000002</v>
      </c>
      <c r="E266">
        <v>214.59</v>
      </c>
      <c r="F266">
        <v>36309</v>
      </c>
      <c r="H266">
        <f>_xlfn.LET(_xlpm.v, IFERROR(VLOOKUP($A266, manifest!$A:$E, 3, FALSE), ""), IF(OR(_xlpm.v=0, _xlpm.v=""), "", _xlpm.v))</f>
        <v>57</v>
      </c>
      <c r="I266" t="str">
        <f>_xlfn.LET(_xlpm.v, IFERROR(VLOOKUP($A266, manifest!$A:$E, 5, FALSE), ""), IF(OR(_xlpm.v=0, _xlpm.v=""), "", _xlpm.v))</f>
        <v>female</v>
      </c>
    </row>
    <row r="267" spans="1:9" x14ac:dyDescent="0.6">
      <c r="A267">
        <v>62</v>
      </c>
      <c r="B267" t="s">
        <v>14</v>
      </c>
      <c r="C267" t="s">
        <v>13</v>
      </c>
      <c r="D267">
        <v>273.52999999999997</v>
      </c>
      <c r="E267">
        <v>196.11</v>
      </c>
      <c r="F267">
        <v>48039</v>
      </c>
      <c r="H267">
        <f>_xlfn.LET(_xlpm.v, IFERROR(VLOOKUP($A267, manifest!$A:$E, 3, FALSE), ""), IF(OR(_xlpm.v=0, _xlpm.v=""), "", _xlpm.v))</f>
        <v>57</v>
      </c>
      <c r="I267" t="str">
        <f>_xlfn.LET(_xlpm.v, IFERROR(VLOOKUP($A267, manifest!$A:$E, 5, FALSE), ""), IF(OR(_xlpm.v=0, _xlpm.v=""), "", _xlpm.v))</f>
        <v>female</v>
      </c>
    </row>
    <row r="268" spans="1:9" x14ac:dyDescent="0.6">
      <c r="A268">
        <v>49</v>
      </c>
      <c r="B268" t="s">
        <v>7</v>
      </c>
      <c r="C268" t="s">
        <v>8</v>
      </c>
      <c r="D268">
        <v>226.32</v>
      </c>
      <c r="E268">
        <v>172.36</v>
      </c>
      <c r="F268">
        <v>31413</v>
      </c>
      <c r="G268" t="s">
        <v>9</v>
      </c>
      <c r="H268" t="str">
        <f>_xlfn.LET(_xlpm.v, IFERROR(VLOOKUP($A268, manifest!$A:$E, 3, FALSE), ""), IF(OR(_xlpm.v=0, _xlpm.v=""), "", _xlpm.v))</f>
        <v/>
      </c>
      <c r="I268" t="str">
        <f>_xlfn.LET(_xlpm.v, IFERROR(VLOOKUP($A268, manifest!$A:$E, 5, FALSE), ""), IF(OR(_xlpm.v=0, _xlpm.v=""), "", _xlpm.v))</f>
        <v>male</v>
      </c>
    </row>
    <row r="269" spans="1:9" x14ac:dyDescent="0.6">
      <c r="A269">
        <v>49</v>
      </c>
      <c r="B269" t="s">
        <v>7</v>
      </c>
      <c r="C269" t="s">
        <v>10</v>
      </c>
      <c r="D269">
        <v>253.04</v>
      </c>
      <c r="E269">
        <v>217.69</v>
      </c>
      <c r="F269">
        <v>31116</v>
      </c>
      <c r="H269" t="str">
        <f>_xlfn.LET(_xlpm.v, IFERROR(VLOOKUP($A269, manifest!$A:$E, 3, FALSE), ""), IF(OR(_xlpm.v=0, _xlpm.v=""), "", _xlpm.v))</f>
        <v/>
      </c>
      <c r="I269" t="str">
        <f>_xlfn.LET(_xlpm.v, IFERROR(VLOOKUP($A269, manifest!$A:$E, 5, FALSE), ""), IF(OR(_xlpm.v=0, _xlpm.v=""), "", _xlpm.v))</f>
        <v>male</v>
      </c>
    </row>
    <row r="270" spans="1:9" x14ac:dyDescent="0.6">
      <c r="A270">
        <v>49</v>
      </c>
      <c r="B270" t="s">
        <v>7</v>
      </c>
      <c r="C270" t="s">
        <v>11</v>
      </c>
      <c r="D270">
        <v>257.42</v>
      </c>
      <c r="E270">
        <v>233.26</v>
      </c>
      <c r="F270">
        <v>34781</v>
      </c>
      <c r="H270" t="str">
        <f>_xlfn.LET(_xlpm.v, IFERROR(VLOOKUP($A270, manifest!$A:$E, 3, FALSE), ""), IF(OR(_xlpm.v=0, _xlpm.v=""), "", _xlpm.v))</f>
        <v/>
      </c>
      <c r="I270" t="str">
        <f>_xlfn.LET(_xlpm.v, IFERROR(VLOOKUP($A270, manifest!$A:$E, 5, FALSE), ""), IF(OR(_xlpm.v=0, _xlpm.v=""), "", _xlpm.v))</f>
        <v>male</v>
      </c>
    </row>
    <row r="271" spans="1:9" x14ac:dyDescent="0.6">
      <c r="A271">
        <v>49</v>
      </c>
      <c r="B271" t="s">
        <v>7</v>
      </c>
      <c r="C271" t="s">
        <v>12</v>
      </c>
      <c r="D271">
        <v>259.95999999999998</v>
      </c>
      <c r="E271">
        <v>232.76</v>
      </c>
      <c r="F271">
        <v>40947</v>
      </c>
      <c r="H271" t="str">
        <f>_xlfn.LET(_xlpm.v, IFERROR(VLOOKUP($A271, manifest!$A:$E, 3, FALSE), ""), IF(OR(_xlpm.v=0, _xlpm.v=""), "", _xlpm.v))</f>
        <v/>
      </c>
      <c r="I271" t="str">
        <f>_xlfn.LET(_xlpm.v, IFERROR(VLOOKUP($A271, manifest!$A:$E, 5, FALSE), ""), IF(OR(_xlpm.v=0, _xlpm.v=""), "", _xlpm.v))</f>
        <v>male</v>
      </c>
    </row>
    <row r="272" spans="1:9" x14ac:dyDescent="0.6">
      <c r="A272">
        <v>49</v>
      </c>
      <c r="B272" t="s">
        <v>7</v>
      </c>
      <c r="C272" t="s">
        <v>13</v>
      </c>
      <c r="D272">
        <v>264.77999999999997</v>
      </c>
      <c r="E272">
        <v>216.24</v>
      </c>
      <c r="F272">
        <v>41098</v>
      </c>
      <c r="H272" t="str">
        <f>_xlfn.LET(_xlpm.v, IFERROR(VLOOKUP($A272, manifest!$A:$E, 3, FALSE), ""), IF(OR(_xlpm.v=0, _xlpm.v=""), "", _xlpm.v))</f>
        <v/>
      </c>
      <c r="I272" t="str">
        <f>_xlfn.LET(_xlpm.v, IFERROR(VLOOKUP($A272, manifest!$A:$E, 5, FALSE), ""), IF(OR(_xlpm.v=0, _xlpm.v=""), "", _xlpm.v))</f>
        <v>male</v>
      </c>
    </row>
    <row r="273" spans="1:9" x14ac:dyDescent="0.6">
      <c r="A273">
        <v>56</v>
      </c>
      <c r="B273" t="s">
        <v>14</v>
      </c>
      <c r="C273" t="s">
        <v>8</v>
      </c>
      <c r="D273">
        <v>230.58</v>
      </c>
      <c r="E273">
        <v>149.63</v>
      </c>
      <c r="F273">
        <v>21624</v>
      </c>
      <c r="G273" t="s">
        <v>9</v>
      </c>
      <c r="H273" t="str">
        <f>_xlfn.LET(_xlpm.v, IFERROR(VLOOKUP($A273, manifest!$A:$E, 3, FALSE), ""), IF(OR(_xlpm.v=0, _xlpm.v=""), "", _xlpm.v))</f>
        <v/>
      </c>
      <c r="I273" t="str">
        <f>_xlfn.LET(_xlpm.v, IFERROR(VLOOKUP($A273, manifest!$A:$E, 5, FALSE), ""), IF(OR(_xlpm.v=0, _xlpm.v=""), "", _xlpm.v))</f>
        <v>female</v>
      </c>
    </row>
    <row r="274" spans="1:9" x14ac:dyDescent="0.6">
      <c r="A274">
        <v>56</v>
      </c>
      <c r="B274" t="s">
        <v>14</v>
      </c>
      <c r="C274" t="s">
        <v>10</v>
      </c>
      <c r="D274">
        <v>268.44</v>
      </c>
      <c r="E274">
        <v>218.21</v>
      </c>
      <c r="F274">
        <v>23824</v>
      </c>
      <c r="H274" t="str">
        <f>_xlfn.LET(_xlpm.v, IFERROR(VLOOKUP($A274, manifest!$A:$E, 3, FALSE), ""), IF(OR(_xlpm.v=0, _xlpm.v=""), "", _xlpm.v))</f>
        <v/>
      </c>
      <c r="I274" t="str">
        <f>_xlfn.LET(_xlpm.v, IFERROR(VLOOKUP($A274, manifest!$A:$E, 5, FALSE), ""), IF(OR(_xlpm.v=0, _xlpm.v=""), "", _xlpm.v))</f>
        <v>female</v>
      </c>
    </row>
    <row r="275" spans="1:9" x14ac:dyDescent="0.6">
      <c r="A275">
        <v>56</v>
      </c>
      <c r="B275" t="s">
        <v>14</v>
      </c>
      <c r="C275" t="s">
        <v>11</v>
      </c>
      <c r="D275">
        <v>242.68</v>
      </c>
      <c r="E275">
        <v>186.97</v>
      </c>
      <c r="F275">
        <v>28895</v>
      </c>
      <c r="H275" t="str">
        <f>_xlfn.LET(_xlpm.v, IFERROR(VLOOKUP($A275, manifest!$A:$E, 3, FALSE), ""), IF(OR(_xlpm.v=0, _xlpm.v=""), "", _xlpm.v))</f>
        <v/>
      </c>
      <c r="I275" t="str">
        <f>_xlfn.LET(_xlpm.v, IFERROR(VLOOKUP($A275, manifest!$A:$E, 5, FALSE), ""), IF(OR(_xlpm.v=0, _xlpm.v=""), "", _xlpm.v))</f>
        <v>female</v>
      </c>
    </row>
    <row r="276" spans="1:9" x14ac:dyDescent="0.6">
      <c r="A276">
        <v>56</v>
      </c>
      <c r="B276" t="s">
        <v>14</v>
      </c>
      <c r="C276" t="s">
        <v>12</v>
      </c>
      <c r="D276">
        <v>246.21</v>
      </c>
      <c r="E276">
        <v>171.5</v>
      </c>
      <c r="F276">
        <v>42144</v>
      </c>
      <c r="H276" t="str">
        <f>_xlfn.LET(_xlpm.v, IFERROR(VLOOKUP($A276, manifest!$A:$E, 3, FALSE), ""), IF(OR(_xlpm.v=0, _xlpm.v=""), "", _xlpm.v))</f>
        <v/>
      </c>
      <c r="I276" t="str">
        <f>_xlfn.LET(_xlpm.v, IFERROR(VLOOKUP($A276, manifest!$A:$E, 5, FALSE), ""), IF(OR(_xlpm.v=0, _xlpm.v=""), "", _xlpm.v))</f>
        <v>female</v>
      </c>
    </row>
    <row r="277" spans="1:9" x14ac:dyDescent="0.6">
      <c r="A277">
        <v>56</v>
      </c>
      <c r="B277" t="s">
        <v>14</v>
      </c>
      <c r="C277" t="s">
        <v>13</v>
      </c>
      <c r="D277">
        <v>238.88</v>
      </c>
      <c r="E277">
        <v>163.16</v>
      </c>
      <c r="F277">
        <v>42012</v>
      </c>
      <c r="H277" t="str">
        <f>_xlfn.LET(_xlpm.v, IFERROR(VLOOKUP($A277, manifest!$A:$E, 3, FALSE), ""), IF(OR(_xlpm.v=0, _xlpm.v=""), "", _xlpm.v))</f>
        <v/>
      </c>
      <c r="I277" t="str">
        <f>_xlfn.LET(_xlpm.v, IFERROR(VLOOKUP($A277, manifest!$A:$E, 5, FALSE), ""), IF(OR(_xlpm.v=0, _xlpm.v=""), "", _xlpm.v))</f>
        <v>female</v>
      </c>
    </row>
    <row r="278" spans="1:9" x14ac:dyDescent="0.6">
      <c r="A278">
        <v>57</v>
      </c>
      <c r="B278" t="s">
        <v>14</v>
      </c>
      <c r="C278" t="s">
        <v>8</v>
      </c>
      <c r="D278">
        <v>272.43</v>
      </c>
      <c r="E278">
        <v>145.54</v>
      </c>
      <c r="F278">
        <v>26315</v>
      </c>
      <c r="G278" t="s">
        <v>9</v>
      </c>
      <c r="H278" t="str">
        <f>_xlfn.LET(_xlpm.v, IFERROR(VLOOKUP($A278, manifest!$A:$E, 3, FALSE), ""), IF(OR(_xlpm.v=0, _xlpm.v=""), "", _xlpm.v))</f>
        <v/>
      </c>
      <c r="I278" t="str">
        <f>_xlfn.LET(_xlpm.v, IFERROR(VLOOKUP($A278, manifest!$A:$E, 5, FALSE), ""), IF(OR(_xlpm.v=0, _xlpm.v=""), "", _xlpm.v))</f>
        <v>female</v>
      </c>
    </row>
    <row r="279" spans="1:9" x14ac:dyDescent="0.6">
      <c r="A279">
        <v>57</v>
      </c>
      <c r="B279" t="s">
        <v>14</v>
      </c>
      <c r="C279" t="s">
        <v>10</v>
      </c>
      <c r="D279">
        <v>288.26</v>
      </c>
      <c r="E279">
        <v>200.46</v>
      </c>
      <c r="F279">
        <v>28379</v>
      </c>
      <c r="H279" t="str">
        <f>_xlfn.LET(_xlpm.v, IFERROR(VLOOKUP($A279, manifest!$A:$E, 3, FALSE), ""), IF(OR(_xlpm.v=0, _xlpm.v=""), "", _xlpm.v))</f>
        <v/>
      </c>
      <c r="I279" t="str">
        <f>_xlfn.LET(_xlpm.v, IFERROR(VLOOKUP($A279, manifest!$A:$E, 5, FALSE), ""), IF(OR(_xlpm.v=0, _xlpm.v=""), "", _xlpm.v))</f>
        <v>female</v>
      </c>
    </row>
    <row r="280" spans="1:9" x14ac:dyDescent="0.6">
      <c r="A280">
        <v>57</v>
      </c>
      <c r="B280" t="s">
        <v>14</v>
      </c>
      <c r="C280" t="s">
        <v>11</v>
      </c>
      <c r="D280">
        <v>284.94</v>
      </c>
      <c r="E280">
        <v>177.6</v>
      </c>
      <c r="F280">
        <v>31921</v>
      </c>
      <c r="H280" t="str">
        <f>_xlfn.LET(_xlpm.v, IFERROR(VLOOKUP($A280, manifest!$A:$E, 3, FALSE), ""), IF(OR(_xlpm.v=0, _xlpm.v=""), "", _xlpm.v))</f>
        <v/>
      </c>
      <c r="I280" t="str">
        <f>_xlfn.LET(_xlpm.v, IFERROR(VLOOKUP($A280, manifest!$A:$E, 5, FALSE), ""), IF(OR(_xlpm.v=0, _xlpm.v=""), "", _xlpm.v))</f>
        <v>female</v>
      </c>
    </row>
    <row r="281" spans="1:9" x14ac:dyDescent="0.6">
      <c r="A281">
        <v>57</v>
      </c>
      <c r="B281" t="s">
        <v>14</v>
      </c>
      <c r="C281" t="s">
        <v>12</v>
      </c>
      <c r="D281">
        <v>267</v>
      </c>
      <c r="E281">
        <v>171.66</v>
      </c>
      <c r="F281">
        <v>36746</v>
      </c>
      <c r="H281" t="str">
        <f>_xlfn.LET(_xlpm.v, IFERROR(VLOOKUP($A281, manifest!$A:$E, 3, FALSE), ""), IF(OR(_xlpm.v=0, _xlpm.v=""), "", _xlpm.v))</f>
        <v/>
      </c>
      <c r="I281" t="str">
        <f>_xlfn.LET(_xlpm.v, IFERROR(VLOOKUP($A281, manifest!$A:$E, 5, FALSE), ""), IF(OR(_xlpm.v=0, _xlpm.v=""), "", _xlpm.v))</f>
        <v>female</v>
      </c>
    </row>
    <row r="282" spans="1:9" x14ac:dyDescent="0.6">
      <c r="A282">
        <v>57</v>
      </c>
      <c r="B282" t="s">
        <v>14</v>
      </c>
      <c r="C282" t="s">
        <v>13</v>
      </c>
      <c r="D282">
        <v>274.26</v>
      </c>
      <c r="E282">
        <v>193.08</v>
      </c>
      <c r="F282">
        <v>44547</v>
      </c>
      <c r="H282" t="str">
        <f>_xlfn.LET(_xlpm.v, IFERROR(VLOOKUP($A282, manifest!$A:$E, 3, FALSE), ""), IF(OR(_xlpm.v=0, _xlpm.v=""), "", _xlpm.v))</f>
        <v/>
      </c>
      <c r="I282" t="str">
        <f>_xlfn.LET(_xlpm.v, IFERROR(VLOOKUP($A282, manifest!$A:$E, 5, FALSE), ""), IF(OR(_xlpm.v=0, _xlpm.v=""), "", _xlpm.v))</f>
        <v>female</v>
      </c>
    </row>
    <row r="283" spans="1:9" x14ac:dyDescent="0.6">
      <c r="A283">
        <v>55</v>
      </c>
      <c r="B283" t="s">
        <v>14</v>
      </c>
      <c r="C283" t="s">
        <v>8</v>
      </c>
      <c r="D283">
        <v>150.28</v>
      </c>
      <c r="E283">
        <v>73.849999999999994</v>
      </c>
      <c r="F283">
        <v>24289</v>
      </c>
      <c r="G283" t="s">
        <v>15</v>
      </c>
      <c r="H283" t="str">
        <f>_xlfn.LET(_xlpm.v, IFERROR(VLOOKUP($A283, manifest!$A:$E, 3, FALSE), ""), IF(OR(_xlpm.v=0, _xlpm.v=""), "", _xlpm.v))</f>
        <v/>
      </c>
      <c r="I283" t="str">
        <f>_xlfn.LET(_xlpm.v, IFERROR(VLOOKUP($A283, manifest!$A:$E, 5, FALSE), ""), IF(OR(_xlpm.v=0, _xlpm.v=""), "", _xlpm.v))</f>
        <v>female</v>
      </c>
    </row>
    <row r="284" spans="1:9" x14ac:dyDescent="0.6">
      <c r="A284">
        <v>55</v>
      </c>
      <c r="B284" t="s">
        <v>14</v>
      </c>
      <c r="C284" t="s">
        <v>10</v>
      </c>
      <c r="D284">
        <v>155.96</v>
      </c>
      <c r="E284">
        <v>100.28</v>
      </c>
      <c r="F284">
        <v>25120</v>
      </c>
      <c r="H284" t="str">
        <f>_xlfn.LET(_xlpm.v, IFERROR(VLOOKUP($A284, manifest!$A:$E, 3, FALSE), ""), IF(OR(_xlpm.v=0, _xlpm.v=""), "", _xlpm.v))</f>
        <v/>
      </c>
      <c r="I284" t="str">
        <f>_xlfn.LET(_xlpm.v, IFERROR(VLOOKUP($A284, manifest!$A:$E, 5, FALSE), ""), IF(OR(_xlpm.v=0, _xlpm.v=""), "", _xlpm.v))</f>
        <v>female</v>
      </c>
    </row>
    <row r="285" spans="1:9" x14ac:dyDescent="0.6">
      <c r="A285">
        <v>55</v>
      </c>
      <c r="B285" t="s">
        <v>14</v>
      </c>
      <c r="C285" t="s">
        <v>11</v>
      </c>
      <c r="D285">
        <v>136.44</v>
      </c>
      <c r="E285">
        <v>92.87</v>
      </c>
      <c r="F285">
        <v>30431</v>
      </c>
      <c r="H285" t="str">
        <f>_xlfn.LET(_xlpm.v, IFERROR(VLOOKUP($A285, manifest!$A:$E, 3, FALSE), ""), IF(OR(_xlpm.v=0, _xlpm.v=""), "", _xlpm.v))</f>
        <v/>
      </c>
      <c r="I285" t="str">
        <f>_xlfn.LET(_xlpm.v, IFERROR(VLOOKUP($A285, manifest!$A:$E, 5, FALSE), ""), IF(OR(_xlpm.v=0, _xlpm.v=""), "", _xlpm.v))</f>
        <v>female</v>
      </c>
    </row>
    <row r="286" spans="1:9" x14ac:dyDescent="0.6">
      <c r="A286">
        <v>55</v>
      </c>
      <c r="B286" t="s">
        <v>14</v>
      </c>
      <c r="C286" t="s">
        <v>12</v>
      </c>
      <c r="D286">
        <v>128.56</v>
      </c>
      <c r="E286">
        <v>84.6</v>
      </c>
      <c r="F286">
        <v>32093</v>
      </c>
      <c r="H286" t="str">
        <f>_xlfn.LET(_xlpm.v, IFERROR(VLOOKUP($A286, manifest!$A:$E, 3, FALSE), ""), IF(OR(_xlpm.v=0, _xlpm.v=""), "", _xlpm.v))</f>
        <v/>
      </c>
      <c r="I286" t="str">
        <f>_xlfn.LET(_xlpm.v, IFERROR(VLOOKUP($A286, manifest!$A:$E, 5, FALSE), ""), IF(OR(_xlpm.v=0, _xlpm.v=""), "", _xlpm.v))</f>
        <v>female</v>
      </c>
    </row>
    <row r="287" spans="1:9" x14ac:dyDescent="0.6">
      <c r="A287">
        <v>55</v>
      </c>
      <c r="B287" t="s">
        <v>14</v>
      </c>
      <c r="C287" t="s">
        <v>13</v>
      </c>
      <c r="D287">
        <v>139.69999999999999</v>
      </c>
      <c r="E287">
        <v>95.1</v>
      </c>
      <c r="F287">
        <v>40584</v>
      </c>
      <c r="H287" t="str">
        <f>_xlfn.LET(_xlpm.v, IFERROR(VLOOKUP($A287, manifest!$A:$E, 3, FALSE), ""), IF(OR(_xlpm.v=0, _xlpm.v=""), "", _xlpm.v))</f>
        <v/>
      </c>
      <c r="I287" t="str">
        <f>_xlfn.LET(_xlpm.v, IFERROR(VLOOKUP($A287, manifest!$A:$E, 5, FALSE), ""), IF(OR(_xlpm.v=0, _xlpm.v=""), "", _xlpm.v))</f>
        <v>female</v>
      </c>
    </row>
    <row r="288" spans="1:9" x14ac:dyDescent="0.6">
      <c r="A288">
        <v>64</v>
      </c>
      <c r="B288" t="s">
        <v>14</v>
      </c>
      <c r="C288" t="s">
        <v>8</v>
      </c>
      <c r="D288">
        <v>211.36</v>
      </c>
      <c r="E288">
        <v>276.95</v>
      </c>
      <c r="F288">
        <v>58906</v>
      </c>
      <c r="G288" t="s">
        <v>9</v>
      </c>
      <c r="H288">
        <f>_xlfn.LET(_xlpm.v, IFERROR(VLOOKUP($A288, manifest!$A:$E, 3, FALSE), ""), IF(OR(_xlpm.v=0, _xlpm.v=""), "", _xlpm.v))</f>
        <v>89</v>
      </c>
      <c r="I288" t="str">
        <f>_xlfn.LET(_xlpm.v, IFERROR(VLOOKUP($A288, manifest!$A:$E, 5, FALSE), ""), IF(OR(_xlpm.v=0, _xlpm.v=""), "", _xlpm.v))</f>
        <v/>
      </c>
    </row>
    <row r="289" spans="1:9" x14ac:dyDescent="0.6">
      <c r="A289">
        <v>64</v>
      </c>
      <c r="B289" t="s">
        <v>14</v>
      </c>
      <c r="C289" t="s">
        <v>10</v>
      </c>
      <c r="D289">
        <v>184.34</v>
      </c>
      <c r="E289">
        <v>234.29</v>
      </c>
      <c r="F289">
        <v>81369</v>
      </c>
      <c r="H289">
        <f>_xlfn.LET(_xlpm.v, IFERROR(VLOOKUP($A289, manifest!$A:$E, 3, FALSE), ""), IF(OR(_xlpm.v=0, _xlpm.v=""), "", _xlpm.v))</f>
        <v>89</v>
      </c>
      <c r="I289" t="str">
        <f>_xlfn.LET(_xlpm.v, IFERROR(VLOOKUP($A289, manifest!$A:$E, 5, FALSE), ""), IF(OR(_xlpm.v=0, _xlpm.v=""), "", _xlpm.v))</f>
        <v/>
      </c>
    </row>
    <row r="290" spans="1:9" x14ac:dyDescent="0.6">
      <c r="A290">
        <v>64</v>
      </c>
      <c r="B290" t="s">
        <v>14</v>
      </c>
      <c r="C290" t="s">
        <v>11</v>
      </c>
      <c r="D290">
        <v>189.57</v>
      </c>
      <c r="E290">
        <v>224.74</v>
      </c>
      <c r="F290">
        <v>71780</v>
      </c>
      <c r="H290">
        <f>_xlfn.LET(_xlpm.v, IFERROR(VLOOKUP($A290, manifest!$A:$E, 3, FALSE), ""), IF(OR(_xlpm.v=0, _xlpm.v=""), "", _xlpm.v))</f>
        <v>89</v>
      </c>
      <c r="I290" t="str">
        <f>_xlfn.LET(_xlpm.v, IFERROR(VLOOKUP($A290, manifest!$A:$E, 5, FALSE), ""), IF(OR(_xlpm.v=0, _xlpm.v=""), "", _xlpm.v))</f>
        <v/>
      </c>
    </row>
    <row r="291" spans="1:9" x14ac:dyDescent="0.6">
      <c r="A291">
        <v>64</v>
      </c>
      <c r="B291" t="s">
        <v>14</v>
      </c>
      <c r="C291" t="s">
        <v>12</v>
      </c>
      <c r="D291">
        <v>232.22</v>
      </c>
      <c r="E291">
        <v>269.8</v>
      </c>
      <c r="F291">
        <v>89399</v>
      </c>
      <c r="H291">
        <f>_xlfn.LET(_xlpm.v, IFERROR(VLOOKUP($A291, manifest!$A:$E, 3, FALSE), ""), IF(OR(_xlpm.v=0, _xlpm.v=""), "", _xlpm.v))</f>
        <v>89</v>
      </c>
      <c r="I291" t="str">
        <f>_xlfn.LET(_xlpm.v, IFERROR(VLOOKUP($A291, manifest!$A:$E, 5, FALSE), ""), IF(OR(_xlpm.v=0, _xlpm.v=""), "", _xlpm.v))</f>
        <v/>
      </c>
    </row>
    <row r="292" spans="1:9" x14ac:dyDescent="0.6">
      <c r="A292">
        <v>67</v>
      </c>
      <c r="B292" t="s">
        <v>14</v>
      </c>
      <c r="C292" t="s">
        <v>8</v>
      </c>
      <c r="D292">
        <v>128.01</v>
      </c>
      <c r="E292">
        <v>98.31</v>
      </c>
      <c r="F292">
        <v>34851</v>
      </c>
      <c r="G292" t="s">
        <v>15</v>
      </c>
      <c r="H292">
        <f>_xlfn.LET(_xlpm.v, IFERROR(VLOOKUP($A292, manifest!$A:$E, 3, FALSE), ""), IF(OR(_xlpm.v=0, _xlpm.v=""), "", _xlpm.v))</f>
        <v>89</v>
      </c>
      <c r="I292" t="str">
        <f>_xlfn.LET(_xlpm.v, IFERROR(VLOOKUP($A292, manifest!$A:$E, 5, FALSE), ""), IF(OR(_xlpm.v=0, _xlpm.v=""), "", _xlpm.v))</f>
        <v/>
      </c>
    </row>
    <row r="293" spans="1:9" x14ac:dyDescent="0.6">
      <c r="A293">
        <v>67</v>
      </c>
      <c r="B293" t="s">
        <v>14</v>
      </c>
      <c r="C293" t="s">
        <v>10</v>
      </c>
      <c r="D293">
        <v>155.11000000000001</v>
      </c>
      <c r="E293">
        <v>148.75</v>
      </c>
      <c r="F293">
        <v>33309</v>
      </c>
      <c r="H293">
        <f>_xlfn.LET(_xlpm.v, IFERROR(VLOOKUP($A293, manifest!$A:$E, 3, FALSE), ""), IF(OR(_xlpm.v=0, _xlpm.v=""), "", _xlpm.v))</f>
        <v>89</v>
      </c>
      <c r="I293" t="str">
        <f>_xlfn.LET(_xlpm.v, IFERROR(VLOOKUP($A293, manifest!$A:$E, 5, FALSE), ""), IF(OR(_xlpm.v=0, _xlpm.v=""), "", _xlpm.v))</f>
        <v/>
      </c>
    </row>
    <row r="294" spans="1:9" x14ac:dyDescent="0.6">
      <c r="A294">
        <v>67</v>
      </c>
      <c r="B294" t="s">
        <v>14</v>
      </c>
      <c r="C294" t="s">
        <v>11</v>
      </c>
      <c r="D294">
        <v>139.05000000000001</v>
      </c>
      <c r="E294">
        <v>135.35</v>
      </c>
      <c r="F294">
        <v>41408</v>
      </c>
      <c r="H294">
        <f>_xlfn.LET(_xlpm.v, IFERROR(VLOOKUP($A294, manifest!$A:$E, 3, FALSE), ""), IF(OR(_xlpm.v=0, _xlpm.v=""), "", _xlpm.v))</f>
        <v>89</v>
      </c>
      <c r="I294" t="str">
        <f>_xlfn.LET(_xlpm.v, IFERROR(VLOOKUP($A294, manifest!$A:$E, 5, FALSE), ""), IF(OR(_xlpm.v=0, _xlpm.v=""), "", _xlpm.v))</f>
        <v/>
      </c>
    </row>
    <row r="295" spans="1:9" x14ac:dyDescent="0.6">
      <c r="A295">
        <v>67</v>
      </c>
      <c r="B295" t="s">
        <v>14</v>
      </c>
      <c r="C295" t="s">
        <v>12</v>
      </c>
      <c r="D295">
        <v>136.37</v>
      </c>
      <c r="E295">
        <v>117.16</v>
      </c>
      <c r="F295">
        <v>49959</v>
      </c>
      <c r="H295">
        <f>_xlfn.LET(_xlpm.v, IFERROR(VLOOKUP($A295, manifest!$A:$E, 3, FALSE), ""), IF(OR(_xlpm.v=0, _xlpm.v=""), "", _xlpm.v))</f>
        <v>89</v>
      </c>
      <c r="I295" t="str">
        <f>_xlfn.LET(_xlpm.v, IFERROR(VLOOKUP($A295, manifest!$A:$E, 5, FALSE), ""), IF(OR(_xlpm.v=0, _xlpm.v=""), "", _xlpm.v))</f>
        <v/>
      </c>
    </row>
    <row r="296" spans="1:9" x14ac:dyDescent="0.6">
      <c r="A296">
        <v>67</v>
      </c>
      <c r="B296" t="s">
        <v>14</v>
      </c>
      <c r="C296" t="s">
        <v>13</v>
      </c>
      <c r="D296">
        <v>156.63999999999999</v>
      </c>
      <c r="E296">
        <v>150.32</v>
      </c>
      <c r="F296">
        <v>53505</v>
      </c>
      <c r="H296">
        <f>_xlfn.LET(_xlpm.v, IFERROR(VLOOKUP($A296, manifest!$A:$E, 3, FALSE), ""), IF(OR(_xlpm.v=0, _xlpm.v=""), "", _xlpm.v))</f>
        <v>89</v>
      </c>
      <c r="I296" t="str">
        <f>_xlfn.LET(_xlpm.v, IFERROR(VLOOKUP($A296, manifest!$A:$E, 5, FALSE), ""), IF(OR(_xlpm.v=0, _xlpm.v=""), "", _xlpm.v))</f>
        <v/>
      </c>
    </row>
    <row r="297" spans="1:9" x14ac:dyDescent="0.6">
      <c r="A297">
        <v>67</v>
      </c>
      <c r="B297" t="s">
        <v>14</v>
      </c>
      <c r="C297" t="s">
        <v>16</v>
      </c>
      <c r="D297">
        <v>147.09</v>
      </c>
      <c r="E297">
        <v>121.22</v>
      </c>
      <c r="F297">
        <v>74726</v>
      </c>
      <c r="H297">
        <f>_xlfn.LET(_xlpm.v, IFERROR(VLOOKUP($A297, manifest!$A:$E, 3, FALSE), ""), IF(OR(_xlpm.v=0, _xlpm.v=""), "", _xlpm.v))</f>
        <v>89</v>
      </c>
      <c r="I297" t="str">
        <f>_xlfn.LET(_xlpm.v, IFERROR(VLOOKUP($A297, manifest!$A:$E, 5, FALSE), ""), IF(OR(_xlpm.v=0, _xlpm.v=""), "", _xlpm.v))</f>
        <v/>
      </c>
    </row>
    <row r="298" spans="1:9" x14ac:dyDescent="0.6">
      <c r="A298">
        <v>95</v>
      </c>
      <c r="B298" t="s">
        <v>7</v>
      </c>
      <c r="C298" t="s">
        <v>8</v>
      </c>
      <c r="D298">
        <v>206.04</v>
      </c>
      <c r="E298">
        <v>108.94</v>
      </c>
      <c r="F298">
        <v>31905</v>
      </c>
      <c r="G298" t="s">
        <v>9</v>
      </c>
      <c r="H298">
        <f>_xlfn.LET(_xlpm.v, IFERROR(VLOOKUP($A298, manifest!$A:$E, 3, FALSE), ""), IF(OR(_xlpm.v=0, _xlpm.v=""), "", _xlpm.v))</f>
        <v>54</v>
      </c>
      <c r="I298" t="str">
        <f>_xlfn.LET(_xlpm.v, IFERROR(VLOOKUP($A298, manifest!$A:$E, 5, FALSE), ""), IF(OR(_xlpm.v=0, _xlpm.v=""), "", _xlpm.v))</f>
        <v>male</v>
      </c>
    </row>
    <row r="299" spans="1:9" x14ac:dyDescent="0.6">
      <c r="A299">
        <v>95</v>
      </c>
      <c r="B299" t="s">
        <v>7</v>
      </c>
      <c r="C299" t="s">
        <v>10</v>
      </c>
      <c r="D299">
        <v>217.03</v>
      </c>
      <c r="E299">
        <v>143.13999999999999</v>
      </c>
      <c r="F299">
        <v>37037</v>
      </c>
      <c r="H299">
        <f>_xlfn.LET(_xlpm.v, IFERROR(VLOOKUP($A299, manifest!$A:$E, 3, FALSE), ""), IF(OR(_xlpm.v=0, _xlpm.v=""), "", _xlpm.v))</f>
        <v>54</v>
      </c>
      <c r="I299" t="str">
        <f>_xlfn.LET(_xlpm.v, IFERROR(VLOOKUP($A299, manifest!$A:$E, 5, FALSE), ""), IF(OR(_xlpm.v=0, _xlpm.v=""), "", _xlpm.v))</f>
        <v>male</v>
      </c>
    </row>
    <row r="300" spans="1:9" x14ac:dyDescent="0.6">
      <c r="A300">
        <v>95</v>
      </c>
      <c r="B300" t="s">
        <v>7</v>
      </c>
      <c r="C300" t="s">
        <v>11</v>
      </c>
      <c r="D300">
        <v>246.52</v>
      </c>
      <c r="E300">
        <v>150.81</v>
      </c>
      <c r="F300">
        <v>40756</v>
      </c>
      <c r="H300">
        <f>_xlfn.LET(_xlpm.v, IFERROR(VLOOKUP($A300, manifest!$A:$E, 3, FALSE), ""), IF(OR(_xlpm.v=0, _xlpm.v=""), "", _xlpm.v))</f>
        <v>54</v>
      </c>
      <c r="I300" t="str">
        <f>_xlfn.LET(_xlpm.v, IFERROR(VLOOKUP($A300, manifest!$A:$E, 5, FALSE), ""), IF(OR(_xlpm.v=0, _xlpm.v=""), "", _xlpm.v))</f>
        <v>male</v>
      </c>
    </row>
    <row r="301" spans="1:9" x14ac:dyDescent="0.6">
      <c r="A301">
        <v>95</v>
      </c>
      <c r="B301" t="s">
        <v>7</v>
      </c>
      <c r="C301" t="s">
        <v>12</v>
      </c>
      <c r="D301">
        <v>216.78</v>
      </c>
      <c r="E301">
        <v>143.47</v>
      </c>
      <c r="F301">
        <v>39883</v>
      </c>
      <c r="H301">
        <f>_xlfn.LET(_xlpm.v, IFERROR(VLOOKUP($A301, manifest!$A:$E, 3, FALSE), ""), IF(OR(_xlpm.v=0, _xlpm.v=""), "", _xlpm.v))</f>
        <v>54</v>
      </c>
      <c r="I301" t="str">
        <f>_xlfn.LET(_xlpm.v, IFERROR(VLOOKUP($A301, manifest!$A:$E, 5, FALSE), ""), IF(OR(_xlpm.v=0, _xlpm.v=""), "", _xlpm.v))</f>
        <v>male</v>
      </c>
    </row>
    <row r="302" spans="1:9" x14ac:dyDescent="0.6">
      <c r="A302">
        <v>95</v>
      </c>
      <c r="B302" t="s">
        <v>7</v>
      </c>
      <c r="C302" t="s">
        <v>13</v>
      </c>
      <c r="D302">
        <v>237.69</v>
      </c>
      <c r="E302">
        <v>156.38</v>
      </c>
      <c r="F302">
        <v>50514</v>
      </c>
      <c r="H302">
        <f>_xlfn.LET(_xlpm.v, IFERROR(VLOOKUP($A302, manifest!$A:$E, 3, FALSE), ""), IF(OR(_xlpm.v=0, _xlpm.v=""), "", _xlpm.v))</f>
        <v>54</v>
      </c>
      <c r="I302" t="str">
        <f>_xlfn.LET(_xlpm.v, IFERROR(VLOOKUP($A302, manifest!$A:$E, 5, FALSE), ""), IF(OR(_xlpm.v=0, _xlpm.v=""), "", _xlpm.v))</f>
        <v>male</v>
      </c>
    </row>
    <row r="303" spans="1:9" x14ac:dyDescent="0.6">
      <c r="A303">
        <v>69</v>
      </c>
      <c r="B303" t="s">
        <v>14</v>
      </c>
      <c r="C303" t="s">
        <v>8</v>
      </c>
      <c r="D303">
        <v>98.24</v>
      </c>
      <c r="E303">
        <v>99.6</v>
      </c>
      <c r="F303">
        <v>28237</v>
      </c>
      <c r="G303" t="s">
        <v>17</v>
      </c>
      <c r="H303">
        <f>_xlfn.LET(_xlpm.v, IFERROR(VLOOKUP($A303, manifest!$A:$E, 3, FALSE), ""), IF(OR(_xlpm.v=0, _xlpm.v=""), "", _xlpm.v))</f>
        <v>72</v>
      </c>
      <c r="I303" t="str">
        <f>_xlfn.LET(_xlpm.v, IFERROR(VLOOKUP($A303, manifest!$A:$E, 5, FALSE), ""), IF(OR(_xlpm.v=0, _xlpm.v=""), "", _xlpm.v))</f>
        <v>female</v>
      </c>
    </row>
    <row r="304" spans="1:9" x14ac:dyDescent="0.6">
      <c r="A304">
        <v>69</v>
      </c>
      <c r="B304" t="s">
        <v>14</v>
      </c>
      <c r="C304" t="s">
        <v>10</v>
      </c>
      <c r="D304">
        <v>91.82</v>
      </c>
      <c r="E304">
        <v>115.14</v>
      </c>
      <c r="F304">
        <v>37072</v>
      </c>
      <c r="H304">
        <f>_xlfn.LET(_xlpm.v, IFERROR(VLOOKUP($A304, manifest!$A:$E, 3, FALSE), ""), IF(OR(_xlpm.v=0, _xlpm.v=""), "", _xlpm.v))</f>
        <v>72</v>
      </c>
      <c r="I304" t="str">
        <f>_xlfn.LET(_xlpm.v, IFERROR(VLOOKUP($A304, manifest!$A:$E, 5, FALSE), ""), IF(OR(_xlpm.v=0, _xlpm.v=""), "", _xlpm.v))</f>
        <v>female</v>
      </c>
    </row>
    <row r="305" spans="1:9" x14ac:dyDescent="0.6">
      <c r="A305">
        <v>69</v>
      </c>
      <c r="B305" t="s">
        <v>14</v>
      </c>
      <c r="C305" t="s">
        <v>11</v>
      </c>
      <c r="D305">
        <v>90.53</v>
      </c>
      <c r="E305">
        <v>109.38</v>
      </c>
      <c r="F305">
        <v>43226</v>
      </c>
      <c r="H305">
        <f>_xlfn.LET(_xlpm.v, IFERROR(VLOOKUP($A305, manifest!$A:$E, 3, FALSE), ""), IF(OR(_xlpm.v=0, _xlpm.v=""), "", _xlpm.v))</f>
        <v>72</v>
      </c>
      <c r="I305" t="str">
        <f>_xlfn.LET(_xlpm.v, IFERROR(VLOOKUP($A305, manifest!$A:$E, 5, FALSE), ""), IF(OR(_xlpm.v=0, _xlpm.v=""), "", _xlpm.v))</f>
        <v>female</v>
      </c>
    </row>
    <row r="306" spans="1:9" x14ac:dyDescent="0.6">
      <c r="A306">
        <v>69</v>
      </c>
      <c r="B306" t="s">
        <v>14</v>
      </c>
      <c r="C306" t="s">
        <v>12</v>
      </c>
      <c r="D306">
        <v>104.11</v>
      </c>
      <c r="E306">
        <v>134.6</v>
      </c>
      <c r="F306">
        <v>46848</v>
      </c>
      <c r="H306">
        <f>_xlfn.LET(_xlpm.v, IFERROR(VLOOKUP($A306, manifest!$A:$E, 3, FALSE), ""), IF(OR(_xlpm.v=0, _xlpm.v=""), "", _xlpm.v))</f>
        <v>72</v>
      </c>
      <c r="I306" t="str">
        <f>_xlfn.LET(_xlpm.v, IFERROR(VLOOKUP($A306, manifest!$A:$E, 5, FALSE), ""), IF(OR(_xlpm.v=0, _xlpm.v=""), "", _xlpm.v))</f>
        <v>female</v>
      </c>
    </row>
    <row r="307" spans="1:9" x14ac:dyDescent="0.6">
      <c r="A307">
        <v>69</v>
      </c>
      <c r="B307" t="s">
        <v>14</v>
      </c>
      <c r="C307" t="s">
        <v>13</v>
      </c>
      <c r="D307">
        <v>116.16</v>
      </c>
      <c r="E307">
        <v>140.13</v>
      </c>
      <c r="F307">
        <v>44951</v>
      </c>
      <c r="H307">
        <f>_xlfn.LET(_xlpm.v, IFERROR(VLOOKUP($A307, manifest!$A:$E, 3, FALSE), ""), IF(OR(_xlpm.v=0, _xlpm.v=""), "", _xlpm.v))</f>
        <v>72</v>
      </c>
      <c r="I307" t="str">
        <f>_xlfn.LET(_xlpm.v, IFERROR(VLOOKUP($A307, manifest!$A:$E, 5, FALSE), ""), IF(OR(_xlpm.v=0, _xlpm.v=""), "", _xlpm.v))</f>
        <v>female</v>
      </c>
    </row>
    <row r="308" spans="1:9" x14ac:dyDescent="0.6">
      <c r="A308">
        <v>81</v>
      </c>
      <c r="B308" t="s">
        <v>14</v>
      </c>
      <c r="C308" t="s">
        <v>8</v>
      </c>
      <c r="D308">
        <v>238.35</v>
      </c>
      <c r="E308">
        <v>178.16</v>
      </c>
      <c r="F308">
        <v>37374</v>
      </c>
      <c r="G308" t="s">
        <v>9</v>
      </c>
      <c r="H308" t="str">
        <f>_xlfn.LET(_xlpm.v, IFERROR(VLOOKUP($A308, manifest!$A:$E, 3, FALSE), ""), IF(OR(_xlpm.v=0, _xlpm.v=""), "", _xlpm.v))</f>
        <v/>
      </c>
      <c r="I308" t="str">
        <f>_xlfn.LET(_xlpm.v, IFERROR(VLOOKUP($A308, manifest!$A:$E, 5, FALSE), ""), IF(OR(_xlpm.v=0, _xlpm.v=""), "", _xlpm.v))</f>
        <v>male</v>
      </c>
    </row>
    <row r="309" spans="1:9" x14ac:dyDescent="0.6">
      <c r="A309">
        <v>81</v>
      </c>
      <c r="B309" t="s">
        <v>14</v>
      </c>
      <c r="C309" t="s">
        <v>10</v>
      </c>
      <c r="D309">
        <v>281.87</v>
      </c>
      <c r="E309">
        <v>234.23</v>
      </c>
      <c r="F309">
        <v>39788</v>
      </c>
      <c r="H309" t="str">
        <f>_xlfn.LET(_xlpm.v, IFERROR(VLOOKUP($A309, manifest!$A:$E, 3, FALSE), ""), IF(OR(_xlpm.v=0, _xlpm.v=""), "", _xlpm.v))</f>
        <v/>
      </c>
      <c r="I309" t="str">
        <f>_xlfn.LET(_xlpm.v, IFERROR(VLOOKUP($A309, manifest!$A:$E, 5, FALSE), ""), IF(OR(_xlpm.v=0, _xlpm.v=""), "", _xlpm.v))</f>
        <v>male</v>
      </c>
    </row>
    <row r="310" spans="1:9" x14ac:dyDescent="0.6">
      <c r="A310">
        <v>81</v>
      </c>
      <c r="B310" t="s">
        <v>14</v>
      </c>
      <c r="C310" t="s">
        <v>11</v>
      </c>
      <c r="D310">
        <v>261.64999999999998</v>
      </c>
      <c r="E310">
        <v>219.09</v>
      </c>
      <c r="F310">
        <v>59079</v>
      </c>
      <c r="H310" t="str">
        <f>_xlfn.LET(_xlpm.v, IFERROR(VLOOKUP($A310, manifest!$A:$E, 3, FALSE), ""), IF(OR(_xlpm.v=0, _xlpm.v=""), "", _xlpm.v))</f>
        <v/>
      </c>
      <c r="I310" t="str">
        <f>_xlfn.LET(_xlpm.v, IFERROR(VLOOKUP($A310, manifest!$A:$E, 5, FALSE), ""), IF(OR(_xlpm.v=0, _xlpm.v=""), "", _xlpm.v))</f>
        <v>male</v>
      </c>
    </row>
    <row r="311" spans="1:9" x14ac:dyDescent="0.6">
      <c r="A311">
        <v>81</v>
      </c>
      <c r="B311" t="s">
        <v>14</v>
      </c>
      <c r="C311" t="s">
        <v>12</v>
      </c>
      <c r="D311">
        <v>269.76</v>
      </c>
      <c r="E311">
        <v>225.37</v>
      </c>
      <c r="F311">
        <v>58569</v>
      </c>
      <c r="H311" t="str">
        <f>_xlfn.LET(_xlpm.v, IFERROR(VLOOKUP($A311, manifest!$A:$E, 3, FALSE), ""), IF(OR(_xlpm.v=0, _xlpm.v=""), "", _xlpm.v))</f>
        <v/>
      </c>
      <c r="I311" t="str">
        <f>_xlfn.LET(_xlpm.v, IFERROR(VLOOKUP($A311, manifest!$A:$E, 5, FALSE), ""), IF(OR(_xlpm.v=0, _xlpm.v=""), "", _xlpm.v))</f>
        <v>male</v>
      </c>
    </row>
    <row r="312" spans="1:9" x14ac:dyDescent="0.6">
      <c r="A312">
        <v>81</v>
      </c>
      <c r="B312" t="s">
        <v>14</v>
      </c>
      <c r="C312" t="s">
        <v>13</v>
      </c>
      <c r="D312">
        <v>312.31</v>
      </c>
      <c r="E312">
        <v>269.23</v>
      </c>
      <c r="F312">
        <v>57380</v>
      </c>
      <c r="H312" t="str">
        <f>_xlfn.LET(_xlpm.v, IFERROR(VLOOKUP($A312, manifest!$A:$E, 3, FALSE), ""), IF(OR(_xlpm.v=0, _xlpm.v=""), "", _xlpm.v))</f>
        <v/>
      </c>
      <c r="I312" t="str">
        <f>_xlfn.LET(_xlpm.v, IFERROR(VLOOKUP($A312, manifest!$A:$E, 5, FALSE), ""), IF(OR(_xlpm.v=0, _xlpm.v=""), "", _xlpm.v))</f>
        <v>male</v>
      </c>
    </row>
    <row r="313" spans="1:9" x14ac:dyDescent="0.6">
      <c r="A313">
        <v>60</v>
      </c>
      <c r="B313" t="s">
        <v>14</v>
      </c>
      <c r="C313" t="s">
        <v>8</v>
      </c>
      <c r="D313">
        <v>152.79</v>
      </c>
      <c r="E313">
        <v>122.57</v>
      </c>
      <c r="F313">
        <v>40215</v>
      </c>
      <c r="G313" t="s">
        <v>15</v>
      </c>
      <c r="H313" t="str">
        <f>_xlfn.LET(_xlpm.v, IFERROR(VLOOKUP($A313, manifest!$A:$E, 3, FALSE), ""), IF(OR(_xlpm.v=0, _xlpm.v=""), "", _xlpm.v))</f>
        <v/>
      </c>
      <c r="I313" t="str">
        <f>_xlfn.LET(_xlpm.v, IFERROR(VLOOKUP($A313, manifest!$A:$E, 5, FALSE), ""), IF(OR(_xlpm.v=0, _xlpm.v=""), "", _xlpm.v))</f>
        <v>male</v>
      </c>
    </row>
    <row r="314" spans="1:9" x14ac:dyDescent="0.6">
      <c r="A314">
        <v>60</v>
      </c>
      <c r="B314" t="s">
        <v>14</v>
      </c>
      <c r="C314" t="s">
        <v>10</v>
      </c>
      <c r="D314">
        <v>174.03</v>
      </c>
      <c r="E314">
        <v>170.01</v>
      </c>
      <c r="F314">
        <v>41034</v>
      </c>
      <c r="H314" t="str">
        <f>_xlfn.LET(_xlpm.v, IFERROR(VLOOKUP($A314, manifest!$A:$E, 3, FALSE), ""), IF(OR(_xlpm.v=0, _xlpm.v=""), "", _xlpm.v))</f>
        <v/>
      </c>
      <c r="I314" t="str">
        <f>_xlfn.LET(_xlpm.v, IFERROR(VLOOKUP($A314, manifest!$A:$E, 5, FALSE), ""), IF(OR(_xlpm.v=0, _xlpm.v=""), "", _xlpm.v))</f>
        <v>male</v>
      </c>
    </row>
    <row r="315" spans="1:9" x14ac:dyDescent="0.6">
      <c r="A315">
        <v>60</v>
      </c>
      <c r="B315" t="s">
        <v>14</v>
      </c>
      <c r="C315" t="s">
        <v>11</v>
      </c>
      <c r="D315">
        <v>187.77</v>
      </c>
      <c r="E315">
        <v>190.43</v>
      </c>
      <c r="F315">
        <v>47644</v>
      </c>
      <c r="H315" t="str">
        <f>_xlfn.LET(_xlpm.v, IFERROR(VLOOKUP($A315, manifest!$A:$E, 3, FALSE), ""), IF(OR(_xlpm.v=0, _xlpm.v=""), "", _xlpm.v))</f>
        <v/>
      </c>
      <c r="I315" t="str">
        <f>_xlfn.LET(_xlpm.v, IFERROR(VLOOKUP($A315, manifest!$A:$E, 5, FALSE), ""), IF(OR(_xlpm.v=0, _xlpm.v=""), "", _xlpm.v))</f>
        <v>male</v>
      </c>
    </row>
    <row r="316" spans="1:9" x14ac:dyDescent="0.6">
      <c r="A316">
        <v>60</v>
      </c>
      <c r="B316" t="s">
        <v>14</v>
      </c>
      <c r="C316" t="s">
        <v>12</v>
      </c>
      <c r="D316">
        <v>189.19</v>
      </c>
      <c r="E316">
        <v>185.51</v>
      </c>
      <c r="F316">
        <v>60438</v>
      </c>
      <c r="H316" t="str">
        <f>_xlfn.LET(_xlpm.v, IFERROR(VLOOKUP($A316, manifest!$A:$E, 3, FALSE), ""), IF(OR(_xlpm.v=0, _xlpm.v=""), "", _xlpm.v))</f>
        <v/>
      </c>
      <c r="I316" t="str">
        <f>_xlfn.LET(_xlpm.v, IFERROR(VLOOKUP($A316, manifest!$A:$E, 5, FALSE), ""), IF(OR(_xlpm.v=0, _xlpm.v=""), "", _xlpm.v))</f>
        <v>male</v>
      </c>
    </row>
    <row r="317" spans="1:9" x14ac:dyDescent="0.6">
      <c r="A317">
        <v>60</v>
      </c>
      <c r="B317" t="s">
        <v>14</v>
      </c>
      <c r="C317" t="s">
        <v>13</v>
      </c>
      <c r="D317">
        <v>192.35</v>
      </c>
      <c r="E317">
        <v>181.43</v>
      </c>
      <c r="F317">
        <v>52609</v>
      </c>
      <c r="H317" t="str">
        <f>_xlfn.LET(_xlpm.v, IFERROR(VLOOKUP($A317, manifest!$A:$E, 3, FALSE), ""), IF(OR(_xlpm.v=0, _xlpm.v=""), "", _xlpm.v))</f>
        <v/>
      </c>
      <c r="I317" t="str">
        <f>_xlfn.LET(_xlpm.v, IFERROR(VLOOKUP($A317, manifest!$A:$E, 5, FALSE), ""), IF(OR(_xlpm.v=0, _xlpm.v=""), "", _xlpm.v))</f>
        <v>male</v>
      </c>
    </row>
    <row r="318" spans="1:9" x14ac:dyDescent="0.6">
      <c r="A318">
        <v>68</v>
      </c>
      <c r="B318" t="s">
        <v>7</v>
      </c>
      <c r="C318" t="s">
        <v>8</v>
      </c>
      <c r="D318">
        <v>165.7</v>
      </c>
      <c r="E318">
        <v>80.5</v>
      </c>
      <c r="F318">
        <v>19832</v>
      </c>
      <c r="G318" t="s">
        <v>9</v>
      </c>
      <c r="H318">
        <f>_xlfn.LET(_xlpm.v, IFERROR(VLOOKUP($A318, manifest!$A:$E, 3, FALSE), ""), IF(OR(_xlpm.v=0, _xlpm.v=""), "", _xlpm.v))</f>
        <v>89</v>
      </c>
      <c r="I318" t="str">
        <f>_xlfn.LET(_xlpm.v, IFERROR(VLOOKUP($A318, manifest!$A:$E, 5, FALSE), ""), IF(OR(_xlpm.v=0, _xlpm.v=""), "", _xlpm.v))</f>
        <v/>
      </c>
    </row>
    <row r="319" spans="1:9" x14ac:dyDescent="0.6">
      <c r="A319">
        <v>68</v>
      </c>
      <c r="B319" t="s">
        <v>7</v>
      </c>
      <c r="C319" t="s">
        <v>10</v>
      </c>
      <c r="D319">
        <v>173.46</v>
      </c>
      <c r="E319">
        <v>97.19</v>
      </c>
      <c r="F319">
        <v>23506</v>
      </c>
      <c r="H319">
        <f>_xlfn.LET(_xlpm.v, IFERROR(VLOOKUP($A319, manifest!$A:$E, 3, FALSE), ""), IF(OR(_xlpm.v=0, _xlpm.v=""), "", _xlpm.v))</f>
        <v>89</v>
      </c>
      <c r="I319" t="str">
        <f>_xlfn.LET(_xlpm.v, IFERROR(VLOOKUP($A319, manifest!$A:$E, 5, FALSE), ""), IF(OR(_xlpm.v=0, _xlpm.v=""), "", _xlpm.v))</f>
        <v/>
      </c>
    </row>
    <row r="320" spans="1:9" x14ac:dyDescent="0.6">
      <c r="A320">
        <v>68</v>
      </c>
      <c r="B320" t="s">
        <v>7</v>
      </c>
      <c r="C320" t="s">
        <v>11</v>
      </c>
      <c r="D320">
        <v>177.66</v>
      </c>
      <c r="E320">
        <v>113.93</v>
      </c>
      <c r="F320">
        <v>27481</v>
      </c>
      <c r="H320">
        <f>_xlfn.LET(_xlpm.v, IFERROR(VLOOKUP($A320, manifest!$A:$E, 3, FALSE), ""), IF(OR(_xlpm.v=0, _xlpm.v=""), "", _xlpm.v))</f>
        <v>89</v>
      </c>
      <c r="I320" t="str">
        <f>_xlfn.LET(_xlpm.v, IFERROR(VLOOKUP($A320, manifest!$A:$E, 5, FALSE), ""), IF(OR(_xlpm.v=0, _xlpm.v=""), "", _xlpm.v))</f>
        <v/>
      </c>
    </row>
    <row r="321" spans="1:9" x14ac:dyDescent="0.6">
      <c r="A321">
        <v>68</v>
      </c>
      <c r="B321" t="s">
        <v>7</v>
      </c>
      <c r="C321" t="s">
        <v>12</v>
      </c>
      <c r="D321">
        <v>190.44</v>
      </c>
      <c r="E321">
        <v>119.33</v>
      </c>
      <c r="F321">
        <v>32458</v>
      </c>
      <c r="H321">
        <f>_xlfn.LET(_xlpm.v, IFERROR(VLOOKUP($A321, manifest!$A:$E, 3, FALSE), ""), IF(OR(_xlpm.v=0, _xlpm.v=""), "", _xlpm.v))</f>
        <v>89</v>
      </c>
      <c r="I321" t="str">
        <f>_xlfn.LET(_xlpm.v, IFERROR(VLOOKUP($A321, manifest!$A:$E, 5, FALSE), ""), IF(OR(_xlpm.v=0, _xlpm.v=""), "", _xlpm.v))</f>
        <v/>
      </c>
    </row>
    <row r="322" spans="1:9" x14ac:dyDescent="0.6">
      <c r="A322">
        <v>68</v>
      </c>
      <c r="B322" t="s">
        <v>7</v>
      </c>
      <c r="C322" t="s">
        <v>13</v>
      </c>
      <c r="D322">
        <v>197.78</v>
      </c>
      <c r="E322">
        <v>131.85</v>
      </c>
      <c r="F322">
        <v>32676</v>
      </c>
      <c r="H322">
        <f>_xlfn.LET(_xlpm.v, IFERROR(VLOOKUP($A322, manifest!$A:$E, 3, FALSE), ""), IF(OR(_xlpm.v=0, _xlpm.v=""), "", _xlpm.v))</f>
        <v>89</v>
      </c>
      <c r="I322" t="str">
        <f>_xlfn.LET(_xlpm.v, IFERROR(VLOOKUP($A322, manifest!$A:$E, 5, FALSE), ""), IF(OR(_xlpm.v=0, _xlpm.v=""), "", _xlpm.v))</f>
        <v/>
      </c>
    </row>
    <row r="323" spans="1:9" x14ac:dyDescent="0.6">
      <c r="A323">
        <v>73</v>
      </c>
      <c r="B323" t="s">
        <v>7</v>
      </c>
      <c r="C323" t="s">
        <v>8</v>
      </c>
      <c r="D323">
        <v>282.64999999999998</v>
      </c>
      <c r="E323">
        <v>148.97999999999999</v>
      </c>
      <c r="F323">
        <v>31079</v>
      </c>
      <c r="G323" t="s">
        <v>9</v>
      </c>
      <c r="H323">
        <f>_xlfn.LET(_xlpm.v, IFERROR(VLOOKUP($A323, manifest!$A:$E, 3, FALSE), ""), IF(OR(_xlpm.v=0, _xlpm.v=""), "", _xlpm.v))</f>
        <v>50</v>
      </c>
      <c r="I323" t="str">
        <f>_xlfn.LET(_xlpm.v, IFERROR(VLOOKUP($A323, manifest!$A:$E, 5, FALSE), ""), IF(OR(_xlpm.v=0, _xlpm.v=""), "", _xlpm.v))</f>
        <v>male</v>
      </c>
    </row>
    <row r="324" spans="1:9" x14ac:dyDescent="0.6">
      <c r="A324">
        <v>73</v>
      </c>
      <c r="B324" t="s">
        <v>7</v>
      </c>
      <c r="C324" t="s">
        <v>10</v>
      </c>
      <c r="D324">
        <v>318.83999999999997</v>
      </c>
      <c r="E324">
        <v>215.79</v>
      </c>
      <c r="F324">
        <v>33540</v>
      </c>
      <c r="H324">
        <f>_xlfn.LET(_xlpm.v, IFERROR(VLOOKUP($A324, manifest!$A:$E, 3, FALSE), ""), IF(OR(_xlpm.v=0, _xlpm.v=""), "", _xlpm.v))</f>
        <v>50</v>
      </c>
      <c r="I324" t="str">
        <f>_xlfn.LET(_xlpm.v, IFERROR(VLOOKUP($A324, manifest!$A:$E, 5, FALSE), ""), IF(OR(_xlpm.v=0, _xlpm.v=""), "", _xlpm.v))</f>
        <v>male</v>
      </c>
    </row>
    <row r="325" spans="1:9" x14ac:dyDescent="0.6">
      <c r="A325">
        <v>73</v>
      </c>
      <c r="B325" t="s">
        <v>7</v>
      </c>
      <c r="C325" t="s">
        <v>11</v>
      </c>
      <c r="D325">
        <v>322.95</v>
      </c>
      <c r="E325">
        <v>228.1</v>
      </c>
      <c r="F325">
        <v>36064</v>
      </c>
      <c r="H325">
        <f>_xlfn.LET(_xlpm.v, IFERROR(VLOOKUP($A325, manifest!$A:$E, 3, FALSE), ""), IF(OR(_xlpm.v=0, _xlpm.v=""), "", _xlpm.v))</f>
        <v>50</v>
      </c>
      <c r="I325" t="str">
        <f>_xlfn.LET(_xlpm.v, IFERROR(VLOOKUP($A325, manifest!$A:$E, 5, FALSE), ""), IF(OR(_xlpm.v=0, _xlpm.v=""), "", _xlpm.v))</f>
        <v>male</v>
      </c>
    </row>
    <row r="326" spans="1:9" x14ac:dyDescent="0.6">
      <c r="A326">
        <v>73</v>
      </c>
      <c r="B326" t="s">
        <v>7</v>
      </c>
      <c r="C326" t="s">
        <v>12</v>
      </c>
      <c r="D326">
        <v>315.93</v>
      </c>
      <c r="E326">
        <v>220.91</v>
      </c>
      <c r="F326">
        <v>40410</v>
      </c>
      <c r="H326">
        <f>_xlfn.LET(_xlpm.v, IFERROR(VLOOKUP($A326, manifest!$A:$E, 3, FALSE), ""), IF(OR(_xlpm.v=0, _xlpm.v=""), "", _xlpm.v))</f>
        <v>50</v>
      </c>
      <c r="I326" t="str">
        <f>_xlfn.LET(_xlpm.v, IFERROR(VLOOKUP($A326, manifest!$A:$E, 5, FALSE), ""), IF(OR(_xlpm.v=0, _xlpm.v=""), "", _xlpm.v))</f>
        <v>male</v>
      </c>
    </row>
    <row r="327" spans="1:9" x14ac:dyDescent="0.6">
      <c r="A327">
        <v>73</v>
      </c>
      <c r="B327" t="s">
        <v>7</v>
      </c>
      <c r="C327" t="s">
        <v>13</v>
      </c>
      <c r="D327">
        <v>277.14</v>
      </c>
      <c r="E327">
        <v>149.72</v>
      </c>
      <c r="F327">
        <v>49651</v>
      </c>
      <c r="H327">
        <f>_xlfn.LET(_xlpm.v, IFERROR(VLOOKUP($A327, manifest!$A:$E, 3, FALSE), ""), IF(OR(_xlpm.v=0, _xlpm.v=""), "", _xlpm.v))</f>
        <v>50</v>
      </c>
      <c r="I327" t="str">
        <f>_xlfn.LET(_xlpm.v, IFERROR(VLOOKUP($A327, manifest!$A:$E, 5, FALSE), ""), IF(OR(_xlpm.v=0, _xlpm.v=""), "", _xlpm.v))</f>
        <v>male</v>
      </c>
    </row>
    <row r="328" spans="1:9" x14ac:dyDescent="0.6">
      <c r="A328">
        <v>93</v>
      </c>
      <c r="B328" t="s">
        <v>7</v>
      </c>
      <c r="C328" t="s">
        <v>8</v>
      </c>
      <c r="D328">
        <v>215.42</v>
      </c>
      <c r="E328">
        <v>146.18</v>
      </c>
      <c r="F328">
        <v>33688</v>
      </c>
      <c r="G328" t="s">
        <v>9</v>
      </c>
      <c r="H328">
        <f>_xlfn.LET(_xlpm.v, IFERROR(VLOOKUP($A328, manifest!$A:$E, 3, FALSE), ""), IF(OR(_xlpm.v=0, _xlpm.v=""), "", _xlpm.v))</f>
        <v>65</v>
      </c>
      <c r="I328" t="str">
        <f>_xlfn.LET(_xlpm.v, IFERROR(VLOOKUP($A328, manifest!$A:$E, 5, FALSE), ""), IF(OR(_xlpm.v=0, _xlpm.v=""), "", _xlpm.v))</f>
        <v>male</v>
      </c>
    </row>
    <row r="329" spans="1:9" x14ac:dyDescent="0.6">
      <c r="A329">
        <v>93</v>
      </c>
      <c r="B329" t="s">
        <v>7</v>
      </c>
      <c r="C329" t="s">
        <v>10</v>
      </c>
      <c r="D329">
        <v>216.29</v>
      </c>
      <c r="E329">
        <v>181.92</v>
      </c>
      <c r="F329">
        <v>36427</v>
      </c>
      <c r="H329">
        <f>_xlfn.LET(_xlpm.v, IFERROR(VLOOKUP($A329, manifest!$A:$E, 3, FALSE), ""), IF(OR(_xlpm.v=0, _xlpm.v=""), "", _xlpm.v))</f>
        <v>65</v>
      </c>
      <c r="I329" t="str">
        <f>_xlfn.LET(_xlpm.v, IFERROR(VLOOKUP($A329, manifest!$A:$E, 5, FALSE), ""), IF(OR(_xlpm.v=0, _xlpm.v=""), "", _xlpm.v))</f>
        <v>male</v>
      </c>
    </row>
    <row r="330" spans="1:9" x14ac:dyDescent="0.6">
      <c r="A330">
        <v>93</v>
      </c>
      <c r="B330" t="s">
        <v>7</v>
      </c>
      <c r="C330" t="s">
        <v>11</v>
      </c>
      <c r="D330">
        <v>217.31</v>
      </c>
      <c r="E330">
        <v>210.93</v>
      </c>
      <c r="F330">
        <v>40434</v>
      </c>
      <c r="H330">
        <f>_xlfn.LET(_xlpm.v, IFERROR(VLOOKUP($A330, manifest!$A:$E, 3, FALSE), ""), IF(OR(_xlpm.v=0, _xlpm.v=""), "", _xlpm.v))</f>
        <v>65</v>
      </c>
      <c r="I330" t="str">
        <f>_xlfn.LET(_xlpm.v, IFERROR(VLOOKUP($A330, manifest!$A:$E, 5, FALSE), ""), IF(OR(_xlpm.v=0, _xlpm.v=""), "", _xlpm.v))</f>
        <v>male</v>
      </c>
    </row>
    <row r="331" spans="1:9" x14ac:dyDescent="0.6">
      <c r="A331">
        <v>93</v>
      </c>
      <c r="B331" t="s">
        <v>7</v>
      </c>
      <c r="C331" t="s">
        <v>12</v>
      </c>
      <c r="D331">
        <v>235.08</v>
      </c>
      <c r="E331">
        <v>227.34</v>
      </c>
      <c r="F331">
        <v>55903</v>
      </c>
      <c r="H331">
        <f>_xlfn.LET(_xlpm.v, IFERROR(VLOOKUP($A331, manifest!$A:$E, 3, FALSE), ""), IF(OR(_xlpm.v=0, _xlpm.v=""), "", _xlpm.v))</f>
        <v>65</v>
      </c>
      <c r="I331" t="str">
        <f>_xlfn.LET(_xlpm.v, IFERROR(VLOOKUP($A331, manifest!$A:$E, 5, FALSE), ""), IF(OR(_xlpm.v=0, _xlpm.v=""), "", _xlpm.v))</f>
        <v>male</v>
      </c>
    </row>
    <row r="332" spans="1:9" x14ac:dyDescent="0.6">
      <c r="A332">
        <v>93</v>
      </c>
      <c r="B332" t="s">
        <v>7</v>
      </c>
      <c r="C332" t="s">
        <v>13</v>
      </c>
      <c r="D332">
        <v>296.38</v>
      </c>
      <c r="E332">
        <v>243.42</v>
      </c>
      <c r="F332">
        <v>44408</v>
      </c>
      <c r="H332">
        <f>_xlfn.LET(_xlpm.v, IFERROR(VLOOKUP($A332, manifest!$A:$E, 3, FALSE), ""), IF(OR(_xlpm.v=0, _xlpm.v=""), "", _xlpm.v))</f>
        <v>65</v>
      </c>
      <c r="I332" t="str">
        <f>_xlfn.LET(_xlpm.v, IFERROR(VLOOKUP($A332, manifest!$A:$E, 5, FALSE), ""), IF(OR(_xlpm.v=0, _xlpm.v=""), "", _xlpm.v))</f>
        <v>male</v>
      </c>
    </row>
    <row r="333" spans="1:9" x14ac:dyDescent="0.6">
      <c r="A333">
        <v>84</v>
      </c>
      <c r="B333" t="s">
        <v>14</v>
      </c>
      <c r="C333" t="s">
        <v>8</v>
      </c>
      <c r="D333">
        <v>281.76</v>
      </c>
      <c r="E333">
        <v>226.14</v>
      </c>
      <c r="F333">
        <v>22988</v>
      </c>
      <c r="G333" t="s">
        <v>9</v>
      </c>
      <c r="H333">
        <f>_xlfn.LET(_xlpm.v, IFERROR(VLOOKUP($A333, manifest!$A:$E, 3, FALSE), ""), IF(OR(_xlpm.v=0, _xlpm.v=""), "", _xlpm.v))</f>
        <v>54</v>
      </c>
      <c r="I333" t="str">
        <f>_xlfn.LET(_xlpm.v, IFERROR(VLOOKUP($A333, manifest!$A:$E, 5, FALSE), ""), IF(OR(_xlpm.v=0, _xlpm.v=""), "", _xlpm.v))</f>
        <v>male</v>
      </c>
    </row>
    <row r="334" spans="1:9" x14ac:dyDescent="0.6">
      <c r="A334">
        <v>84</v>
      </c>
      <c r="B334" t="s">
        <v>14</v>
      </c>
      <c r="C334" t="s">
        <v>10</v>
      </c>
      <c r="D334">
        <v>305.22000000000003</v>
      </c>
      <c r="E334">
        <v>277.24</v>
      </c>
      <c r="F334">
        <v>22348</v>
      </c>
      <c r="H334">
        <f>_xlfn.LET(_xlpm.v, IFERROR(VLOOKUP($A334, manifest!$A:$E, 3, FALSE), ""), IF(OR(_xlpm.v=0, _xlpm.v=""), "", _xlpm.v))</f>
        <v>54</v>
      </c>
      <c r="I334" t="str">
        <f>_xlfn.LET(_xlpm.v, IFERROR(VLOOKUP($A334, manifest!$A:$E, 5, FALSE), ""), IF(OR(_xlpm.v=0, _xlpm.v=""), "", _xlpm.v))</f>
        <v>male</v>
      </c>
    </row>
    <row r="335" spans="1:9" x14ac:dyDescent="0.6">
      <c r="A335">
        <v>84</v>
      </c>
      <c r="B335" t="s">
        <v>14</v>
      </c>
      <c r="C335" t="s">
        <v>11</v>
      </c>
      <c r="D335">
        <v>319.24</v>
      </c>
      <c r="E335">
        <v>287.89</v>
      </c>
      <c r="F335">
        <v>22879</v>
      </c>
      <c r="H335">
        <f>_xlfn.LET(_xlpm.v, IFERROR(VLOOKUP($A335, manifest!$A:$E, 3, FALSE), ""), IF(OR(_xlpm.v=0, _xlpm.v=""), "", _xlpm.v))</f>
        <v>54</v>
      </c>
      <c r="I335" t="str">
        <f>_xlfn.LET(_xlpm.v, IFERROR(VLOOKUP($A335, manifest!$A:$E, 5, FALSE), ""), IF(OR(_xlpm.v=0, _xlpm.v=""), "", _xlpm.v))</f>
        <v>male</v>
      </c>
    </row>
    <row r="336" spans="1:9" x14ac:dyDescent="0.6">
      <c r="A336">
        <v>84</v>
      </c>
      <c r="B336" t="s">
        <v>14</v>
      </c>
      <c r="C336" t="s">
        <v>12</v>
      </c>
      <c r="D336">
        <v>257.06</v>
      </c>
      <c r="E336">
        <v>244.6</v>
      </c>
      <c r="F336">
        <v>30795</v>
      </c>
      <c r="H336">
        <f>_xlfn.LET(_xlpm.v, IFERROR(VLOOKUP($A336, manifest!$A:$E, 3, FALSE), ""), IF(OR(_xlpm.v=0, _xlpm.v=""), "", _xlpm.v))</f>
        <v>54</v>
      </c>
      <c r="I336" t="str">
        <f>_xlfn.LET(_xlpm.v, IFERROR(VLOOKUP($A336, manifest!$A:$E, 5, FALSE), ""), IF(OR(_xlpm.v=0, _xlpm.v=""), "", _xlpm.v))</f>
        <v>male</v>
      </c>
    </row>
    <row r="337" spans="1:9" x14ac:dyDescent="0.6">
      <c r="A337">
        <v>84</v>
      </c>
      <c r="B337" t="s">
        <v>14</v>
      </c>
      <c r="C337" t="s">
        <v>13</v>
      </c>
      <c r="D337">
        <v>296.49</v>
      </c>
      <c r="E337">
        <v>314.79000000000002</v>
      </c>
      <c r="F337">
        <v>29779</v>
      </c>
      <c r="H337">
        <f>_xlfn.LET(_xlpm.v, IFERROR(VLOOKUP($A337, manifest!$A:$E, 3, FALSE), ""), IF(OR(_xlpm.v=0, _xlpm.v=""), "", _xlpm.v))</f>
        <v>54</v>
      </c>
      <c r="I337" t="str">
        <f>_xlfn.LET(_xlpm.v, IFERROR(VLOOKUP($A337, manifest!$A:$E, 5, FALSE), ""), IF(OR(_xlpm.v=0, _xlpm.v=""), "", _xlpm.v))</f>
        <v>male</v>
      </c>
    </row>
    <row r="338" spans="1:9" x14ac:dyDescent="0.6">
      <c r="A338">
        <v>65</v>
      </c>
      <c r="B338" t="s">
        <v>7</v>
      </c>
      <c r="C338" t="s">
        <v>8</v>
      </c>
      <c r="D338">
        <v>237.61</v>
      </c>
      <c r="E338">
        <v>178.58</v>
      </c>
      <c r="F338">
        <v>37509</v>
      </c>
      <c r="G338" t="s">
        <v>9</v>
      </c>
      <c r="H338">
        <f>_xlfn.LET(_xlpm.v, IFERROR(VLOOKUP($A338, manifest!$A:$E, 3, FALSE), ""), IF(OR(_xlpm.v=0, _xlpm.v=""), "", _xlpm.v))</f>
        <v>89</v>
      </c>
      <c r="I338" t="str">
        <f>_xlfn.LET(_xlpm.v, IFERROR(VLOOKUP($A338, manifest!$A:$E, 5, FALSE), ""), IF(OR(_xlpm.v=0, _xlpm.v=""), "", _xlpm.v))</f>
        <v/>
      </c>
    </row>
    <row r="339" spans="1:9" x14ac:dyDescent="0.6">
      <c r="A339">
        <v>65</v>
      </c>
      <c r="B339" t="s">
        <v>7</v>
      </c>
      <c r="C339" t="s">
        <v>10</v>
      </c>
      <c r="D339">
        <v>261.87</v>
      </c>
      <c r="E339">
        <v>217.18</v>
      </c>
      <c r="F339">
        <v>39728</v>
      </c>
      <c r="H339">
        <f>_xlfn.LET(_xlpm.v, IFERROR(VLOOKUP($A339, manifest!$A:$E, 3, FALSE), ""), IF(OR(_xlpm.v=0, _xlpm.v=""), "", _xlpm.v))</f>
        <v>89</v>
      </c>
      <c r="I339" t="str">
        <f>_xlfn.LET(_xlpm.v, IFERROR(VLOOKUP($A339, manifest!$A:$E, 5, FALSE), ""), IF(OR(_xlpm.v=0, _xlpm.v=""), "", _xlpm.v))</f>
        <v/>
      </c>
    </row>
    <row r="340" spans="1:9" x14ac:dyDescent="0.6">
      <c r="A340">
        <v>65</v>
      </c>
      <c r="B340" t="s">
        <v>7</v>
      </c>
      <c r="C340" t="s">
        <v>11</v>
      </c>
      <c r="D340">
        <v>258.60000000000002</v>
      </c>
      <c r="E340">
        <v>219.81</v>
      </c>
      <c r="F340">
        <v>47072</v>
      </c>
      <c r="H340">
        <f>_xlfn.LET(_xlpm.v, IFERROR(VLOOKUP($A340, manifest!$A:$E, 3, FALSE), ""), IF(OR(_xlpm.v=0, _xlpm.v=""), "", _xlpm.v))</f>
        <v>89</v>
      </c>
      <c r="I340" t="str">
        <f>_xlfn.LET(_xlpm.v, IFERROR(VLOOKUP($A340, manifest!$A:$E, 5, FALSE), ""), IF(OR(_xlpm.v=0, _xlpm.v=""), "", _xlpm.v))</f>
        <v/>
      </c>
    </row>
    <row r="341" spans="1:9" x14ac:dyDescent="0.6">
      <c r="A341">
        <v>65</v>
      </c>
      <c r="B341" t="s">
        <v>7</v>
      </c>
      <c r="C341" t="s">
        <v>12</v>
      </c>
      <c r="D341">
        <v>268.57</v>
      </c>
      <c r="E341">
        <v>242.16</v>
      </c>
      <c r="F341">
        <v>63691</v>
      </c>
      <c r="H341">
        <f>_xlfn.LET(_xlpm.v, IFERROR(VLOOKUP($A341, manifest!$A:$E, 3, FALSE), ""), IF(OR(_xlpm.v=0, _xlpm.v=""), "", _xlpm.v))</f>
        <v>89</v>
      </c>
      <c r="I341" t="str">
        <f>_xlfn.LET(_xlpm.v, IFERROR(VLOOKUP($A341, manifest!$A:$E, 5, FALSE), ""), IF(OR(_xlpm.v=0, _xlpm.v=""), "", _xlpm.v))</f>
        <v/>
      </c>
    </row>
    <row r="342" spans="1:9" x14ac:dyDescent="0.6">
      <c r="A342">
        <v>65</v>
      </c>
      <c r="B342" t="s">
        <v>7</v>
      </c>
      <c r="C342" t="s">
        <v>13</v>
      </c>
      <c r="D342">
        <v>256.33</v>
      </c>
      <c r="E342">
        <v>203.28</v>
      </c>
      <c r="F342">
        <v>86222</v>
      </c>
      <c r="H342">
        <f>_xlfn.LET(_xlpm.v, IFERROR(VLOOKUP($A342, manifest!$A:$E, 3, FALSE), ""), IF(OR(_xlpm.v=0, _xlpm.v=""), "", _xlpm.v))</f>
        <v>89</v>
      </c>
      <c r="I342" t="str">
        <f>_xlfn.LET(_xlpm.v, IFERROR(VLOOKUP($A342, manifest!$A:$E, 5, FALSE), ""), IF(OR(_xlpm.v=0, _xlpm.v=""), "", _xlpm.v))</f>
        <v/>
      </c>
    </row>
    <row r="343" spans="1:9" x14ac:dyDescent="0.6">
      <c r="A343">
        <v>88</v>
      </c>
      <c r="B343" t="s">
        <v>14</v>
      </c>
      <c r="C343" t="s">
        <v>8</v>
      </c>
      <c r="D343">
        <v>225.37</v>
      </c>
      <c r="E343">
        <v>126.86</v>
      </c>
      <c r="F343">
        <v>23061</v>
      </c>
      <c r="G343" t="s">
        <v>9</v>
      </c>
      <c r="H343">
        <f>_xlfn.LET(_xlpm.v, IFERROR(VLOOKUP($A343, manifest!$A:$E, 3, FALSE), ""), IF(OR(_xlpm.v=0, _xlpm.v=""), "", _xlpm.v))</f>
        <v>50</v>
      </c>
      <c r="I343" t="str">
        <f>_xlfn.LET(_xlpm.v, IFERROR(VLOOKUP($A343, manifest!$A:$E, 5, FALSE), ""), IF(OR(_xlpm.v=0, _xlpm.v=""), "", _xlpm.v))</f>
        <v>female</v>
      </c>
    </row>
    <row r="344" spans="1:9" x14ac:dyDescent="0.6">
      <c r="A344">
        <v>88</v>
      </c>
      <c r="B344" t="s">
        <v>14</v>
      </c>
      <c r="C344" t="s">
        <v>10</v>
      </c>
      <c r="D344">
        <v>230.89</v>
      </c>
      <c r="E344">
        <v>163.99</v>
      </c>
      <c r="F344">
        <v>25129</v>
      </c>
      <c r="H344">
        <f>_xlfn.LET(_xlpm.v, IFERROR(VLOOKUP($A344, manifest!$A:$E, 3, FALSE), ""), IF(OR(_xlpm.v=0, _xlpm.v=""), "", _xlpm.v))</f>
        <v>50</v>
      </c>
      <c r="I344" t="str">
        <f>_xlfn.LET(_xlpm.v, IFERROR(VLOOKUP($A344, manifest!$A:$E, 5, FALSE), ""), IF(OR(_xlpm.v=0, _xlpm.v=""), "", _xlpm.v))</f>
        <v>female</v>
      </c>
    </row>
    <row r="345" spans="1:9" x14ac:dyDescent="0.6">
      <c r="A345">
        <v>88</v>
      </c>
      <c r="B345" t="s">
        <v>14</v>
      </c>
      <c r="C345" t="s">
        <v>11</v>
      </c>
      <c r="D345">
        <v>224.01</v>
      </c>
      <c r="E345">
        <v>149.15</v>
      </c>
      <c r="F345">
        <v>30236</v>
      </c>
      <c r="H345">
        <f>_xlfn.LET(_xlpm.v, IFERROR(VLOOKUP($A345, manifest!$A:$E, 3, FALSE), ""), IF(OR(_xlpm.v=0, _xlpm.v=""), "", _xlpm.v))</f>
        <v>50</v>
      </c>
      <c r="I345" t="str">
        <f>_xlfn.LET(_xlpm.v, IFERROR(VLOOKUP($A345, manifest!$A:$E, 5, FALSE), ""), IF(OR(_xlpm.v=0, _xlpm.v=""), "", _xlpm.v))</f>
        <v>female</v>
      </c>
    </row>
    <row r="346" spans="1:9" x14ac:dyDescent="0.6">
      <c r="A346">
        <v>88</v>
      </c>
      <c r="B346" t="s">
        <v>14</v>
      </c>
      <c r="C346" t="s">
        <v>12</v>
      </c>
      <c r="D346">
        <v>235.68</v>
      </c>
      <c r="E346">
        <v>165.25</v>
      </c>
      <c r="F346">
        <v>30299</v>
      </c>
      <c r="H346">
        <f>_xlfn.LET(_xlpm.v, IFERROR(VLOOKUP($A346, manifest!$A:$E, 3, FALSE), ""), IF(OR(_xlpm.v=0, _xlpm.v=""), "", _xlpm.v))</f>
        <v>50</v>
      </c>
      <c r="I346" t="str">
        <f>_xlfn.LET(_xlpm.v, IFERROR(VLOOKUP($A346, manifest!$A:$E, 5, FALSE), ""), IF(OR(_xlpm.v=0, _xlpm.v=""), "", _xlpm.v))</f>
        <v>female</v>
      </c>
    </row>
    <row r="347" spans="1:9" x14ac:dyDescent="0.6">
      <c r="A347">
        <v>88</v>
      </c>
      <c r="B347" t="s">
        <v>14</v>
      </c>
      <c r="C347" t="s">
        <v>13</v>
      </c>
      <c r="D347">
        <v>208.34</v>
      </c>
      <c r="E347">
        <v>150.27000000000001</v>
      </c>
      <c r="F347">
        <v>43163</v>
      </c>
      <c r="H347">
        <f>_xlfn.LET(_xlpm.v, IFERROR(VLOOKUP($A347, manifest!$A:$E, 3, FALSE), ""), IF(OR(_xlpm.v=0, _xlpm.v=""), "", _xlpm.v))</f>
        <v>50</v>
      </c>
      <c r="I347" t="str">
        <f>_xlfn.LET(_xlpm.v, IFERROR(VLOOKUP($A347, manifest!$A:$E, 5, FALSE), ""), IF(OR(_xlpm.v=0, _xlpm.v=""), "", _xlpm.v))</f>
        <v>female</v>
      </c>
    </row>
    <row r="348" spans="1:9" x14ac:dyDescent="0.6">
      <c r="A348">
        <v>72</v>
      </c>
      <c r="B348" t="s">
        <v>14</v>
      </c>
      <c r="C348" t="s">
        <v>8</v>
      </c>
      <c r="D348">
        <v>164.3</v>
      </c>
      <c r="E348">
        <v>144.49</v>
      </c>
      <c r="F348">
        <v>36652</v>
      </c>
      <c r="G348" t="s">
        <v>9</v>
      </c>
      <c r="H348">
        <f>_xlfn.LET(_xlpm.v, IFERROR(VLOOKUP($A348, manifest!$A:$E, 3, FALSE), ""), IF(OR(_xlpm.v=0, _xlpm.v=""), "", _xlpm.v))</f>
        <v>59</v>
      </c>
      <c r="I348" t="str">
        <f>_xlfn.LET(_xlpm.v, IFERROR(VLOOKUP($A348, manifest!$A:$E, 5, FALSE), ""), IF(OR(_xlpm.v=0, _xlpm.v=""), "", _xlpm.v))</f>
        <v>female</v>
      </c>
    </row>
    <row r="349" spans="1:9" x14ac:dyDescent="0.6">
      <c r="A349">
        <v>72</v>
      </c>
      <c r="B349" t="s">
        <v>14</v>
      </c>
      <c r="C349" t="s">
        <v>10</v>
      </c>
      <c r="D349">
        <v>184.03</v>
      </c>
      <c r="E349">
        <v>184.4</v>
      </c>
      <c r="F349">
        <v>51679</v>
      </c>
      <c r="H349">
        <f>_xlfn.LET(_xlpm.v, IFERROR(VLOOKUP($A349, manifest!$A:$E, 3, FALSE), ""), IF(OR(_xlpm.v=0, _xlpm.v=""), "", _xlpm.v))</f>
        <v>59</v>
      </c>
      <c r="I349" t="str">
        <f>_xlfn.LET(_xlpm.v, IFERROR(VLOOKUP($A349, manifest!$A:$E, 5, FALSE), ""), IF(OR(_xlpm.v=0, _xlpm.v=""), "", _xlpm.v))</f>
        <v>female</v>
      </c>
    </row>
    <row r="350" spans="1:9" x14ac:dyDescent="0.6">
      <c r="A350">
        <v>72</v>
      </c>
      <c r="B350" t="s">
        <v>14</v>
      </c>
      <c r="C350" t="s">
        <v>11</v>
      </c>
      <c r="D350">
        <v>186.17</v>
      </c>
      <c r="E350">
        <v>188.56</v>
      </c>
      <c r="F350">
        <v>55300</v>
      </c>
      <c r="H350">
        <f>_xlfn.LET(_xlpm.v, IFERROR(VLOOKUP($A350, manifest!$A:$E, 3, FALSE), ""), IF(OR(_xlpm.v=0, _xlpm.v=""), "", _xlpm.v))</f>
        <v>59</v>
      </c>
      <c r="I350" t="str">
        <f>_xlfn.LET(_xlpm.v, IFERROR(VLOOKUP($A350, manifest!$A:$E, 5, FALSE), ""), IF(OR(_xlpm.v=0, _xlpm.v=""), "", _xlpm.v))</f>
        <v>female</v>
      </c>
    </row>
    <row r="351" spans="1:9" x14ac:dyDescent="0.6">
      <c r="A351">
        <v>72</v>
      </c>
      <c r="B351" t="s">
        <v>14</v>
      </c>
      <c r="C351" t="s">
        <v>12</v>
      </c>
      <c r="D351">
        <v>163.94</v>
      </c>
      <c r="E351">
        <v>164.22</v>
      </c>
      <c r="F351">
        <v>59812</v>
      </c>
      <c r="H351">
        <f>_xlfn.LET(_xlpm.v, IFERROR(VLOOKUP($A351, manifest!$A:$E, 3, FALSE), ""), IF(OR(_xlpm.v=0, _xlpm.v=""), "", _xlpm.v))</f>
        <v>59</v>
      </c>
      <c r="I351" t="str">
        <f>_xlfn.LET(_xlpm.v, IFERROR(VLOOKUP($A351, manifest!$A:$E, 5, FALSE), ""), IF(OR(_xlpm.v=0, _xlpm.v=""), "", _xlpm.v))</f>
        <v>female</v>
      </c>
    </row>
    <row r="352" spans="1:9" x14ac:dyDescent="0.6">
      <c r="A352">
        <v>72</v>
      </c>
      <c r="B352" t="s">
        <v>14</v>
      </c>
      <c r="C352" t="s">
        <v>13</v>
      </c>
      <c r="D352">
        <v>176.5</v>
      </c>
      <c r="E352">
        <v>161.69999999999999</v>
      </c>
      <c r="F352">
        <v>67672</v>
      </c>
      <c r="H352">
        <f>_xlfn.LET(_xlpm.v, IFERROR(VLOOKUP($A352, manifest!$A:$E, 3, FALSE), ""), IF(OR(_xlpm.v=0, _xlpm.v=""), "", _xlpm.v))</f>
        <v>59</v>
      </c>
      <c r="I352" t="str">
        <f>_xlfn.LET(_xlpm.v, IFERROR(VLOOKUP($A352, manifest!$A:$E, 5, FALSE), ""), IF(OR(_xlpm.v=0, _xlpm.v=""), "", _xlpm.v))</f>
        <v>female</v>
      </c>
    </row>
    <row r="353" spans="1:9" x14ac:dyDescent="0.6">
      <c r="A353">
        <v>71</v>
      </c>
      <c r="B353" t="s">
        <v>7</v>
      </c>
      <c r="C353" t="s">
        <v>8</v>
      </c>
      <c r="D353">
        <v>179.47</v>
      </c>
      <c r="E353">
        <v>163.26</v>
      </c>
      <c r="F353">
        <v>47063</v>
      </c>
      <c r="G353" t="s">
        <v>9</v>
      </c>
      <c r="H353">
        <f>_xlfn.LET(_xlpm.v, IFERROR(VLOOKUP($A353, manifest!$A:$E, 3, FALSE), ""), IF(OR(_xlpm.v=0, _xlpm.v=""), "", _xlpm.v))</f>
        <v>58</v>
      </c>
      <c r="I353" t="str">
        <f>_xlfn.LET(_xlpm.v, IFERROR(VLOOKUP($A353, manifest!$A:$E, 5, FALSE), ""), IF(OR(_xlpm.v=0, _xlpm.v=""), "", _xlpm.v))</f>
        <v>female</v>
      </c>
    </row>
    <row r="354" spans="1:9" x14ac:dyDescent="0.6">
      <c r="A354">
        <v>71</v>
      </c>
      <c r="B354" t="s">
        <v>7</v>
      </c>
      <c r="C354" t="s">
        <v>10</v>
      </c>
      <c r="D354">
        <v>207.66</v>
      </c>
      <c r="E354">
        <v>187.63</v>
      </c>
      <c r="F354">
        <v>48085</v>
      </c>
      <c r="H354">
        <f>_xlfn.LET(_xlpm.v, IFERROR(VLOOKUP($A354, manifest!$A:$E, 3, FALSE), ""), IF(OR(_xlpm.v=0, _xlpm.v=""), "", _xlpm.v))</f>
        <v>58</v>
      </c>
      <c r="I354" t="str">
        <f>_xlfn.LET(_xlpm.v, IFERROR(VLOOKUP($A354, manifest!$A:$E, 5, FALSE), ""), IF(OR(_xlpm.v=0, _xlpm.v=""), "", _xlpm.v))</f>
        <v>female</v>
      </c>
    </row>
    <row r="355" spans="1:9" x14ac:dyDescent="0.6">
      <c r="A355">
        <v>71</v>
      </c>
      <c r="B355" t="s">
        <v>7</v>
      </c>
      <c r="C355" t="s">
        <v>11</v>
      </c>
      <c r="D355">
        <v>149.08000000000001</v>
      </c>
      <c r="E355">
        <v>150.13</v>
      </c>
      <c r="F355">
        <v>57103</v>
      </c>
      <c r="H355">
        <f>_xlfn.LET(_xlpm.v, IFERROR(VLOOKUP($A355, manifest!$A:$E, 3, FALSE), ""), IF(OR(_xlpm.v=0, _xlpm.v=""), "", _xlpm.v))</f>
        <v>58</v>
      </c>
      <c r="I355" t="str">
        <f>_xlfn.LET(_xlpm.v, IFERROR(VLOOKUP($A355, manifest!$A:$E, 5, FALSE), ""), IF(OR(_xlpm.v=0, _xlpm.v=""), "", _xlpm.v))</f>
        <v>female</v>
      </c>
    </row>
    <row r="356" spans="1:9" x14ac:dyDescent="0.6">
      <c r="A356">
        <v>71</v>
      </c>
      <c r="B356" t="s">
        <v>7</v>
      </c>
      <c r="C356" t="s">
        <v>12</v>
      </c>
      <c r="D356">
        <v>146.28</v>
      </c>
      <c r="E356">
        <v>138.34</v>
      </c>
      <c r="F356">
        <v>67850</v>
      </c>
      <c r="H356">
        <f>_xlfn.LET(_xlpm.v, IFERROR(VLOOKUP($A356, manifest!$A:$E, 3, FALSE), ""), IF(OR(_xlpm.v=0, _xlpm.v=""), "", _xlpm.v))</f>
        <v>58</v>
      </c>
      <c r="I356" t="str">
        <f>_xlfn.LET(_xlpm.v, IFERROR(VLOOKUP($A356, manifest!$A:$E, 5, FALSE), ""), IF(OR(_xlpm.v=0, _xlpm.v=""), "", _xlpm.v))</f>
        <v>female</v>
      </c>
    </row>
    <row r="357" spans="1:9" x14ac:dyDescent="0.6">
      <c r="A357">
        <v>71</v>
      </c>
      <c r="B357" t="s">
        <v>7</v>
      </c>
      <c r="C357" t="s">
        <v>13</v>
      </c>
      <c r="D357">
        <v>188.66</v>
      </c>
      <c r="E357">
        <v>181.56</v>
      </c>
      <c r="F357">
        <v>68409</v>
      </c>
      <c r="H357">
        <f>_xlfn.LET(_xlpm.v, IFERROR(VLOOKUP($A357, manifest!$A:$E, 3, FALSE), ""), IF(OR(_xlpm.v=0, _xlpm.v=""), "", _xlpm.v))</f>
        <v>58</v>
      </c>
      <c r="I357" t="str">
        <f>_xlfn.LET(_xlpm.v, IFERROR(VLOOKUP($A357, manifest!$A:$E, 5, FALSE), ""), IF(OR(_xlpm.v=0, _xlpm.v=""), "", _xlpm.v))</f>
        <v>female</v>
      </c>
    </row>
    <row r="358" spans="1:9" x14ac:dyDescent="0.6">
      <c r="A358">
        <v>105</v>
      </c>
      <c r="B358" t="s">
        <v>7</v>
      </c>
      <c r="C358" t="s">
        <v>8</v>
      </c>
      <c r="D358">
        <v>224.27</v>
      </c>
      <c r="E358">
        <v>174.24</v>
      </c>
      <c r="F358">
        <v>33104</v>
      </c>
      <c r="G358" t="s">
        <v>9</v>
      </c>
      <c r="H358">
        <f>_xlfn.LET(_xlpm.v, IFERROR(VLOOKUP($A358, manifest!$A:$E, 3, FALSE), ""), IF(OR(_xlpm.v=0, _xlpm.v=""), "", _xlpm.v))</f>
        <v>74</v>
      </c>
      <c r="I358" t="str">
        <f>_xlfn.LET(_xlpm.v, IFERROR(VLOOKUP($A358, manifest!$A:$E, 5, FALSE), ""), IF(OR(_xlpm.v=0, _xlpm.v=""), "", _xlpm.v))</f>
        <v>female</v>
      </c>
    </row>
    <row r="359" spans="1:9" x14ac:dyDescent="0.6">
      <c r="A359">
        <v>105</v>
      </c>
      <c r="B359" t="s">
        <v>7</v>
      </c>
      <c r="C359" t="s">
        <v>10</v>
      </c>
      <c r="D359">
        <v>245.2</v>
      </c>
      <c r="E359">
        <v>228.06</v>
      </c>
      <c r="F359">
        <v>34688</v>
      </c>
      <c r="H359">
        <f>_xlfn.LET(_xlpm.v, IFERROR(VLOOKUP($A359, manifest!$A:$E, 3, FALSE), ""), IF(OR(_xlpm.v=0, _xlpm.v=""), "", _xlpm.v))</f>
        <v>74</v>
      </c>
      <c r="I359" t="str">
        <f>_xlfn.LET(_xlpm.v, IFERROR(VLOOKUP($A359, manifest!$A:$E, 5, FALSE), ""), IF(OR(_xlpm.v=0, _xlpm.v=""), "", _xlpm.v))</f>
        <v>female</v>
      </c>
    </row>
    <row r="360" spans="1:9" x14ac:dyDescent="0.6">
      <c r="A360">
        <v>105</v>
      </c>
      <c r="B360" t="s">
        <v>7</v>
      </c>
      <c r="C360" t="s">
        <v>11</v>
      </c>
      <c r="D360">
        <v>200.57</v>
      </c>
      <c r="E360">
        <v>215.25</v>
      </c>
      <c r="F360">
        <v>42920</v>
      </c>
      <c r="H360">
        <f>_xlfn.LET(_xlpm.v, IFERROR(VLOOKUP($A360, manifest!$A:$E, 3, FALSE), ""), IF(OR(_xlpm.v=0, _xlpm.v=""), "", _xlpm.v))</f>
        <v>74</v>
      </c>
      <c r="I360" t="str">
        <f>_xlfn.LET(_xlpm.v, IFERROR(VLOOKUP($A360, manifest!$A:$E, 5, FALSE), ""), IF(OR(_xlpm.v=0, _xlpm.v=""), "", _xlpm.v))</f>
        <v>female</v>
      </c>
    </row>
    <row r="361" spans="1:9" x14ac:dyDescent="0.6">
      <c r="A361">
        <v>105</v>
      </c>
      <c r="B361" t="s">
        <v>7</v>
      </c>
      <c r="C361" t="s">
        <v>12</v>
      </c>
      <c r="D361">
        <v>176.6</v>
      </c>
      <c r="E361">
        <v>215.43</v>
      </c>
      <c r="F361">
        <v>46425</v>
      </c>
      <c r="H361">
        <f>_xlfn.LET(_xlpm.v, IFERROR(VLOOKUP($A361, manifest!$A:$E, 3, FALSE), ""), IF(OR(_xlpm.v=0, _xlpm.v=""), "", _xlpm.v))</f>
        <v>74</v>
      </c>
      <c r="I361" t="str">
        <f>_xlfn.LET(_xlpm.v, IFERROR(VLOOKUP($A361, manifest!$A:$E, 5, FALSE), ""), IF(OR(_xlpm.v=0, _xlpm.v=""), "", _xlpm.v))</f>
        <v>female</v>
      </c>
    </row>
    <row r="362" spans="1:9" x14ac:dyDescent="0.6">
      <c r="A362">
        <v>105</v>
      </c>
      <c r="B362" t="s">
        <v>7</v>
      </c>
      <c r="C362" t="s">
        <v>13</v>
      </c>
      <c r="D362">
        <v>193.23</v>
      </c>
      <c r="E362">
        <v>197.8</v>
      </c>
      <c r="F362">
        <v>50909</v>
      </c>
      <c r="H362">
        <f>_xlfn.LET(_xlpm.v, IFERROR(VLOOKUP($A362, manifest!$A:$E, 3, FALSE), ""), IF(OR(_xlpm.v=0, _xlpm.v=""), "", _xlpm.v))</f>
        <v>74</v>
      </c>
      <c r="I362" t="str">
        <f>_xlfn.LET(_xlpm.v, IFERROR(VLOOKUP($A362, manifest!$A:$E, 5, FALSE), ""), IF(OR(_xlpm.v=0, _xlpm.v=""), "", _xlpm.v))</f>
        <v>female</v>
      </c>
    </row>
    <row r="363" spans="1:9" x14ac:dyDescent="0.6">
      <c r="A363">
        <v>74</v>
      </c>
      <c r="B363" t="s">
        <v>14</v>
      </c>
      <c r="C363" t="s">
        <v>8</v>
      </c>
      <c r="D363">
        <v>172.69</v>
      </c>
      <c r="E363">
        <v>141.77000000000001</v>
      </c>
      <c r="F363">
        <v>40291</v>
      </c>
      <c r="G363" t="s">
        <v>9</v>
      </c>
      <c r="H363">
        <f>_xlfn.LET(_xlpm.v, IFERROR(VLOOKUP($A363, manifest!$A:$E, 3, FALSE), ""), IF(OR(_xlpm.v=0, _xlpm.v=""), "", _xlpm.v))</f>
        <v>53</v>
      </c>
      <c r="I363" t="str">
        <f>_xlfn.LET(_xlpm.v, IFERROR(VLOOKUP($A363, manifest!$A:$E, 5, FALSE), ""), IF(OR(_xlpm.v=0, _xlpm.v=""), "", _xlpm.v))</f>
        <v>male</v>
      </c>
    </row>
    <row r="364" spans="1:9" x14ac:dyDescent="0.6">
      <c r="A364">
        <v>74</v>
      </c>
      <c r="B364" t="s">
        <v>14</v>
      </c>
      <c r="C364" t="s">
        <v>10</v>
      </c>
      <c r="D364">
        <v>173.31</v>
      </c>
      <c r="E364">
        <v>139.93</v>
      </c>
      <c r="F364">
        <v>44779</v>
      </c>
      <c r="H364">
        <f>_xlfn.LET(_xlpm.v, IFERROR(VLOOKUP($A364, manifest!$A:$E, 3, FALSE), ""), IF(OR(_xlpm.v=0, _xlpm.v=""), "", _xlpm.v))</f>
        <v>53</v>
      </c>
      <c r="I364" t="str">
        <f>_xlfn.LET(_xlpm.v, IFERROR(VLOOKUP($A364, manifest!$A:$E, 5, FALSE), ""), IF(OR(_xlpm.v=0, _xlpm.v=""), "", _xlpm.v))</f>
        <v>male</v>
      </c>
    </row>
    <row r="365" spans="1:9" x14ac:dyDescent="0.6">
      <c r="A365">
        <v>74</v>
      </c>
      <c r="B365" t="s">
        <v>14</v>
      </c>
      <c r="C365" t="s">
        <v>11</v>
      </c>
      <c r="D365">
        <v>172.67</v>
      </c>
      <c r="E365">
        <v>155.44</v>
      </c>
      <c r="F365">
        <v>54120</v>
      </c>
      <c r="H365">
        <f>_xlfn.LET(_xlpm.v, IFERROR(VLOOKUP($A365, manifest!$A:$E, 3, FALSE), ""), IF(OR(_xlpm.v=0, _xlpm.v=""), "", _xlpm.v))</f>
        <v>53</v>
      </c>
      <c r="I365" t="str">
        <f>_xlfn.LET(_xlpm.v, IFERROR(VLOOKUP($A365, manifest!$A:$E, 5, FALSE), ""), IF(OR(_xlpm.v=0, _xlpm.v=""), "", _xlpm.v))</f>
        <v>male</v>
      </c>
    </row>
    <row r="366" spans="1:9" x14ac:dyDescent="0.6">
      <c r="A366">
        <v>74</v>
      </c>
      <c r="B366" t="s">
        <v>14</v>
      </c>
      <c r="C366" t="s">
        <v>12</v>
      </c>
      <c r="D366">
        <v>183.96</v>
      </c>
      <c r="E366">
        <v>176.71</v>
      </c>
      <c r="F366">
        <v>53093</v>
      </c>
      <c r="H366">
        <f>_xlfn.LET(_xlpm.v, IFERROR(VLOOKUP($A366, manifest!$A:$E, 3, FALSE), ""), IF(OR(_xlpm.v=0, _xlpm.v=""), "", _xlpm.v))</f>
        <v>53</v>
      </c>
      <c r="I366" t="str">
        <f>_xlfn.LET(_xlpm.v, IFERROR(VLOOKUP($A366, manifest!$A:$E, 5, FALSE), ""), IF(OR(_xlpm.v=0, _xlpm.v=""), "", _xlpm.v))</f>
        <v>male</v>
      </c>
    </row>
    <row r="367" spans="1:9" x14ac:dyDescent="0.6">
      <c r="A367">
        <v>74</v>
      </c>
      <c r="B367" t="s">
        <v>14</v>
      </c>
      <c r="C367" t="s">
        <v>13</v>
      </c>
      <c r="D367">
        <v>202.22</v>
      </c>
      <c r="E367">
        <v>157.72999999999999</v>
      </c>
      <c r="F367">
        <v>56852</v>
      </c>
      <c r="H367">
        <f>_xlfn.LET(_xlpm.v, IFERROR(VLOOKUP($A367, manifest!$A:$E, 3, FALSE), ""), IF(OR(_xlpm.v=0, _xlpm.v=""), "", _xlpm.v))</f>
        <v>53</v>
      </c>
      <c r="I367" t="str">
        <f>_xlfn.LET(_xlpm.v, IFERROR(VLOOKUP($A367, manifest!$A:$E, 5, FALSE), ""), IF(OR(_xlpm.v=0, _xlpm.v=""), "", _xlpm.v))</f>
        <v>male</v>
      </c>
    </row>
    <row r="368" spans="1:9" x14ac:dyDescent="0.6">
      <c r="A368">
        <v>79</v>
      </c>
      <c r="B368" t="s">
        <v>14</v>
      </c>
      <c r="C368" t="s">
        <v>8</v>
      </c>
      <c r="D368">
        <v>211.81</v>
      </c>
      <c r="E368">
        <v>186.28</v>
      </c>
      <c r="F368">
        <v>43354</v>
      </c>
      <c r="G368" t="s">
        <v>9</v>
      </c>
      <c r="H368">
        <f>_xlfn.LET(_xlpm.v, IFERROR(VLOOKUP($A368, manifest!$A:$E, 3, FALSE), ""), IF(OR(_xlpm.v=0, _xlpm.v=""), "", _xlpm.v))</f>
        <v>53</v>
      </c>
      <c r="I368" t="str">
        <f>_xlfn.LET(_xlpm.v, IFERROR(VLOOKUP($A368, manifest!$A:$E, 5, FALSE), ""), IF(OR(_xlpm.v=0, _xlpm.v=""), "", _xlpm.v))</f>
        <v>male</v>
      </c>
    </row>
    <row r="369" spans="1:9" x14ac:dyDescent="0.6">
      <c r="A369">
        <v>79</v>
      </c>
      <c r="B369" t="s">
        <v>14</v>
      </c>
      <c r="C369" t="s">
        <v>10</v>
      </c>
      <c r="D369">
        <v>234.89</v>
      </c>
      <c r="E369">
        <v>215.38</v>
      </c>
      <c r="F369">
        <v>45936</v>
      </c>
      <c r="H369">
        <f>_xlfn.LET(_xlpm.v, IFERROR(VLOOKUP($A369, manifest!$A:$E, 3, FALSE), ""), IF(OR(_xlpm.v=0, _xlpm.v=""), "", _xlpm.v))</f>
        <v>53</v>
      </c>
      <c r="I369" t="str">
        <f>_xlfn.LET(_xlpm.v, IFERROR(VLOOKUP($A369, manifest!$A:$E, 5, FALSE), ""), IF(OR(_xlpm.v=0, _xlpm.v=""), "", _xlpm.v))</f>
        <v>male</v>
      </c>
    </row>
    <row r="370" spans="1:9" x14ac:dyDescent="0.6">
      <c r="A370">
        <v>79</v>
      </c>
      <c r="B370" t="s">
        <v>14</v>
      </c>
      <c r="C370" t="s">
        <v>11</v>
      </c>
      <c r="D370">
        <v>263.17</v>
      </c>
      <c r="E370">
        <v>249.29</v>
      </c>
      <c r="F370">
        <v>45882</v>
      </c>
      <c r="H370">
        <f>_xlfn.LET(_xlpm.v, IFERROR(VLOOKUP($A370, manifest!$A:$E, 3, FALSE), ""), IF(OR(_xlpm.v=0, _xlpm.v=""), "", _xlpm.v))</f>
        <v>53</v>
      </c>
      <c r="I370" t="str">
        <f>_xlfn.LET(_xlpm.v, IFERROR(VLOOKUP($A370, manifest!$A:$E, 5, FALSE), ""), IF(OR(_xlpm.v=0, _xlpm.v=""), "", _xlpm.v))</f>
        <v>male</v>
      </c>
    </row>
    <row r="371" spans="1:9" x14ac:dyDescent="0.6">
      <c r="A371">
        <v>79</v>
      </c>
      <c r="B371" t="s">
        <v>14</v>
      </c>
      <c r="C371" t="s">
        <v>12</v>
      </c>
      <c r="D371">
        <v>251.52</v>
      </c>
      <c r="E371">
        <v>220.7</v>
      </c>
      <c r="F371">
        <v>51275</v>
      </c>
      <c r="H371">
        <f>_xlfn.LET(_xlpm.v, IFERROR(VLOOKUP($A371, manifest!$A:$E, 3, FALSE), ""), IF(OR(_xlpm.v=0, _xlpm.v=""), "", _xlpm.v))</f>
        <v>53</v>
      </c>
      <c r="I371" t="str">
        <f>_xlfn.LET(_xlpm.v, IFERROR(VLOOKUP($A371, manifest!$A:$E, 5, FALSE), ""), IF(OR(_xlpm.v=0, _xlpm.v=""), "", _xlpm.v))</f>
        <v>male</v>
      </c>
    </row>
    <row r="372" spans="1:9" x14ac:dyDescent="0.6">
      <c r="A372">
        <v>79</v>
      </c>
      <c r="B372" t="s">
        <v>14</v>
      </c>
      <c r="C372" t="s">
        <v>13</v>
      </c>
      <c r="D372">
        <v>218.16</v>
      </c>
      <c r="E372">
        <v>177.48</v>
      </c>
      <c r="F372">
        <v>68638</v>
      </c>
      <c r="H372">
        <f>_xlfn.LET(_xlpm.v, IFERROR(VLOOKUP($A372, manifest!$A:$E, 3, FALSE), ""), IF(OR(_xlpm.v=0, _xlpm.v=""), "", _xlpm.v))</f>
        <v>53</v>
      </c>
      <c r="I372" t="str">
        <f>_xlfn.LET(_xlpm.v, IFERROR(VLOOKUP($A372, manifest!$A:$E, 5, FALSE), ""), IF(OR(_xlpm.v=0, _xlpm.v=""), "", _xlpm.v))</f>
        <v>male</v>
      </c>
    </row>
    <row r="373" spans="1:9" x14ac:dyDescent="0.6">
      <c r="A373">
        <v>82</v>
      </c>
      <c r="B373" t="s">
        <v>14</v>
      </c>
      <c r="C373" t="s">
        <v>8</v>
      </c>
      <c r="D373">
        <v>197.36</v>
      </c>
      <c r="E373">
        <v>117.05</v>
      </c>
      <c r="F373">
        <v>31054</v>
      </c>
      <c r="G373" t="s">
        <v>9</v>
      </c>
      <c r="H373">
        <f>_xlfn.LET(_xlpm.v, IFERROR(VLOOKUP($A373, manifest!$A:$E, 3, FALSE), ""), IF(OR(_xlpm.v=0, _xlpm.v=""), "", _xlpm.v))</f>
        <v>51</v>
      </c>
      <c r="I373" t="str">
        <f>_xlfn.LET(_xlpm.v, IFERROR(VLOOKUP($A373, manifest!$A:$E, 5, FALSE), ""), IF(OR(_xlpm.v=0, _xlpm.v=""), "", _xlpm.v))</f>
        <v>male</v>
      </c>
    </row>
    <row r="374" spans="1:9" x14ac:dyDescent="0.6">
      <c r="A374">
        <v>82</v>
      </c>
      <c r="B374" t="s">
        <v>14</v>
      </c>
      <c r="C374" t="s">
        <v>10</v>
      </c>
      <c r="D374">
        <v>206.81</v>
      </c>
      <c r="E374">
        <v>125.55</v>
      </c>
      <c r="F374">
        <v>30760</v>
      </c>
      <c r="H374">
        <f>_xlfn.LET(_xlpm.v, IFERROR(VLOOKUP($A374, manifest!$A:$E, 3, FALSE), ""), IF(OR(_xlpm.v=0, _xlpm.v=""), "", _xlpm.v))</f>
        <v>51</v>
      </c>
      <c r="I374" t="str">
        <f>_xlfn.LET(_xlpm.v, IFERROR(VLOOKUP($A374, manifest!$A:$E, 5, FALSE), ""), IF(OR(_xlpm.v=0, _xlpm.v=""), "", _xlpm.v))</f>
        <v>male</v>
      </c>
    </row>
    <row r="375" spans="1:9" x14ac:dyDescent="0.6">
      <c r="A375">
        <v>82</v>
      </c>
      <c r="B375" t="s">
        <v>14</v>
      </c>
      <c r="C375" t="s">
        <v>11</v>
      </c>
      <c r="D375">
        <v>200.44</v>
      </c>
      <c r="E375">
        <v>126.92</v>
      </c>
      <c r="F375">
        <v>44932</v>
      </c>
      <c r="H375">
        <f>_xlfn.LET(_xlpm.v, IFERROR(VLOOKUP($A375, manifest!$A:$E, 3, FALSE), ""), IF(OR(_xlpm.v=0, _xlpm.v=""), "", _xlpm.v))</f>
        <v>51</v>
      </c>
      <c r="I375" t="str">
        <f>_xlfn.LET(_xlpm.v, IFERROR(VLOOKUP($A375, manifest!$A:$E, 5, FALSE), ""), IF(OR(_xlpm.v=0, _xlpm.v=""), "", _xlpm.v))</f>
        <v>male</v>
      </c>
    </row>
    <row r="376" spans="1:9" x14ac:dyDescent="0.6">
      <c r="A376">
        <v>82</v>
      </c>
      <c r="B376" t="s">
        <v>14</v>
      </c>
      <c r="C376" t="s">
        <v>12</v>
      </c>
      <c r="D376">
        <v>188.24</v>
      </c>
      <c r="E376">
        <v>121.92</v>
      </c>
      <c r="F376">
        <v>41251</v>
      </c>
      <c r="H376">
        <f>_xlfn.LET(_xlpm.v, IFERROR(VLOOKUP($A376, manifest!$A:$E, 3, FALSE), ""), IF(OR(_xlpm.v=0, _xlpm.v=""), "", _xlpm.v))</f>
        <v>51</v>
      </c>
      <c r="I376" t="str">
        <f>_xlfn.LET(_xlpm.v, IFERROR(VLOOKUP($A376, manifest!$A:$E, 5, FALSE), ""), IF(OR(_xlpm.v=0, _xlpm.v=""), "", _xlpm.v))</f>
        <v>male</v>
      </c>
    </row>
    <row r="377" spans="1:9" x14ac:dyDescent="0.6">
      <c r="A377">
        <v>82</v>
      </c>
      <c r="B377" t="s">
        <v>14</v>
      </c>
      <c r="C377" t="s">
        <v>13</v>
      </c>
      <c r="D377">
        <v>205.11</v>
      </c>
      <c r="E377">
        <v>126.73</v>
      </c>
      <c r="F377">
        <v>40719</v>
      </c>
      <c r="H377">
        <f>_xlfn.LET(_xlpm.v, IFERROR(VLOOKUP($A377, manifest!$A:$E, 3, FALSE), ""), IF(OR(_xlpm.v=0, _xlpm.v=""), "", _xlpm.v))</f>
        <v>51</v>
      </c>
      <c r="I377" t="str">
        <f>_xlfn.LET(_xlpm.v, IFERROR(VLOOKUP($A377, manifest!$A:$E, 5, FALSE), ""), IF(OR(_xlpm.v=0, _xlpm.v=""), "", _xlpm.v))</f>
        <v>male</v>
      </c>
    </row>
    <row r="378" spans="1:9" x14ac:dyDescent="0.6">
      <c r="A378">
        <v>91</v>
      </c>
      <c r="B378" t="s">
        <v>14</v>
      </c>
      <c r="C378" t="s">
        <v>8</v>
      </c>
      <c r="D378">
        <v>339.38</v>
      </c>
      <c r="E378">
        <v>220.5</v>
      </c>
      <c r="F378">
        <v>31171</v>
      </c>
      <c r="G378" t="s">
        <v>9</v>
      </c>
      <c r="H378">
        <f>_xlfn.LET(_xlpm.v, IFERROR(VLOOKUP($A378, manifest!$A:$E, 3, FALSE), ""), IF(OR(_xlpm.v=0, _xlpm.v=""), "", _xlpm.v))</f>
        <v>56</v>
      </c>
      <c r="I378" t="str">
        <f>_xlfn.LET(_xlpm.v, IFERROR(VLOOKUP($A378, manifest!$A:$E, 5, FALSE), ""), IF(OR(_xlpm.v=0, _xlpm.v=""), "", _xlpm.v))</f>
        <v>male</v>
      </c>
    </row>
    <row r="379" spans="1:9" x14ac:dyDescent="0.6">
      <c r="A379">
        <v>91</v>
      </c>
      <c r="B379" t="s">
        <v>14</v>
      </c>
      <c r="C379" t="s">
        <v>10</v>
      </c>
      <c r="D379">
        <v>329.24</v>
      </c>
      <c r="E379">
        <v>226.56</v>
      </c>
      <c r="F379">
        <v>38346</v>
      </c>
      <c r="H379">
        <f>_xlfn.LET(_xlpm.v, IFERROR(VLOOKUP($A379, manifest!$A:$E, 3, FALSE), ""), IF(OR(_xlpm.v=0, _xlpm.v=""), "", _xlpm.v))</f>
        <v>56</v>
      </c>
      <c r="I379" t="str">
        <f>_xlfn.LET(_xlpm.v, IFERROR(VLOOKUP($A379, manifest!$A:$E, 5, FALSE), ""), IF(OR(_xlpm.v=0, _xlpm.v=""), "", _xlpm.v))</f>
        <v>male</v>
      </c>
    </row>
    <row r="380" spans="1:9" x14ac:dyDescent="0.6">
      <c r="A380">
        <v>91</v>
      </c>
      <c r="B380" t="s">
        <v>14</v>
      </c>
      <c r="C380" t="s">
        <v>11</v>
      </c>
      <c r="D380">
        <v>342.42</v>
      </c>
      <c r="E380">
        <v>247.36</v>
      </c>
      <c r="F380">
        <v>49441</v>
      </c>
      <c r="H380">
        <f>_xlfn.LET(_xlpm.v, IFERROR(VLOOKUP($A380, manifest!$A:$E, 3, FALSE), ""), IF(OR(_xlpm.v=0, _xlpm.v=""), "", _xlpm.v))</f>
        <v>56</v>
      </c>
      <c r="I380" t="str">
        <f>_xlfn.LET(_xlpm.v, IFERROR(VLOOKUP($A380, manifest!$A:$E, 5, FALSE), ""), IF(OR(_xlpm.v=0, _xlpm.v=""), "", _xlpm.v))</f>
        <v>male</v>
      </c>
    </row>
    <row r="381" spans="1:9" x14ac:dyDescent="0.6">
      <c r="A381">
        <v>91</v>
      </c>
      <c r="B381" t="s">
        <v>14</v>
      </c>
      <c r="C381" t="s">
        <v>12</v>
      </c>
      <c r="D381">
        <v>358.96</v>
      </c>
      <c r="E381">
        <v>265.35000000000002</v>
      </c>
      <c r="F381">
        <v>45941</v>
      </c>
      <c r="H381">
        <f>_xlfn.LET(_xlpm.v, IFERROR(VLOOKUP($A381, manifest!$A:$E, 3, FALSE), ""), IF(OR(_xlpm.v=0, _xlpm.v=""), "", _xlpm.v))</f>
        <v>56</v>
      </c>
      <c r="I381" t="str">
        <f>_xlfn.LET(_xlpm.v, IFERROR(VLOOKUP($A381, manifest!$A:$E, 5, FALSE), ""), IF(OR(_xlpm.v=0, _xlpm.v=""), "", _xlpm.v))</f>
        <v>male</v>
      </c>
    </row>
    <row r="382" spans="1:9" x14ac:dyDescent="0.6">
      <c r="A382">
        <v>91</v>
      </c>
      <c r="B382" t="s">
        <v>14</v>
      </c>
      <c r="C382" t="s">
        <v>13</v>
      </c>
      <c r="D382">
        <v>330.32</v>
      </c>
      <c r="E382">
        <v>221.26</v>
      </c>
      <c r="F382">
        <v>42698</v>
      </c>
      <c r="H382">
        <f>_xlfn.LET(_xlpm.v, IFERROR(VLOOKUP($A382, manifest!$A:$E, 3, FALSE), ""), IF(OR(_xlpm.v=0, _xlpm.v=""), "", _xlpm.v))</f>
        <v>56</v>
      </c>
      <c r="I382" t="str">
        <f>_xlfn.LET(_xlpm.v, IFERROR(VLOOKUP($A382, manifest!$A:$E, 5, FALSE), ""), IF(OR(_xlpm.v=0, _xlpm.v=""), "", _xlpm.v))</f>
        <v>male</v>
      </c>
    </row>
    <row r="383" spans="1:9" x14ac:dyDescent="0.6">
      <c r="A383">
        <v>80</v>
      </c>
      <c r="B383" t="s">
        <v>7</v>
      </c>
      <c r="C383" t="s">
        <v>8</v>
      </c>
      <c r="D383">
        <v>174.3</v>
      </c>
      <c r="E383">
        <v>93.87</v>
      </c>
      <c r="F383">
        <v>42610</v>
      </c>
      <c r="G383" t="s">
        <v>9</v>
      </c>
      <c r="H383">
        <f>_xlfn.LET(_xlpm.v, IFERROR(VLOOKUP($A383, manifest!$A:$E, 3, FALSE), ""), IF(OR(_xlpm.v=0, _xlpm.v=""), "", _xlpm.v))</f>
        <v>51</v>
      </c>
      <c r="I383" t="str">
        <f>_xlfn.LET(_xlpm.v, IFERROR(VLOOKUP($A383, manifest!$A:$E, 5, FALSE), ""), IF(OR(_xlpm.v=0, _xlpm.v=""), "", _xlpm.v))</f>
        <v>male</v>
      </c>
    </row>
    <row r="384" spans="1:9" x14ac:dyDescent="0.6">
      <c r="A384">
        <v>80</v>
      </c>
      <c r="B384" t="s">
        <v>7</v>
      </c>
      <c r="C384" t="s">
        <v>10</v>
      </c>
      <c r="D384">
        <v>178.72</v>
      </c>
      <c r="E384">
        <v>101.51</v>
      </c>
      <c r="F384">
        <v>44805</v>
      </c>
      <c r="H384">
        <f>_xlfn.LET(_xlpm.v, IFERROR(VLOOKUP($A384, manifest!$A:$E, 3, FALSE), ""), IF(OR(_xlpm.v=0, _xlpm.v=""), "", _xlpm.v))</f>
        <v>51</v>
      </c>
      <c r="I384" t="str">
        <f>_xlfn.LET(_xlpm.v, IFERROR(VLOOKUP($A384, manifest!$A:$E, 5, FALSE), ""), IF(OR(_xlpm.v=0, _xlpm.v=""), "", _xlpm.v))</f>
        <v>male</v>
      </c>
    </row>
    <row r="385" spans="1:9" x14ac:dyDescent="0.6">
      <c r="A385">
        <v>80</v>
      </c>
      <c r="B385" t="s">
        <v>7</v>
      </c>
      <c r="C385" t="s">
        <v>11</v>
      </c>
      <c r="D385">
        <v>193.77</v>
      </c>
      <c r="E385">
        <v>125.81</v>
      </c>
      <c r="F385">
        <v>37997</v>
      </c>
      <c r="H385">
        <f>_xlfn.LET(_xlpm.v, IFERROR(VLOOKUP($A385, manifest!$A:$E, 3, FALSE), ""), IF(OR(_xlpm.v=0, _xlpm.v=""), "", _xlpm.v))</f>
        <v>51</v>
      </c>
      <c r="I385" t="str">
        <f>_xlfn.LET(_xlpm.v, IFERROR(VLOOKUP($A385, manifest!$A:$E, 5, FALSE), ""), IF(OR(_xlpm.v=0, _xlpm.v=""), "", _xlpm.v))</f>
        <v>male</v>
      </c>
    </row>
    <row r="386" spans="1:9" x14ac:dyDescent="0.6">
      <c r="A386">
        <v>80</v>
      </c>
      <c r="B386" t="s">
        <v>7</v>
      </c>
      <c r="C386" t="s">
        <v>12</v>
      </c>
      <c r="D386">
        <v>179.94</v>
      </c>
      <c r="E386">
        <v>111.81</v>
      </c>
      <c r="F386">
        <v>48432</v>
      </c>
      <c r="H386">
        <f>_xlfn.LET(_xlpm.v, IFERROR(VLOOKUP($A386, manifest!$A:$E, 3, FALSE), ""), IF(OR(_xlpm.v=0, _xlpm.v=""), "", _xlpm.v))</f>
        <v>51</v>
      </c>
      <c r="I386" t="str">
        <f>_xlfn.LET(_xlpm.v, IFERROR(VLOOKUP($A386, manifest!$A:$E, 5, FALSE), ""), IF(OR(_xlpm.v=0, _xlpm.v=""), "", _xlpm.v))</f>
        <v>male</v>
      </c>
    </row>
    <row r="387" spans="1:9" x14ac:dyDescent="0.6">
      <c r="A387">
        <v>80</v>
      </c>
      <c r="B387" t="s">
        <v>7</v>
      </c>
      <c r="C387" t="s">
        <v>13</v>
      </c>
      <c r="D387">
        <v>182.97</v>
      </c>
      <c r="E387">
        <v>101.48</v>
      </c>
      <c r="F387">
        <v>51914</v>
      </c>
      <c r="H387">
        <f>_xlfn.LET(_xlpm.v, IFERROR(VLOOKUP($A387, manifest!$A:$E, 3, FALSE), ""), IF(OR(_xlpm.v=0, _xlpm.v=""), "", _xlpm.v))</f>
        <v>51</v>
      </c>
      <c r="I387" t="str">
        <f>_xlfn.LET(_xlpm.v, IFERROR(VLOOKUP($A387, manifest!$A:$E, 5, FALSE), ""), IF(OR(_xlpm.v=0, _xlpm.v=""), "", _xlpm.v))</f>
        <v>male</v>
      </c>
    </row>
    <row r="388" spans="1:9" x14ac:dyDescent="0.6">
      <c r="A388">
        <v>86</v>
      </c>
      <c r="B388" t="s">
        <v>7</v>
      </c>
      <c r="C388" t="s">
        <v>8</v>
      </c>
      <c r="D388">
        <v>282.8</v>
      </c>
      <c r="E388">
        <v>213.34</v>
      </c>
      <c r="F388">
        <v>33285</v>
      </c>
      <c r="G388" t="s">
        <v>9</v>
      </c>
      <c r="H388">
        <f>_xlfn.LET(_xlpm.v, IFERROR(VLOOKUP($A388, manifest!$A:$E, 3, FALSE), ""), IF(OR(_xlpm.v=0, _xlpm.v=""), "", _xlpm.v))</f>
        <v>71</v>
      </c>
      <c r="I388" t="str">
        <f>_xlfn.LET(_xlpm.v, IFERROR(VLOOKUP($A388, manifest!$A:$E, 5, FALSE), ""), IF(OR(_xlpm.v=0, _xlpm.v=""), "", _xlpm.v))</f>
        <v>male</v>
      </c>
    </row>
    <row r="389" spans="1:9" x14ac:dyDescent="0.6">
      <c r="A389">
        <v>86</v>
      </c>
      <c r="B389" t="s">
        <v>7</v>
      </c>
      <c r="C389" t="s">
        <v>10</v>
      </c>
      <c r="D389">
        <v>322.76</v>
      </c>
      <c r="E389">
        <v>261.11</v>
      </c>
      <c r="F389">
        <v>33451</v>
      </c>
      <c r="H389">
        <f>_xlfn.LET(_xlpm.v, IFERROR(VLOOKUP($A389, manifest!$A:$E, 3, FALSE), ""), IF(OR(_xlpm.v=0, _xlpm.v=""), "", _xlpm.v))</f>
        <v>71</v>
      </c>
      <c r="I389" t="str">
        <f>_xlfn.LET(_xlpm.v, IFERROR(VLOOKUP($A389, manifest!$A:$E, 5, FALSE), ""), IF(OR(_xlpm.v=0, _xlpm.v=""), "", _xlpm.v))</f>
        <v>male</v>
      </c>
    </row>
    <row r="390" spans="1:9" x14ac:dyDescent="0.6">
      <c r="A390">
        <v>86</v>
      </c>
      <c r="B390" t="s">
        <v>7</v>
      </c>
      <c r="C390" t="s">
        <v>11</v>
      </c>
      <c r="D390">
        <v>382.48</v>
      </c>
      <c r="E390">
        <v>328.8</v>
      </c>
      <c r="F390">
        <v>37967</v>
      </c>
      <c r="H390">
        <f>_xlfn.LET(_xlpm.v, IFERROR(VLOOKUP($A390, manifest!$A:$E, 3, FALSE), ""), IF(OR(_xlpm.v=0, _xlpm.v=""), "", _xlpm.v))</f>
        <v>71</v>
      </c>
      <c r="I390" t="str">
        <f>_xlfn.LET(_xlpm.v, IFERROR(VLOOKUP($A390, manifest!$A:$E, 5, FALSE), ""), IF(OR(_xlpm.v=0, _xlpm.v=""), "", _xlpm.v))</f>
        <v>male</v>
      </c>
    </row>
    <row r="391" spans="1:9" x14ac:dyDescent="0.6">
      <c r="A391">
        <v>86</v>
      </c>
      <c r="B391" t="s">
        <v>7</v>
      </c>
      <c r="C391" t="s">
        <v>12</v>
      </c>
      <c r="D391">
        <v>357.54</v>
      </c>
      <c r="E391">
        <v>328.84</v>
      </c>
      <c r="F391">
        <v>42127</v>
      </c>
      <c r="H391">
        <f>_xlfn.LET(_xlpm.v, IFERROR(VLOOKUP($A391, manifest!$A:$E, 3, FALSE), ""), IF(OR(_xlpm.v=0, _xlpm.v=""), "", _xlpm.v))</f>
        <v>71</v>
      </c>
      <c r="I391" t="str">
        <f>_xlfn.LET(_xlpm.v, IFERROR(VLOOKUP($A391, manifest!$A:$E, 5, FALSE), ""), IF(OR(_xlpm.v=0, _xlpm.v=""), "", _xlpm.v))</f>
        <v>male</v>
      </c>
    </row>
    <row r="392" spans="1:9" x14ac:dyDescent="0.6">
      <c r="A392">
        <v>86</v>
      </c>
      <c r="B392" t="s">
        <v>7</v>
      </c>
      <c r="C392" t="s">
        <v>13</v>
      </c>
      <c r="D392">
        <v>332.96</v>
      </c>
      <c r="E392">
        <v>279.70999999999998</v>
      </c>
      <c r="F392">
        <v>52471</v>
      </c>
      <c r="H392">
        <f>_xlfn.LET(_xlpm.v, IFERROR(VLOOKUP($A392, manifest!$A:$E, 3, FALSE), ""), IF(OR(_xlpm.v=0, _xlpm.v=""), "", _xlpm.v))</f>
        <v>71</v>
      </c>
      <c r="I392" t="str">
        <f>_xlfn.LET(_xlpm.v, IFERROR(VLOOKUP($A392, manifest!$A:$E, 5, FALSE), ""), IF(OR(_xlpm.v=0, _xlpm.v=""), "", _xlpm.v))</f>
        <v>male</v>
      </c>
    </row>
    <row r="393" spans="1:9" x14ac:dyDescent="0.6">
      <c r="A393">
        <v>90</v>
      </c>
      <c r="B393" t="s">
        <v>7</v>
      </c>
      <c r="C393" t="s">
        <v>8</v>
      </c>
      <c r="D393">
        <v>228.06</v>
      </c>
      <c r="E393">
        <v>179.4</v>
      </c>
      <c r="F393">
        <v>28248</v>
      </c>
      <c r="G393" t="s">
        <v>9</v>
      </c>
      <c r="H393">
        <f>_xlfn.LET(_xlpm.v, IFERROR(VLOOKUP($A393, manifest!$A:$E, 3, FALSE), ""), IF(OR(_xlpm.v=0, _xlpm.v=""), "", _xlpm.v))</f>
        <v>64</v>
      </c>
      <c r="I393" t="str">
        <f>_xlfn.LET(_xlpm.v, IFERROR(VLOOKUP($A393, manifest!$A:$E, 5, FALSE), ""), IF(OR(_xlpm.v=0, _xlpm.v=""), "", _xlpm.v))</f>
        <v>male</v>
      </c>
    </row>
    <row r="394" spans="1:9" x14ac:dyDescent="0.6">
      <c r="A394">
        <v>90</v>
      </c>
      <c r="B394" t="s">
        <v>7</v>
      </c>
      <c r="C394" t="s">
        <v>10</v>
      </c>
      <c r="D394">
        <v>266.47000000000003</v>
      </c>
      <c r="E394">
        <v>242.64</v>
      </c>
      <c r="F394">
        <v>23552</v>
      </c>
      <c r="H394">
        <f>_xlfn.LET(_xlpm.v, IFERROR(VLOOKUP($A394, manifest!$A:$E, 3, FALSE), ""), IF(OR(_xlpm.v=0, _xlpm.v=""), "", _xlpm.v))</f>
        <v>64</v>
      </c>
      <c r="I394" t="str">
        <f>_xlfn.LET(_xlpm.v, IFERROR(VLOOKUP($A394, manifest!$A:$E, 5, FALSE), ""), IF(OR(_xlpm.v=0, _xlpm.v=""), "", _xlpm.v))</f>
        <v>male</v>
      </c>
    </row>
    <row r="395" spans="1:9" x14ac:dyDescent="0.6">
      <c r="A395">
        <v>90</v>
      </c>
      <c r="B395" t="s">
        <v>7</v>
      </c>
      <c r="C395" t="s">
        <v>11</v>
      </c>
      <c r="D395">
        <v>249.87</v>
      </c>
      <c r="E395">
        <v>223.8</v>
      </c>
      <c r="F395">
        <v>32379</v>
      </c>
      <c r="H395">
        <f>_xlfn.LET(_xlpm.v, IFERROR(VLOOKUP($A395, manifest!$A:$E, 3, FALSE), ""), IF(OR(_xlpm.v=0, _xlpm.v=""), "", _xlpm.v))</f>
        <v>64</v>
      </c>
      <c r="I395" t="str">
        <f>_xlfn.LET(_xlpm.v, IFERROR(VLOOKUP($A395, manifest!$A:$E, 5, FALSE), ""), IF(OR(_xlpm.v=0, _xlpm.v=""), "", _xlpm.v))</f>
        <v>male</v>
      </c>
    </row>
    <row r="396" spans="1:9" x14ac:dyDescent="0.6">
      <c r="A396">
        <v>90</v>
      </c>
      <c r="B396" t="s">
        <v>7</v>
      </c>
      <c r="C396" t="s">
        <v>12</v>
      </c>
      <c r="D396">
        <v>244.88</v>
      </c>
      <c r="E396">
        <v>227.42</v>
      </c>
      <c r="F396">
        <v>28967</v>
      </c>
      <c r="H396">
        <f>_xlfn.LET(_xlpm.v, IFERROR(VLOOKUP($A396, manifest!$A:$E, 3, FALSE), ""), IF(OR(_xlpm.v=0, _xlpm.v=""), "", _xlpm.v))</f>
        <v>64</v>
      </c>
      <c r="I396" t="str">
        <f>_xlfn.LET(_xlpm.v, IFERROR(VLOOKUP($A396, manifest!$A:$E, 5, FALSE), ""), IF(OR(_xlpm.v=0, _xlpm.v=""), "", _xlpm.v))</f>
        <v>male</v>
      </c>
    </row>
    <row r="397" spans="1:9" x14ac:dyDescent="0.6">
      <c r="A397">
        <v>90</v>
      </c>
      <c r="B397" t="s">
        <v>7</v>
      </c>
      <c r="C397" t="s">
        <v>13</v>
      </c>
      <c r="D397">
        <v>247.81</v>
      </c>
      <c r="E397">
        <v>224.88</v>
      </c>
      <c r="F397">
        <v>36708</v>
      </c>
      <c r="H397">
        <f>_xlfn.LET(_xlpm.v, IFERROR(VLOOKUP($A397, manifest!$A:$E, 3, FALSE), ""), IF(OR(_xlpm.v=0, _xlpm.v=""), "", _xlpm.v))</f>
        <v>64</v>
      </c>
      <c r="I397" t="str">
        <f>_xlfn.LET(_xlpm.v, IFERROR(VLOOKUP($A397, manifest!$A:$E, 5, FALSE), ""), IF(OR(_xlpm.v=0, _xlpm.v=""), "", _xlpm.v))</f>
        <v>male</v>
      </c>
    </row>
    <row r="398" spans="1:9" x14ac:dyDescent="0.6">
      <c r="A398">
        <v>76</v>
      </c>
      <c r="B398" t="s">
        <v>7</v>
      </c>
      <c r="C398" t="s">
        <v>8</v>
      </c>
      <c r="D398">
        <v>177.19</v>
      </c>
      <c r="E398">
        <v>159.11000000000001</v>
      </c>
      <c r="F398">
        <v>33141</v>
      </c>
      <c r="G398" t="s">
        <v>9</v>
      </c>
      <c r="H398">
        <f>_xlfn.LET(_xlpm.v, IFERROR(VLOOKUP($A398, manifest!$A:$E, 3, FALSE), ""), IF(OR(_xlpm.v=0, _xlpm.v=""), "", _xlpm.v))</f>
        <v>62</v>
      </c>
      <c r="I398" t="str">
        <f>_xlfn.LET(_xlpm.v, IFERROR(VLOOKUP($A398, manifest!$A:$E, 5, FALSE), ""), IF(OR(_xlpm.v=0, _xlpm.v=""), "", _xlpm.v))</f>
        <v>male</v>
      </c>
    </row>
    <row r="399" spans="1:9" x14ac:dyDescent="0.6">
      <c r="A399">
        <v>76</v>
      </c>
      <c r="B399" t="s">
        <v>7</v>
      </c>
      <c r="C399" t="s">
        <v>10</v>
      </c>
      <c r="D399">
        <v>183.69</v>
      </c>
      <c r="E399">
        <v>168.54</v>
      </c>
      <c r="F399">
        <v>40165</v>
      </c>
      <c r="H399">
        <f>_xlfn.LET(_xlpm.v, IFERROR(VLOOKUP($A399, manifest!$A:$E, 3, FALSE), ""), IF(OR(_xlpm.v=0, _xlpm.v=""), "", _xlpm.v))</f>
        <v>62</v>
      </c>
      <c r="I399" t="str">
        <f>_xlfn.LET(_xlpm.v, IFERROR(VLOOKUP($A399, manifest!$A:$E, 5, FALSE), ""), IF(OR(_xlpm.v=0, _xlpm.v=""), "", _xlpm.v))</f>
        <v>male</v>
      </c>
    </row>
    <row r="400" spans="1:9" x14ac:dyDescent="0.6">
      <c r="A400">
        <v>76</v>
      </c>
      <c r="B400" t="s">
        <v>7</v>
      </c>
      <c r="C400" t="s">
        <v>11</v>
      </c>
      <c r="D400">
        <v>182.71</v>
      </c>
      <c r="E400">
        <v>154.87</v>
      </c>
      <c r="F400">
        <v>46506</v>
      </c>
      <c r="H400">
        <f>_xlfn.LET(_xlpm.v, IFERROR(VLOOKUP($A400, manifest!$A:$E, 3, FALSE), ""), IF(OR(_xlpm.v=0, _xlpm.v=""), "", _xlpm.v))</f>
        <v>62</v>
      </c>
      <c r="I400" t="str">
        <f>_xlfn.LET(_xlpm.v, IFERROR(VLOOKUP($A400, manifest!$A:$E, 5, FALSE), ""), IF(OR(_xlpm.v=0, _xlpm.v=""), "", _xlpm.v))</f>
        <v>male</v>
      </c>
    </row>
    <row r="401" spans="1:9" x14ac:dyDescent="0.6">
      <c r="A401">
        <v>76</v>
      </c>
      <c r="B401" t="s">
        <v>7</v>
      </c>
      <c r="C401" t="s">
        <v>12</v>
      </c>
      <c r="D401">
        <v>194.45</v>
      </c>
      <c r="E401">
        <v>182.98</v>
      </c>
      <c r="F401">
        <v>38153</v>
      </c>
      <c r="H401">
        <f>_xlfn.LET(_xlpm.v, IFERROR(VLOOKUP($A401, manifest!$A:$E, 3, FALSE), ""), IF(OR(_xlpm.v=0, _xlpm.v=""), "", _xlpm.v))</f>
        <v>62</v>
      </c>
      <c r="I401" t="str">
        <f>_xlfn.LET(_xlpm.v, IFERROR(VLOOKUP($A401, manifest!$A:$E, 5, FALSE), ""), IF(OR(_xlpm.v=0, _xlpm.v=""), "", _xlpm.v))</f>
        <v>male</v>
      </c>
    </row>
    <row r="402" spans="1:9" x14ac:dyDescent="0.6">
      <c r="A402">
        <v>76</v>
      </c>
      <c r="B402" t="s">
        <v>7</v>
      </c>
      <c r="C402" t="s">
        <v>13</v>
      </c>
      <c r="D402">
        <v>174.01</v>
      </c>
      <c r="E402">
        <v>186.98</v>
      </c>
      <c r="F402">
        <v>59657</v>
      </c>
      <c r="H402">
        <f>_xlfn.LET(_xlpm.v, IFERROR(VLOOKUP($A402, manifest!$A:$E, 3, FALSE), ""), IF(OR(_xlpm.v=0, _xlpm.v=""), "", _xlpm.v))</f>
        <v>62</v>
      </c>
      <c r="I402" t="str">
        <f>_xlfn.LET(_xlpm.v, IFERROR(VLOOKUP($A402, manifest!$A:$E, 5, FALSE), ""), IF(OR(_xlpm.v=0, _xlpm.v=""), "", _xlpm.v))</f>
        <v>male</v>
      </c>
    </row>
    <row r="403" spans="1:9" x14ac:dyDescent="0.6">
      <c r="A403">
        <v>89</v>
      </c>
      <c r="B403" t="s">
        <v>14</v>
      </c>
      <c r="C403" t="s">
        <v>8</v>
      </c>
      <c r="D403">
        <v>196.53</v>
      </c>
      <c r="E403">
        <v>154.76</v>
      </c>
      <c r="F403">
        <v>33577</v>
      </c>
      <c r="G403" t="s">
        <v>9</v>
      </c>
      <c r="H403">
        <f>_xlfn.LET(_xlpm.v, IFERROR(VLOOKUP($A403, manifest!$A:$E, 3, FALSE), ""), IF(OR(_xlpm.v=0, _xlpm.v=""), "", _xlpm.v))</f>
        <v>64</v>
      </c>
      <c r="I403" t="str">
        <f>_xlfn.LET(_xlpm.v, IFERROR(VLOOKUP($A403, manifest!$A:$E, 5, FALSE), ""), IF(OR(_xlpm.v=0, _xlpm.v=""), "", _xlpm.v))</f>
        <v>male</v>
      </c>
    </row>
    <row r="404" spans="1:9" x14ac:dyDescent="0.6">
      <c r="A404">
        <v>89</v>
      </c>
      <c r="B404" t="s">
        <v>14</v>
      </c>
      <c r="C404" t="s">
        <v>10</v>
      </c>
      <c r="D404">
        <v>218.92</v>
      </c>
      <c r="E404">
        <v>207.99</v>
      </c>
      <c r="F404">
        <v>34767</v>
      </c>
      <c r="H404">
        <f>_xlfn.LET(_xlpm.v, IFERROR(VLOOKUP($A404, manifest!$A:$E, 3, FALSE), ""), IF(OR(_xlpm.v=0, _xlpm.v=""), "", _xlpm.v))</f>
        <v>64</v>
      </c>
      <c r="I404" t="str">
        <f>_xlfn.LET(_xlpm.v, IFERROR(VLOOKUP($A404, manifest!$A:$E, 5, FALSE), ""), IF(OR(_xlpm.v=0, _xlpm.v=""), "", _xlpm.v))</f>
        <v>male</v>
      </c>
    </row>
    <row r="405" spans="1:9" x14ac:dyDescent="0.6">
      <c r="A405">
        <v>89</v>
      </c>
      <c r="B405" t="s">
        <v>14</v>
      </c>
      <c r="C405" t="s">
        <v>11</v>
      </c>
      <c r="D405">
        <v>209.28</v>
      </c>
      <c r="E405">
        <v>217.08</v>
      </c>
      <c r="F405">
        <v>38106</v>
      </c>
      <c r="H405">
        <f>_xlfn.LET(_xlpm.v, IFERROR(VLOOKUP($A405, manifest!$A:$E, 3, FALSE), ""), IF(OR(_xlpm.v=0, _xlpm.v=""), "", _xlpm.v))</f>
        <v>64</v>
      </c>
      <c r="I405" t="str">
        <f>_xlfn.LET(_xlpm.v, IFERROR(VLOOKUP($A405, manifest!$A:$E, 5, FALSE), ""), IF(OR(_xlpm.v=0, _xlpm.v=""), "", _xlpm.v))</f>
        <v>male</v>
      </c>
    </row>
    <row r="406" spans="1:9" x14ac:dyDescent="0.6">
      <c r="A406">
        <v>89</v>
      </c>
      <c r="B406" t="s">
        <v>14</v>
      </c>
      <c r="C406" t="s">
        <v>12</v>
      </c>
      <c r="D406">
        <v>183.98</v>
      </c>
      <c r="E406">
        <v>191.44</v>
      </c>
      <c r="F406">
        <v>45251</v>
      </c>
      <c r="H406">
        <f>_xlfn.LET(_xlpm.v, IFERROR(VLOOKUP($A406, manifest!$A:$E, 3, FALSE), ""), IF(OR(_xlpm.v=0, _xlpm.v=""), "", _xlpm.v))</f>
        <v>64</v>
      </c>
      <c r="I406" t="str">
        <f>_xlfn.LET(_xlpm.v, IFERROR(VLOOKUP($A406, manifest!$A:$E, 5, FALSE), ""), IF(OR(_xlpm.v=0, _xlpm.v=""), "", _xlpm.v))</f>
        <v>male</v>
      </c>
    </row>
    <row r="407" spans="1:9" x14ac:dyDescent="0.6">
      <c r="A407">
        <v>89</v>
      </c>
      <c r="B407" t="s">
        <v>14</v>
      </c>
      <c r="C407" t="s">
        <v>13</v>
      </c>
      <c r="D407">
        <v>198.85</v>
      </c>
      <c r="E407">
        <v>183.67</v>
      </c>
      <c r="F407">
        <v>53376</v>
      </c>
      <c r="H407">
        <f>_xlfn.LET(_xlpm.v, IFERROR(VLOOKUP($A407, manifest!$A:$E, 3, FALSE), ""), IF(OR(_xlpm.v=0, _xlpm.v=""), "", _xlpm.v))</f>
        <v>64</v>
      </c>
      <c r="I407" t="str">
        <f>_xlfn.LET(_xlpm.v, IFERROR(VLOOKUP($A407, manifest!$A:$E, 5, FALSE), ""), IF(OR(_xlpm.v=0, _xlpm.v=""), "", _xlpm.v))</f>
        <v>male</v>
      </c>
    </row>
    <row r="408" spans="1:9" x14ac:dyDescent="0.6">
      <c r="A408">
        <v>92</v>
      </c>
      <c r="B408" t="s">
        <v>7</v>
      </c>
      <c r="C408" t="s">
        <v>8</v>
      </c>
      <c r="D408">
        <v>152.4</v>
      </c>
      <c r="E408">
        <v>138.46</v>
      </c>
      <c r="F408">
        <v>30451</v>
      </c>
      <c r="G408" t="s">
        <v>15</v>
      </c>
      <c r="H408">
        <f>_xlfn.LET(_xlpm.v, IFERROR(VLOOKUP($A408, manifest!$A:$E, 3, FALSE), ""), IF(OR(_xlpm.v=0, _xlpm.v=""), "", _xlpm.v))</f>
        <v>63</v>
      </c>
      <c r="I408" t="str">
        <f>_xlfn.LET(_xlpm.v, IFERROR(VLOOKUP($A408, manifest!$A:$E, 5, FALSE), ""), IF(OR(_xlpm.v=0, _xlpm.v=""), "", _xlpm.v))</f>
        <v>male</v>
      </c>
    </row>
    <row r="409" spans="1:9" x14ac:dyDescent="0.6">
      <c r="A409">
        <v>92</v>
      </c>
      <c r="B409" t="s">
        <v>7</v>
      </c>
      <c r="C409" t="s">
        <v>10</v>
      </c>
      <c r="D409">
        <v>170.82</v>
      </c>
      <c r="E409">
        <v>180.35</v>
      </c>
      <c r="F409">
        <v>39225</v>
      </c>
      <c r="H409">
        <f>_xlfn.LET(_xlpm.v, IFERROR(VLOOKUP($A409, manifest!$A:$E, 3, FALSE), ""), IF(OR(_xlpm.v=0, _xlpm.v=""), "", _xlpm.v))</f>
        <v>63</v>
      </c>
      <c r="I409" t="str">
        <f>_xlfn.LET(_xlpm.v, IFERROR(VLOOKUP($A409, manifest!$A:$E, 5, FALSE), ""), IF(OR(_xlpm.v=0, _xlpm.v=""), "", _xlpm.v))</f>
        <v>male</v>
      </c>
    </row>
    <row r="410" spans="1:9" x14ac:dyDescent="0.6">
      <c r="A410">
        <v>92</v>
      </c>
      <c r="B410" t="s">
        <v>7</v>
      </c>
      <c r="C410" t="s">
        <v>11</v>
      </c>
      <c r="D410">
        <v>167.06</v>
      </c>
      <c r="E410">
        <v>189.38</v>
      </c>
      <c r="F410">
        <v>51645</v>
      </c>
      <c r="H410">
        <f>_xlfn.LET(_xlpm.v, IFERROR(VLOOKUP($A410, manifest!$A:$E, 3, FALSE), ""), IF(OR(_xlpm.v=0, _xlpm.v=""), "", _xlpm.v))</f>
        <v>63</v>
      </c>
      <c r="I410" t="str">
        <f>_xlfn.LET(_xlpm.v, IFERROR(VLOOKUP($A410, manifest!$A:$E, 5, FALSE), ""), IF(OR(_xlpm.v=0, _xlpm.v=""), "", _xlpm.v))</f>
        <v>male</v>
      </c>
    </row>
    <row r="411" spans="1:9" x14ac:dyDescent="0.6">
      <c r="A411">
        <v>92</v>
      </c>
      <c r="B411" t="s">
        <v>7</v>
      </c>
      <c r="C411" t="s">
        <v>12</v>
      </c>
      <c r="D411">
        <v>209.77</v>
      </c>
      <c r="E411">
        <v>216.63</v>
      </c>
      <c r="F411">
        <v>55636</v>
      </c>
      <c r="H411">
        <f>_xlfn.LET(_xlpm.v, IFERROR(VLOOKUP($A411, manifest!$A:$E, 3, FALSE), ""), IF(OR(_xlpm.v=0, _xlpm.v=""), "", _xlpm.v))</f>
        <v>63</v>
      </c>
      <c r="I411" t="str">
        <f>_xlfn.LET(_xlpm.v, IFERROR(VLOOKUP($A411, manifest!$A:$E, 5, FALSE), ""), IF(OR(_xlpm.v=0, _xlpm.v=""), "", _xlpm.v))</f>
        <v>male</v>
      </c>
    </row>
    <row r="412" spans="1:9" x14ac:dyDescent="0.6">
      <c r="A412">
        <v>92</v>
      </c>
      <c r="B412" t="s">
        <v>7</v>
      </c>
      <c r="C412" t="s">
        <v>13</v>
      </c>
      <c r="D412">
        <v>242.4</v>
      </c>
      <c r="E412">
        <v>226.67</v>
      </c>
      <c r="F412">
        <v>50405</v>
      </c>
      <c r="H412">
        <f>_xlfn.LET(_xlpm.v, IFERROR(VLOOKUP($A412, manifest!$A:$E, 3, FALSE), ""), IF(OR(_xlpm.v=0, _xlpm.v=""), "", _xlpm.v))</f>
        <v>63</v>
      </c>
      <c r="I412" t="str">
        <f>_xlfn.LET(_xlpm.v, IFERROR(VLOOKUP($A412, manifest!$A:$E, 5, FALSE), ""), IF(OR(_xlpm.v=0, _xlpm.v=""), "", _xlpm.v))</f>
        <v>male</v>
      </c>
    </row>
    <row r="413" spans="1:9" x14ac:dyDescent="0.6">
      <c r="A413">
        <v>94</v>
      </c>
      <c r="B413" t="s">
        <v>14</v>
      </c>
      <c r="C413" t="s">
        <v>8</v>
      </c>
      <c r="D413">
        <v>156.88999999999999</v>
      </c>
      <c r="E413">
        <v>124.32</v>
      </c>
      <c r="F413">
        <v>31723</v>
      </c>
      <c r="G413" t="s">
        <v>15</v>
      </c>
      <c r="H413">
        <f>_xlfn.LET(_xlpm.v, IFERROR(VLOOKUP($A413, manifest!$A:$E, 3, FALSE), ""), IF(OR(_xlpm.v=0, _xlpm.v=""), "", _xlpm.v))</f>
        <v>62</v>
      </c>
      <c r="I413" t="str">
        <f>_xlfn.LET(_xlpm.v, IFERROR(VLOOKUP($A413, manifest!$A:$E, 5, FALSE), ""), IF(OR(_xlpm.v=0, _xlpm.v=""), "", _xlpm.v))</f>
        <v>male</v>
      </c>
    </row>
    <row r="414" spans="1:9" x14ac:dyDescent="0.6">
      <c r="A414">
        <v>94</v>
      </c>
      <c r="B414" t="s">
        <v>14</v>
      </c>
      <c r="C414" t="s">
        <v>10</v>
      </c>
      <c r="D414">
        <v>155.13999999999999</v>
      </c>
      <c r="E414">
        <v>146.22999999999999</v>
      </c>
      <c r="F414">
        <v>37435</v>
      </c>
      <c r="H414">
        <f>_xlfn.LET(_xlpm.v, IFERROR(VLOOKUP($A414, manifest!$A:$E, 3, FALSE), ""), IF(OR(_xlpm.v=0, _xlpm.v=""), "", _xlpm.v))</f>
        <v>62</v>
      </c>
      <c r="I414" t="str">
        <f>_xlfn.LET(_xlpm.v, IFERROR(VLOOKUP($A414, manifest!$A:$E, 5, FALSE), ""), IF(OR(_xlpm.v=0, _xlpm.v=""), "", _xlpm.v))</f>
        <v>male</v>
      </c>
    </row>
    <row r="415" spans="1:9" x14ac:dyDescent="0.6">
      <c r="A415">
        <v>94</v>
      </c>
      <c r="B415" t="s">
        <v>14</v>
      </c>
      <c r="C415" t="s">
        <v>11</v>
      </c>
      <c r="D415">
        <v>153.13999999999999</v>
      </c>
      <c r="E415">
        <v>154.12</v>
      </c>
      <c r="F415">
        <v>33151</v>
      </c>
      <c r="H415">
        <f>_xlfn.LET(_xlpm.v, IFERROR(VLOOKUP($A415, manifest!$A:$E, 3, FALSE), ""), IF(OR(_xlpm.v=0, _xlpm.v=""), "", _xlpm.v))</f>
        <v>62</v>
      </c>
      <c r="I415" t="str">
        <f>_xlfn.LET(_xlpm.v, IFERROR(VLOOKUP($A415, manifest!$A:$E, 5, FALSE), ""), IF(OR(_xlpm.v=0, _xlpm.v=""), "", _xlpm.v))</f>
        <v>male</v>
      </c>
    </row>
    <row r="416" spans="1:9" x14ac:dyDescent="0.6">
      <c r="A416">
        <v>94</v>
      </c>
      <c r="B416" t="s">
        <v>14</v>
      </c>
      <c r="C416" t="s">
        <v>12</v>
      </c>
      <c r="D416">
        <v>160.46</v>
      </c>
      <c r="E416">
        <v>163.47</v>
      </c>
      <c r="F416">
        <v>35758</v>
      </c>
      <c r="H416">
        <f>_xlfn.LET(_xlpm.v, IFERROR(VLOOKUP($A416, manifest!$A:$E, 3, FALSE), ""), IF(OR(_xlpm.v=0, _xlpm.v=""), "", _xlpm.v))</f>
        <v>62</v>
      </c>
      <c r="I416" t="str">
        <f>_xlfn.LET(_xlpm.v, IFERROR(VLOOKUP($A416, manifest!$A:$E, 5, FALSE), ""), IF(OR(_xlpm.v=0, _xlpm.v=""), "", _xlpm.v))</f>
        <v>male</v>
      </c>
    </row>
    <row r="417" spans="1:9" x14ac:dyDescent="0.6">
      <c r="A417">
        <v>94</v>
      </c>
      <c r="B417" t="s">
        <v>14</v>
      </c>
      <c r="C417" t="s">
        <v>13</v>
      </c>
      <c r="D417">
        <v>188.09</v>
      </c>
      <c r="E417">
        <v>164.28</v>
      </c>
      <c r="F417">
        <v>41722</v>
      </c>
      <c r="H417">
        <f>_xlfn.LET(_xlpm.v, IFERROR(VLOOKUP($A417, manifest!$A:$E, 3, FALSE), ""), IF(OR(_xlpm.v=0, _xlpm.v=""), "", _xlpm.v))</f>
        <v>62</v>
      </c>
      <c r="I417" t="str">
        <f>_xlfn.LET(_xlpm.v, IFERROR(VLOOKUP($A417, manifest!$A:$E, 5, FALSE), ""), IF(OR(_xlpm.v=0, _xlpm.v=""), "", _xlpm.v))</f>
        <v>male</v>
      </c>
    </row>
    <row r="418" spans="1:9" x14ac:dyDescent="0.6">
      <c r="A418">
        <v>75</v>
      </c>
      <c r="B418" t="s">
        <v>14</v>
      </c>
      <c r="C418" t="s">
        <v>8</v>
      </c>
      <c r="D418">
        <v>323.11</v>
      </c>
      <c r="E418">
        <v>161.79</v>
      </c>
      <c r="F418">
        <v>14352</v>
      </c>
      <c r="G418" t="s">
        <v>9</v>
      </c>
      <c r="H418">
        <f>_xlfn.LET(_xlpm.v, IFERROR(VLOOKUP($A418, manifest!$A:$E, 3, FALSE), ""), IF(OR(_xlpm.v=0, _xlpm.v=""), "", _xlpm.v))</f>
        <v>55</v>
      </c>
      <c r="I418" t="str">
        <f>_xlfn.LET(_xlpm.v, IFERROR(VLOOKUP($A418, manifest!$A:$E, 5, FALSE), ""), IF(OR(_xlpm.v=0, _xlpm.v=""), "", _xlpm.v))</f>
        <v>female</v>
      </c>
    </row>
    <row r="419" spans="1:9" x14ac:dyDescent="0.6">
      <c r="A419">
        <v>75</v>
      </c>
      <c r="B419" t="s">
        <v>14</v>
      </c>
      <c r="C419" t="s">
        <v>10</v>
      </c>
      <c r="D419">
        <v>347.07</v>
      </c>
      <c r="E419">
        <v>221.87</v>
      </c>
      <c r="F419">
        <v>15129</v>
      </c>
      <c r="H419">
        <f>_xlfn.LET(_xlpm.v, IFERROR(VLOOKUP($A419, manifest!$A:$E, 3, FALSE), ""), IF(OR(_xlpm.v=0, _xlpm.v=""), "", _xlpm.v))</f>
        <v>55</v>
      </c>
      <c r="I419" t="str">
        <f>_xlfn.LET(_xlpm.v, IFERROR(VLOOKUP($A419, manifest!$A:$E, 5, FALSE), ""), IF(OR(_xlpm.v=0, _xlpm.v=""), "", _xlpm.v))</f>
        <v>female</v>
      </c>
    </row>
    <row r="420" spans="1:9" x14ac:dyDescent="0.6">
      <c r="A420">
        <v>75</v>
      </c>
      <c r="B420" t="s">
        <v>14</v>
      </c>
      <c r="C420" t="s">
        <v>11</v>
      </c>
      <c r="D420">
        <v>340.44</v>
      </c>
      <c r="E420">
        <v>217.99</v>
      </c>
      <c r="F420">
        <v>20386</v>
      </c>
      <c r="H420">
        <f>_xlfn.LET(_xlpm.v, IFERROR(VLOOKUP($A420, manifest!$A:$E, 3, FALSE), ""), IF(OR(_xlpm.v=0, _xlpm.v=""), "", _xlpm.v))</f>
        <v>55</v>
      </c>
      <c r="I420" t="str">
        <f>_xlfn.LET(_xlpm.v, IFERROR(VLOOKUP($A420, manifest!$A:$E, 5, FALSE), ""), IF(OR(_xlpm.v=0, _xlpm.v=""), "", _xlpm.v))</f>
        <v>female</v>
      </c>
    </row>
    <row r="421" spans="1:9" x14ac:dyDescent="0.6">
      <c r="A421">
        <v>75</v>
      </c>
      <c r="B421" t="s">
        <v>14</v>
      </c>
      <c r="C421" t="s">
        <v>12</v>
      </c>
      <c r="D421">
        <v>299.7</v>
      </c>
      <c r="E421">
        <v>186.44</v>
      </c>
      <c r="F421">
        <v>26787</v>
      </c>
      <c r="H421">
        <f>_xlfn.LET(_xlpm.v, IFERROR(VLOOKUP($A421, manifest!$A:$E, 3, FALSE), ""), IF(OR(_xlpm.v=0, _xlpm.v=""), "", _xlpm.v))</f>
        <v>55</v>
      </c>
      <c r="I421" t="str">
        <f>_xlfn.LET(_xlpm.v, IFERROR(VLOOKUP($A421, manifest!$A:$E, 5, FALSE), ""), IF(OR(_xlpm.v=0, _xlpm.v=""), "", _xlpm.v))</f>
        <v>female</v>
      </c>
    </row>
    <row r="422" spans="1:9" x14ac:dyDescent="0.6">
      <c r="A422">
        <v>75</v>
      </c>
      <c r="B422" t="s">
        <v>14</v>
      </c>
      <c r="C422" t="s">
        <v>13</v>
      </c>
      <c r="D422">
        <v>318.91000000000003</v>
      </c>
      <c r="E422">
        <v>215.87</v>
      </c>
      <c r="F422">
        <v>29536</v>
      </c>
      <c r="H422">
        <f>_xlfn.LET(_xlpm.v, IFERROR(VLOOKUP($A422, manifest!$A:$E, 3, FALSE), ""), IF(OR(_xlpm.v=0, _xlpm.v=""), "", _xlpm.v))</f>
        <v>55</v>
      </c>
      <c r="I422" t="str">
        <f>_xlfn.LET(_xlpm.v, IFERROR(VLOOKUP($A422, manifest!$A:$E, 5, FALSE), ""), IF(OR(_xlpm.v=0, _xlpm.v=""), "", _xlpm.v))</f>
        <v>female</v>
      </c>
    </row>
    <row r="423" spans="1:9" x14ac:dyDescent="0.6">
      <c r="A423">
        <v>97</v>
      </c>
      <c r="B423" t="s">
        <v>14</v>
      </c>
      <c r="C423" t="s">
        <v>8</v>
      </c>
      <c r="D423">
        <v>207.27</v>
      </c>
      <c r="E423">
        <v>167.43</v>
      </c>
      <c r="F423">
        <v>30039</v>
      </c>
      <c r="G423" t="s">
        <v>9</v>
      </c>
      <c r="H423">
        <f>_xlfn.LET(_xlpm.v, IFERROR(VLOOKUP($A423, manifest!$A:$E, 3, FALSE), ""), IF(OR(_xlpm.v=0, _xlpm.v=""), "", _xlpm.v))</f>
        <v>58</v>
      </c>
      <c r="I423" t="str">
        <f>_xlfn.LET(_xlpm.v, IFERROR(VLOOKUP($A423, manifest!$A:$E, 5, FALSE), ""), IF(OR(_xlpm.v=0, _xlpm.v=""), "", _xlpm.v))</f>
        <v>female</v>
      </c>
    </row>
    <row r="424" spans="1:9" x14ac:dyDescent="0.6">
      <c r="A424">
        <v>97</v>
      </c>
      <c r="B424" t="s">
        <v>14</v>
      </c>
      <c r="C424" t="s">
        <v>10</v>
      </c>
      <c r="D424">
        <v>228.11</v>
      </c>
      <c r="E424">
        <v>204.38</v>
      </c>
      <c r="F424">
        <v>31421</v>
      </c>
      <c r="H424">
        <f>_xlfn.LET(_xlpm.v, IFERROR(VLOOKUP($A424, manifest!$A:$E, 3, FALSE), ""), IF(OR(_xlpm.v=0, _xlpm.v=""), "", _xlpm.v))</f>
        <v>58</v>
      </c>
      <c r="I424" t="str">
        <f>_xlfn.LET(_xlpm.v, IFERROR(VLOOKUP($A424, manifest!$A:$E, 5, FALSE), ""), IF(OR(_xlpm.v=0, _xlpm.v=""), "", _xlpm.v))</f>
        <v>female</v>
      </c>
    </row>
    <row r="425" spans="1:9" x14ac:dyDescent="0.6">
      <c r="A425">
        <v>97</v>
      </c>
      <c r="B425" t="s">
        <v>14</v>
      </c>
      <c r="C425" t="s">
        <v>11</v>
      </c>
      <c r="D425">
        <v>210.87</v>
      </c>
      <c r="E425">
        <v>183.91</v>
      </c>
      <c r="F425">
        <v>37398</v>
      </c>
      <c r="H425">
        <f>_xlfn.LET(_xlpm.v, IFERROR(VLOOKUP($A425, manifest!$A:$E, 3, FALSE), ""), IF(OR(_xlpm.v=0, _xlpm.v=""), "", _xlpm.v))</f>
        <v>58</v>
      </c>
      <c r="I425" t="str">
        <f>_xlfn.LET(_xlpm.v, IFERROR(VLOOKUP($A425, manifest!$A:$E, 5, FALSE), ""), IF(OR(_xlpm.v=0, _xlpm.v=""), "", _xlpm.v))</f>
        <v>female</v>
      </c>
    </row>
    <row r="426" spans="1:9" x14ac:dyDescent="0.6">
      <c r="A426">
        <v>97</v>
      </c>
      <c r="B426" t="s">
        <v>14</v>
      </c>
      <c r="C426" t="s">
        <v>12</v>
      </c>
      <c r="D426">
        <v>187.66</v>
      </c>
      <c r="E426">
        <v>151.41</v>
      </c>
      <c r="F426">
        <v>46942</v>
      </c>
      <c r="H426">
        <f>_xlfn.LET(_xlpm.v, IFERROR(VLOOKUP($A426, manifest!$A:$E, 3, FALSE), ""), IF(OR(_xlpm.v=0, _xlpm.v=""), "", _xlpm.v))</f>
        <v>58</v>
      </c>
      <c r="I426" t="str">
        <f>_xlfn.LET(_xlpm.v, IFERROR(VLOOKUP($A426, manifest!$A:$E, 5, FALSE), ""), IF(OR(_xlpm.v=0, _xlpm.v=""), "", _xlpm.v))</f>
        <v>female</v>
      </c>
    </row>
    <row r="427" spans="1:9" x14ac:dyDescent="0.6">
      <c r="A427">
        <v>97</v>
      </c>
      <c r="B427" t="s">
        <v>14</v>
      </c>
      <c r="C427" t="s">
        <v>13</v>
      </c>
      <c r="D427">
        <v>173.2</v>
      </c>
      <c r="E427">
        <v>138.69</v>
      </c>
      <c r="F427">
        <v>55668</v>
      </c>
      <c r="H427">
        <f>_xlfn.LET(_xlpm.v, IFERROR(VLOOKUP($A427, manifest!$A:$E, 3, FALSE), ""), IF(OR(_xlpm.v=0, _xlpm.v=""), "", _xlpm.v))</f>
        <v>58</v>
      </c>
      <c r="I427" t="str">
        <f>_xlfn.LET(_xlpm.v, IFERROR(VLOOKUP($A427, manifest!$A:$E, 5, FALSE), ""), IF(OR(_xlpm.v=0, _xlpm.v=""), "", _xlpm.v))</f>
        <v>female</v>
      </c>
    </row>
    <row r="428" spans="1:9" x14ac:dyDescent="0.6">
      <c r="A428">
        <v>78</v>
      </c>
      <c r="B428" t="s">
        <v>7</v>
      </c>
      <c r="C428" t="s">
        <v>8</v>
      </c>
      <c r="D428">
        <v>199.4</v>
      </c>
      <c r="E428">
        <v>194.5</v>
      </c>
      <c r="F428">
        <v>38100</v>
      </c>
      <c r="G428" t="s">
        <v>9</v>
      </c>
      <c r="H428">
        <f>_xlfn.LET(_xlpm.v, IFERROR(VLOOKUP($A428, manifest!$A:$E, 3, FALSE), ""), IF(OR(_xlpm.v=0, _xlpm.v=""), "", _xlpm.v))</f>
        <v>57</v>
      </c>
      <c r="I428" t="str">
        <f>_xlfn.LET(_xlpm.v, IFERROR(VLOOKUP($A428, manifest!$A:$E, 5, FALSE), ""), IF(OR(_xlpm.v=0, _xlpm.v=""), "", _xlpm.v))</f>
        <v>female</v>
      </c>
    </row>
    <row r="429" spans="1:9" x14ac:dyDescent="0.6">
      <c r="A429">
        <v>78</v>
      </c>
      <c r="B429" t="s">
        <v>7</v>
      </c>
      <c r="C429" t="s">
        <v>10</v>
      </c>
      <c r="D429">
        <v>204.82</v>
      </c>
      <c r="E429">
        <v>232.18</v>
      </c>
      <c r="F429">
        <v>40291</v>
      </c>
      <c r="H429">
        <f>_xlfn.LET(_xlpm.v, IFERROR(VLOOKUP($A429, manifest!$A:$E, 3, FALSE), ""), IF(OR(_xlpm.v=0, _xlpm.v=""), "", _xlpm.v))</f>
        <v>57</v>
      </c>
      <c r="I429" t="str">
        <f>_xlfn.LET(_xlpm.v, IFERROR(VLOOKUP($A429, manifest!$A:$E, 5, FALSE), ""), IF(OR(_xlpm.v=0, _xlpm.v=""), "", _xlpm.v))</f>
        <v>female</v>
      </c>
    </row>
    <row r="430" spans="1:9" x14ac:dyDescent="0.6">
      <c r="A430">
        <v>78</v>
      </c>
      <c r="B430" t="s">
        <v>7</v>
      </c>
      <c r="C430" t="s">
        <v>11</v>
      </c>
      <c r="D430">
        <v>226.51</v>
      </c>
      <c r="E430">
        <v>247.45</v>
      </c>
      <c r="F430">
        <v>47646</v>
      </c>
      <c r="H430">
        <f>_xlfn.LET(_xlpm.v, IFERROR(VLOOKUP($A430, manifest!$A:$E, 3, FALSE), ""), IF(OR(_xlpm.v=0, _xlpm.v=""), "", _xlpm.v))</f>
        <v>57</v>
      </c>
      <c r="I430" t="str">
        <f>_xlfn.LET(_xlpm.v, IFERROR(VLOOKUP($A430, manifest!$A:$E, 5, FALSE), ""), IF(OR(_xlpm.v=0, _xlpm.v=""), "", _xlpm.v))</f>
        <v>female</v>
      </c>
    </row>
    <row r="431" spans="1:9" x14ac:dyDescent="0.6">
      <c r="A431">
        <v>78</v>
      </c>
      <c r="B431" t="s">
        <v>7</v>
      </c>
      <c r="C431" t="s">
        <v>12</v>
      </c>
      <c r="D431">
        <v>217.07</v>
      </c>
      <c r="E431">
        <v>231.61</v>
      </c>
      <c r="F431">
        <v>55847</v>
      </c>
      <c r="H431">
        <f>_xlfn.LET(_xlpm.v, IFERROR(VLOOKUP($A431, manifest!$A:$E, 3, FALSE), ""), IF(OR(_xlpm.v=0, _xlpm.v=""), "", _xlpm.v))</f>
        <v>57</v>
      </c>
      <c r="I431" t="str">
        <f>_xlfn.LET(_xlpm.v, IFERROR(VLOOKUP($A431, manifest!$A:$E, 5, FALSE), ""), IF(OR(_xlpm.v=0, _xlpm.v=""), "", _xlpm.v))</f>
        <v>female</v>
      </c>
    </row>
    <row r="432" spans="1:9" x14ac:dyDescent="0.6">
      <c r="A432">
        <v>78</v>
      </c>
      <c r="B432" t="s">
        <v>7</v>
      </c>
      <c r="C432" t="s">
        <v>13</v>
      </c>
      <c r="D432">
        <v>228.12</v>
      </c>
      <c r="E432">
        <v>219.76</v>
      </c>
      <c r="F432">
        <v>57308</v>
      </c>
      <c r="H432">
        <f>_xlfn.LET(_xlpm.v, IFERROR(VLOOKUP($A432, manifest!$A:$E, 3, FALSE), ""), IF(OR(_xlpm.v=0, _xlpm.v=""), "", _xlpm.v))</f>
        <v>57</v>
      </c>
      <c r="I432" t="str">
        <f>_xlfn.LET(_xlpm.v, IFERROR(VLOOKUP($A432, manifest!$A:$E, 5, FALSE), ""), IF(OR(_xlpm.v=0, _xlpm.v=""), "", _xlpm.v))</f>
        <v>female</v>
      </c>
    </row>
    <row r="433" spans="1:9" x14ac:dyDescent="0.6">
      <c r="A433">
        <v>59</v>
      </c>
      <c r="B433" t="s">
        <v>14</v>
      </c>
      <c r="C433" t="s">
        <v>8</v>
      </c>
      <c r="D433">
        <v>224.44</v>
      </c>
      <c r="E433">
        <v>166.01</v>
      </c>
      <c r="F433">
        <v>36714</v>
      </c>
      <c r="G433" t="s">
        <v>9</v>
      </c>
      <c r="H433">
        <f>_xlfn.LET(_xlpm.v, IFERROR(VLOOKUP($A433, manifest!$A:$E, 3, FALSE), ""), IF(OR(_xlpm.v=0, _xlpm.v=""), "", _xlpm.v))</f>
        <v>64</v>
      </c>
      <c r="I433" t="str">
        <f>_xlfn.LET(_xlpm.v, IFERROR(VLOOKUP($A433, manifest!$A:$E, 5, FALSE), ""), IF(OR(_xlpm.v=0, _xlpm.v=""), "", _xlpm.v))</f>
        <v>male</v>
      </c>
    </row>
    <row r="434" spans="1:9" x14ac:dyDescent="0.6">
      <c r="A434">
        <v>59</v>
      </c>
      <c r="B434" t="s">
        <v>14</v>
      </c>
      <c r="C434" t="s">
        <v>10</v>
      </c>
      <c r="D434">
        <v>256.62</v>
      </c>
      <c r="E434">
        <v>218.89</v>
      </c>
      <c r="F434">
        <v>35966</v>
      </c>
      <c r="H434">
        <f>_xlfn.LET(_xlpm.v, IFERROR(VLOOKUP($A434, manifest!$A:$E, 3, FALSE), ""), IF(OR(_xlpm.v=0, _xlpm.v=""), "", _xlpm.v))</f>
        <v>64</v>
      </c>
      <c r="I434" t="str">
        <f>_xlfn.LET(_xlpm.v, IFERROR(VLOOKUP($A434, manifest!$A:$E, 5, FALSE), ""), IF(OR(_xlpm.v=0, _xlpm.v=""), "", _xlpm.v))</f>
        <v>male</v>
      </c>
    </row>
    <row r="435" spans="1:9" x14ac:dyDescent="0.6">
      <c r="A435">
        <v>59</v>
      </c>
      <c r="B435" t="s">
        <v>14</v>
      </c>
      <c r="C435" t="s">
        <v>11</v>
      </c>
      <c r="D435">
        <v>233.16</v>
      </c>
      <c r="E435">
        <v>177.58</v>
      </c>
      <c r="F435">
        <v>41386</v>
      </c>
      <c r="H435">
        <f>_xlfn.LET(_xlpm.v, IFERROR(VLOOKUP($A435, manifest!$A:$E, 3, FALSE), ""), IF(OR(_xlpm.v=0, _xlpm.v=""), "", _xlpm.v))</f>
        <v>64</v>
      </c>
      <c r="I435" t="str">
        <f>_xlfn.LET(_xlpm.v, IFERROR(VLOOKUP($A435, manifest!$A:$E, 5, FALSE), ""), IF(OR(_xlpm.v=0, _xlpm.v=""), "", _xlpm.v))</f>
        <v>male</v>
      </c>
    </row>
    <row r="436" spans="1:9" x14ac:dyDescent="0.6">
      <c r="A436">
        <v>59</v>
      </c>
      <c r="B436" t="s">
        <v>14</v>
      </c>
      <c r="C436" t="s">
        <v>12</v>
      </c>
      <c r="D436">
        <v>239.28</v>
      </c>
      <c r="E436">
        <v>170.62</v>
      </c>
      <c r="F436">
        <v>48893</v>
      </c>
      <c r="H436">
        <f>_xlfn.LET(_xlpm.v, IFERROR(VLOOKUP($A436, manifest!$A:$E, 3, FALSE), ""), IF(OR(_xlpm.v=0, _xlpm.v=""), "", _xlpm.v))</f>
        <v>64</v>
      </c>
      <c r="I436" t="str">
        <f>_xlfn.LET(_xlpm.v, IFERROR(VLOOKUP($A436, manifest!$A:$E, 5, FALSE), ""), IF(OR(_xlpm.v=0, _xlpm.v=""), "", _xlpm.v))</f>
        <v>male</v>
      </c>
    </row>
    <row r="437" spans="1:9" x14ac:dyDescent="0.6">
      <c r="A437">
        <v>59</v>
      </c>
      <c r="B437" t="s">
        <v>14</v>
      </c>
      <c r="C437" t="s">
        <v>13</v>
      </c>
      <c r="D437">
        <v>261.8</v>
      </c>
      <c r="E437">
        <v>176.43</v>
      </c>
      <c r="F437">
        <v>47756</v>
      </c>
      <c r="H437">
        <f>_xlfn.LET(_xlpm.v, IFERROR(VLOOKUP($A437, manifest!$A:$E, 3, FALSE), ""), IF(OR(_xlpm.v=0, _xlpm.v=""), "", _xlpm.v))</f>
        <v>64</v>
      </c>
      <c r="I437" t="str">
        <f>_xlfn.LET(_xlpm.v, IFERROR(VLOOKUP($A437, manifest!$A:$E, 5, FALSE), ""), IF(OR(_xlpm.v=0, _xlpm.v=""), "", _xlpm.v))</f>
        <v>male</v>
      </c>
    </row>
    <row r="438" spans="1:9" x14ac:dyDescent="0.6">
      <c r="A438">
        <v>96</v>
      </c>
      <c r="B438" t="s">
        <v>14</v>
      </c>
      <c r="C438" t="s">
        <v>8</v>
      </c>
      <c r="D438">
        <v>210.06</v>
      </c>
      <c r="E438">
        <v>157.08000000000001</v>
      </c>
      <c r="F438">
        <v>21645</v>
      </c>
      <c r="G438" t="s">
        <v>9</v>
      </c>
      <c r="H438">
        <f>_xlfn.LET(_xlpm.v, IFERROR(VLOOKUP($A438, manifest!$A:$E, 3, FALSE), ""), IF(OR(_xlpm.v=0, _xlpm.v=""), "", _xlpm.v))</f>
        <v>63</v>
      </c>
      <c r="I438" t="str">
        <f>_xlfn.LET(_xlpm.v, IFERROR(VLOOKUP($A438, manifest!$A:$E, 5, FALSE), ""), IF(OR(_xlpm.v=0, _xlpm.v=""), "", _xlpm.v))</f>
        <v>female</v>
      </c>
    </row>
    <row r="439" spans="1:9" x14ac:dyDescent="0.6">
      <c r="A439">
        <v>96</v>
      </c>
      <c r="B439" t="s">
        <v>14</v>
      </c>
      <c r="C439" t="s">
        <v>10</v>
      </c>
      <c r="D439">
        <v>195.73</v>
      </c>
      <c r="E439">
        <v>150.24</v>
      </c>
      <c r="F439">
        <v>25390</v>
      </c>
      <c r="H439">
        <f>_xlfn.LET(_xlpm.v, IFERROR(VLOOKUP($A439, manifest!$A:$E, 3, FALSE), ""), IF(OR(_xlpm.v=0, _xlpm.v=""), "", _xlpm.v))</f>
        <v>63</v>
      </c>
      <c r="I439" t="str">
        <f>_xlfn.LET(_xlpm.v, IFERROR(VLOOKUP($A439, manifest!$A:$E, 5, FALSE), ""), IF(OR(_xlpm.v=0, _xlpm.v=""), "", _xlpm.v))</f>
        <v>female</v>
      </c>
    </row>
    <row r="440" spans="1:9" x14ac:dyDescent="0.6">
      <c r="A440">
        <v>96</v>
      </c>
      <c r="B440" t="s">
        <v>14</v>
      </c>
      <c r="C440" t="s">
        <v>11</v>
      </c>
      <c r="D440">
        <v>186.46</v>
      </c>
      <c r="E440">
        <v>158.66</v>
      </c>
      <c r="F440">
        <v>28271</v>
      </c>
      <c r="H440">
        <f>_xlfn.LET(_xlpm.v, IFERROR(VLOOKUP($A440, manifest!$A:$E, 3, FALSE), ""), IF(OR(_xlpm.v=0, _xlpm.v=""), "", _xlpm.v))</f>
        <v>63</v>
      </c>
      <c r="I440" t="str">
        <f>_xlfn.LET(_xlpm.v, IFERROR(VLOOKUP($A440, manifest!$A:$E, 5, FALSE), ""), IF(OR(_xlpm.v=0, _xlpm.v=""), "", _xlpm.v))</f>
        <v>female</v>
      </c>
    </row>
    <row r="441" spans="1:9" x14ac:dyDescent="0.6">
      <c r="A441">
        <v>96</v>
      </c>
      <c r="B441" t="s">
        <v>14</v>
      </c>
      <c r="C441" t="s">
        <v>12</v>
      </c>
      <c r="D441">
        <v>210.8</v>
      </c>
      <c r="E441">
        <v>210.22</v>
      </c>
      <c r="F441">
        <v>35075</v>
      </c>
      <c r="H441">
        <f>_xlfn.LET(_xlpm.v, IFERROR(VLOOKUP($A441, manifest!$A:$E, 3, FALSE), ""), IF(OR(_xlpm.v=0, _xlpm.v=""), "", _xlpm.v))</f>
        <v>63</v>
      </c>
      <c r="I441" t="str">
        <f>_xlfn.LET(_xlpm.v, IFERROR(VLOOKUP($A441, manifest!$A:$E, 5, FALSE), ""), IF(OR(_xlpm.v=0, _xlpm.v=""), "", _xlpm.v))</f>
        <v>female</v>
      </c>
    </row>
    <row r="442" spans="1:9" x14ac:dyDescent="0.6">
      <c r="A442">
        <v>96</v>
      </c>
      <c r="B442" t="s">
        <v>14</v>
      </c>
      <c r="C442" t="s">
        <v>13</v>
      </c>
      <c r="D442">
        <v>208.17</v>
      </c>
      <c r="E442">
        <v>188.58</v>
      </c>
      <c r="F442">
        <v>35657</v>
      </c>
      <c r="H442">
        <f>_xlfn.LET(_xlpm.v, IFERROR(VLOOKUP($A442, manifest!$A:$E, 3, FALSE), ""), IF(OR(_xlpm.v=0, _xlpm.v=""), "", _xlpm.v))</f>
        <v>63</v>
      </c>
      <c r="I442" t="str">
        <f>_xlfn.LET(_xlpm.v, IFERROR(VLOOKUP($A442, manifest!$A:$E, 5, FALSE), ""), IF(OR(_xlpm.v=0, _xlpm.v=""), "", _xlpm.v))</f>
        <v>female</v>
      </c>
    </row>
    <row r="443" spans="1:9" x14ac:dyDescent="0.6">
      <c r="A443">
        <v>77</v>
      </c>
      <c r="B443" t="s">
        <v>7</v>
      </c>
      <c r="C443" t="s">
        <v>8</v>
      </c>
      <c r="D443">
        <v>183.46</v>
      </c>
      <c r="E443">
        <v>138.36000000000001</v>
      </c>
      <c r="F443">
        <v>20766</v>
      </c>
      <c r="G443" t="s">
        <v>9</v>
      </c>
      <c r="H443">
        <f>_xlfn.LET(_xlpm.v, IFERROR(VLOOKUP($A443, manifest!$A:$E, 3, FALSE), ""), IF(OR(_xlpm.v=0, _xlpm.v=""), "", _xlpm.v))</f>
        <v>51</v>
      </c>
      <c r="I443" t="str">
        <f>_xlfn.LET(_xlpm.v, IFERROR(VLOOKUP($A443, manifest!$A:$E, 5, FALSE), ""), IF(OR(_xlpm.v=0, _xlpm.v=""), "", _xlpm.v))</f>
        <v>female</v>
      </c>
    </row>
    <row r="444" spans="1:9" x14ac:dyDescent="0.6">
      <c r="A444">
        <v>77</v>
      </c>
      <c r="B444" t="s">
        <v>7</v>
      </c>
      <c r="C444" t="s">
        <v>10</v>
      </c>
      <c r="D444">
        <v>197.5</v>
      </c>
      <c r="E444">
        <v>177.77</v>
      </c>
      <c r="F444">
        <v>24481</v>
      </c>
      <c r="H444">
        <f>_xlfn.LET(_xlpm.v, IFERROR(VLOOKUP($A444, manifest!$A:$E, 3, FALSE), ""), IF(OR(_xlpm.v=0, _xlpm.v=""), "", _xlpm.v))</f>
        <v>51</v>
      </c>
      <c r="I444" t="str">
        <f>_xlfn.LET(_xlpm.v, IFERROR(VLOOKUP($A444, manifest!$A:$E, 5, FALSE), ""), IF(OR(_xlpm.v=0, _xlpm.v=""), "", _xlpm.v))</f>
        <v>female</v>
      </c>
    </row>
    <row r="445" spans="1:9" x14ac:dyDescent="0.6">
      <c r="A445">
        <v>77</v>
      </c>
      <c r="B445" t="s">
        <v>7</v>
      </c>
      <c r="C445" t="s">
        <v>11</v>
      </c>
      <c r="D445">
        <v>187.44</v>
      </c>
      <c r="E445">
        <v>187.21</v>
      </c>
      <c r="F445">
        <v>28879</v>
      </c>
      <c r="H445">
        <f>_xlfn.LET(_xlpm.v, IFERROR(VLOOKUP($A445, manifest!$A:$E, 3, FALSE), ""), IF(OR(_xlpm.v=0, _xlpm.v=""), "", _xlpm.v))</f>
        <v>51</v>
      </c>
      <c r="I445" t="str">
        <f>_xlfn.LET(_xlpm.v, IFERROR(VLOOKUP($A445, manifest!$A:$E, 5, FALSE), ""), IF(OR(_xlpm.v=0, _xlpm.v=""), "", _xlpm.v))</f>
        <v>female</v>
      </c>
    </row>
    <row r="446" spans="1:9" x14ac:dyDescent="0.6">
      <c r="A446">
        <v>77</v>
      </c>
      <c r="B446" t="s">
        <v>7</v>
      </c>
      <c r="C446" t="s">
        <v>12</v>
      </c>
      <c r="D446">
        <v>168.6</v>
      </c>
      <c r="E446">
        <v>186.71</v>
      </c>
      <c r="F446">
        <v>30212</v>
      </c>
      <c r="H446">
        <f>_xlfn.LET(_xlpm.v, IFERROR(VLOOKUP($A446, manifest!$A:$E, 3, FALSE), ""), IF(OR(_xlpm.v=0, _xlpm.v=""), "", _xlpm.v))</f>
        <v>51</v>
      </c>
      <c r="I446" t="str">
        <f>_xlfn.LET(_xlpm.v, IFERROR(VLOOKUP($A446, manifest!$A:$E, 5, FALSE), ""), IF(OR(_xlpm.v=0, _xlpm.v=""), "", _xlpm.v))</f>
        <v>female</v>
      </c>
    </row>
    <row r="447" spans="1:9" x14ac:dyDescent="0.6">
      <c r="A447">
        <v>77</v>
      </c>
      <c r="B447" t="s">
        <v>7</v>
      </c>
      <c r="C447" t="s">
        <v>13</v>
      </c>
      <c r="D447">
        <v>240.42</v>
      </c>
      <c r="E447">
        <v>220.06</v>
      </c>
      <c r="F447">
        <v>39531</v>
      </c>
      <c r="H447">
        <f>_xlfn.LET(_xlpm.v, IFERROR(VLOOKUP($A447, manifest!$A:$E, 3, FALSE), ""), IF(OR(_xlpm.v=0, _xlpm.v=""), "", _xlpm.v))</f>
        <v>51</v>
      </c>
      <c r="I447" t="str">
        <f>_xlfn.LET(_xlpm.v, IFERROR(VLOOKUP($A447, manifest!$A:$E, 5, FALSE), ""), IF(OR(_xlpm.v=0, _xlpm.v=""), "", _xlpm.v))</f>
        <v>female</v>
      </c>
    </row>
    <row r="448" spans="1:9" x14ac:dyDescent="0.6">
      <c r="A448">
        <v>107</v>
      </c>
      <c r="B448" t="s">
        <v>7</v>
      </c>
      <c r="C448" t="s">
        <v>8</v>
      </c>
      <c r="D448">
        <v>200.57</v>
      </c>
      <c r="E448">
        <v>128.11000000000001</v>
      </c>
      <c r="F448">
        <v>47155</v>
      </c>
      <c r="G448" t="s">
        <v>9</v>
      </c>
      <c r="H448">
        <f>_xlfn.LET(_xlpm.v, IFERROR(VLOOKUP($A448, manifest!$A:$E, 3, FALSE), ""), IF(OR(_xlpm.v=0, _xlpm.v=""), "", _xlpm.v))</f>
        <v>53</v>
      </c>
      <c r="I448" t="str">
        <f>_xlfn.LET(_xlpm.v, IFERROR(VLOOKUP($A448, manifest!$A:$E, 5, FALSE), ""), IF(OR(_xlpm.v=0, _xlpm.v=""), "", _xlpm.v))</f>
        <v>male</v>
      </c>
    </row>
    <row r="449" spans="1:9" x14ac:dyDescent="0.6">
      <c r="A449">
        <v>107</v>
      </c>
      <c r="B449" t="s">
        <v>7</v>
      </c>
      <c r="C449" t="s">
        <v>10</v>
      </c>
      <c r="D449">
        <v>184.79</v>
      </c>
      <c r="E449">
        <v>115.25</v>
      </c>
      <c r="F449">
        <v>49850</v>
      </c>
      <c r="H449">
        <f>_xlfn.LET(_xlpm.v, IFERROR(VLOOKUP($A449, manifest!$A:$E, 3, FALSE), ""), IF(OR(_xlpm.v=0, _xlpm.v=""), "", _xlpm.v))</f>
        <v>53</v>
      </c>
      <c r="I449" t="str">
        <f>_xlfn.LET(_xlpm.v, IFERROR(VLOOKUP($A449, manifest!$A:$E, 5, FALSE), ""), IF(OR(_xlpm.v=0, _xlpm.v=""), "", _xlpm.v))</f>
        <v>male</v>
      </c>
    </row>
    <row r="450" spans="1:9" x14ac:dyDescent="0.6">
      <c r="A450">
        <v>107</v>
      </c>
      <c r="B450" t="s">
        <v>7</v>
      </c>
      <c r="C450" t="s">
        <v>11</v>
      </c>
      <c r="D450">
        <v>171.86</v>
      </c>
      <c r="E450">
        <v>113.17</v>
      </c>
      <c r="F450">
        <v>60918</v>
      </c>
      <c r="H450">
        <f>_xlfn.LET(_xlpm.v, IFERROR(VLOOKUP($A450, manifest!$A:$E, 3, FALSE), ""), IF(OR(_xlpm.v=0, _xlpm.v=""), "", _xlpm.v))</f>
        <v>53</v>
      </c>
      <c r="I450" t="str">
        <f>_xlfn.LET(_xlpm.v, IFERROR(VLOOKUP($A450, manifest!$A:$E, 5, FALSE), ""), IF(OR(_xlpm.v=0, _xlpm.v=""), "", _xlpm.v))</f>
        <v>male</v>
      </c>
    </row>
    <row r="451" spans="1:9" x14ac:dyDescent="0.6">
      <c r="A451">
        <v>107</v>
      </c>
      <c r="B451" t="s">
        <v>7</v>
      </c>
      <c r="C451" t="s">
        <v>12</v>
      </c>
      <c r="D451">
        <v>160.93</v>
      </c>
      <c r="E451">
        <v>121.76</v>
      </c>
      <c r="F451">
        <v>67240</v>
      </c>
      <c r="H451">
        <f>_xlfn.LET(_xlpm.v, IFERROR(VLOOKUP($A451, manifest!$A:$E, 3, FALSE), ""), IF(OR(_xlpm.v=0, _xlpm.v=""), "", _xlpm.v))</f>
        <v>53</v>
      </c>
      <c r="I451" t="str">
        <f>_xlfn.LET(_xlpm.v, IFERROR(VLOOKUP($A451, manifest!$A:$E, 5, FALSE), ""), IF(OR(_xlpm.v=0, _xlpm.v=""), "", _xlpm.v))</f>
        <v>male</v>
      </c>
    </row>
    <row r="452" spans="1:9" x14ac:dyDescent="0.6">
      <c r="A452">
        <v>83</v>
      </c>
      <c r="B452" t="s">
        <v>14</v>
      </c>
      <c r="C452" t="s">
        <v>8</v>
      </c>
      <c r="D452">
        <v>198.02</v>
      </c>
      <c r="E452">
        <v>127.79</v>
      </c>
      <c r="F452">
        <v>37349</v>
      </c>
      <c r="G452" t="s">
        <v>9</v>
      </c>
      <c r="H452">
        <f>_xlfn.LET(_xlpm.v, IFERROR(VLOOKUP($A452, manifest!$A:$E, 3, FALSE), ""), IF(OR(_xlpm.v=0, _xlpm.v=""), "", _xlpm.v))</f>
        <v>55</v>
      </c>
      <c r="I452" t="str">
        <f>_xlfn.LET(_xlpm.v, IFERROR(VLOOKUP($A452, manifest!$A:$E, 5, FALSE), ""), IF(OR(_xlpm.v=0, _xlpm.v=""), "", _xlpm.v))</f>
        <v>male</v>
      </c>
    </row>
    <row r="453" spans="1:9" x14ac:dyDescent="0.6">
      <c r="A453">
        <v>83</v>
      </c>
      <c r="B453" t="s">
        <v>14</v>
      </c>
      <c r="C453" t="s">
        <v>10</v>
      </c>
      <c r="D453">
        <v>229.93</v>
      </c>
      <c r="E453">
        <v>177.87</v>
      </c>
      <c r="F453">
        <v>37342</v>
      </c>
      <c r="H453">
        <f>_xlfn.LET(_xlpm.v, IFERROR(VLOOKUP($A453, manifest!$A:$E, 3, FALSE), ""), IF(OR(_xlpm.v=0, _xlpm.v=""), "", _xlpm.v))</f>
        <v>55</v>
      </c>
      <c r="I453" t="str">
        <f>_xlfn.LET(_xlpm.v, IFERROR(VLOOKUP($A453, manifest!$A:$E, 5, FALSE), ""), IF(OR(_xlpm.v=0, _xlpm.v=""), "", _xlpm.v))</f>
        <v>male</v>
      </c>
    </row>
    <row r="454" spans="1:9" x14ac:dyDescent="0.6">
      <c r="A454">
        <v>83</v>
      </c>
      <c r="B454" t="s">
        <v>14</v>
      </c>
      <c r="C454" t="s">
        <v>11</v>
      </c>
      <c r="D454">
        <v>245.14</v>
      </c>
      <c r="E454">
        <v>197.36</v>
      </c>
      <c r="F454">
        <v>44332</v>
      </c>
      <c r="H454">
        <f>_xlfn.LET(_xlpm.v, IFERROR(VLOOKUP($A454, manifest!$A:$E, 3, FALSE), ""), IF(OR(_xlpm.v=0, _xlpm.v=""), "", _xlpm.v))</f>
        <v>55</v>
      </c>
      <c r="I454" t="str">
        <f>_xlfn.LET(_xlpm.v, IFERROR(VLOOKUP($A454, manifest!$A:$E, 5, FALSE), ""), IF(OR(_xlpm.v=0, _xlpm.v=""), "", _xlpm.v))</f>
        <v>male</v>
      </c>
    </row>
    <row r="455" spans="1:9" x14ac:dyDescent="0.6">
      <c r="A455">
        <v>83</v>
      </c>
      <c r="B455" t="s">
        <v>14</v>
      </c>
      <c r="C455" t="s">
        <v>12</v>
      </c>
      <c r="D455">
        <v>224.11</v>
      </c>
      <c r="E455">
        <v>183.14</v>
      </c>
      <c r="F455">
        <v>56020</v>
      </c>
      <c r="H455">
        <f>_xlfn.LET(_xlpm.v, IFERROR(VLOOKUP($A455, manifest!$A:$E, 3, FALSE), ""), IF(OR(_xlpm.v=0, _xlpm.v=""), "", _xlpm.v))</f>
        <v>55</v>
      </c>
      <c r="I455" t="str">
        <f>_xlfn.LET(_xlpm.v, IFERROR(VLOOKUP($A455, manifest!$A:$E, 5, FALSE), ""), IF(OR(_xlpm.v=0, _xlpm.v=""), "", _xlpm.v))</f>
        <v>male</v>
      </c>
    </row>
    <row r="456" spans="1:9" x14ac:dyDescent="0.6">
      <c r="A456">
        <v>83</v>
      </c>
      <c r="B456" t="s">
        <v>14</v>
      </c>
      <c r="C456" t="s">
        <v>13</v>
      </c>
      <c r="D456">
        <v>237.91</v>
      </c>
      <c r="E456">
        <v>189.79</v>
      </c>
      <c r="F456">
        <v>56325</v>
      </c>
      <c r="H456">
        <f>_xlfn.LET(_xlpm.v, IFERROR(VLOOKUP($A456, manifest!$A:$E, 3, FALSE), ""), IF(OR(_xlpm.v=0, _xlpm.v=""), "", _xlpm.v))</f>
        <v>55</v>
      </c>
      <c r="I456" t="str">
        <f>_xlfn.LET(_xlpm.v, IFERROR(VLOOKUP($A456, manifest!$A:$E, 5, FALSE), ""), IF(OR(_xlpm.v=0, _xlpm.v=""), "", _xlpm.v))</f>
        <v>male</v>
      </c>
    </row>
    <row r="457" spans="1:9" x14ac:dyDescent="0.6">
      <c r="A457">
        <v>87</v>
      </c>
      <c r="B457" t="s">
        <v>14</v>
      </c>
      <c r="C457" t="s">
        <v>8</v>
      </c>
      <c r="D457">
        <v>282.75</v>
      </c>
      <c r="E457">
        <v>220.42</v>
      </c>
      <c r="F457">
        <v>27860</v>
      </c>
      <c r="G457" t="s">
        <v>9</v>
      </c>
      <c r="H457">
        <f>_xlfn.LET(_xlpm.v, IFERROR(VLOOKUP($A457, manifest!$A:$E, 3, FALSE), ""), IF(OR(_xlpm.v=0, _xlpm.v=""), "", _xlpm.v))</f>
        <v>56</v>
      </c>
      <c r="I457" t="str">
        <f>_xlfn.LET(_xlpm.v, IFERROR(VLOOKUP($A457, manifest!$A:$E, 5, FALSE), ""), IF(OR(_xlpm.v=0, _xlpm.v=""), "", _xlpm.v))</f>
        <v>male</v>
      </c>
    </row>
    <row r="458" spans="1:9" x14ac:dyDescent="0.6">
      <c r="A458">
        <v>87</v>
      </c>
      <c r="B458" t="s">
        <v>14</v>
      </c>
      <c r="C458" t="s">
        <v>10</v>
      </c>
      <c r="D458">
        <v>310.33</v>
      </c>
      <c r="E458">
        <v>277.16000000000003</v>
      </c>
      <c r="F458">
        <v>31051</v>
      </c>
      <c r="H458">
        <f>_xlfn.LET(_xlpm.v, IFERROR(VLOOKUP($A458, manifest!$A:$E, 3, FALSE), ""), IF(OR(_xlpm.v=0, _xlpm.v=""), "", _xlpm.v))</f>
        <v>56</v>
      </c>
      <c r="I458" t="str">
        <f>_xlfn.LET(_xlpm.v, IFERROR(VLOOKUP($A458, manifest!$A:$E, 5, FALSE), ""), IF(OR(_xlpm.v=0, _xlpm.v=""), "", _xlpm.v))</f>
        <v>male</v>
      </c>
    </row>
    <row r="459" spans="1:9" x14ac:dyDescent="0.6">
      <c r="A459">
        <v>87</v>
      </c>
      <c r="B459" t="s">
        <v>14</v>
      </c>
      <c r="C459" t="s">
        <v>11</v>
      </c>
      <c r="D459">
        <v>339.33</v>
      </c>
      <c r="E459">
        <v>305.48</v>
      </c>
      <c r="F459">
        <v>29410</v>
      </c>
      <c r="H459">
        <f>_xlfn.LET(_xlpm.v, IFERROR(VLOOKUP($A459, manifest!$A:$E, 3, FALSE), ""), IF(OR(_xlpm.v=0, _xlpm.v=""), "", _xlpm.v))</f>
        <v>56</v>
      </c>
      <c r="I459" t="str">
        <f>_xlfn.LET(_xlpm.v, IFERROR(VLOOKUP($A459, manifest!$A:$E, 5, FALSE), ""), IF(OR(_xlpm.v=0, _xlpm.v=""), "", _xlpm.v))</f>
        <v>male</v>
      </c>
    </row>
    <row r="460" spans="1:9" x14ac:dyDescent="0.6">
      <c r="A460">
        <v>87</v>
      </c>
      <c r="B460" t="s">
        <v>14</v>
      </c>
      <c r="C460" t="s">
        <v>12</v>
      </c>
      <c r="D460">
        <v>342.25</v>
      </c>
      <c r="E460">
        <v>323.39999999999998</v>
      </c>
      <c r="F460">
        <v>32760</v>
      </c>
      <c r="H460">
        <f>_xlfn.LET(_xlpm.v, IFERROR(VLOOKUP($A460, manifest!$A:$E, 3, FALSE), ""), IF(OR(_xlpm.v=0, _xlpm.v=""), "", _xlpm.v))</f>
        <v>56</v>
      </c>
      <c r="I460" t="str">
        <f>_xlfn.LET(_xlpm.v, IFERROR(VLOOKUP($A460, manifest!$A:$E, 5, FALSE), ""), IF(OR(_xlpm.v=0, _xlpm.v=""), "", _xlpm.v))</f>
        <v>male</v>
      </c>
    </row>
    <row r="461" spans="1:9" x14ac:dyDescent="0.6">
      <c r="A461">
        <v>87</v>
      </c>
      <c r="B461" t="s">
        <v>14</v>
      </c>
      <c r="C461" t="s">
        <v>13</v>
      </c>
      <c r="D461">
        <v>294.49</v>
      </c>
      <c r="E461">
        <v>258.33999999999997</v>
      </c>
      <c r="F461">
        <v>41773</v>
      </c>
      <c r="H461">
        <f>_xlfn.LET(_xlpm.v, IFERROR(VLOOKUP($A461, manifest!$A:$E, 3, FALSE), ""), IF(OR(_xlpm.v=0, _xlpm.v=""), "", _xlpm.v))</f>
        <v>56</v>
      </c>
      <c r="I461" t="str">
        <f>_xlfn.LET(_xlpm.v, IFERROR(VLOOKUP($A461, manifest!$A:$E, 5, FALSE), ""), IF(OR(_xlpm.v=0, _xlpm.v=""), "", _xlpm.v))</f>
        <v>male</v>
      </c>
    </row>
    <row r="462" spans="1:9" x14ac:dyDescent="0.6">
      <c r="A462">
        <v>63</v>
      </c>
      <c r="B462" t="s">
        <v>7</v>
      </c>
      <c r="C462" t="s">
        <v>8</v>
      </c>
      <c r="D462">
        <v>337.69</v>
      </c>
      <c r="E462">
        <v>189.62</v>
      </c>
      <c r="F462">
        <v>35327</v>
      </c>
      <c r="G462" t="s">
        <v>9</v>
      </c>
      <c r="H462">
        <f>_xlfn.LET(_xlpm.v, IFERROR(VLOOKUP($A462, manifest!$A:$E, 3, FALSE), ""), IF(OR(_xlpm.v=0, _xlpm.v=""), "", _xlpm.v))</f>
        <v>89</v>
      </c>
      <c r="I462" t="str">
        <f>_xlfn.LET(_xlpm.v, IFERROR(VLOOKUP($A462, manifest!$A:$E, 5, FALSE), ""), IF(OR(_xlpm.v=0, _xlpm.v=""), "", _xlpm.v))</f>
        <v>male</v>
      </c>
    </row>
    <row r="463" spans="1:9" x14ac:dyDescent="0.6">
      <c r="A463">
        <v>63</v>
      </c>
      <c r="B463" t="s">
        <v>7</v>
      </c>
      <c r="C463" t="s">
        <v>10</v>
      </c>
      <c r="D463">
        <v>347.08</v>
      </c>
      <c r="E463">
        <v>200.42</v>
      </c>
      <c r="F463">
        <v>35677</v>
      </c>
      <c r="H463">
        <f>_xlfn.LET(_xlpm.v, IFERROR(VLOOKUP($A463, manifest!$A:$E, 3, FALSE), ""), IF(OR(_xlpm.v=0, _xlpm.v=""), "", _xlpm.v))</f>
        <v>89</v>
      </c>
      <c r="I463" t="str">
        <f>_xlfn.LET(_xlpm.v, IFERROR(VLOOKUP($A463, manifest!$A:$E, 5, FALSE), ""), IF(OR(_xlpm.v=0, _xlpm.v=""), "", _xlpm.v))</f>
        <v>male</v>
      </c>
    </row>
    <row r="464" spans="1:9" x14ac:dyDescent="0.6">
      <c r="A464">
        <v>63</v>
      </c>
      <c r="B464" t="s">
        <v>7</v>
      </c>
      <c r="C464" t="s">
        <v>11</v>
      </c>
      <c r="D464">
        <v>333.24</v>
      </c>
      <c r="E464">
        <v>206.87</v>
      </c>
      <c r="F464">
        <v>39011</v>
      </c>
      <c r="H464">
        <f>_xlfn.LET(_xlpm.v, IFERROR(VLOOKUP($A464, manifest!$A:$E, 3, FALSE), ""), IF(OR(_xlpm.v=0, _xlpm.v=""), "", _xlpm.v))</f>
        <v>89</v>
      </c>
      <c r="I464" t="str">
        <f>_xlfn.LET(_xlpm.v, IFERROR(VLOOKUP($A464, manifest!$A:$E, 5, FALSE), ""), IF(OR(_xlpm.v=0, _xlpm.v=""), "", _xlpm.v))</f>
        <v>male</v>
      </c>
    </row>
    <row r="465" spans="1:9" x14ac:dyDescent="0.6">
      <c r="A465">
        <v>63</v>
      </c>
      <c r="B465" t="s">
        <v>7</v>
      </c>
      <c r="C465" t="s">
        <v>12</v>
      </c>
      <c r="D465">
        <v>324.47000000000003</v>
      </c>
      <c r="E465">
        <v>221.18</v>
      </c>
      <c r="F465">
        <v>61243</v>
      </c>
      <c r="H465">
        <f>_xlfn.LET(_xlpm.v, IFERROR(VLOOKUP($A465, manifest!$A:$E, 3, FALSE), ""), IF(OR(_xlpm.v=0, _xlpm.v=""), "", _xlpm.v))</f>
        <v>89</v>
      </c>
      <c r="I465" t="str">
        <f>_xlfn.LET(_xlpm.v, IFERROR(VLOOKUP($A465, manifest!$A:$E, 5, FALSE), ""), IF(OR(_xlpm.v=0, _xlpm.v=""), "", _xlpm.v))</f>
        <v>male</v>
      </c>
    </row>
    <row r="466" spans="1:9" x14ac:dyDescent="0.6">
      <c r="A466">
        <v>63</v>
      </c>
      <c r="B466" t="s">
        <v>7</v>
      </c>
      <c r="C466" t="s">
        <v>13</v>
      </c>
      <c r="D466">
        <v>331.94</v>
      </c>
      <c r="E466">
        <v>214.85</v>
      </c>
      <c r="F466">
        <v>57717</v>
      </c>
      <c r="H466">
        <f>_xlfn.LET(_xlpm.v, IFERROR(VLOOKUP($A466, manifest!$A:$E, 3, FALSE), ""), IF(OR(_xlpm.v=0, _xlpm.v=""), "", _xlpm.v))</f>
        <v>89</v>
      </c>
      <c r="I466" t="str">
        <f>_xlfn.LET(_xlpm.v, IFERROR(VLOOKUP($A466, manifest!$A:$E, 5, FALSE), ""), IF(OR(_xlpm.v=0, _xlpm.v=""), "", _xlpm.v))</f>
        <v>male</v>
      </c>
    </row>
    <row r="467" spans="1:9" x14ac:dyDescent="0.6">
      <c r="A467">
        <v>109</v>
      </c>
      <c r="B467" t="s">
        <v>7</v>
      </c>
      <c r="C467" t="s">
        <v>8</v>
      </c>
      <c r="D467">
        <v>288.83</v>
      </c>
      <c r="E467">
        <v>181.06</v>
      </c>
      <c r="F467">
        <v>22278</v>
      </c>
      <c r="G467" t="s">
        <v>9</v>
      </c>
      <c r="H467">
        <f>_xlfn.LET(_xlpm.v, IFERROR(VLOOKUP($A467, manifest!$A:$E, 3, FALSE), ""), IF(OR(_xlpm.v=0, _xlpm.v=""), "", _xlpm.v))</f>
        <v>50</v>
      </c>
      <c r="I467" t="str">
        <f>_xlfn.LET(_xlpm.v, IFERROR(VLOOKUP($A467, manifest!$A:$E, 5, FALSE), ""), IF(OR(_xlpm.v=0, _xlpm.v=""), "", _xlpm.v))</f>
        <v>female</v>
      </c>
    </row>
    <row r="468" spans="1:9" x14ac:dyDescent="0.6">
      <c r="A468">
        <v>109</v>
      </c>
      <c r="B468" t="s">
        <v>7</v>
      </c>
      <c r="C468" t="s">
        <v>10</v>
      </c>
      <c r="D468">
        <v>292.55</v>
      </c>
      <c r="E468">
        <v>188.52</v>
      </c>
      <c r="F468">
        <v>24605</v>
      </c>
      <c r="H468">
        <f>_xlfn.LET(_xlpm.v, IFERROR(VLOOKUP($A468, manifest!$A:$E, 3, FALSE), ""), IF(OR(_xlpm.v=0, _xlpm.v=""), "", _xlpm.v))</f>
        <v>50</v>
      </c>
      <c r="I468" t="str">
        <f>_xlfn.LET(_xlpm.v, IFERROR(VLOOKUP($A468, manifest!$A:$E, 5, FALSE), ""), IF(OR(_xlpm.v=0, _xlpm.v=""), "", _xlpm.v))</f>
        <v>female</v>
      </c>
    </row>
    <row r="469" spans="1:9" x14ac:dyDescent="0.6">
      <c r="A469">
        <v>109</v>
      </c>
      <c r="B469" t="s">
        <v>7</v>
      </c>
      <c r="C469" t="s">
        <v>11</v>
      </c>
      <c r="D469">
        <v>284.44</v>
      </c>
      <c r="E469">
        <v>179.05</v>
      </c>
      <c r="F469">
        <v>33853</v>
      </c>
      <c r="H469">
        <f>_xlfn.LET(_xlpm.v, IFERROR(VLOOKUP($A469, manifest!$A:$E, 3, FALSE), ""), IF(OR(_xlpm.v=0, _xlpm.v=""), "", _xlpm.v))</f>
        <v>50</v>
      </c>
      <c r="I469" t="str">
        <f>_xlfn.LET(_xlpm.v, IFERROR(VLOOKUP($A469, manifest!$A:$E, 5, FALSE), ""), IF(OR(_xlpm.v=0, _xlpm.v=""), "", _xlpm.v))</f>
        <v>female</v>
      </c>
    </row>
    <row r="470" spans="1:9" x14ac:dyDescent="0.6">
      <c r="A470">
        <v>109</v>
      </c>
      <c r="B470" t="s">
        <v>7</v>
      </c>
      <c r="C470" t="s">
        <v>12</v>
      </c>
      <c r="D470">
        <v>292.04000000000002</v>
      </c>
      <c r="E470">
        <v>157.51</v>
      </c>
      <c r="F470">
        <v>36766</v>
      </c>
      <c r="H470">
        <f>_xlfn.LET(_xlpm.v, IFERROR(VLOOKUP($A470, manifest!$A:$E, 3, FALSE), ""), IF(OR(_xlpm.v=0, _xlpm.v=""), "", _xlpm.v))</f>
        <v>50</v>
      </c>
      <c r="I470" t="str">
        <f>_xlfn.LET(_xlpm.v, IFERROR(VLOOKUP($A470, manifest!$A:$E, 5, FALSE), ""), IF(OR(_xlpm.v=0, _xlpm.v=""), "", _xlpm.v))</f>
        <v>female</v>
      </c>
    </row>
    <row r="471" spans="1:9" x14ac:dyDescent="0.6">
      <c r="A471">
        <v>109</v>
      </c>
      <c r="B471" t="s">
        <v>7</v>
      </c>
      <c r="C471" t="s">
        <v>13</v>
      </c>
      <c r="D471">
        <v>268.39</v>
      </c>
      <c r="E471">
        <v>145.13</v>
      </c>
      <c r="F471">
        <v>42046</v>
      </c>
      <c r="H471">
        <f>_xlfn.LET(_xlpm.v, IFERROR(VLOOKUP($A471, manifest!$A:$E, 3, FALSE), ""), IF(OR(_xlpm.v=0, _xlpm.v=""), "", _xlpm.v))</f>
        <v>50</v>
      </c>
      <c r="I471" t="str">
        <f>_xlfn.LET(_xlpm.v, IFERROR(VLOOKUP($A471, manifest!$A:$E, 5, FALSE), ""), IF(OR(_xlpm.v=0, _xlpm.v=""), "", _xlpm.v))</f>
        <v>female</v>
      </c>
    </row>
    <row r="472" spans="1:9" x14ac:dyDescent="0.6">
      <c r="A472">
        <v>66</v>
      </c>
      <c r="B472" t="s">
        <v>7</v>
      </c>
      <c r="C472" t="s">
        <v>8</v>
      </c>
      <c r="D472">
        <v>337.32</v>
      </c>
      <c r="E472">
        <v>154.6</v>
      </c>
      <c r="F472">
        <v>24586</v>
      </c>
      <c r="G472" t="s">
        <v>9</v>
      </c>
      <c r="H472">
        <f>_xlfn.LET(_xlpm.v, IFERROR(VLOOKUP($A472, manifest!$A:$E, 3, FALSE), ""), IF(OR(_xlpm.v=0, _xlpm.v=""), "", _xlpm.v))</f>
        <v>89</v>
      </c>
      <c r="I472" t="str">
        <f>_xlfn.LET(_xlpm.v, IFERROR(VLOOKUP($A472, manifest!$A:$E, 5, FALSE), ""), IF(OR(_xlpm.v=0, _xlpm.v=""), "", _xlpm.v))</f>
        <v/>
      </c>
    </row>
    <row r="473" spans="1:9" x14ac:dyDescent="0.6">
      <c r="A473">
        <v>66</v>
      </c>
      <c r="B473" t="s">
        <v>7</v>
      </c>
      <c r="C473" t="s">
        <v>10</v>
      </c>
      <c r="D473">
        <v>353.16</v>
      </c>
      <c r="E473">
        <v>191.86</v>
      </c>
      <c r="F473">
        <v>22746</v>
      </c>
      <c r="H473">
        <f>_xlfn.LET(_xlpm.v, IFERROR(VLOOKUP($A473, manifest!$A:$E, 3, FALSE), ""), IF(OR(_xlpm.v=0, _xlpm.v=""), "", _xlpm.v))</f>
        <v>89</v>
      </c>
      <c r="I473" t="str">
        <f>_xlfn.LET(_xlpm.v, IFERROR(VLOOKUP($A473, manifest!$A:$E, 5, FALSE), ""), IF(OR(_xlpm.v=0, _xlpm.v=""), "", _xlpm.v))</f>
        <v/>
      </c>
    </row>
    <row r="474" spans="1:9" x14ac:dyDescent="0.6">
      <c r="A474">
        <v>66</v>
      </c>
      <c r="B474" t="s">
        <v>7</v>
      </c>
      <c r="C474" t="s">
        <v>11</v>
      </c>
      <c r="D474">
        <v>336.1</v>
      </c>
      <c r="E474">
        <v>195.8</v>
      </c>
      <c r="F474">
        <v>24118</v>
      </c>
      <c r="H474">
        <f>_xlfn.LET(_xlpm.v, IFERROR(VLOOKUP($A474, manifest!$A:$E, 3, FALSE), ""), IF(OR(_xlpm.v=0, _xlpm.v=""), "", _xlpm.v))</f>
        <v>89</v>
      </c>
      <c r="I474" t="str">
        <f>_xlfn.LET(_xlpm.v, IFERROR(VLOOKUP($A474, manifest!$A:$E, 5, FALSE), ""), IF(OR(_xlpm.v=0, _xlpm.v=""), "", _xlpm.v))</f>
        <v/>
      </c>
    </row>
    <row r="475" spans="1:9" x14ac:dyDescent="0.6">
      <c r="A475">
        <v>66</v>
      </c>
      <c r="B475" t="s">
        <v>7</v>
      </c>
      <c r="C475" t="s">
        <v>12</v>
      </c>
      <c r="D475">
        <v>369.49</v>
      </c>
      <c r="E475">
        <v>228.06</v>
      </c>
      <c r="F475">
        <v>24220</v>
      </c>
      <c r="H475">
        <f>_xlfn.LET(_xlpm.v, IFERROR(VLOOKUP($A475, manifest!$A:$E, 3, FALSE), ""), IF(OR(_xlpm.v=0, _xlpm.v=""), "", _xlpm.v))</f>
        <v>89</v>
      </c>
      <c r="I475" t="str">
        <f>_xlfn.LET(_xlpm.v, IFERROR(VLOOKUP($A475, manifest!$A:$E, 5, FALSE), ""), IF(OR(_xlpm.v=0, _xlpm.v=""), "", _xlpm.v))</f>
        <v/>
      </c>
    </row>
    <row r="476" spans="1:9" x14ac:dyDescent="0.6">
      <c r="A476">
        <v>66</v>
      </c>
      <c r="B476" t="s">
        <v>7</v>
      </c>
      <c r="C476" t="s">
        <v>13</v>
      </c>
      <c r="D476">
        <v>341.99</v>
      </c>
      <c r="E476">
        <v>220.47</v>
      </c>
      <c r="F476">
        <v>34379</v>
      </c>
      <c r="H476">
        <f>_xlfn.LET(_xlpm.v, IFERROR(VLOOKUP($A476, manifest!$A:$E, 3, FALSE), ""), IF(OR(_xlpm.v=0, _xlpm.v=""), "", _xlpm.v))</f>
        <v>89</v>
      </c>
      <c r="I476" t="str">
        <f>_xlfn.LET(_xlpm.v, IFERROR(VLOOKUP($A476, manifest!$A:$E, 5, FALSE), ""), IF(OR(_xlpm.v=0, _xlpm.v=""), "", _xlpm.v))</f>
        <v/>
      </c>
    </row>
    <row r="477" spans="1:9" x14ac:dyDescent="0.6">
      <c r="A477">
        <v>104</v>
      </c>
      <c r="B477" t="s">
        <v>14</v>
      </c>
      <c r="C477" t="s">
        <v>8</v>
      </c>
      <c r="D477">
        <v>179.33</v>
      </c>
      <c r="E477">
        <v>189.96</v>
      </c>
      <c r="F477">
        <v>26056</v>
      </c>
      <c r="G477" t="s">
        <v>9</v>
      </c>
      <c r="H477">
        <f>_xlfn.LET(_xlpm.v, IFERROR(VLOOKUP($A477, manifest!$A:$E, 3, FALSE), ""), IF(OR(_xlpm.v=0, _xlpm.v=""), "", _xlpm.v))</f>
        <v>54</v>
      </c>
      <c r="I477" t="str">
        <f>_xlfn.LET(_xlpm.v, IFERROR(VLOOKUP($A477, manifest!$A:$E, 5, FALSE), ""), IF(OR(_xlpm.v=0, _xlpm.v=""), "", _xlpm.v))</f>
        <v>female</v>
      </c>
    </row>
    <row r="478" spans="1:9" x14ac:dyDescent="0.6">
      <c r="A478">
        <v>104</v>
      </c>
      <c r="B478" t="s">
        <v>14</v>
      </c>
      <c r="C478" t="s">
        <v>10</v>
      </c>
      <c r="D478">
        <v>172.3</v>
      </c>
      <c r="E478">
        <v>199.21</v>
      </c>
      <c r="F478">
        <v>36724</v>
      </c>
      <c r="H478">
        <f>_xlfn.LET(_xlpm.v, IFERROR(VLOOKUP($A478, manifest!$A:$E, 3, FALSE), ""), IF(OR(_xlpm.v=0, _xlpm.v=""), "", _xlpm.v))</f>
        <v>54</v>
      </c>
      <c r="I478" t="str">
        <f>_xlfn.LET(_xlpm.v, IFERROR(VLOOKUP($A478, manifest!$A:$E, 5, FALSE), ""), IF(OR(_xlpm.v=0, _xlpm.v=""), "", _xlpm.v))</f>
        <v>female</v>
      </c>
    </row>
    <row r="479" spans="1:9" x14ac:dyDescent="0.6">
      <c r="A479">
        <v>104</v>
      </c>
      <c r="B479" t="s">
        <v>14</v>
      </c>
      <c r="C479" t="s">
        <v>11</v>
      </c>
      <c r="D479">
        <v>170.73</v>
      </c>
      <c r="E479">
        <v>182.48</v>
      </c>
      <c r="F479">
        <v>38876</v>
      </c>
      <c r="H479">
        <f>_xlfn.LET(_xlpm.v, IFERROR(VLOOKUP($A479, manifest!$A:$E, 3, FALSE), ""), IF(OR(_xlpm.v=0, _xlpm.v=""), "", _xlpm.v))</f>
        <v>54</v>
      </c>
      <c r="I479" t="str">
        <f>_xlfn.LET(_xlpm.v, IFERROR(VLOOKUP($A479, manifest!$A:$E, 5, FALSE), ""), IF(OR(_xlpm.v=0, _xlpm.v=""), "", _xlpm.v))</f>
        <v>female</v>
      </c>
    </row>
    <row r="480" spans="1:9" x14ac:dyDescent="0.6">
      <c r="A480">
        <v>104</v>
      </c>
      <c r="B480" t="s">
        <v>14</v>
      </c>
      <c r="C480" t="s">
        <v>12</v>
      </c>
      <c r="D480">
        <v>172.31</v>
      </c>
      <c r="E480">
        <v>174.48</v>
      </c>
      <c r="F480">
        <v>42153</v>
      </c>
      <c r="H480">
        <f>_xlfn.LET(_xlpm.v, IFERROR(VLOOKUP($A480, manifest!$A:$E, 3, FALSE), ""), IF(OR(_xlpm.v=0, _xlpm.v=""), "", _xlpm.v))</f>
        <v>54</v>
      </c>
      <c r="I480" t="str">
        <f>_xlfn.LET(_xlpm.v, IFERROR(VLOOKUP($A480, manifest!$A:$E, 5, FALSE), ""), IF(OR(_xlpm.v=0, _xlpm.v=""), "", _xlpm.v))</f>
        <v>female</v>
      </c>
    </row>
    <row r="481" spans="1:9" x14ac:dyDescent="0.6">
      <c r="A481">
        <v>122</v>
      </c>
      <c r="B481" t="s">
        <v>14</v>
      </c>
      <c r="C481" t="s">
        <v>8</v>
      </c>
      <c r="D481">
        <v>202.38</v>
      </c>
      <c r="E481">
        <v>129.07</v>
      </c>
      <c r="F481">
        <v>20969</v>
      </c>
      <c r="G481" t="s">
        <v>9</v>
      </c>
      <c r="H481">
        <f>_xlfn.LET(_xlpm.v, IFERROR(VLOOKUP($A481, manifest!$A:$E, 3, FALSE), ""), IF(OR(_xlpm.v=0, _xlpm.v=""), "", _xlpm.v))</f>
        <v>68</v>
      </c>
      <c r="I481" t="str">
        <f>_xlfn.LET(_xlpm.v, IFERROR(VLOOKUP($A481, manifest!$A:$E, 5, FALSE), ""), IF(OR(_xlpm.v=0, _xlpm.v=""), "", _xlpm.v))</f>
        <v>female</v>
      </c>
    </row>
    <row r="482" spans="1:9" x14ac:dyDescent="0.6">
      <c r="A482">
        <v>122</v>
      </c>
      <c r="B482" t="s">
        <v>14</v>
      </c>
      <c r="C482" t="s">
        <v>10</v>
      </c>
      <c r="D482">
        <v>320.13</v>
      </c>
      <c r="E482">
        <v>221.3</v>
      </c>
      <c r="F482">
        <v>24111</v>
      </c>
      <c r="H482">
        <f>_xlfn.LET(_xlpm.v, IFERROR(VLOOKUP($A482, manifest!$A:$E, 3, FALSE), ""), IF(OR(_xlpm.v=0, _xlpm.v=""), "", _xlpm.v))</f>
        <v>68</v>
      </c>
      <c r="I482" t="str">
        <f>_xlfn.LET(_xlpm.v, IFERROR(VLOOKUP($A482, manifest!$A:$E, 5, FALSE), ""), IF(OR(_xlpm.v=0, _xlpm.v=""), "", _xlpm.v))</f>
        <v>female</v>
      </c>
    </row>
    <row r="483" spans="1:9" x14ac:dyDescent="0.6">
      <c r="A483">
        <v>122</v>
      </c>
      <c r="B483" t="s">
        <v>14</v>
      </c>
      <c r="C483" t="s">
        <v>11</v>
      </c>
      <c r="D483">
        <v>260.16000000000003</v>
      </c>
      <c r="E483">
        <v>170.46</v>
      </c>
      <c r="F483">
        <v>31484</v>
      </c>
      <c r="H483">
        <f>_xlfn.LET(_xlpm.v, IFERROR(VLOOKUP($A483, manifest!$A:$E, 3, FALSE), ""), IF(OR(_xlpm.v=0, _xlpm.v=""), "", _xlpm.v))</f>
        <v>68</v>
      </c>
      <c r="I483" t="str">
        <f>_xlfn.LET(_xlpm.v, IFERROR(VLOOKUP($A483, manifest!$A:$E, 5, FALSE), ""), IF(OR(_xlpm.v=0, _xlpm.v=""), "", _xlpm.v))</f>
        <v>female</v>
      </c>
    </row>
    <row r="484" spans="1:9" x14ac:dyDescent="0.6">
      <c r="A484">
        <v>122</v>
      </c>
      <c r="B484" t="s">
        <v>14</v>
      </c>
      <c r="C484" t="s">
        <v>12</v>
      </c>
      <c r="D484">
        <v>252.62</v>
      </c>
      <c r="E484">
        <v>185.72</v>
      </c>
      <c r="F484">
        <v>33333</v>
      </c>
      <c r="H484">
        <f>_xlfn.LET(_xlpm.v, IFERROR(VLOOKUP($A484, manifest!$A:$E, 3, FALSE), ""), IF(OR(_xlpm.v=0, _xlpm.v=""), "", _xlpm.v))</f>
        <v>68</v>
      </c>
      <c r="I484" t="str">
        <f>_xlfn.LET(_xlpm.v, IFERROR(VLOOKUP($A484, manifest!$A:$E, 5, FALSE), ""), IF(OR(_xlpm.v=0, _xlpm.v=""), "", _xlpm.v))</f>
        <v>female</v>
      </c>
    </row>
    <row r="485" spans="1:9" x14ac:dyDescent="0.6">
      <c r="A485">
        <v>122</v>
      </c>
      <c r="B485" t="s">
        <v>14</v>
      </c>
      <c r="C485" t="s">
        <v>13</v>
      </c>
      <c r="D485">
        <v>280.97000000000003</v>
      </c>
      <c r="E485">
        <v>183.37</v>
      </c>
      <c r="F485">
        <v>40098</v>
      </c>
      <c r="H485">
        <f>_xlfn.LET(_xlpm.v, IFERROR(VLOOKUP($A485, manifest!$A:$E, 3, FALSE), ""), IF(OR(_xlpm.v=0, _xlpm.v=""), "", _xlpm.v))</f>
        <v>68</v>
      </c>
      <c r="I485" t="str">
        <f>_xlfn.LET(_xlpm.v, IFERROR(VLOOKUP($A485, manifest!$A:$E, 5, FALSE), ""), IF(OR(_xlpm.v=0, _xlpm.v=""), "", _xlpm.v))</f>
        <v>female</v>
      </c>
    </row>
    <row r="486" spans="1:9" x14ac:dyDescent="0.6">
      <c r="A486">
        <v>118</v>
      </c>
      <c r="B486" t="s">
        <v>7</v>
      </c>
      <c r="C486" t="s">
        <v>8</v>
      </c>
      <c r="D486">
        <v>146.09</v>
      </c>
      <c r="E486">
        <v>112.98</v>
      </c>
      <c r="F486">
        <v>19793</v>
      </c>
      <c r="G486" t="s">
        <v>15</v>
      </c>
      <c r="H486">
        <f>_xlfn.LET(_xlpm.v, IFERROR(VLOOKUP($A486, manifest!$A:$E, 3, FALSE), ""), IF(OR(_xlpm.v=0, _xlpm.v=""), "", _xlpm.v))</f>
        <v>62</v>
      </c>
      <c r="I486" t="str">
        <f>_xlfn.LET(_xlpm.v, IFERROR(VLOOKUP($A486, manifest!$A:$E, 5, FALSE), ""), IF(OR(_xlpm.v=0, _xlpm.v=""), "", _xlpm.v))</f>
        <v>female</v>
      </c>
    </row>
    <row r="487" spans="1:9" x14ac:dyDescent="0.6">
      <c r="A487">
        <v>118</v>
      </c>
      <c r="B487" t="s">
        <v>7</v>
      </c>
      <c r="C487" t="s">
        <v>10</v>
      </c>
      <c r="D487">
        <v>154.6</v>
      </c>
      <c r="E487">
        <v>156.29</v>
      </c>
      <c r="F487">
        <v>23563</v>
      </c>
      <c r="H487">
        <f>_xlfn.LET(_xlpm.v, IFERROR(VLOOKUP($A487, manifest!$A:$E, 3, FALSE), ""), IF(OR(_xlpm.v=0, _xlpm.v=""), "", _xlpm.v))</f>
        <v>62</v>
      </c>
      <c r="I487" t="str">
        <f>_xlfn.LET(_xlpm.v, IFERROR(VLOOKUP($A487, manifest!$A:$E, 5, FALSE), ""), IF(OR(_xlpm.v=0, _xlpm.v=""), "", _xlpm.v))</f>
        <v>female</v>
      </c>
    </row>
    <row r="488" spans="1:9" x14ac:dyDescent="0.6">
      <c r="A488">
        <v>118</v>
      </c>
      <c r="B488" t="s">
        <v>7</v>
      </c>
      <c r="C488" t="s">
        <v>11</v>
      </c>
      <c r="D488">
        <v>141.94999999999999</v>
      </c>
      <c r="E488">
        <v>146.84</v>
      </c>
      <c r="F488">
        <v>24543</v>
      </c>
      <c r="H488">
        <f>_xlfn.LET(_xlpm.v, IFERROR(VLOOKUP($A488, manifest!$A:$E, 3, FALSE), ""), IF(OR(_xlpm.v=0, _xlpm.v=""), "", _xlpm.v))</f>
        <v>62</v>
      </c>
      <c r="I488" t="str">
        <f>_xlfn.LET(_xlpm.v, IFERROR(VLOOKUP($A488, manifest!$A:$E, 5, FALSE), ""), IF(OR(_xlpm.v=0, _xlpm.v=""), "", _xlpm.v))</f>
        <v>female</v>
      </c>
    </row>
    <row r="489" spans="1:9" x14ac:dyDescent="0.6">
      <c r="A489">
        <v>118</v>
      </c>
      <c r="B489" t="s">
        <v>7</v>
      </c>
      <c r="C489" t="s">
        <v>12</v>
      </c>
      <c r="D489">
        <v>147.22999999999999</v>
      </c>
      <c r="E489">
        <v>170.26</v>
      </c>
      <c r="F489">
        <v>30026</v>
      </c>
      <c r="H489">
        <f>_xlfn.LET(_xlpm.v, IFERROR(VLOOKUP($A489, manifest!$A:$E, 3, FALSE), ""), IF(OR(_xlpm.v=0, _xlpm.v=""), "", _xlpm.v))</f>
        <v>62</v>
      </c>
      <c r="I489" t="str">
        <f>_xlfn.LET(_xlpm.v, IFERROR(VLOOKUP($A489, manifest!$A:$E, 5, FALSE), ""), IF(OR(_xlpm.v=0, _xlpm.v=""), "", _xlpm.v))</f>
        <v>female</v>
      </c>
    </row>
    <row r="490" spans="1:9" x14ac:dyDescent="0.6">
      <c r="A490">
        <v>118</v>
      </c>
      <c r="B490" t="s">
        <v>7</v>
      </c>
      <c r="C490" t="s">
        <v>13</v>
      </c>
      <c r="D490">
        <v>168.17</v>
      </c>
      <c r="E490">
        <v>179.44</v>
      </c>
      <c r="F490">
        <v>33212</v>
      </c>
      <c r="H490">
        <f>_xlfn.LET(_xlpm.v, IFERROR(VLOOKUP($A490, manifest!$A:$E, 3, FALSE), ""), IF(OR(_xlpm.v=0, _xlpm.v=""), "", _xlpm.v))</f>
        <v>62</v>
      </c>
      <c r="I490" t="str">
        <f>_xlfn.LET(_xlpm.v, IFERROR(VLOOKUP($A490, manifest!$A:$E, 5, FALSE), ""), IF(OR(_xlpm.v=0, _xlpm.v=""), "", _xlpm.v))</f>
        <v>female</v>
      </c>
    </row>
    <row r="491" spans="1:9" x14ac:dyDescent="0.6">
      <c r="A491">
        <v>101</v>
      </c>
      <c r="B491" t="s">
        <v>14</v>
      </c>
      <c r="C491" t="s">
        <v>8</v>
      </c>
      <c r="D491">
        <v>215.49</v>
      </c>
      <c r="E491">
        <v>136.97</v>
      </c>
      <c r="F491">
        <v>18592</v>
      </c>
      <c r="G491" t="s">
        <v>9</v>
      </c>
      <c r="H491">
        <f>_xlfn.LET(_xlpm.v, IFERROR(VLOOKUP($A491, manifest!$A:$E, 3, FALSE), ""), IF(OR(_xlpm.v=0, _xlpm.v=""), "", _xlpm.v))</f>
        <v>50</v>
      </c>
      <c r="I491" t="str">
        <f>_xlfn.LET(_xlpm.v, IFERROR(VLOOKUP($A491, manifest!$A:$E, 5, FALSE), ""), IF(OR(_xlpm.v=0, _xlpm.v=""), "", _xlpm.v))</f>
        <v>female</v>
      </c>
    </row>
    <row r="492" spans="1:9" x14ac:dyDescent="0.6">
      <c r="A492">
        <v>101</v>
      </c>
      <c r="B492" t="s">
        <v>14</v>
      </c>
      <c r="C492" t="s">
        <v>10</v>
      </c>
      <c r="D492">
        <v>253.38</v>
      </c>
      <c r="E492">
        <v>191.86</v>
      </c>
      <c r="F492">
        <v>21933</v>
      </c>
      <c r="H492">
        <f>_xlfn.LET(_xlpm.v, IFERROR(VLOOKUP($A492, manifest!$A:$E, 3, FALSE), ""), IF(OR(_xlpm.v=0, _xlpm.v=""), "", _xlpm.v))</f>
        <v>50</v>
      </c>
      <c r="I492" t="str">
        <f>_xlfn.LET(_xlpm.v, IFERROR(VLOOKUP($A492, manifest!$A:$E, 5, FALSE), ""), IF(OR(_xlpm.v=0, _xlpm.v=""), "", _xlpm.v))</f>
        <v>female</v>
      </c>
    </row>
    <row r="493" spans="1:9" x14ac:dyDescent="0.6">
      <c r="A493">
        <v>101</v>
      </c>
      <c r="B493" t="s">
        <v>14</v>
      </c>
      <c r="C493" t="s">
        <v>11</v>
      </c>
      <c r="D493">
        <v>239.46</v>
      </c>
      <c r="E493">
        <v>176.56</v>
      </c>
      <c r="F493">
        <v>25973</v>
      </c>
      <c r="H493">
        <f>_xlfn.LET(_xlpm.v, IFERROR(VLOOKUP($A493, manifest!$A:$E, 3, FALSE), ""), IF(OR(_xlpm.v=0, _xlpm.v=""), "", _xlpm.v))</f>
        <v>50</v>
      </c>
      <c r="I493" t="str">
        <f>_xlfn.LET(_xlpm.v, IFERROR(VLOOKUP($A493, manifest!$A:$E, 5, FALSE), ""), IF(OR(_xlpm.v=0, _xlpm.v=""), "", _xlpm.v))</f>
        <v>female</v>
      </c>
    </row>
    <row r="494" spans="1:9" x14ac:dyDescent="0.6">
      <c r="A494">
        <v>101</v>
      </c>
      <c r="B494" t="s">
        <v>14</v>
      </c>
      <c r="C494" t="s">
        <v>12</v>
      </c>
      <c r="D494">
        <v>300.67</v>
      </c>
      <c r="E494">
        <v>224.18</v>
      </c>
      <c r="F494">
        <v>27401</v>
      </c>
      <c r="H494">
        <f>_xlfn.LET(_xlpm.v, IFERROR(VLOOKUP($A494, manifest!$A:$E, 3, FALSE), ""), IF(OR(_xlpm.v=0, _xlpm.v=""), "", _xlpm.v))</f>
        <v>50</v>
      </c>
      <c r="I494" t="str">
        <f>_xlfn.LET(_xlpm.v, IFERROR(VLOOKUP($A494, manifest!$A:$E, 5, FALSE), ""), IF(OR(_xlpm.v=0, _xlpm.v=""), "", _xlpm.v))</f>
        <v>female</v>
      </c>
    </row>
    <row r="495" spans="1:9" x14ac:dyDescent="0.6">
      <c r="A495">
        <v>101</v>
      </c>
      <c r="B495" t="s">
        <v>14</v>
      </c>
      <c r="C495" t="s">
        <v>13</v>
      </c>
      <c r="D495">
        <v>259.33999999999997</v>
      </c>
      <c r="E495">
        <v>170.75</v>
      </c>
      <c r="F495">
        <v>34430</v>
      </c>
      <c r="H495">
        <f>_xlfn.LET(_xlpm.v, IFERROR(VLOOKUP($A495, manifest!$A:$E, 3, FALSE), ""), IF(OR(_xlpm.v=0, _xlpm.v=""), "", _xlpm.v))</f>
        <v>50</v>
      </c>
      <c r="I495" t="str">
        <f>_xlfn.LET(_xlpm.v, IFERROR(VLOOKUP($A495, manifest!$A:$E, 5, FALSE), ""), IF(OR(_xlpm.v=0, _xlpm.v=""), "", _xlpm.v))</f>
        <v>female</v>
      </c>
    </row>
    <row r="496" spans="1:9" x14ac:dyDescent="0.6">
      <c r="A496">
        <v>106</v>
      </c>
      <c r="B496" t="s">
        <v>14</v>
      </c>
      <c r="C496" t="s">
        <v>8</v>
      </c>
      <c r="D496">
        <v>205.18</v>
      </c>
      <c r="E496">
        <v>164.74</v>
      </c>
      <c r="F496">
        <v>22130</v>
      </c>
      <c r="G496" t="s">
        <v>9</v>
      </c>
      <c r="H496">
        <f>_xlfn.LET(_xlpm.v, IFERROR(VLOOKUP($A496, manifest!$A:$E, 3, FALSE), ""), IF(OR(_xlpm.v=0, _xlpm.v=""), "", _xlpm.v))</f>
        <v>61</v>
      </c>
      <c r="I496" t="str">
        <f>_xlfn.LET(_xlpm.v, IFERROR(VLOOKUP($A496, manifest!$A:$E, 5, FALSE), ""), IF(OR(_xlpm.v=0, _xlpm.v=""), "", _xlpm.v))</f>
        <v>female</v>
      </c>
    </row>
    <row r="497" spans="1:9" x14ac:dyDescent="0.6">
      <c r="A497">
        <v>106</v>
      </c>
      <c r="B497" t="s">
        <v>14</v>
      </c>
      <c r="C497" t="s">
        <v>10</v>
      </c>
      <c r="D497">
        <v>235.95</v>
      </c>
      <c r="E497">
        <v>233.12</v>
      </c>
      <c r="F497">
        <v>22777</v>
      </c>
      <c r="H497">
        <f>_xlfn.LET(_xlpm.v, IFERROR(VLOOKUP($A497, manifest!$A:$E, 3, FALSE), ""), IF(OR(_xlpm.v=0, _xlpm.v=""), "", _xlpm.v))</f>
        <v>61</v>
      </c>
      <c r="I497" t="str">
        <f>_xlfn.LET(_xlpm.v, IFERROR(VLOOKUP($A497, manifest!$A:$E, 5, FALSE), ""), IF(OR(_xlpm.v=0, _xlpm.v=""), "", _xlpm.v))</f>
        <v>female</v>
      </c>
    </row>
    <row r="498" spans="1:9" x14ac:dyDescent="0.6">
      <c r="A498">
        <v>106</v>
      </c>
      <c r="B498" t="s">
        <v>14</v>
      </c>
      <c r="C498" t="s">
        <v>11</v>
      </c>
      <c r="D498">
        <v>233.36</v>
      </c>
      <c r="E498">
        <v>234.71</v>
      </c>
      <c r="F498">
        <v>25499</v>
      </c>
      <c r="H498">
        <f>_xlfn.LET(_xlpm.v, IFERROR(VLOOKUP($A498, manifest!$A:$E, 3, FALSE), ""), IF(OR(_xlpm.v=0, _xlpm.v=""), "", _xlpm.v))</f>
        <v>61</v>
      </c>
      <c r="I498" t="str">
        <f>_xlfn.LET(_xlpm.v, IFERROR(VLOOKUP($A498, manifest!$A:$E, 5, FALSE), ""), IF(OR(_xlpm.v=0, _xlpm.v=""), "", _xlpm.v))</f>
        <v>female</v>
      </c>
    </row>
    <row r="499" spans="1:9" x14ac:dyDescent="0.6">
      <c r="A499">
        <v>106</v>
      </c>
      <c r="B499" t="s">
        <v>14</v>
      </c>
      <c r="C499" t="s">
        <v>12</v>
      </c>
      <c r="D499">
        <v>285.18</v>
      </c>
      <c r="E499">
        <v>249.57</v>
      </c>
      <c r="F499">
        <v>36823</v>
      </c>
      <c r="H499">
        <f>_xlfn.LET(_xlpm.v, IFERROR(VLOOKUP($A499, manifest!$A:$E, 3, FALSE), ""), IF(OR(_xlpm.v=0, _xlpm.v=""), "", _xlpm.v))</f>
        <v>61</v>
      </c>
      <c r="I499" t="str">
        <f>_xlfn.LET(_xlpm.v, IFERROR(VLOOKUP($A499, manifest!$A:$E, 5, FALSE), ""), IF(OR(_xlpm.v=0, _xlpm.v=""), "", _xlpm.v))</f>
        <v>female</v>
      </c>
    </row>
    <row r="500" spans="1:9" x14ac:dyDescent="0.6">
      <c r="A500">
        <v>106</v>
      </c>
      <c r="B500" t="s">
        <v>14</v>
      </c>
      <c r="C500" t="s">
        <v>13</v>
      </c>
      <c r="D500">
        <v>304.12</v>
      </c>
      <c r="E500">
        <v>244.3</v>
      </c>
      <c r="F500">
        <v>41980</v>
      </c>
      <c r="H500">
        <f>_xlfn.LET(_xlpm.v, IFERROR(VLOOKUP($A500, manifest!$A:$E, 3, FALSE), ""), IF(OR(_xlpm.v=0, _xlpm.v=""), "", _xlpm.v))</f>
        <v>61</v>
      </c>
      <c r="I500" t="str">
        <f>_xlfn.LET(_xlpm.v, IFERROR(VLOOKUP($A500, manifest!$A:$E, 5, FALSE), ""), IF(OR(_xlpm.v=0, _xlpm.v=""), "", _xlpm.v))</f>
        <v>female</v>
      </c>
    </row>
    <row r="501" spans="1:9" x14ac:dyDescent="0.6">
      <c r="A501">
        <v>124</v>
      </c>
      <c r="B501" t="s">
        <v>7</v>
      </c>
      <c r="C501" t="s">
        <v>8</v>
      </c>
      <c r="D501">
        <v>275.70999999999998</v>
      </c>
      <c r="E501">
        <v>134.43</v>
      </c>
      <c r="F501">
        <v>28827</v>
      </c>
      <c r="G501" t="s">
        <v>9</v>
      </c>
      <c r="H501">
        <f>_xlfn.LET(_xlpm.v, IFERROR(VLOOKUP($A501, manifest!$A:$E, 3, FALSE), ""), IF(OR(_xlpm.v=0, _xlpm.v=""), "", _xlpm.v))</f>
        <v>50</v>
      </c>
      <c r="I501" t="str">
        <f>_xlfn.LET(_xlpm.v, IFERROR(VLOOKUP($A501, manifest!$A:$E, 5, FALSE), ""), IF(OR(_xlpm.v=0, _xlpm.v=""), "", _xlpm.v))</f>
        <v>male</v>
      </c>
    </row>
    <row r="502" spans="1:9" x14ac:dyDescent="0.6">
      <c r="A502">
        <v>124</v>
      </c>
      <c r="B502" t="s">
        <v>7</v>
      </c>
      <c r="C502" t="s">
        <v>10</v>
      </c>
      <c r="D502">
        <v>288.10000000000002</v>
      </c>
      <c r="E502">
        <v>150.44</v>
      </c>
      <c r="F502">
        <v>30281</v>
      </c>
      <c r="H502">
        <f>_xlfn.LET(_xlpm.v, IFERROR(VLOOKUP($A502, manifest!$A:$E, 3, FALSE), ""), IF(OR(_xlpm.v=0, _xlpm.v=""), "", _xlpm.v))</f>
        <v>50</v>
      </c>
      <c r="I502" t="str">
        <f>_xlfn.LET(_xlpm.v, IFERROR(VLOOKUP($A502, manifest!$A:$E, 5, FALSE), ""), IF(OR(_xlpm.v=0, _xlpm.v=""), "", _xlpm.v))</f>
        <v>male</v>
      </c>
    </row>
    <row r="503" spans="1:9" x14ac:dyDescent="0.6">
      <c r="A503">
        <v>124</v>
      </c>
      <c r="B503" t="s">
        <v>7</v>
      </c>
      <c r="C503" t="s">
        <v>11</v>
      </c>
      <c r="D503">
        <v>281.19</v>
      </c>
      <c r="E503">
        <v>148.26</v>
      </c>
      <c r="F503">
        <v>39527</v>
      </c>
      <c r="H503">
        <f>_xlfn.LET(_xlpm.v, IFERROR(VLOOKUP($A503, manifest!$A:$E, 3, FALSE), ""), IF(OR(_xlpm.v=0, _xlpm.v=""), "", _xlpm.v))</f>
        <v>50</v>
      </c>
      <c r="I503" t="str">
        <f>_xlfn.LET(_xlpm.v, IFERROR(VLOOKUP($A503, manifest!$A:$E, 5, FALSE), ""), IF(OR(_xlpm.v=0, _xlpm.v=""), "", _xlpm.v))</f>
        <v>male</v>
      </c>
    </row>
    <row r="504" spans="1:9" x14ac:dyDescent="0.6">
      <c r="A504">
        <v>124</v>
      </c>
      <c r="B504" t="s">
        <v>7</v>
      </c>
      <c r="C504" t="s">
        <v>12</v>
      </c>
      <c r="D504">
        <v>270.23</v>
      </c>
      <c r="E504">
        <v>139.27000000000001</v>
      </c>
      <c r="F504">
        <v>53407</v>
      </c>
      <c r="H504">
        <f>_xlfn.LET(_xlpm.v, IFERROR(VLOOKUP($A504, manifest!$A:$E, 3, FALSE), ""), IF(OR(_xlpm.v=0, _xlpm.v=""), "", _xlpm.v))</f>
        <v>50</v>
      </c>
      <c r="I504" t="str">
        <f>_xlfn.LET(_xlpm.v, IFERROR(VLOOKUP($A504, manifest!$A:$E, 5, FALSE), ""), IF(OR(_xlpm.v=0, _xlpm.v=""), "", _xlpm.v))</f>
        <v>male</v>
      </c>
    </row>
    <row r="505" spans="1:9" x14ac:dyDescent="0.6">
      <c r="A505">
        <v>124</v>
      </c>
      <c r="B505" t="s">
        <v>7</v>
      </c>
      <c r="C505" t="s">
        <v>13</v>
      </c>
      <c r="D505">
        <v>281.14999999999998</v>
      </c>
      <c r="E505">
        <v>142.18</v>
      </c>
      <c r="F505">
        <v>48681</v>
      </c>
      <c r="H505">
        <f>_xlfn.LET(_xlpm.v, IFERROR(VLOOKUP($A505, manifest!$A:$E, 3, FALSE), ""), IF(OR(_xlpm.v=0, _xlpm.v=""), "", _xlpm.v))</f>
        <v>50</v>
      </c>
      <c r="I505" t="str">
        <f>_xlfn.LET(_xlpm.v, IFERROR(VLOOKUP($A505, manifest!$A:$E, 5, FALSE), ""), IF(OR(_xlpm.v=0, _xlpm.v=""), "", _xlpm.v))</f>
        <v>male</v>
      </c>
    </row>
    <row r="506" spans="1:9" x14ac:dyDescent="0.6">
      <c r="A506">
        <v>113</v>
      </c>
      <c r="B506" t="s">
        <v>7</v>
      </c>
      <c r="C506" t="s">
        <v>8</v>
      </c>
      <c r="D506">
        <v>210.55</v>
      </c>
      <c r="E506">
        <v>112.06</v>
      </c>
      <c r="F506">
        <v>21782</v>
      </c>
      <c r="G506" t="s">
        <v>9</v>
      </c>
      <c r="H506">
        <f>_xlfn.LET(_xlpm.v, IFERROR(VLOOKUP($A506, manifest!$A:$E, 3, FALSE), ""), IF(OR(_xlpm.v=0, _xlpm.v=""), "", _xlpm.v))</f>
        <v>52</v>
      </c>
      <c r="I506" t="str">
        <f>_xlfn.LET(_xlpm.v, IFERROR(VLOOKUP($A506, manifest!$A:$E, 5, FALSE), ""), IF(OR(_xlpm.v=0, _xlpm.v=""), "", _xlpm.v))</f>
        <v>female</v>
      </c>
    </row>
    <row r="507" spans="1:9" x14ac:dyDescent="0.6">
      <c r="A507">
        <v>113</v>
      </c>
      <c r="B507" t="s">
        <v>7</v>
      </c>
      <c r="C507" t="s">
        <v>10</v>
      </c>
      <c r="D507">
        <v>214.68</v>
      </c>
      <c r="E507">
        <v>146.19</v>
      </c>
      <c r="F507">
        <v>26809</v>
      </c>
      <c r="H507">
        <f>_xlfn.LET(_xlpm.v, IFERROR(VLOOKUP($A507, manifest!$A:$E, 3, FALSE), ""), IF(OR(_xlpm.v=0, _xlpm.v=""), "", _xlpm.v))</f>
        <v>52</v>
      </c>
      <c r="I507" t="str">
        <f>_xlfn.LET(_xlpm.v, IFERROR(VLOOKUP($A507, manifest!$A:$E, 5, FALSE), ""), IF(OR(_xlpm.v=0, _xlpm.v=""), "", _xlpm.v))</f>
        <v>female</v>
      </c>
    </row>
    <row r="508" spans="1:9" x14ac:dyDescent="0.6">
      <c r="A508">
        <v>113</v>
      </c>
      <c r="B508" t="s">
        <v>7</v>
      </c>
      <c r="C508" t="s">
        <v>11</v>
      </c>
      <c r="D508">
        <v>210.29</v>
      </c>
      <c r="E508">
        <v>153.43</v>
      </c>
      <c r="F508">
        <v>30832</v>
      </c>
      <c r="H508">
        <f>_xlfn.LET(_xlpm.v, IFERROR(VLOOKUP($A508, manifest!$A:$E, 3, FALSE), ""), IF(OR(_xlpm.v=0, _xlpm.v=""), "", _xlpm.v))</f>
        <v>52</v>
      </c>
      <c r="I508" t="str">
        <f>_xlfn.LET(_xlpm.v, IFERROR(VLOOKUP($A508, manifest!$A:$E, 5, FALSE), ""), IF(OR(_xlpm.v=0, _xlpm.v=""), "", _xlpm.v))</f>
        <v>female</v>
      </c>
    </row>
    <row r="509" spans="1:9" x14ac:dyDescent="0.6">
      <c r="A509">
        <v>113</v>
      </c>
      <c r="B509" t="s">
        <v>7</v>
      </c>
      <c r="C509" t="s">
        <v>12</v>
      </c>
      <c r="D509">
        <v>207.54</v>
      </c>
      <c r="E509">
        <v>155.82</v>
      </c>
      <c r="F509">
        <v>36290</v>
      </c>
      <c r="H509">
        <f>_xlfn.LET(_xlpm.v, IFERROR(VLOOKUP($A509, manifest!$A:$E, 3, FALSE), ""), IF(OR(_xlpm.v=0, _xlpm.v=""), "", _xlpm.v))</f>
        <v>52</v>
      </c>
      <c r="I509" t="str">
        <f>_xlfn.LET(_xlpm.v, IFERROR(VLOOKUP($A509, manifest!$A:$E, 5, FALSE), ""), IF(OR(_xlpm.v=0, _xlpm.v=""), "", _xlpm.v))</f>
        <v>female</v>
      </c>
    </row>
    <row r="510" spans="1:9" x14ac:dyDescent="0.6">
      <c r="A510">
        <v>113</v>
      </c>
      <c r="B510" t="s">
        <v>7</v>
      </c>
      <c r="C510" t="s">
        <v>13</v>
      </c>
      <c r="D510">
        <v>211.55</v>
      </c>
      <c r="E510">
        <v>164.45</v>
      </c>
      <c r="F510">
        <v>38999</v>
      </c>
      <c r="H510">
        <f>_xlfn.LET(_xlpm.v, IFERROR(VLOOKUP($A510, manifest!$A:$E, 3, FALSE), ""), IF(OR(_xlpm.v=0, _xlpm.v=""), "", _xlpm.v))</f>
        <v>52</v>
      </c>
      <c r="I510" t="str">
        <f>_xlfn.LET(_xlpm.v, IFERROR(VLOOKUP($A510, manifest!$A:$E, 5, FALSE), ""), IF(OR(_xlpm.v=0, _xlpm.v=""), "", _xlpm.v))</f>
        <v>female</v>
      </c>
    </row>
    <row r="511" spans="1:9" x14ac:dyDescent="0.6">
      <c r="A511">
        <v>102</v>
      </c>
      <c r="B511" t="s">
        <v>14</v>
      </c>
      <c r="C511" t="s">
        <v>8</v>
      </c>
      <c r="D511">
        <v>219.82</v>
      </c>
      <c r="E511">
        <v>191.28</v>
      </c>
      <c r="F511">
        <v>29826</v>
      </c>
      <c r="G511" t="s">
        <v>9</v>
      </c>
      <c r="H511">
        <f>_xlfn.LET(_xlpm.v, IFERROR(VLOOKUP($A511, manifest!$A:$E, 3, FALSE), ""), IF(OR(_xlpm.v=0, _xlpm.v=""), "", _xlpm.v))</f>
        <v>51</v>
      </c>
      <c r="I511" t="str">
        <f>_xlfn.LET(_xlpm.v, IFERROR(VLOOKUP($A511, manifest!$A:$E, 5, FALSE), ""), IF(OR(_xlpm.v=0, _xlpm.v=""), "", _xlpm.v))</f>
        <v>female</v>
      </c>
    </row>
    <row r="512" spans="1:9" x14ac:dyDescent="0.6">
      <c r="A512">
        <v>102</v>
      </c>
      <c r="B512" t="s">
        <v>14</v>
      </c>
      <c r="C512" t="s">
        <v>10</v>
      </c>
      <c r="D512">
        <v>260.36</v>
      </c>
      <c r="E512">
        <v>267.64999999999998</v>
      </c>
      <c r="F512">
        <v>33552</v>
      </c>
      <c r="H512">
        <f>_xlfn.LET(_xlpm.v, IFERROR(VLOOKUP($A512, manifest!$A:$E, 3, FALSE), ""), IF(OR(_xlpm.v=0, _xlpm.v=""), "", _xlpm.v))</f>
        <v>51</v>
      </c>
      <c r="I512" t="str">
        <f>_xlfn.LET(_xlpm.v, IFERROR(VLOOKUP($A512, manifest!$A:$E, 5, FALSE), ""), IF(OR(_xlpm.v=0, _xlpm.v=""), "", _xlpm.v))</f>
        <v>female</v>
      </c>
    </row>
    <row r="513" spans="1:9" x14ac:dyDescent="0.6">
      <c r="A513">
        <v>102</v>
      </c>
      <c r="B513" t="s">
        <v>14</v>
      </c>
      <c r="C513" t="s">
        <v>11</v>
      </c>
      <c r="D513">
        <v>278.14</v>
      </c>
      <c r="E513">
        <v>292.44</v>
      </c>
      <c r="F513">
        <v>38780</v>
      </c>
      <c r="H513">
        <f>_xlfn.LET(_xlpm.v, IFERROR(VLOOKUP($A513, manifest!$A:$E, 3, FALSE), ""), IF(OR(_xlpm.v=0, _xlpm.v=""), "", _xlpm.v))</f>
        <v>51</v>
      </c>
      <c r="I513" t="str">
        <f>_xlfn.LET(_xlpm.v, IFERROR(VLOOKUP($A513, manifest!$A:$E, 5, FALSE), ""), IF(OR(_xlpm.v=0, _xlpm.v=""), "", _xlpm.v))</f>
        <v>female</v>
      </c>
    </row>
    <row r="514" spans="1:9" x14ac:dyDescent="0.6">
      <c r="A514">
        <v>102</v>
      </c>
      <c r="B514" t="s">
        <v>14</v>
      </c>
      <c r="C514" t="s">
        <v>12</v>
      </c>
      <c r="D514">
        <v>266.77999999999997</v>
      </c>
      <c r="E514">
        <v>260.87</v>
      </c>
      <c r="F514">
        <v>39457</v>
      </c>
      <c r="H514">
        <f>_xlfn.LET(_xlpm.v, IFERROR(VLOOKUP($A514, manifest!$A:$E, 3, FALSE), ""), IF(OR(_xlpm.v=0, _xlpm.v=""), "", _xlpm.v))</f>
        <v>51</v>
      </c>
      <c r="I514" t="str">
        <f>_xlfn.LET(_xlpm.v, IFERROR(VLOOKUP($A514, manifest!$A:$E, 5, FALSE), ""), IF(OR(_xlpm.v=0, _xlpm.v=""), "", _xlpm.v))</f>
        <v>female</v>
      </c>
    </row>
    <row r="515" spans="1:9" x14ac:dyDescent="0.6">
      <c r="A515">
        <v>102</v>
      </c>
      <c r="B515" t="s">
        <v>14</v>
      </c>
      <c r="C515" t="s">
        <v>13</v>
      </c>
      <c r="D515">
        <v>244.02</v>
      </c>
      <c r="E515">
        <v>234.65</v>
      </c>
      <c r="F515">
        <v>42926</v>
      </c>
      <c r="H515">
        <f>_xlfn.LET(_xlpm.v, IFERROR(VLOOKUP($A515, manifest!$A:$E, 3, FALSE), ""), IF(OR(_xlpm.v=0, _xlpm.v=""), "", _xlpm.v))</f>
        <v>51</v>
      </c>
      <c r="I515" t="str">
        <f>_xlfn.LET(_xlpm.v, IFERROR(VLOOKUP($A515, manifest!$A:$E, 5, FALSE), ""), IF(OR(_xlpm.v=0, _xlpm.v=""), "", _xlpm.v))</f>
        <v>female</v>
      </c>
    </row>
    <row r="516" spans="1:9" x14ac:dyDescent="0.6">
      <c r="A516">
        <v>98</v>
      </c>
      <c r="B516" t="s">
        <v>7</v>
      </c>
      <c r="C516" t="s">
        <v>8</v>
      </c>
      <c r="D516">
        <v>190.56</v>
      </c>
      <c r="E516">
        <v>169.89</v>
      </c>
      <c r="F516">
        <v>36585</v>
      </c>
      <c r="G516" t="s">
        <v>9</v>
      </c>
      <c r="H516">
        <f>_xlfn.LET(_xlpm.v, IFERROR(VLOOKUP($A516, manifest!$A:$E, 3, FALSE), ""), IF(OR(_xlpm.v=0, _xlpm.v=""), "", _xlpm.v))</f>
        <v>54</v>
      </c>
      <c r="I516" t="str">
        <f>_xlfn.LET(_xlpm.v, IFERROR(VLOOKUP($A516, manifest!$A:$E, 5, FALSE), ""), IF(OR(_xlpm.v=0, _xlpm.v=""), "", _xlpm.v))</f>
        <v>male</v>
      </c>
    </row>
    <row r="517" spans="1:9" x14ac:dyDescent="0.6">
      <c r="A517">
        <v>98</v>
      </c>
      <c r="B517" t="s">
        <v>7</v>
      </c>
      <c r="C517" t="s">
        <v>10</v>
      </c>
      <c r="D517">
        <v>180.68</v>
      </c>
      <c r="E517">
        <v>164.65</v>
      </c>
      <c r="F517">
        <v>42828</v>
      </c>
      <c r="H517">
        <f>_xlfn.LET(_xlpm.v, IFERROR(VLOOKUP($A517, manifest!$A:$E, 3, FALSE), ""), IF(OR(_xlpm.v=0, _xlpm.v=""), "", _xlpm.v))</f>
        <v>54</v>
      </c>
      <c r="I517" t="str">
        <f>_xlfn.LET(_xlpm.v, IFERROR(VLOOKUP($A517, manifest!$A:$E, 5, FALSE), ""), IF(OR(_xlpm.v=0, _xlpm.v=""), "", _xlpm.v))</f>
        <v>male</v>
      </c>
    </row>
    <row r="518" spans="1:9" x14ac:dyDescent="0.6">
      <c r="A518">
        <v>98</v>
      </c>
      <c r="B518" t="s">
        <v>7</v>
      </c>
      <c r="C518" t="s">
        <v>11</v>
      </c>
      <c r="D518">
        <v>157.16999999999999</v>
      </c>
      <c r="E518">
        <v>144.55000000000001</v>
      </c>
      <c r="F518">
        <v>52735</v>
      </c>
      <c r="H518">
        <f>_xlfn.LET(_xlpm.v, IFERROR(VLOOKUP($A518, manifest!$A:$E, 3, FALSE), ""), IF(OR(_xlpm.v=0, _xlpm.v=""), "", _xlpm.v))</f>
        <v>54</v>
      </c>
      <c r="I518" t="str">
        <f>_xlfn.LET(_xlpm.v, IFERROR(VLOOKUP($A518, manifest!$A:$E, 5, FALSE), ""), IF(OR(_xlpm.v=0, _xlpm.v=""), "", _xlpm.v))</f>
        <v>male</v>
      </c>
    </row>
    <row r="519" spans="1:9" x14ac:dyDescent="0.6">
      <c r="A519">
        <v>98</v>
      </c>
      <c r="B519" t="s">
        <v>7</v>
      </c>
      <c r="C519" t="s">
        <v>12</v>
      </c>
      <c r="D519">
        <v>187.09</v>
      </c>
      <c r="E519">
        <v>169.29</v>
      </c>
      <c r="F519">
        <v>50220</v>
      </c>
      <c r="H519">
        <f>_xlfn.LET(_xlpm.v, IFERROR(VLOOKUP($A519, manifest!$A:$E, 3, FALSE), ""), IF(OR(_xlpm.v=0, _xlpm.v=""), "", _xlpm.v))</f>
        <v>54</v>
      </c>
      <c r="I519" t="str">
        <f>_xlfn.LET(_xlpm.v, IFERROR(VLOOKUP($A519, manifest!$A:$E, 5, FALSE), ""), IF(OR(_xlpm.v=0, _xlpm.v=""), "", _xlpm.v))</f>
        <v>male</v>
      </c>
    </row>
    <row r="520" spans="1:9" x14ac:dyDescent="0.6">
      <c r="A520">
        <v>98</v>
      </c>
      <c r="B520" t="s">
        <v>7</v>
      </c>
      <c r="C520" t="s">
        <v>13</v>
      </c>
      <c r="D520">
        <v>231.55</v>
      </c>
      <c r="E520">
        <v>216.11</v>
      </c>
      <c r="F520">
        <v>56657</v>
      </c>
      <c r="H520">
        <f>_xlfn.LET(_xlpm.v, IFERROR(VLOOKUP($A520, manifest!$A:$E, 3, FALSE), ""), IF(OR(_xlpm.v=0, _xlpm.v=""), "", _xlpm.v))</f>
        <v>54</v>
      </c>
      <c r="I520" t="str">
        <f>_xlfn.LET(_xlpm.v, IFERROR(VLOOKUP($A520, manifest!$A:$E, 5, FALSE), ""), IF(OR(_xlpm.v=0, _xlpm.v=""), "", _xlpm.v))</f>
        <v>male</v>
      </c>
    </row>
    <row r="521" spans="1:9" x14ac:dyDescent="0.6">
      <c r="A521">
        <v>114</v>
      </c>
      <c r="B521" t="s">
        <v>14</v>
      </c>
      <c r="C521" t="s">
        <v>8</v>
      </c>
      <c r="D521">
        <v>191.79</v>
      </c>
      <c r="E521">
        <v>157.61000000000001</v>
      </c>
      <c r="F521">
        <v>27860</v>
      </c>
      <c r="G521" t="s">
        <v>9</v>
      </c>
      <c r="H521">
        <f>_xlfn.LET(_xlpm.v, IFERROR(VLOOKUP($A521, manifest!$A:$E, 3, FALSE), ""), IF(OR(_xlpm.v=0, _xlpm.v=""), "", _xlpm.v))</f>
        <v>53</v>
      </c>
      <c r="I521" t="str">
        <f>_xlfn.LET(_xlpm.v, IFERROR(VLOOKUP($A521, manifest!$A:$E, 5, FALSE), ""), IF(OR(_xlpm.v=0, _xlpm.v=""), "", _xlpm.v))</f>
        <v>female</v>
      </c>
    </row>
    <row r="522" spans="1:9" x14ac:dyDescent="0.6">
      <c r="A522">
        <v>114</v>
      </c>
      <c r="B522" t="s">
        <v>14</v>
      </c>
      <c r="C522" t="s">
        <v>10</v>
      </c>
      <c r="D522">
        <v>185.85</v>
      </c>
      <c r="E522">
        <v>165.06</v>
      </c>
      <c r="F522">
        <v>28706</v>
      </c>
      <c r="H522">
        <f>_xlfn.LET(_xlpm.v, IFERROR(VLOOKUP($A522, manifest!$A:$E, 3, FALSE), ""), IF(OR(_xlpm.v=0, _xlpm.v=""), "", _xlpm.v))</f>
        <v>53</v>
      </c>
      <c r="I522" t="str">
        <f>_xlfn.LET(_xlpm.v, IFERROR(VLOOKUP($A522, manifest!$A:$E, 5, FALSE), ""), IF(OR(_xlpm.v=0, _xlpm.v=""), "", _xlpm.v))</f>
        <v>female</v>
      </c>
    </row>
    <row r="523" spans="1:9" x14ac:dyDescent="0.6">
      <c r="A523">
        <v>114</v>
      </c>
      <c r="B523" t="s">
        <v>14</v>
      </c>
      <c r="C523" t="s">
        <v>11</v>
      </c>
      <c r="D523">
        <v>197.13</v>
      </c>
      <c r="E523">
        <v>179.14</v>
      </c>
      <c r="F523">
        <v>32446</v>
      </c>
      <c r="H523">
        <f>_xlfn.LET(_xlpm.v, IFERROR(VLOOKUP($A523, manifest!$A:$E, 3, FALSE), ""), IF(OR(_xlpm.v=0, _xlpm.v=""), "", _xlpm.v))</f>
        <v>53</v>
      </c>
      <c r="I523" t="str">
        <f>_xlfn.LET(_xlpm.v, IFERROR(VLOOKUP($A523, manifest!$A:$E, 5, FALSE), ""), IF(OR(_xlpm.v=0, _xlpm.v=""), "", _xlpm.v))</f>
        <v>female</v>
      </c>
    </row>
    <row r="524" spans="1:9" x14ac:dyDescent="0.6">
      <c r="A524">
        <v>114</v>
      </c>
      <c r="B524" t="s">
        <v>14</v>
      </c>
      <c r="C524" t="s">
        <v>12</v>
      </c>
      <c r="D524">
        <v>199.2</v>
      </c>
      <c r="E524">
        <v>194.17</v>
      </c>
      <c r="F524">
        <v>35097</v>
      </c>
      <c r="H524">
        <f>_xlfn.LET(_xlpm.v, IFERROR(VLOOKUP($A524, manifest!$A:$E, 3, FALSE), ""), IF(OR(_xlpm.v=0, _xlpm.v=""), "", _xlpm.v))</f>
        <v>53</v>
      </c>
      <c r="I524" t="str">
        <f>_xlfn.LET(_xlpm.v, IFERROR(VLOOKUP($A524, manifest!$A:$E, 5, FALSE), ""), IF(OR(_xlpm.v=0, _xlpm.v=""), "", _xlpm.v))</f>
        <v>female</v>
      </c>
    </row>
    <row r="525" spans="1:9" x14ac:dyDescent="0.6">
      <c r="A525">
        <v>114</v>
      </c>
      <c r="B525" t="s">
        <v>14</v>
      </c>
      <c r="C525" t="s">
        <v>13</v>
      </c>
      <c r="D525">
        <v>224.78</v>
      </c>
      <c r="E525">
        <v>181.24</v>
      </c>
      <c r="F525">
        <v>47519</v>
      </c>
      <c r="H525">
        <f>_xlfn.LET(_xlpm.v, IFERROR(VLOOKUP($A525, manifest!$A:$E, 3, FALSE), ""), IF(OR(_xlpm.v=0, _xlpm.v=""), "", _xlpm.v))</f>
        <v>53</v>
      </c>
      <c r="I525" t="str">
        <f>_xlfn.LET(_xlpm.v, IFERROR(VLOOKUP($A525, manifest!$A:$E, 5, FALSE), ""), IF(OR(_xlpm.v=0, _xlpm.v=""), "", _xlpm.v))</f>
        <v>female</v>
      </c>
    </row>
    <row r="526" spans="1:9" x14ac:dyDescent="0.6">
      <c r="A526">
        <v>103</v>
      </c>
      <c r="B526" t="s">
        <v>7</v>
      </c>
      <c r="C526" t="s">
        <v>8</v>
      </c>
      <c r="D526">
        <v>261.63</v>
      </c>
      <c r="E526">
        <v>114.81</v>
      </c>
      <c r="F526">
        <v>25926</v>
      </c>
      <c r="G526" t="s">
        <v>9</v>
      </c>
      <c r="H526">
        <f>_xlfn.LET(_xlpm.v, IFERROR(VLOOKUP($A526, manifest!$A:$E, 3, FALSE), ""), IF(OR(_xlpm.v=0, _xlpm.v=""), "", _xlpm.v))</f>
        <v>57</v>
      </c>
      <c r="I526" t="str">
        <f>_xlfn.LET(_xlpm.v, IFERROR(VLOOKUP($A526, manifest!$A:$E, 5, FALSE), ""), IF(OR(_xlpm.v=0, _xlpm.v=""), "", _xlpm.v))</f>
        <v>female</v>
      </c>
    </row>
    <row r="527" spans="1:9" x14ac:dyDescent="0.6">
      <c r="A527">
        <v>103</v>
      </c>
      <c r="B527" t="s">
        <v>7</v>
      </c>
      <c r="C527" t="s">
        <v>10</v>
      </c>
      <c r="D527">
        <v>276.01</v>
      </c>
      <c r="E527">
        <v>153.69</v>
      </c>
      <c r="F527">
        <v>29857</v>
      </c>
      <c r="H527">
        <f>_xlfn.LET(_xlpm.v, IFERROR(VLOOKUP($A527, manifest!$A:$E, 3, FALSE), ""), IF(OR(_xlpm.v=0, _xlpm.v=""), "", _xlpm.v))</f>
        <v>57</v>
      </c>
      <c r="I527" t="str">
        <f>_xlfn.LET(_xlpm.v, IFERROR(VLOOKUP($A527, manifest!$A:$E, 5, FALSE), ""), IF(OR(_xlpm.v=0, _xlpm.v=""), "", _xlpm.v))</f>
        <v>female</v>
      </c>
    </row>
    <row r="528" spans="1:9" x14ac:dyDescent="0.6">
      <c r="A528">
        <v>103</v>
      </c>
      <c r="B528" t="s">
        <v>7</v>
      </c>
      <c r="C528" t="s">
        <v>11</v>
      </c>
      <c r="D528">
        <v>287.2</v>
      </c>
      <c r="E528">
        <v>201.93</v>
      </c>
      <c r="F528">
        <v>30953</v>
      </c>
      <c r="H528">
        <f>_xlfn.LET(_xlpm.v, IFERROR(VLOOKUP($A528, manifest!$A:$E, 3, FALSE), ""), IF(OR(_xlpm.v=0, _xlpm.v=""), "", _xlpm.v))</f>
        <v>57</v>
      </c>
      <c r="I528" t="str">
        <f>_xlfn.LET(_xlpm.v, IFERROR(VLOOKUP($A528, manifest!$A:$E, 5, FALSE), ""), IF(OR(_xlpm.v=0, _xlpm.v=""), "", _xlpm.v))</f>
        <v>female</v>
      </c>
    </row>
    <row r="529" spans="1:9" x14ac:dyDescent="0.6">
      <c r="A529">
        <v>103</v>
      </c>
      <c r="B529" t="s">
        <v>7</v>
      </c>
      <c r="C529" t="s">
        <v>12</v>
      </c>
      <c r="D529">
        <v>256.97000000000003</v>
      </c>
      <c r="E529">
        <v>178.05</v>
      </c>
      <c r="F529">
        <v>32959</v>
      </c>
      <c r="H529">
        <f>_xlfn.LET(_xlpm.v, IFERROR(VLOOKUP($A529, manifest!$A:$E, 3, FALSE), ""), IF(OR(_xlpm.v=0, _xlpm.v=""), "", _xlpm.v))</f>
        <v>57</v>
      </c>
      <c r="I529" t="str">
        <f>_xlfn.LET(_xlpm.v, IFERROR(VLOOKUP($A529, manifest!$A:$E, 5, FALSE), ""), IF(OR(_xlpm.v=0, _xlpm.v=""), "", _xlpm.v))</f>
        <v>female</v>
      </c>
    </row>
    <row r="530" spans="1:9" x14ac:dyDescent="0.6">
      <c r="A530">
        <v>103</v>
      </c>
      <c r="B530" t="s">
        <v>7</v>
      </c>
      <c r="C530" t="s">
        <v>13</v>
      </c>
      <c r="D530">
        <v>256.25</v>
      </c>
      <c r="E530">
        <v>145.32</v>
      </c>
      <c r="F530">
        <v>53653</v>
      </c>
      <c r="H530">
        <f>_xlfn.LET(_xlpm.v, IFERROR(VLOOKUP($A530, manifest!$A:$E, 3, FALSE), ""), IF(OR(_xlpm.v=0, _xlpm.v=""), "", _xlpm.v))</f>
        <v>57</v>
      </c>
      <c r="I530" t="str">
        <f>_xlfn.LET(_xlpm.v, IFERROR(VLOOKUP($A530, manifest!$A:$E, 5, FALSE), ""), IF(OR(_xlpm.v=0, _xlpm.v=""), "", _xlpm.v))</f>
        <v>female</v>
      </c>
    </row>
    <row r="531" spans="1:9" x14ac:dyDescent="0.6">
      <c r="A531">
        <v>132</v>
      </c>
      <c r="B531" t="s">
        <v>14</v>
      </c>
      <c r="C531" t="s">
        <v>8</v>
      </c>
      <c r="D531">
        <v>224.93</v>
      </c>
      <c r="E531">
        <v>146.33000000000001</v>
      </c>
      <c r="F531">
        <v>18803</v>
      </c>
      <c r="G531" t="s">
        <v>9</v>
      </c>
      <c r="H531" t="str">
        <f>_xlfn.LET(_xlpm.v, IFERROR(VLOOKUP($A531, manifest!$A:$E, 3, FALSE), ""), IF(OR(_xlpm.v=0, _xlpm.v=""), "", _xlpm.v))</f>
        <v/>
      </c>
      <c r="I531" t="str">
        <f>_xlfn.LET(_xlpm.v, IFERROR(VLOOKUP($A531, manifest!$A:$E, 5, FALSE), ""), IF(OR(_xlpm.v=0, _xlpm.v=""), "", _xlpm.v))</f>
        <v>female</v>
      </c>
    </row>
    <row r="532" spans="1:9" x14ac:dyDescent="0.6">
      <c r="A532">
        <v>132</v>
      </c>
      <c r="B532" t="s">
        <v>14</v>
      </c>
      <c r="C532" t="s">
        <v>10</v>
      </c>
      <c r="D532">
        <v>239.47</v>
      </c>
      <c r="E532">
        <v>200.18</v>
      </c>
      <c r="F532">
        <v>22307</v>
      </c>
      <c r="H532" t="str">
        <f>_xlfn.LET(_xlpm.v, IFERROR(VLOOKUP($A532, manifest!$A:$E, 3, FALSE), ""), IF(OR(_xlpm.v=0, _xlpm.v=""), "", _xlpm.v))</f>
        <v/>
      </c>
      <c r="I532" t="str">
        <f>_xlfn.LET(_xlpm.v, IFERROR(VLOOKUP($A532, manifest!$A:$E, 5, FALSE), ""), IF(OR(_xlpm.v=0, _xlpm.v=""), "", _xlpm.v))</f>
        <v>female</v>
      </c>
    </row>
    <row r="533" spans="1:9" x14ac:dyDescent="0.6">
      <c r="A533">
        <v>132</v>
      </c>
      <c r="B533" t="s">
        <v>14</v>
      </c>
      <c r="C533" t="s">
        <v>11</v>
      </c>
      <c r="D533">
        <v>248.65</v>
      </c>
      <c r="E533">
        <v>208.68</v>
      </c>
      <c r="F533">
        <v>26174</v>
      </c>
      <c r="H533" t="str">
        <f>_xlfn.LET(_xlpm.v, IFERROR(VLOOKUP($A533, manifest!$A:$E, 3, FALSE), ""), IF(OR(_xlpm.v=0, _xlpm.v=""), "", _xlpm.v))</f>
        <v/>
      </c>
      <c r="I533" t="str">
        <f>_xlfn.LET(_xlpm.v, IFERROR(VLOOKUP($A533, manifest!$A:$E, 5, FALSE), ""), IF(OR(_xlpm.v=0, _xlpm.v=""), "", _xlpm.v))</f>
        <v>female</v>
      </c>
    </row>
    <row r="534" spans="1:9" x14ac:dyDescent="0.6">
      <c r="A534">
        <v>132</v>
      </c>
      <c r="B534" t="s">
        <v>14</v>
      </c>
      <c r="C534" t="s">
        <v>12</v>
      </c>
      <c r="D534">
        <v>236.99</v>
      </c>
      <c r="E534">
        <v>209.83</v>
      </c>
      <c r="F534">
        <v>29034</v>
      </c>
      <c r="H534" t="str">
        <f>_xlfn.LET(_xlpm.v, IFERROR(VLOOKUP($A534, manifest!$A:$E, 3, FALSE), ""), IF(OR(_xlpm.v=0, _xlpm.v=""), "", _xlpm.v))</f>
        <v/>
      </c>
      <c r="I534" t="str">
        <f>_xlfn.LET(_xlpm.v, IFERROR(VLOOKUP($A534, manifest!$A:$E, 5, FALSE), ""), IF(OR(_xlpm.v=0, _xlpm.v=""), "", _xlpm.v))</f>
        <v>female</v>
      </c>
    </row>
    <row r="535" spans="1:9" x14ac:dyDescent="0.6">
      <c r="A535">
        <v>132</v>
      </c>
      <c r="B535" t="s">
        <v>14</v>
      </c>
      <c r="C535" t="s">
        <v>13</v>
      </c>
      <c r="D535">
        <v>268.73</v>
      </c>
      <c r="E535">
        <v>217.39</v>
      </c>
      <c r="F535">
        <v>35508</v>
      </c>
      <c r="H535" t="str">
        <f>_xlfn.LET(_xlpm.v, IFERROR(VLOOKUP($A535, manifest!$A:$E, 3, FALSE), ""), IF(OR(_xlpm.v=0, _xlpm.v=""), "", _xlpm.v))</f>
        <v/>
      </c>
      <c r="I535" t="str">
        <f>_xlfn.LET(_xlpm.v, IFERROR(VLOOKUP($A535, manifest!$A:$E, 5, FALSE), ""), IF(OR(_xlpm.v=0, _xlpm.v=""), "", _xlpm.v))</f>
        <v>female</v>
      </c>
    </row>
    <row r="536" spans="1:9" x14ac:dyDescent="0.6">
      <c r="A536">
        <v>100</v>
      </c>
      <c r="B536" t="s">
        <v>7</v>
      </c>
      <c r="C536" t="s">
        <v>8</v>
      </c>
      <c r="D536">
        <v>258.12</v>
      </c>
      <c r="E536">
        <v>168.01</v>
      </c>
      <c r="F536">
        <v>27435</v>
      </c>
      <c r="G536" t="s">
        <v>9</v>
      </c>
      <c r="H536">
        <f>_xlfn.LET(_xlpm.v, IFERROR(VLOOKUP($A536, manifest!$A:$E, 3, FALSE), ""), IF(OR(_xlpm.v=0, _xlpm.v=""), "", _xlpm.v))</f>
        <v>56</v>
      </c>
      <c r="I536" t="str">
        <f>_xlfn.LET(_xlpm.v, IFERROR(VLOOKUP($A536, manifest!$A:$E, 5, FALSE), ""), IF(OR(_xlpm.v=0, _xlpm.v=""), "", _xlpm.v))</f>
        <v>male</v>
      </c>
    </row>
    <row r="537" spans="1:9" x14ac:dyDescent="0.6">
      <c r="A537">
        <v>100</v>
      </c>
      <c r="B537" t="s">
        <v>7</v>
      </c>
      <c r="C537" t="s">
        <v>10</v>
      </c>
      <c r="D537">
        <v>282.58999999999997</v>
      </c>
      <c r="E537">
        <v>222.14</v>
      </c>
      <c r="F537">
        <v>27916</v>
      </c>
      <c r="H537">
        <f>_xlfn.LET(_xlpm.v, IFERROR(VLOOKUP($A537, manifest!$A:$E, 3, FALSE), ""), IF(OR(_xlpm.v=0, _xlpm.v=""), "", _xlpm.v))</f>
        <v>56</v>
      </c>
      <c r="I537" t="str">
        <f>_xlfn.LET(_xlpm.v, IFERROR(VLOOKUP($A537, manifest!$A:$E, 5, FALSE), ""), IF(OR(_xlpm.v=0, _xlpm.v=""), "", _xlpm.v))</f>
        <v>male</v>
      </c>
    </row>
    <row r="538" spans="1:9" x14ac:dyDescent="0.6">
      <c r="A538">
        <v>100</v>
      </c>
      <c r="B538" t="s">
        <v>7</v>
      </c>
      <c r="C538" t="s">
        <v>11</v>
      </c>
      <c r="D538">
        <v>283.83999999999997</v>
      </c>
      <c r="E538">
        <v>245.04</v>
      </c>
      <c r="F538">
        <v>32446</v>
      </c>
      <c r="H538">
        <f>_xlfn.LET(_xlpm.v, IFERROR(VLOOKUP($A538, manifest!$A:$E, 3, FALSE), ""), IF(OR(_xlpm.v=0, _xlpm.v=""), "", _xlpm.v))</f>
        <v>56</v>
      </c>
      <c r="I538" t="str">
        <f>_xlfn.LET(_xlpm.v, IFERROR(VLOOKUP($A538, manifest!$A:$E, 5, FALSE), ""), IF(OR(_xlpm.v=0, _xlpm.v=""), "", _xlpm.v))</f>
        <v>male</v>
      </c>
    </row>
    <row r="539" spans="1:9" x14ac:dyDescent="0.6">
      <c r="A539">
        <v>100</v>
      </c>
      <c r="B539" t="s">
        <v>7</v>
      </c>
      <c r="C539" t="s">
        <v>12</v>
      </c>
      <c r="D539">
        <v>309.67</v>
      </c>
      <c r="E539">
        <v>293.86</v>
      </c>
      <c r="F539">
        <v>39975</v>
      </c>
      <c r="H539">
        <f>_xlfn.LET(_xlpm.v, IFERROR(VLOOKUP($A539, manifest!$A:$E, 3, FALSE), ""), IF(OR(_xlpm.v=0, _xlpm.v=""), "", _xlpm.v))</f>
        <v>56</v>
      </c>
      <c r="I539" t="str">
        <f>_xlfn.LET(_xlpm.v, IFERROR(VLOOKUP($A539, manifest!$A:$E, 5, FALSE), ""), IF(OR(_xlpm.v=0, _xlpm.v=""), "", _xlpm.v))</f>
        <v>male</v>
      </c>
    </row>
    <row r="540" spans="1:9" x14ac:dyDescent="0.6">
      <c r="A540">
        <v>100</v>
      </c>
      <c r="B540" t="s">
        <v>7</v>
      </c>
      <c r="C540" t="s">
        <v>13</v>
      </c>
      <c r="D540">
        <v>324.68</v>
      </c>
      <c r="E540">
        <v>265.48</v>
      </c>
      <c r="F540">
        <v>46966</v>
      </c>
      <c r="H540">
        <f>_xlfn.LET(_xlpm.v, IFERROR(VLOOKUP($A540, manifest!$A:$E, 3, FALSE), ""), IF(OR(_xlpm.v=0, _xlpm.v=""), "", _xlpm.v))</f>
        <v>56</v>
      </c>
      <c r="I540" t="str">
        <f>_xlfn.LET(_xlpm.v, IFERROR(VLOOKUP($A540, manifest!$A:$E, 5, FALSE), ""), IF(OR(_xlpm.v=0, _xlpm.v=""), "", _xlpm.v))</f>
        <v>male</v>
      </c>
    </row>
    <row r="541" spans="1:9" x14ac:dyDescent="0.6">
      <c r="A541">
        <v>120</v>
      </c>
      <c r="B541" t="s">
        <v>14</v>
      </c>
      <c r="C541" t="s">
        <v>8</v>
      </c>
      <c r="D541">
        <v>148.16999999999999</v>
      </c>
      <c r="E541">
        <v>75.03</v>
      </c>
      <c r="F541">
        <v>24129</v>
      </c>
      <c r="G541" t="s">
        <v>15</v>
      </c>
      <c r="H541">
        <f>_xlfn.LET(_xlpm.v, IFERROR(VLOOKUP($A541, manifest!$A:$E, 3, FALSE), ""), IF(OR(_xlpm.v=0, _xlpm.v=""), "", _xlpm.v))</f>
        <v>60</v>
      </c>
      <c r="I541" t="str">
        <f>_xlfn.LET(_xlpm.v, IFERROR(VLOOKUP($A541, manifest!$A:$E, 5, FALSE), ""), IF(OR(_xlpm.v=0, _xlpm.v=""), "", _xlpm.v))</f>
        <v>male</v>
      </c>
    </row>
    <row r="542" spans="1:9" x14ac:dyDescent="0.6">
      <c r="A542">
        <v>120</v>
      </c>
      <c r="B542" t="s">
        <v>14</v>
      </c>
      <c r="C542" t="s">
        <v>10</v>
      </c>
      <c r="D542">
        <v>158.93</v>
      </c>
      <c r="E542">
        <v>99.44</v>
      </c>
      <c r="F542">
        <v>23570</v>
      </c>
      <c r="H542">
        <f>_xlfn.LET(_xlpm.v, IFERROR(VLOOKUP($A542, manifest!$A:$E, 3, FALSE), ""), IF(OR(_xlpm.v=0, _xlpm.v=""), "", _xlpm.v))</f>
        <v>60</v>
      </c>
      <c r="I542" t="str">
        <f>_xlfn.LET(_xlpm.v, IFERROR(VLOOKUP($A542, manifest!$A:$E, 5, FALSE), ""), IF(OR(_xlpm.v=0, _xlpm.v=""), "", _xlpm.v))</f>
        <v>male</v>
      </c>
    </row>
    <row r="543" spans="1:9" x14ac:dyDescent="0.6">
      <c r="A543">
        <v>120</v>
      </c>
      <c r="B543" t="s">
        <v>14</v>
      </c>
      <c r="C543" t="s">
        <v>11</v>
      </c>
      <c r="D543">
        <v>151.56</v>
      </c>
      <c r="E543">
        <v>89.01</v>
      </c>
      <c r="F543">
        <v>30899</v>
      </c>
      <c r="H543">
        <f>_xlfn.LET(_xlpm.v, IFERROR(VLOOKUP($A543, manifest!$A:$E, 3, FALSE), ""), IF(OR(_xlpm.v=0, _xlpm.v=""), "", _xlpm.v))</f>
        <v>60</v>
      </c>
      <c r="I543" t="str">
        <f>_xlfn.LET(_xlpm.v, IFERROR(VLOOKUP($A543, manifest!$A:$E, 5, FALSE), ""), IF(OR(_xlpm.v=0, _xlpm.v=""), "", _xlpm.v))</f>
        <v>male</v>
      </c>
    </row>
    <row r="544" spans="1:9" x14ac:dyDescent="0.6">
      <c r="A544">
        <v>120</v>
      </c>
      <c r="B544" t="s">
        <v>14</v>
      </c>
      <c r="C544" t="s">
        <v>12</v>
      </c>
      <c r="D544">
        <v>180.99</v>
      </c>
      <c r="E544">
        <v>120.58</v>
      </c>
      <c r="F544">
        <v>34607</v>
      </c>
      <c r="H544">
        <f>_xlfn.LET(_xlpm.v, IFERROR(VLOOKUP($A544, manifest!$A:$E, 3, FALSE), ""), IF(OR(_xlpm.v=0, _xlpm.v=""), "", _xlpm.v))</f>
        <v>60</v>
      </c>
      <c r="I544" t="str">
        <f>_xlfn.LET(_xlpm.v, IFERROR(VLOOKUP($A544, manifest!$A:$E, 5, FALSE), ""), IF(OR(_xlpm.v=0, _xlpm.v=""), "", _xlpm.v))</f>
        <v>male</v>
      </c>
    </row>
    <row r="545" spans="1:9" x14ac:dyDescent="0.6">
      <c r="A545">
        <v>120</v>
      </c>
      <c r="B545" t="s">
        <v>14</v>
      </c>
      <c r="C545" t="s">
        <v>13</v>
      </c>
      <c r="D545">
        <v>160.25</v>
      </c>
      <c r="E545">
        <v>90.82</v>
      </c>
      <c r="F545">
        <v>45080</v>
      </c>
      <c r="H545">
        <f>_xlfn.LET(_xlpm.v, IFERROR(VLOOKUP($A545, manifest!$A:$E, 3, FALSE), ""), IF(OR(_xlpm.v=0, _xlpm.v=""), "", _xlpm.v))</f>
        <v>60</v>
      </c>
      <c r="I545" t="str">
        <f>_xlfn.LET(_xlpm.v, IFERROR(VLOOKUP($A545, manifest!$A:$E, 5, FALSE), ""), IF(OR(_xlpm.v=0, _xlpm.v=""), "", _xlpm.v))</f>
        <v>male</v>
      </c>
    </row>
    <row r="546" spans="1:9" x14ac:dyDescent="0.6">
      <c r="A546">
        <v>110</v>
      </c>
      <c r="B546" t="s">
        <v>14</v>
      </c>
      <c r="C546" t="s">
        <v>8</v>
      </c>
      <c r="D546">
        <v>219.56</v>
      </c>
      <c r="E546">
        <v>150.75</v>
      </c>
      <c r="F546">
        <v>31349</v>
      </c>
      <c r="G546" t="s">
        <v>9</v>
      </c>
      <c r="H546">
        <f>_xlfn.LET(_xlpm.v, IFERROR(VLOOKUP($A546, manifest!$A:$E, 3, FALSE), ""), IF(OR(_xlpm.v=0, _xlpm.v=""), "", _xlpm.v))</f>
        <v>58</v>
      </c>
      <c r="I546" t="str">
        <f>_xlfn.LET(_xlpm.v, IFERROR(VLOOKUP($A546, manifest!$A:$E, 5, FALSE), ""), IF(OR(_xlpm.v=0, _xlpm.v=""), "", _xlpm.v))</f>
        <v>male</v>
      </c>
    </row>
    <row r="547" spans="1:9" x14ac:dyDescent="0.6">
      <c r="A547">
        <v>110</v>
      </c>
      <c r="B547" t="s">
        <v>14</v>
      </c>
      <c r="C547" t="s">
        <v>10</v>
      </c>
      <c r="D547">
        <v>241.63</v>
      </c>
      <c r="E547">
        <v>203.69</v>
      </c>
      <c r="F547">
        <v>36519</v>
      </c>
      <c r="H547">
        <f>_xlfn.LET(_xlpm.v, IFERROR(VLOOKUP($A547, manifest!$A:$E, 3, FALSE), ""), IF(OR(_xlpm.v=0, _xlpm.v=""), "", _xlpm.v))</f>
        <v>58</v>
      </c>
      <c r="I547" t="str">
        <f>_xlfn.LET(_xlpm.v, IFERROR(VLOOKUP($A547, manifest!$A:$E, 5, FALSE), ""), IF(OR(_xlpm.v=0, _xlpm.v=""), "", _xlpm.v))</f>
        <v>male</v>
      </c>
    </row>
    <row r="548" spans="1:9" x14ac:dyDescent="0.6">
      <c r="A548">
        <v>110</v>
      </c>
      <c r="B548" t="s">
        <v>14</v>
      </c>
      <c r="C548" t="s">
        <v>11</v>
      </c>
      <c r="D548">
        <v>226.73</v>
      </c>
      <c r="E548">
        <v>180.41</v>
      </c>
      <c r="F548">
        <v>42891</v>
      </c>
      <c r="H548">
        <f>_xlfn.LET(_xlpm.v, IFERROR(VLOOKUP($A548, manifest!$A:$E, 3, FALSE), ""), IF(OR(_xlpm.v=0, _xlpm.v=""), "", _xlpm.v))</f>
        <v>58</v>
      </c>
      <c r="I548" t="str">
        <f>_xlfn.LET(_xlpm.v, IFERROR(VLOOKUP($A548, manifest!$A:$E, 5, FALSE), ""), IF(OR(_xlpm.v=0, _xlpm.v=""), "", _xlpm.v))</f>
        <v>male</v>
      </c>
    </row>
    <row r="549" spans="1:9" x14ac:dyDescent="0.6">
      <c r="A549">
        <v>110</v>
      </c>
      <c r="B549" t="s">
        <v>14</v>
      </c>
      <c r="C549" t="s">
        <v>12</v>
      </c>
      <c r="D549">
        <v>214.6</v>
      </c>
      <c r="E549">
        <v>154.86000000000001</v>
      </c>
      <c r="F549">
        <v>51547</v>
      </c>
      <c r="H549">
        <f>_xlfn.LET(_xlpm.v, IFERROR(VLOOKUP($A549, manifest!$A:$E, 3, FALSE), ""), IF(OR(_xlpm.v=0, _xlpm.v=""), "", _xlpm.v))</f>
        <v>58</v>
      </c>
      <c r="I549" t="str">
        <f>_xlfn.LET(_xlpm.v, IFERROR(VLOOKUP($A549, manifest!$A:$E, 5, FALSE), ""), IF(OR(_xlpm.v=0, _xlpm.v=""), "", _xlpm.v))</f>
        <v>male</v>
      </c>
    </row>
    <row r="550" spans="1:9" x14ac:dyDescent="0.6">
      <c r="A550">
        <v>99</v>
      </c>
      <c r="B550" t="s">
        <v>14</v>
      </c>
      <c r="C550" t="s">
        <v>8</v>
      </c>
      <c r="D550">
        <v>246.66</v>
      </c>
      <c r="E550">
        <v>170.09</v>
      </c>
      <c r="F550">
        <v>27965</v>
      </c>
      <c r="G550" t="s">
        <v>9</v>
      </c>
      <c r="H550">
        <f>_xlfn.LET(_xlpm.v, IFERROR(VLOOKUP($A550, manifest!$A:$E, 3, FALSE), ""), IF(OR(_xlpm.v=0, _xlpm.v=""), "", _xlpm.v))</f>
        <v>50</v>
      </c>
      <c r="I550" t="str">
        <f>_xlfn.LET(_xlpm.v, IFERROR(VLOOKUP($A550, manifest!$A:$E, 5, FALSE), ""), IF(OR(_xlpm.v=0, _xlpm.v=""), "", _xlpm.v))</f>
        <v>female</v>
      </c>
    </row>
    <row r="551" spans="1:9" x14ac:dyDescent="0.6">
      <c r="A551">
        <v>99</v>
      </c>
      <c r="B551" t="s">
        <v>14</v>
      </c>
      <c r="C551" t="s">
        <v>10</v>
      </c>
      <c r="D551">
        <v>279.27999999999997</v>
      </c>
      <c r="E551">
        <v>213.36</v>
      </c>
      <c r="F551">
        <v>31578</v>
      </c>
      <c r="H551">
        <f>_xlfn.LET(_xlpm.v, IFERROR(VLOOKUP($A551, manifest!$A:$E, 3, FALSE), ""), IF(OR(_xlpm.v=0, _xlpm.v=""), "", _xlpm.v))</f>
        <v>50</v>
      </c>
      <c r="I551" t="str">
        <f>_xlfn.LET(_xlpm.v, IFERROR(VLOOKUP($A551, manifest!$A:$E, 5, FALSE), ""), IF(OR(_xlpm.v=0, _xlpm.v=""), "", _xlpm.v))</f>
        <v>female</v>
      </c>
    </row>
    <row r="552" spans="1:9" x14ac:dyDescent="0.6">
      <c r="A552">
        <v>99</v>
      </c>
      <c r="B552" t="s">
        <v>14</v>
      </c>
      <c r="C552" t="s">
        <v>11</v>
      </c>
      <c r="D552">
        <v>264.8</v>
      </c>
      <c r="E552">
        <v>198.88</v>
      </c>
      <c r="F552">
        <v>35450</v>
      </c>
      <c r="H552">
        <f>_xlfn.LET(_xlpm.v, IFERROR(VLOOKUP($A552, manifest!$A:$E, 3, FALSE), ""), IF(OR(_xlpm.v=0, _xlpm.v=""), "", _xlpm.v))</f>
        <v>50</v>
      </c>
      <c r="I552" t="str">
        <f>_xlfn.LET(_xlpm.v, IFERROR(VLOOKUP($A552, manifest!$A:$E, 5, FALSE), ""), IF(OR(_xlpm.v=0, _xlpm.v=""), "", _xlpm.v))</f>
        <v>female</v>
      </c>
    </row>
    <row r="553" spans="1:9" x14ac:dyDescent="0.6">
      <c r="A553">
        <v>99</v>
      </c>
      <c r="B553" t="s">
        <v>14</v>
      </c>
      <c r="C553" t="s">
        <v>12</v>
      </c>
      <c r="D553">
        <v>248.21</v>
      </c>
      <c r="E553">
        <v>165.99</v>
      </c>
      <c r="F553">
        <v>44881</v>
      </c>
      <c r="H553">
        <f>_xlfn.LET(_xlpm.v, IFERROR(VLOOKUP($A553, manifest!$A:$E, 3, FALSE), ""), IF(OR(_xlpm.v=0, _xlpm.v=""), "", _xlpm.v))</f>
        <v>50</v>
      </c>
      <c r="I553" t="str">
        <f>_xlfn.LET(_xlpm.v, IFERROR(VLOOKUP($A553, manifest!$A:$E, 5, FALSE), ""), IF(OR(_xlpm.v=0, _xlpm.v=""), "", _xlpm.v))</f>
        <v>female</v>
      </c>
    </row>
    <row r="554" spans="1:9" x14ac:dyDescent="0.6">
      <c r="A554">
        <v>99</v>
      </c>
      <c r="B554" t="s">
        <v>14</v>
      </c>
      <c r="C554" t="s">
        <v>13</v>
      </c>
      <c r="D554">
        <v>270.14999999999998</v>
      </c>
      <c r="E554">
        <v>217.63</v>
      </c>
      <c r="F554">
        <v>47162</v>
      </c>
      <c r="H554">
        <f>_xlfn.LET(_xlpm.v, IFERROR(VLOOKUP($A554, manifest!$A:$E, 3, FALSE), ""), IF(OR(_xlpm.v=0, _xlpm.v=""), "", _xlpm.v))</f>
        <v>50</v>
      </c>
      <c r="I554" t="str">
        <f>_xlfn.LET(_xlpm.v, IFERROR(VLOOKUP($A554, manifest!$A:$E, 5, FALSE), ""), IF(OR(_xlpm.v=0, _xlpm.v=""), "", _xlpm.v))</f>
        <v>female</v>
      </c>
    </row>
    <row r="555" spans="1:9" x14ac:dyDescent="0.6">
      <c r="A555">
        <v>123</v>
      </c>
      <c r="B555" t="s">
        <v>14</v>
      </c>
      <c r="C555" t="s">
        <v>8</v>
      </c>
      <c r="D555">
        <v>170.05</v>
      </c>
      <c r="E555">
        <v>153.57</v>
      </c>
      <c r="F555">
        <v>28952</v>
      </c>
      <c r="G555" t="s">
        <v>9</v>
      </c>
      <c r="H555">
        <f>_xlfn.LET(_xlpm.v, IFERROR(VLOOKUP($A555, manifest!$A:$E, 3, FALSE), ""), IF(OR(_xlpm.v=0, _xlpm.v=""), "", _xlpm.v))</f>
        <v>65</v>
      </c>
      <c r="I555" t="str">
        <f>_xlfn.LET(_xlpm.v, IFERROR(VLOOKUP($A555, manifest!$A:$E, 5, FALSE), ""), IF(OR(_xlpm.v=0, _xlpm.v=""), "", _xlpm.v))</f>
        <v>male</v>
      </c>
    </row>
    <row r="556" spans="1:9" x14ac:dyDescent="0.6">
      <c r="A556">
        <v>123</v>
      </c>
      <c r="B556" t="s">
        <v>14</v>
      </c>
      <c r="C556" t="s">
        <v>10</v>
      </c>
      <c r="D556">
        <v>178.24</v>
      </c>
      <c r="E556">
        <v>199.55</v>
      </c>
      <c r="F556">
        <v>28516</v>
      </c>
      <c r="H556">
        <f>_xlfn.LET(_xlpm.v, IFERROR(VLOOKUP($A556, manifest!$A:$E, 3, FALSE), ""), IF(OR(_xlpm.v=0, _xlpm.v=""), "", _xlpm.v))</f>
        <v>65</v>
      </c>
      <c r="I556" t="str">
        <f>_xlfn.LET(_xlpm.v, IFERROR(VLOOKUP($A556, manifest!$A:$E, 5, FALSE), ""), IF(OR(_xlpm.v=0, _xlpm.v=""), "", _xlpm.v))</f>
        <v>male</v>
      </c>
    </row>
    <row r="557" spans="1:9" x14ac:dyDescent="0.6">
      <c r="A557">
        <v>123</v>
      </c>
      <c r="B557" t="s">
        <v>14</v>
      </c>
      <c r="C557" t="s">
        <v>11</v>
      </c>
      <c r="D557">
        <v>165.46</v>
      </c>
      <c r="E557">
        <v>159.75</v>
      </c>
      <c r="F557">
        <v>39598</v>
      </c>
      <c r="H557">
        <f>_xlfn.LET(_xlpm.v, IFERROR(VLOOKUP($A557, manifest!$A:$E, 3, FALSE), ""), IF(OR(_xlpm.v=0, _xlpm.v=""), "", _xlpm.v))</f>
        <v>65</v>
      </c>
      <c r="I557" t="str">
        <f>_xlfn.LET(_xlpm.v, IFERROR(VLOOKUP($A557, manifest!$A:$E, 5, FALSE), ""), IF(OR(_xlpm.v=0, _xlpm.v=""), "", _xlpm.v))</f>
        <v>male</v>
      </c>
    </row>
    <row r="558" spans="1:9" x14ac:dyDescent="0.6">
      <c r="A558">
        <v>123</v>
      </c>
      <c r="B558" t="s">
        <v>14</v>
      </c>
      <c r="C558" t="s">
        <v>12</v>
      </c>
      <c r="D558">
        <v>159.19999999999999</v>
      </c>
      <c r="E558">
        <v>146.36000000000001</v>
      </c>
      <c r="F558">
        <v>57829</v>
      </c>
      <c r="H558">
        <f>_xlfn.LET(_xlpm.v, IFERROR(VLOOKUP($A558, manifest!$A:$E, 3, FALSE), ""), IF(OR(_xlpm.v=0, _xlpm.v=""), "", _xlpm.v))</f>
        <v>65</v>
      </c>
      <c r="I558" t="str">
        <f>_xlfn.LET(_xlpm.v, IFERROR(VLOOKUP($A558, manifest!$A:$E, 5, FALSE), ""), IF(OR(_xlpm.v=0, _xlpm.v=""), "", _xlpm.v))</f>
        <v>male</v>
      </c>
    </row>
    <row r="559" spans="1:9" x14ac:dyDescent="0.6">
      <c r="A559">
        <v>123</v>
      </c>
      <c r="B559" t="s">
        <v>14</v>
      </c>
      <c r="C559" t="s">
        <v>13</v>
      </c>
      <c r="D559">
        <v>171.05</v>
      </c>
      <c r="E559">
        <v>175</v>
      </c>
      <c r="F559">
        <v>49989</v>
      </c>
      <c r="H559">
        <f>_xlfn.LET(_xlpm.v, IFERROR(VLOOKUP($A559, manifest!$A:$E, 3, FALSE), ""), IF(OR(_xlpm.v=0, _xlpm.v=""), "", _xlpm.v))</f>
        <v>65</v>
      </c>
      <c r="I559" t="str">
        <f>_xlfn.LET(_xlpm.v, IFERROR(VLOOKUP($A559, manifest!$A:$E, 5, FALSE), ""), IF(OR(_xlpm.v=0, _xlpm.v=""), "", _xlpm.v))</f>
        <v>male</v>
      </c>
    </row>
    <row r="560" spans="1:9" x14ac:dyDescent="0.6">
      <c r="A560">
        <v>129</v>
      </c>
      <c r="B560" t="s">
        <v>7</v>
      </c>
      <c r="C560" t="s">
        <v>8</v>
      </c>
      <c r="D560">
        <v>214.27</v>
      </c>
      <c r="E560">
        <v>160.52000000000001</v>
      </c>
      <c r="F560">
        <v>33773</v>
      </c>
      <c r="G560" t="s">
        <v>9</v>
      </c>
      <c r="H560" t="str">
        <f>_xlfn.LET(_xlpm.v, IFERROR(VLOOKUP($A560, manifest!$A:$E, 3, FALSE), ""), IF(OR(_xlpm.v=0, _xlpm.v=""), "", _xlpm.v))</f>
        <v/>
      </c>
      <c r="I560" t="str">
        <f>_xlfn.LET(_xlpm.v, IFERROR(VLOOKUP($A560, manifest!$A:$E, 5, FALSE), ""), IF(OR(_xlpm.v=0, _xlpm.v=""), "", _xlpm.v))</f>
        <v>female</v>
      </c>
    </row>
    <row r="561" spans="1:9" x14ac:dyDescent="0.6">
      <c r="A561">
        <v>129</v>
      </c>
      <c r="B561" t="s">
        <v>7</v>
      </c>
      <c r="C561" t="s">
        <v>10</v>
      </c>
      <c r="D561">
        <v>264.36</v>
      </c>
      <c r="E561">
        <v>253.71</v>
      </c>
      <c r="F561">
        <v>37383</v>
      </c>
      <c r="H561" t="str">
        <f>_xlfn.LET(_xlpm.v, IFERROR(VLOOKUP($A561, manifest!$A:$E, 3, FALSE), ""), IF(OR(_xlpm.v=0, _xlpm.v=""), "", _xlpm.v))</f>
        <v/>
      </c>
      <c r="I561" t="str">
        <f>_xlfn.LET(_xlpm.v, IFERROR(VLOOKUP($A561, manifest!$A:$E, 5, FALSE), ""), IF(OR(_xlpm.v=0, _xlpm.v=""), "", _xlpm.v))</f>
        <v>female</v>
      </c>
    </row>
    <row r="562" spans="1:9" x14ac:dyDescent="0.6">
      <c r="A562">
        <v>129</v>
      </c>
      <c r="B562" t="s">
        <v>7</v>
      </c>
      <c r="C562" t="s">
        <v>11</v>
      </c>
      <c r="D562">
        <v>272.37</v>
      </c>
      <c r="E562">
        <v>262.57</v>
      </c>
      <c r="F562">
        <v>44762</v>
      </c>
      <c r="H562" t="str">
        <f>_xlfn.LET(_xlpm.v, IFERROR(VLOOKUP($A562, manifest!$A:$E, 3, FALSE), ""), IF(OR(_xlpm.v=0, _xlpm.v=""), "", _xlpm.v))</f>
        <v/>
      </c>
      <c r="I562" t="str">
        <f>_xlfn.LET(_xlpm.v, IFERROR(VLOOKUP($A562, manifest!$A:$E, 5, FALSE), ""), IF(OR(_xlpm.v=0, _xlpm.v=""), "", _xlpm.v))</f>
        <v>female</v>
      </c>
    </row>
    <row r="563" spans="1:9" x14ac:dyDescent="0.6">
      <c r="A563">
        <v>129</v>
      </c>
      <c r="B563" t="s">
        <v>7</v>
      </c>
      <c r="C563" t="s">
        <v>12</v>
      </c>
      <c r="D563">
        <v>259.26</v>
      </c>
      <c r="E563">
        <v>251.84</v>
      </c>
      <c r="F563">
        <v>54269</v>
      </c>
      <c r="H563" t="str">
        <f>_xlfn.LET(_xlpm.v, IFERROR(VLOOKUP($A563, manifest!$A:$E, 3, FALSE), ""), IF(OR(_xlpm.v=0, _xlpm.v=""), "", _xlpm.v))</f>
        <v/>
      </c>
      <c r="I563" t="str">
        <f>_xlfn.LET(_xlpm.v, IFERROR(VLOOKUP($A563, manifest!$A:$E, 5, FALSE), ""), IF(OR(_xlpm.v=0, _xlpm.v=""), "", _xlpm.v))</f>
        <v>female</v>
      </c>
    </row>
    <row r="564" spans="1:9" x14ac:dyDescent="0.6">
      <c r="A564">
        <v>129</v>
      </c>
      <c r="B564" t="s">
        <v>7</v>
      </c>
      <c r="C564" t="s">
        <v>13</v>
      </c>
      <c r="D564">
        <v>244.48</v>
      </c>
      <c r="E564">
        <v>223.14</v>
      </c>
      <c r="F564">
        <v>57448</v>
      </c>
      <c r="H564" t="str">
        <f>_xlfn.LET(_xlpm.v, IFERROR(VLOOKUP($A564, manifest!$A:$E, 3, FALSE), ""), IF(OR(_xlpm.v=0, _xlpm.v=""), "", _xlpm.v))</f>
        <v/>
      </c>
      <c r="I564" t="str">
        <f>_xlfn.LET(_xlpm.v, IFERROR(VLOOKUP($A564, manifest!$A:$E, 5, FALSE), ""), IF(OR(_xlpm.v=0, _xlpm.v=""), "", _xlpm.v))</f>
        <v>female</v>
      </c>
    </row>
    <row r="565" spans="1:9" x14ac:dyDescent="0.6">
      <c r="A565">
        <v>121</v>
      </c>
      <c r="B565" t="s">
        <v>14</v>
      </c>
      <c r="C565" t="s">
        <v>8</v>
      </c>
      <c r="D565">
        <v>245.37</v>
      </c>
      <c r="E565">
        <v>100.58</v>
      </c>
      <c r="F565">
        <v>34319</v>
      </c>
      <c r="G565" t="s">
        <v>9</v>
      </c>
      <c r="H565">
        <f>_xlfn.LET(_xlpm.v, IFERROR(VLOOKUP($A565, manifest!$A:$E, 3, FALSE), ""), IF(OR(_xlpm.v=0, _xlpm.v=""), "", _xlpm.v))</f>
        <v>59</v>
      </c>
      <c r="I565" t="str">
        <f>_xlfn.LET(_xlpm.v, IFERROR(VLOOKUP($A565, manifest!$A:$E, 5, FALSE), ""), IF(OR(_xlpm.v=0, _xlpm.v=""), "", _xlpm.v))</f>
        <v>male</v>
      </c>
    </row>
    <row r="566" spans="1:9" x14ac:dyDescent="0.6">
      <c r="A566">
        <v>121</v>
      </c>
      <c r="B566" t="s">
        <v>14</v>
      </c>
      <c r="C566" t="s">
        <v>10</v>
      </c>
      <c r="D566">
        <v>259.38</v>
      </c>
      <c r="E566">
        <v>124.77</v>
      </c>
      <c r="F566">
        <v>33329</v>
      </c>
      <c r="H566">
        <f>_xlfn.LET(_xlpm.v, IFERROR(VLOOKUP($A566, manifest!$A:$E, 3, FALSE), ""), IF(OR(_xlpm.v=0, _xlpm.v=""), "", _xlpm.v))</f>
        <v>59</v>
      </c>
      <c r="I566" t="str">
        <f>_xlfn.LET(_xlpm.v, IFERROR(VLOOKUP($A566, manifest!$A:$E, 5, FALSE), ""), IF(OR(_xlpm.v=0, _xlpm.v=""), "", _xlpm.v))</f>
        <v>male</v>
      </c>
    </row>
    <row r="567" spans="1:9" x14ac:dyDescent="0.6">
      <c r="A567">
        <v>121</v>
      </c>
      <c r="B567" t="s">
        <v>14</v>
      </c>
      <c r="C567" t="s">
        <v>11</v>
      </c>
      <c r="D567">
        <v>268.67</v>
      </c>
      <c r="E567">
        <v>139.96</v>
      </c>
      <c r="F567">
        <v>36747</v>
      </c>
      <c r="H567">
        <f>_xlfn.LET(_xlpm.v, IFERROR(VLOOKUP($A567, manifest!$A:$E, 3, FALSE), ""), IF(OR(_xlpm.v=0, _xlpm.v=""), "", _xlpm.v))</f>
        <v>59</v>
      </c>
      <c r="I567" t="str">
        <f>_xlfn.LET(_xlpm.v, IFERROR(VLOOKUP($A567, manifest!$A:$E, 5, FALSE), ""), IF(OR(_xlpm.v=0, _xlpm.v=""), "", _xlpm.v))</f>
        <v>male</v>
      </c>
    </row>
    <row r="568" spans="1:9" x14ac:dyDescent="0.6">
      <c r="A568">
        <v>121</v>
      </c>
      <c r="B568" t="s">
        <v>14</v>
      </c>
      <c r="C568" t="s">
        <v>12</v>
      </c>
      <c r="D568">
        <v>270.07</v>
      </c>
      <c r="E568">
        <v>149.54</v>
      </c>
      <c r="F568">
        <v>42210</v>
      </c>
      <c r="H568">
        <f>_xlfn.LET(_xlpm.v, IFERROR(VLOOKUP($A568, manifest!$A:$E, 3, FALSE), ""), IF(OR(_xlpm.v=0, _xlpm.v=""), "", _xlpm.v))</f>
        <v>59</v>
      </c>
      <c r="I568" t="str">
        <f>_xlfn.LET(_xlpm.v, IFERROR(VLOOKUP($A568, manifest!$A:$E, 5, FALSE), ""), IF(OR(_xlpm.v=0, _xlpm.v=""), "", _xlpm.v))</f>
        <v>male</v>
      </c>
    </row>
    <row r="569" spans="1:9" x14ac:dyDescent="0.6">
      <c r="A569">
        <v>121</v>
      </c>
      <c r="B569" t="s">
        <v>14</v>
      </c>
      <c r="C569" t="s">
        <v>13</v>
      </c>
      <c r="D569">
        <v>269.88</v>
      </c>
      <c r="E569">
        <v>158.41999999999999</v>
      </c>
      <c r="F569">
        <v>49825</v>
      </c>
      <c r="H569">
        <f>_xlfn.LET(_xlpm.v, IFERROR(VLOOKUP($A569, manifest!$A:$E, 3, FALSE), ""), IF(OR(_xlpm.v=0, _xlpm.v=""), "", _xlpm.v))</f>
        <v>59</v>
      </c>
      <c r="I569" t="str">
        <f>_xlfn.LET(_xlpm.v, IFERROR(VLOOKUP($A569, manifest!$A:$E, 5, FALSE), ""), IF(OR(_xlpm.v=0, _xlpm.v=""), "", _xlpm.v))</f>
        <v>male</v>
      </c>
    </row>
    <row r="570" spans="1:9" x14ac:dyDescent="0.6">
      <c r="A570">
        <v>137</v>
      </c>
      <c r="B570" t="s">
        <v>7</v>
      </c>
      <c r="C570" t="s">
        <v>8</v>
      </c>
      <c r="D570">
        <v>263.37</v>
      </c>
      <c r="E570">
        <v>205.29</v>
      </c>
      <c r="F570">
        <v>34864</v>
      </c>
      <c r="G570" t="s">
        <v>9</v>
      </c>
      <c r="H570" t="str">
        <f>_xlfn.LET(_xlpm.v, IFERROR(VLOOKUP($A570, manifest!$A:$E, 3, FALSE), ""), IF(OR(_xlpm.v=0, _xlpm.v=""), "", _xlpm.v))</f>
        <v/>
      </c>
      <c r="I570" t="str">
        <f>_xlfn.LET(_xlpm.v, IFERROR(VLOOKUP($A570, manifest!$A:$E, 5, FALSE), ""), IF(OR(_xlpm.v=0, _xlpm.v=""), "", _xlpm.v))</f>
        <v>male</v>
      </c>
    </row>
    <row r="571" spans="1:9" x14ac:dyDescent="0.6">
      <c r="A571">
        <v>137</v>
      </c>
      <c r="B571" t="s">
        <v>7</v>
      </c>
      <c r="C571" t="s">
        <v>10</v>
      </c>
      <c r="D571">
        <v>304.91000000000003</v>
      </c>
      <c r="E571">
        <v>264.39999999999998</v>
      </c>
      <c r="F571">
        <v>35045</v>
      </c>
      <c r="H571" t="str">
        <f>_xlfn.LET(_xlpm.v, IFERROR(VLOOKUP($A571, manifest!$A:$E, 3, FALSE), ""), IF(OR(_xlpm.v=0, _xlpm.v=""), "", _xlpm.v))</f>
        <v/>
      </c>
      <c r="I571" t="str">
        <f>_xlfn.LET(_xlpm.v, IFERROR(VLOOKUP($A571, manifest!$A:$E, 5, FALSE), ""), IF(OR(_xlpm.v=0, _xlpm.v=""), "", _xlpm.v))</f>
        <v>male</v>
      </c>
    </row>
    <row r="572" spans="1:9" x14ac:dyDescent="0.6">
      <c r="A572">
        <v>137</v>
      </c>
      <c r="B572" t="s">
        <v>7</v>
      </c>
      <c r="C572" t="s">
        <v>11</v>
      </c>
      <c r="D572">
        <v>310.22000000000003</v>
      </c>
      <c r="E572">
        <v>268.37</v>
      </c>
      <c r="F572">
        <v>38008</v>
      </c>
      <c r="H572" t="str">
        <f>_xlfn.LET(_xlpm.v, IFERROR(VLOOKUP($A572, manifest!$A:$E, 3, FALSE), ""), IF(OR(_xlpm.v=0, _xlpm.v=""), "", _xlpm.v))</f>
        <v/>
      </c>
      <c r="I572" t="str">
        <f>_xlfn.LET(_xlpm.v, IFERROR(VLOOKUP($A572, manifest!$A:$E, 5, FALSE), ""), IF(OR(_xlpm.v=0, _xlpm.v=""), "", _xlpm.v))</f>
        <v>male</v>
      </c>
    </row>
    <row r="573" spans="1:9" x14ac:dyDescent="0.6">
      <c r="A573">
        <v>137</v>
      </c>
      <c r="B573" t="s">
        <v>7</v>
      </c>
      <c r="C573" t="s">
        <v>12</v>
      </c>
      <c r="D573">
        <v>266.73</v>
      </c>
      <c r="E573">
        <v>203.61</v>
      </c>
      <c r="F573">
        <v>38908</v>
      </c>
      <c r="H573" t="str">
        <f>_xlfn.LET(_xlpm.v, IFERROR(VLOOKUP($A573, manifest!$A:$E, 3, FALSE), ""), IF(OR(_xlpm.v=0, _xlpm.v=""), "", _xlpm.v))</f>
        <v/>
      </c>
      <c r="I573" t="str">
        <f>_xlfn.LET(_xlpm.v, IFERROR(VLOOKUP($A573, manifest!$A:$E, 5, FALSE), ""), IF(OR(_xlpm.v=0, _xlpm.v=""), "", _xlpm.v))</f>
        <v>male</v>
      </c>
    </row>
    <row r="574" spans="1:9" x14ac:dyDescent="0.6">
      <c r="A574">
        <v>137</v>
      </c>
      <c r="B574" t="s">
        <v>7</v>
      </c>
      <c r="C574" t="s">
        <v>13</v>
      </c>
      <c r="D574">
        <v>248.12</v>
      </c>
      <c r="E574">
        <v>173.28</v>
      </c>
      <c r="F574">
        <v>55597</v>
      </c>
      <c r="H574" t="str">
        <f>_xlfn.LET(_xlpm.v, IFERROR(VLOOKUP($A574, manifest!$A:$E, 3, FALSE), ""), IF(OR(_xlpm.v=0, _xlpm.v=""), "", _xlpm.v))</f>
        <v/>
      </c>
      <c r="I574" t="str">
        <f>_xlfn.LET(_xlpm.v, IFERROR(VLOOKUP($A574, manifest!$A:$E, 5, FALSE), ""), IF(OR(_xlpm.v=0, _xlpm.v=""), "", _xlpm.v))</f>
        <v>male</v>
      </c>
    </row>
    <row r="575" spans="1:9" x14ac:dyDescent="0.6">
      <c r="A575">
        <v>116</v>
      </c>
      <c r="B575" t="s">
        <v>7</v>
      </c>
      <c r="C575" t="s">
        <v>8</v>
      </c>
      <c r="D575">
        <v>309.25</v>
      </c>
      <c r="E575">
        <v>222.82</v>
      </c>
      <c r="F575">
        <v>26503</v>
      </c>
      <c r="G575" t="s">
        <v>9</v>
      </c>
      <c r="H575">
        <f>_xlfn.LET(_xlpm.v, IFERROR(VLOOKUP($A575, manifest!$A:$E, 3, FALSE), ""), IF(OR(_xlpm.v=0, _xlpm.v=""), "", _xlpm.v))</f>
        <v>54</v>
      </c>
      <c r="I575" t="str">
        <f>_xlfn.LET(_xlpm.v, IFERROR(VLOOKUP($A575, manifest!$A:$E, 5, FALSE), ""), IF(OR(_xlpm.v=0, _xlpm.v=""), "", _xlpm.v))</f>
        <v>male</v>
      </c>
    </row>
    <row r="576" spans="1:9" x14ac:dyDescent="0.6">
      <c r="A576">
        <v>116</v>
      </c>
      <c r="B576" t="s">
        <v>7</v>
      </c>
      <c r="C576" t="s">
        <v>10</v>
      </c>
      <c r="D576">
        <v>320.24</v>
      </c>
      <c r="E576">
        <v>228.41</v>
      </c>
      <c r="F576">
        <v>30529</v>
      </c>
      <c r="H576">
        <f>_xlfn.LET(_xlpm.v, IFERROR(VLOOKUP($A576, manifest!$A:$E, 3, FALSE), ""), IF(OR(_xlpm.v=0, _xlpm.v=""), "", _xlpm.v))</f>
        <v>54</v>
      </c>
      <c r="I576" t="str">
        <f>_xlfn.LET(_xlpm.v, IFERROR(VLOOKUP($A576, manifest!$A:$E, 5, FALSE), ""), IF(OR(_xlpm.v=0, _xlpm.v=""), "", _xlpm.v))</f>
        <v>male</v>
      </c>
    </row>
    <row r="577" spans="1:9" x14ac:dyDescent="0.6">
      <c r="A577">
        <v>116</v>
      </c>
      <c r="B577" t="s">
        <v>7</v>
      </c>
      <c r="C577" t="s">
        <v>11</v>
      </c>
      <c r="D577">
        <v>342.42</v>
      </c>
      <c r="E577">
        <v>237.8</v>
      </c>
      <c r="F577">
        <v>37121</v>
      </c>
      <c r="H577">
        <f>_xlfn.LET(_xlpm.v, IFERROR(VLOOKUP($A577, manifest!$A:$E, 3, FALSE), ""), IF(OR(_xlpm.v=0, _xlpm.v=""), "", _xlpm.v))</f>
        <v>54</v>
      </c>
      <c r="I577" t="str">
        <f>_xlfn.LET(_xlpm.v, IFERROR(VLOOKUP($A577, manifest!$A:$E, 5, FALSE), ""), IF(OR(_xlpm.v=0, _xlpm.v=""), "", _xlpm.v))</f>
        <v>male</v>
      </c>
    </row>
    <row r="578" spans="1:9" x14ac:dyDescent="0.6">
      <c r="A578">
        <v>116</v>
      </c>
      <c r="B578" t="s">
        <v>7</v>
      </c>
      <c r="C578" t="s">
        <v>12</v>
      </c>
      <c r="D578">
        <v>468.27</v>
      </c>
      <c r="E578">
        <v>236.31</v>
      </c>
      <c r="F578">
        <v>39622</v>
      </c>
      <c r="H578">
        <f>_xlfn.LET(_xlpm.v, IFERROR(VLOOKUP($A578, manifest!$A:$E, 3, FALSE), ""), IF(OR(_xlpm.v=0, _xlpm.v=""), "", _xlpm.v))</f>
        <v>54</v>
      </c>
      <c r="I578" t="str">
        <f>_xlfn.LET(_xlpm.v, IFERROR(VLOOKUP($A578, manifest!$A:$E, 5, FALSE), ""), IF(OR(_xlpm.v=0, _xlpm.v=""), "", _xlpm.v))</f>
        <v>male</v>
      </c>
    </row>
    <row r="579" spans="1:9" x14ac:dyDescent="0.6">
      <c r="A579">
        <v>116</v>
      </c>
      <c r="B579" t="s">
        <v>7</v>
      </c>
      <c r="C579" t="s">
        <v>13</v>
      </c>
      <c r="D579">
        <v>450.82</v>
      </c>
      <c r="E579">
        <v>228.96</v>
      </c>
      <c r="F579">
        <v>49830</v>
      </c>
      <c r="H579">
        <f>_xlfn.LET(_xlpm.v, IFERROR(VLOOKUP($A579, manifest!$A:$E, 3, FALSE), ""), IF(OR(_xlpm.v=0, _xlpm.v=""), "", _xlpm.v))</f>
        <v>54</v>
      </c>
      <c r="I579" t="str">
        <f>_xlfn.LET(_xlpm.v, IFERROR(VLOOKUP($A579, manifest!$A:$E, 5, FALSE), ""), IF(OR(_xlpm.v=0, _xlpm.v=""), "", _xlpm.v))</f>
        <v>male</v>
      </c>
    </row>
    <row r="580" spans="1:9" x14ac:dyDescent="0.6">
      <c r="A580">
        <v>127</v>
      </c>
      <c r="B580" t="s">
        <v>14</v>
      </c>
      <c r="C580" t="s">
        <v>8</v>
      </c>
      <c r="D580">
        <v>134.79</v>
      </c>
      <c r="E580">
        <v>174.75</v>
      </c>
      <c r="F580">
        <v>26971</v>
      </c>
      <c r="G580" t="s">
        <v>15</v>
      </c>
      <c r="H580" t="str">
        <f>_xlfn.LET(_xlpm.v, IFERROR(VLOOKUP($A580, manifest!$A:$E, 3, FALSE), ""), IF(OR(_xlpm.v=0, _xlpm.v=""), "", _xlpm.v))</f>
        <v/>
      </c>
      <c r="I580" t="str">
        <f>_xlfn.LET(_xlpm.v, IFERROR(VLOOKUP($A580, manifest!$A:$E, 5, FALSE), ""), IF(OR(_xlpm.v=0, _xlpm.v=""), "", _xlpm.v))</f>
        <v>male</v>
      </c>
    </row>
    <row r="581" spans="1:9" x14ac:dyDescent="0.6">
      <c r="A581">
        <v>127</v>
      </c>
      <c r="B581" t="s">
        <v>14</v>
      </c>
      <c r="C581" t="s">
        <v>10</v>
      </c>
      <c r="D581">
        <v>157.99</v>
      </c>
      <c r="E581">
        <v>190.25</v>
      </c>
      <c r="F581">
        <v>30968</v>
      </c>
      <c r="H581" t="str">
        <f>_xlfn.LET(_xlpm.v, IFERROR(VLOOKUP($A581, manifest!$A:$E, 3, FALSE), ""), IF(OR(_xlpm.v=0, _xlpm.v=""), "", _xlpm.v))</f>
        <v/>
      </c>
      <c r="I581" t="str">
        <f>_xlfn.LET(_xlpm.v, IFERROR(VLOOKUP($A581, manifest!$A:$E, 5, FALSE), ""), IF(OR(_xlpm.v=0, _xlpm.v=""), "", _xlpm.v))</f>
        <v>male</v>
      </c>
    </row>
    <row r="582" spans="1:9" x14ac:dyDescent="0.6">
      <c r="A582">
        <v>127</v>
      </c>
      <c r="B582" t="s">
        <v>14</v>
      </c>
      <c r="C582" t="s">
        <v>11</v>
      </c>
      <c r="D582">
        <v>161.56</v>
      </c>
      <c r="E582">
        <v>199.96</v>
      </c>
      <c r="F582">
        <v>36767</v>
      </c>
      <c r="H582" t="str">
        <f>_xlfn.LET(_xlpm.v, IFERROR(VLOOKUP($A582, manifest!$A:$E, 3, FALSE), ""), IF(OR(_xlpm.v=0, _xlpm.v=""), "", _xlpm.v))</f>
        <v/>
      </c>
      <c r="I582" t="str">
        <f>_xlfn.LET(_xlpm.v, IFERROR(VLOOKUP($A582, manifest!$A:$E, 5, FALSE), ""), IF(OR(_xlpm.v=0, _xlpm.v=""), "", _xlpm.v))</f>
        <v>male</v>
      </c>
    </row>
    <row r="583" spans="1:9" x14ac:dyDescent="0.6">
      <c r="A583">
        <v>127</v>
      </c>
      <c r="B583" t="s">
        <v>14</v>
      </c>
      <c r="C583" t="s">
        <v>12</v>
      </c>
      <c r="D583">
        <v>196.39</v>
      </c>
      <c r="E583">
        <v>231.44</v>
      </c>
      <c r="F583">
        <v>42892</v>
      </c>
      <c r="H583" t="str">
        <f>_xlfn.LET(_xlpm.v, IFERROR(VLOOKUP($A583, manifest!$A:$E, 3, FALSE), ""), IF(OR(_xlpm.v=0, _xlpm.v=""), "", _xlpm.v))</f>
        <v/>
      </c>
      <c r="I583" t="str">
        <f>_xlfn.LET(_xlpm.v, IFERROR(VLOOKUP($A583, manifest!$A:$E, 5, FALSE), ""), IF(OR(_xlpm.v=0, _xlpm.v=""), "", _xlpm.v))</f>
        <v>male</v>
      </c>
    </row>
    <row r="584" spans="1:9" x14ac:dyDescent="0.6">
      <c r="A584">
        <v>127</v>
      </c>
      <c r="B584" t="s">
        <v>14</v>
      </c>
      <c r="C584" t="s">
        <v>13</v>
      </c>
      <c r="D584">
        <v>204.56</v>
      </c>
      <c r="E584">
        <v>192.86</v>
      </c>
      <c r="F584">
        <v>40064</v>
      </c>
      <c r="H584" t="str">
        <f>_xlfn.LET(_xlpm.v, IFERROR(VLOOKUP($A584, manifest!$A:$E, 3, FALSE), ""), IF(OR(_xlpm.v=0, _xlpm.v=""), "", _xlpm.v))</f>
        <v/>
      </c>
      <c r="I584" t="str">
        <f>_xlfn.LET(_xlpm.v, IFERROR(VLOOKUP($A584, manifest!$A:$E, 5, FALSE), ""), IF(OR(_xlpm.v=0, _xlpm.v=""), "", _xlpm.v))</f>
        <v>male</v>
      </c>
    </row>
    <row r="585" spans="1:9" x14ac:dyDescent="0.6">
      <c r="A585">
        <v>147</v>
      </c>
      <c r="B585" t="s">
        <v>14</v>
      </c>
      <c r="C585" t="s">
        <v>8</v>
      </c>
      <c r="D585">
        <v>230.39</v>
      </c>
      <c r="E585">
        <v>144.74</v>
      </c>
      <c r="F585">
        <v>33416</v>
      </c>
      <c r="G585" t="s">
        <v>9</v>
      </c>
      <c r="H585">
        <f>_xlfn.LET(_xlpm.v, IFERROR(VLOOKUP($A585, manifest!$A:$E, 3, FALSE), ""), IF(OR(_xlpm.v=0, _xlpm.v=""), "", _xlpm.v))</f>
        <v>62</v>
      </c>
      <c r="I585" t="str">
        <f>_xlfn.LET(_xlpm.v, IFERROR(VLOOKUP($A585, manifest!$A:$E, 5, FALSE), ""), IF(OR(_xlpm.v=0, _xlpm.v=""), "", _xlpm.v))</f>
        <v>female</v>
      </c>
    </row>
    <row r="586" spans="1:9" x14ac:dyDescent="0.6">
      <c r="A586">
        <v>147</v>
      </c>
      <c r="B586" t="s">
        <v>14</v>
      </c>
      <c r="C586" t="s">
        <v>10</v>
      </c>
      <c r="D586">
        <v>242.51</v>
      </c>
      <c r="E586">
        <v>176.06</v>
      </c>
      <c r="F586">
        <v>36473</v>
      </c>
      <c r="H586">
        <f>_xlfn.LET(_xlpm.v, IFERROR(VLOOKUP($A586, manifest!$A:$E, 3, FALSE), ""), IF(OR(_xlpm.v=0, _xlpm.v=""), "", _xlpm.v))</f>
        <v>62</v>
      </c>
      <c r="I586" t="str">
        <f>_xlfn.LET(_xlpm.v, IFERROR(VLOOKUP($A586, manifest!$A:$E, 5, FALSE), ""), IF(OR(_xlpm.v=0, _xlpm.v=""), "", _xlpm.v))</f>
        <v>female</v>
      </c>
    </row>
    <row r="587" spans="1:9" x14ac:dyDescent="0.6">
      <c r="A587">
        <v>147</v>
      </c>
      <c r="B587" t="s">
        <v>14</v>
      </c>
      <c r="C587" t="s">
        <v>11</v>
      </c>
      <c r="D587">
        <v>262.97000000000003</v>
      </c>
      <c r="E587">
        <v>193.06</v>
      </c>
      <c r="F587">
        <v>43164</v>
      </c>
      <c r="H587">
        <f>_xlfn.LET(_xlpm.v, IFERROR(VLOOKUP($A587, manifest!$A:$E, 3, FALSE), ""), IF(OR(_xlpm.v=0, _xlpm.v=""), "", _xlpm.v))</f>
        <v>62</v>
      </c>
      <c r="I587" t="str">
        <f>_xlfn.LET(_xlpm.v, IFERROR(VLOOKUP($A587, manifest!$A:$E, 5, FALSE), ""), IF(OR(_xlpm.v=0, _xlpm.v=""), "", _xlpm.v))</f>
        <v>female</v>
      </c>
    </row>
    <row r="588" spans="1:9" x14ac:dyDescent="0.6">
      <c r="A588">
        <v>147</v>
      </c>
      <c r="B588" t="s">
        <v>14</v>
      </c>
      <c r="C588" t="s">
        <v>12</v>
      </c>
      <c r="D588">
        <v>240.99</v>
      </c>
      <c r="E588">
        <v>188.53</v>
      </c>
      <c r="F588">
        <v>51815</v>
      </c>
      <c r="H588">
        <f>_xlfn.LET(_xlpm.v, IFERROR(VLOOKUP($A588, manifest!$A:$E, 3, FALSE), ""), IF(OR(_xlpm.v=0, _xlpm.v=""), "", _xlpm.v))</f>
        <v>62</v>
      </c>
      <c r="I588" t="str">
        <f>_xlfn.LET(_xlpm.v, IFERROR(VLOOKUP($A588, manifest!$A:$E, 5, FALSE), ""), IF(OR(_xlpm.v=0, _xlpm.v=""), "", _xlpm.v))</f>
        <v>female</v>
      </c>
    </row>
    <row r="589" spans="1:9" x14ac:dyDescent="0.6">
      <c r="A589">
        <v>147</v>
      </c>
      <c r="B589" t="s">
        <v>14</v>
      </c>
      <c r="C589" t="s">
        <v>13</v>
      </c>
      <c r="D589">
        <v>285.51</v>
      </c>
      <c r="E589">
        <v>177.34</v>
      </c>
      <c r="F589">
        <v>49643</v>
      </c>
      <c r="H589">
        <f>_xlfn.LET(_xlpm.v, IFERROR(VLOOKUP($A589, manifest!$A:$E, 3, FALSE), ""), IF(OR(_xlpm.v=0, _xlpm.v=""), "", _xlpm.v))</f>
        <v>62</v>
      </c>
      <c r="I589" t="str">
        <f>_xlfn.LET(_xlpm.v, IFERROR(VLOOKUP($A589, manifest!$A:$E, 5, FALSE), ""), IF(OR(_xlpm.v=0, _xlpm.v=""), "", _xlpm.v))</f>
        <v>female</v>
      </c>
    </row>
    <row r="590" spans="1:9" x14ac:dyDescent="0.6">
      <c r="A590">
        <v>112</v>
      </c>
      <c r="B590" t="s">
        <v>7</v>
      </c>
      <c r="C590" t="s">
        <v>8</v>
      </c>
      <c r="D590">
        <v>294.48</v>
      </c>
      <c r="E590">
        <v>205.23</v>
      </c>
      <c r="F590">
        <v>31191</v>
      </c>
      <c r="G590" t="s">
        <v>9</v>
      </c>
      <c r="H590">
        <f>_xlfn.LET(_xlpm.v, IFERROR(VLOOKUP($A590, manifest!$A:$E, 3, FALSE), ""), IF(OR(_xlpm.v=0, _xlpm.v=""), "", _xlpm.v))</f>
        <v>51</v>
      </c>
      <c r="I590" t="str">
        <f>_xlfn.LET(_xlpm.v, IFERROR(VLOOKUP($A590, manifest!$A:$E, 5, FALSE), ""), IF(OR(_xlpm.v=0, _xlpm.v=""), "", _xlpm.v))</f>
        <v>female</v>
      </c>
    </row>
    <row r="591" spans="1:9" x14ac:dyDescent="0.6">
      <c r="A591">
        <v>112</v>
      </c>
      <c r="B591" t="s">
        <v>7</v>
      </c>
      <c r="C591" t="s">
        <v>10</v>
      </c>
      <c r="D591">
        <v>334.33</v>
      </c>
      <c r="E591">
        <v>279.3</v>
      </c>
      <c r="F591">
        <v>32477</v>
      </c>
      <c r="H591">
        <f>_xlfn.LET(_xlpm.v, IFERROR(VLOOKUP($A591, manifest!$A:$E, 3, FALSE), ""), IF(OR(_xlpm.v=0, _xlpm.v=""), "", _xlpm.v))</f>
        <v>51</v>
      </c>
      <c r="I591" t="str">
        <f>_xlfn.LET(_xlpm.v, IFERROR(VLOOKUP($A591, manifest!$A:$E, 5, FALSE), ""), IF(OR(_xlpm.v=0, _xlpm.v=""), "", _xlpm.v))</f>
        <v>female</v>
      </c>
    </row>
    <row r="592" spans="1:9" x14ac:dyDescent="0.6">
      <c r="A592">
        <v>112</v>
      </c>
      <c r="B592" t="s">
        <v>7</v>
      </c>
      <c r="C592" t="s">
        <v>11</v>
      </c>
      <c r="D592">
        <v>332.33</v>
      </c>
      <c r="E592">
        <v>276.74</v>
      </c>
      <c r="F592">
        <v>33585</v>
      </c>
      <c r="H592">
        <f>_xlfn.LET(_xlpm.v, IFERROR(VLOOKUP($A592, manifest!$A:$E, 3, FALSE), ""), IF(OR(_xlpm.v=0, _xlpm.v=""), "", _xlpm.v))</f>
        <v>51</v>
      </c>
      <c r="I592" t="str">
        <f>_xlfn.LET(_xlpm.v, IFERROR(VLOOKUP($A592, manifest!$A:$E, 5, FALSE), ""), IF(OR(_xlpm.v=0, _xlpm.v=""), "", _xlpm.v))</f>
        <v>female</v>
      </c>
    </row>
    <row r="593" spans="1:9" x14ac:dyDescent="0.6">
      <c r="A593">
        <v>112</v>
      </c>
      <c r="B593" t="s">
        <v>7</v>
      </c>
      <c r="C593" t="s">
        <v>12</v>
      </c>
      <c r="D593">
        <v>317.45999999999998</v>
      </c>
      <c r="E593">
        <v>250</v>
      </c>
      <c r="F593">
        <v>37156</v>
      </c>
      <c r="H593">
        <f>_xlfn.LET(_xlpm.v, IFERROR(VLOOKUP($A593, manifest!$A:$E, 3, FALSE), ""), IF(OR(_xlpm.v=0, _xlpm.v=""), "", _xlpm.v))</f>
        <v>51</v>
      </c>
      <c r="I593" t="str">
        <f>_xlfn.LET(_xlpm.v, IFERROR(VLOOKUP($A593, manifest!$A:$E, 5, FALSE), ""), IF(OR(_xlpm.v=0, _xlpm.v=""), "", _xlpm.v))</f>
        <v>female</v>
      </c>
    </row>
    <row r="594" spans="1:9" x14ac:dyDescent="0.6">
      <c r="A594">
        <v>112</v>
      </c>
      <c r="B594" t="s">
        <v>7</v>
      </c>
      <c r="C594" t="s">
        <v>13</v>
      </c>
      <c r="D594">
        <v>322.97000000000003</v>
      </c>
      <c r="E594">
        <v>258.51</v>
      </c>
      <c r="F594">
        <v>46803</v>
      </c>
      <c r="H594">
        <f>_xlfn.LET(_xlpm.v, IFERROR(VLOOKUP($A594, manifest!$A:$E, 3, FALSE), ""), IF(OR(_xlpm.v=0, _xlpm.v=""), "", _xlpm.v))</f>
        <v>51</v>
      </c>
      <c r="I594" t="str">
        <f>_xlfn.LET(_xlpm.v, IFERROR(VLOOKUP($A594, manifest!$A:$E, 5, FALSE), ""), IF(OR(_xlpm.v=0, _xlpm.v=""), "", _xlpm.v))</f>
        <v>female</v>
      </c>
    </row>
    <row r="595" spans="1:9" x14ac:dyDescent="0.6">
      <c r="A595">
        <v>150</v>
      </c>
      <c r="B595" t="s">
        <v>14</v>
      </c>
      <c r="C595" t="s">
        <v>8</v>
      </c>
      <c r="D595">
        <v>136.1</v>
      </c>
      <c r="E595">
        <v>124.57</v>
      </c>
      <c r="F595">
        <v>28382</v>
      </c>
      <c r="G595" t="s">
        <v>15</v>
      </c>
      <c r="H595">
        <f>_xlfn.LET(_xlpm.v, IFERROR(VLOOKUP($A595, manifest!$A:$E, 3, FALSE), ""), IF(OR(_xlpm.v=0, _xlpm.v=""), "", _xlpm.v))</f>
        <v>69</v>
      </c>
      <c r="I595" t="str">
        <f>_xlfn.LET(_xlpm.v, IFERROR(VLOOKUP($A595, manifest!$A:$E, 5, FALSE), ""), IF(OR(_xlpm.v=0, _xlpm.v=""), "", _xlpm.v))</f>
        <v>female</v>
      </c>
    </row>
    <row r="596" spans="1:9" x14ac:dyDescent="0.6">
      <c r="A596">
        <v>150</v>
      </c>
      <c r="B596" t="s">
        <v>14</v>
      </c>
      <c r="C596" t="s">
        <v>10</v>
      </c>
      <c r="D596">
        <v>158.41</v>
      </c>
      <c r="E596">
        <v>165.18</v>
      </c>
      <c r="F596">
        <v>30055</v>
      </c>
      <c r="H596">
        <f>_xlfn.LET(_xlpm.v, IFERROR(VLOOKUP($A596, manifest!$A:$E, 3, FALSE), ""), IF(OR(_xlpm.v=0, _xlpm.v=""), "", _xlpm.v))</f>
        <v>69</v>
      </c>
      <c r="I596" t="str">
        <f>_xlfn.LET(_xlpm.v, IFERROR(VLOOKUP($A596, manifest!$A:$E, 5, FALSE), ""), IF(OR(_xlpm.v=0, _xlpm.v=""), "", _xlpm.v))</f>
        <v>female</v>
      </c>
    </row>
    <row r="597" spans="1:9" x14ac:dyDescent="0.6">
      <c r="A597">
        <v>150</v>
      </c>
      <c r="B597" t="s">
        <v>14</v>
      </c>
      <c r="C597" t="s">
        <v>11</v>
      </c>
      <c r="D597">
        <v>138.68</v>
      </c>
      <c r="E597">
        <v>151.56</v>
      </c>
      <c r="F597">
        <v>35565</v>
      </c>
      <c r="H597">
        <f>_xlfn.LET(_xlpm.v, IFERROR(VLOOKUP($A597, manifest!$A:$E, 3, FALSE), ""), IF(OR(_xlpm.v=0, _xlpm.v=""), "", _xlpm.v))</f>
        <v>69</v>
      </c>
      <c r="I597" t="str">
        <f>_xlfn.LET(_xlpm.v, IFERROR(VLOOKUP($A597, manifest!$A:$E, 5, FALSE), ""), IF(OR(_xlpm.v=0, _xlpm.v=""), "", _xlpm.v))</f>
        <v>female</v>
      </c>
    </row>
    <row r="598" spans="1:9" x14ac:dyDescent="0.6">
      <c r="A598">
        <v>150</v>
      </c>
      <c r="B598" t="s">
        <v>14</v>
      </c>
      <c r="C598" t="s">
        <v>12</v>
      </c>
      <c r="D598">
        <v>147.37</v>
      </c>
      <c r="E598">
        <v>161.82</v>
      </c>
      <c r="F598">
        <v>36852</v>
      </c>
      <c r="H598">
        <f>_xlfn.LET(_xlpm.v, IFERROR(VLOOKUP($A598, manifest!$A:$E, 3, FALSE), ""), IF(OR(_xlpm.v=0, _xlpm.v=""), "", _xlpm.v))</f>
        <v>69</v>
      </c>
      <c r="I598" t="str">
        <f>_xlfn.LET(_xlpm.v, IFERROR(VLOOKUP($A598, manifest!$A:$E, 5, FALSE), ""), IF(OR(_xlpm.v=0, _xlpm.v=""), "", _xlpm.v))</f>
        <v>female</v>
      </c>
    </row>
    <row r="599" spans="1:9" x14ac:dyDescent="0.6">
      <c r="A599">
        <v>150</v>
      </c>
      <c r="B599" t="s">
        <v>14</v>
      </c>
      <c r="C599" t="s">
        <v>13</v>
      </c>
      <c r="D599">
        <v>133.63999999999999</v>
      </c>
      <c r="E599">
        <v>136.32</v>
      </c>
      <c r="F599">
        <v>51442</v>
      </c>
      <c r="H599">
        <f>_xlfn.LET(_xlpm.v, IFERROR(VLOOKUP($A599, manifest!$A:$E, 3, FALSE), ""), IF(OR(_xlpm.v=0, _xlpm.v=""), "", _xlpm.v))</f>
        <v>69</v>
      </c>
      <c r="I599" t="str">
        <f>_xlfn.LET(_xlpm.v, IFERROR(VLOOKUP($A599, manifest!$A:$E, 5, FALSE), ""), IF(OR(_xlpm.v=0, _xlpm.v=""), "", _xlpm.v))</f>
        <v>female</v>
      </c>
    </row>
    <row r="600" spans="1:9" x14ac:dyDescent="0.6">
      <c r="A600">
        <v>125</v>
      </c>
      <c r="B600" t="s">
        <v>7</v>
      </c>
      <c r="C600" t="s">
        <v>8</v>
      </c>
      <c r="D600">
        <v>281.36</v>
      </c>
      <c r="E600">
        <v>206.81</v>
      </c>
      <c r="F600">
        <v>38889</v>
      </c>
      <c r="G600" t="s">
        <v>9</v>
      </c>
      <c r="H600" t="str">
        <f>_xlfn.LET(_xlpm.v, IFERROR(VLOOKUP($A600, manifest!$A:$E, 3, FALSE), ""), IF(OR(_xlpm.v=0, _xlpm.v=""), "", _xlpm.v))</f>
        <v/>
      </c>
      <c r="I600" t="str">
        <f>_xlfn.LET(_xlpm.v, IFERROR(VLOOKUP($A600, manifest!$A:$E, 5, FALSE), ""), IF(OR(_xlpm.v=0, _xlpm.v=""), "", _xlpm.v))</f>
        <v>male</v>
      </c>
    </row>
    <row r="601" spans="1:9" x14ac:dyDescent="0.6">
      <c r="A601">
        <v>125</v>
      </c>
      <c r="B601" t="s">
        <v>7</v>
      </c>
      <c r="C601" t="s">
        <v>10</v>
      </c>
      <c r="D601">
        <v>292.20999999999998</v>
      </c>
      <c r="E601">
        <v>217.07</v>
      </c>
      <c r="F601">
        <v>45401</v>
      </c>
      <c r="H601" t="str">
        <f>_xlfn.LET(_xlpm.v, IFERROR(VLOOKUP($A601, manifest!$A:$E, 3, FALSE), ""), IF(OR(_xlpm.v=0, _xlpm.v=""), "", _xlpm.v))</f>
        <v/>
      </c>
      <c r="I601" t="str">
        <f>_xlfn.LET(_xlpm.v, IFERROR(VLOOKUP($A601, manifest!$A:$E, 5, FALSE), ""), IF(OR(_xlpm.v=0, _xlpm.v=""), "", _xlpm.v))</f>
        <v>male</v>
      </c>
    </row>
    <row r="602" spans="1:9" x14ac:dyDescent="0.6">
      <c r="A602">
        <v>125</v>
      </c>
      <c r="B602" t="s">
        <v>7</v>
      </c>
      <c r="C602" t="s">
        <v>11</v>
      </c>
      <c r="D602">
        <v>282.83999999999997</v>
      </c>
      <c r="E602">
        <v>218.27</v>
      </c>
      <c r="F602">
        <v>46100</v>
      </c>
      <c r="H602" t="str">
        <f>_xlfn.LET(_xlpm.v, IFERROR(VLOOKUP($A602, manifest!$A:$E, 3, FALSE), ""), IF(OR(_xlpm.v=0, _xlpm.v=""), "", _xlpm.v))</f>
        <v/>
      </c>
      <c r="I602" t="str">
        <f>_xlfn.LET(_xlpm.v, IFERROR(VLOOKUP($A602, manifest!$A:$E, 5, FALSE), ""), IF(OR(_xlpm.v=0, _xlpm.v=""), "", _xlpm.v))</f>
        <v>male</v>
      </c>
    </row>
    <row r="603" spans="1:9" x14ac:dyDescent="0.6">
      <c r="A603">
        <v>125</v>
      </c>
      <c r="B603" t="s">
        <v>7</v>
      </c>
      <c r="C603" t="s">
        <v>12</v>
      </c>
      <c r="D603">
        <v>276.68</v>
      </c>
      <c r="E603">
        <v>189.9</v>
      </c>
      <c r="F603">
        <v>53138</v>
      </c>
      <c r="H603" t="str">
        <f>_xlfn.LET(_xlpm.v, IFERROR(VLOOKUP($A603, manifest!$A:$E, 3, FALSE), ""), IF(OR(_xlpm.v=0, _xlpm.v=""), "", _xlpm.v))</f>
        <v/>
      </c>
      <c r="I603" t="str">
        <f>_xlfn.LET(_xlpm.v, IFERROR(VLOOKUP($A603, manifest!$A:$E, 5, FALSE), ""), IF(OR(_xlpm.v=0, _xlpm.v=""), "", _xlpm.v))</f>
        <v>male</v>
      </c>
    </row>
    <row r="604" spans="1:9" x14ac:dyDescent="0.6">
      <c r="A604">
        <v>125</v>
      </c>
      <c r="B604" t="s">
        <v>7</v>
      </c>
      <c r="C604" t="s">
        <v>13</v>
      </c>
      <c r="D604">
        <v>267.08</v>
      </c>
      <c r="E604">
        <v>187.57</v>
      </c>
      <c r="F604">
        <v>75836</v>
      </c>
      <c r="H604" t="str">
        <f>_xlfn.LET(_xlpm.v, IFERROR(VLOOKUP($A604, manifest!$A:$E, 3, FALSE), ""), IF(OR(_xlpm.v=0, _xlpm.v=""), "", _xlpm.v))</f>
        <v/>
      </c>
      <c r="I604" t="str">
        <f>_xlfn.LET(_xlpm.v, IFERROR(VLOOKUP($A604, manifest!$A:$E, 5, FALSE), ""), IF(OR(_xlpm.v=0, _xlpm.v=""), "", _xlpm.v))</f>
        <v>male</v>
      </c>
    </row>
    <row r="605" spans="1:9" x14ac:dyDescent="0.6">
      <c r="A605">
        <v>115</v>
      </c>
      <c r="B605" t="s">
        <v>7</v>
      </c>
      <c r="C605" t="s">
        <v>8</v>
      </c>
      <c r="D605">
        <v>303.76</v>
      </c>
      <c r="E605">
        <v>238.43</v>
      </c>
      <c r="F605">
        <v>37964</v>
      </c>
      <c r="G605" t="s">
        <v>9</v>
      </c>
      <c r="H605">
        <f>_xlfn.LET(_xlpm.v, IFERROR(VLOOKUP($A605, manifest!$A:$E, 3, FALSE), ""), IF(OR(_xlpm.v=0, _xlpm.v=""), "", _xlpm.v))</f>
        <v>54</v>
      </c>
      <c r="I605" t="str">
        <f>_xlfn.LET(_xlpm.v, IFERROR(VLOOKUP($A605, manifest!$A:$E, 5, FALSE), ""), IF(OR(_xlpm.v=0, _xlpm.v=""), "", _xlpm.v))</f>
        <v>male</v>
      </c>
    </row>
    <row r="606" spans="1:9" x14ac:dyDescent="0.6">
      <c r="A606">
        <v>115</v>
      </c>
      <c r="B606" t="s">
        <v>7</v>
      </c>
      <c r="C606" t="s">
        <v>10</v>
      </c>
      <c r="D606">
        <v>331.85</v>
      </c>
      <c r="E606">
        <v>272.60000000000002</v>
      </c>
      <c r="F606">
        <v>40275</v>
      </c>
      <c r="H606">
        <f>_xlfn.LET(_xlpm.v, IFERROR(VLOOKUP($A606, manifest!$A:$E, 3, FALSE), ""), IF(OR(_xlpm.v=0, _xlpm.v=""), "", _xlpm.v))</f>
        <v>54</v>
      </c>
      <c r="I606" t="str">
        <f>_xlfn.LET(_xlpm.v, IFERROR(VLOOKUP($A606, manifest!$A:$E, 5, FALSE), ""), IF(OR(_xlpm.v=0, _xlpm.v=""), "", _xlpm.v))</f>
        <v>male</v>
      </c>
    </row>
    <row r="607" spans="1:9" x14ac:dyDescent="0.6">
      <c r="A607">
        <v>115</v>
      </c>
      <c r="B607" t="s">
        <v>7</v>
      </c>
      <c r="C607" t="s">
        <v>11</v>
      </c>
      <c r="D607">
        <v>330.58</v>
      </c>
      <c r="E607">
        <v>277.76</v>
      </c>
      <c r="F607">
        <v>47551</v>
      </c>
      <c r="H607">
        <f>_xlfn.LET(_xlpm.v, IFERROR(VLOOKUP($A607, manifest!$A:$E, 3, FALSE), ""), IF(OR(_xlpm.v=0, _xlpm.v=""), "", _xlpm.v))</f>
        <v>54</v>
      </c>
      <c r="I607" t="str">
        <f>_xlfn.LET(_xlpm.v, IFERROR(VLOOKUP($A607, manifest!$A:$E, 5, FALSE), ""), IF(OR(_xlpm.v=0, _xlpm.v=""), "", _xlpm.v))</f>
        <v>male</v>
      </c>
    </row>
    <row r="608" spans="1:9" x14ac:dyDescent="0.6">
      <c r="A608">
        <v>115</v>
      </c>
      <c r="B608" t="s">
        <v>7</v>
      </c>
      <c r="C608" t="s">
        <v>12</v>
      </c>
      <c r="D608">
        <v>341.8</v>
      </c>
      <c r="E608">
        <v>288.82</v>
      </c>
      <c r="F608">
        <v>55492</v>
      </c>
      <c r="H608">
        <f>_xlfn.LET(_xlpm.v, IFERROR(VLOOKUP($A608, manifest!$A:$E, 3, FALSE), ""), IF(OR(_xlpm.v=0, _xlpm.v=""), "", _xlpm.v))</f>
        <v>54</v>
      </c>
      <c r="I608" t="str">
        <f>_xlfn.LET(_xlpm.v, IFERROR(VLOOKUP($A608, manifest!$A:$E, 5, FALSE), ""), IF(OR(_xlpm.v=0, _xlpm.v=""), "", _xlpm.v))</f>
        <v>male</v>
      </c>
    </row>
    <row r="609" spans="1:9" x14ac:dyDescent="0.6">
      <c r="A609">
        <v>115</v>
      </c>
      <c r="B609" t="s">
        <v>7</v>
      </c>
      <c r="C609" t="s">
        <v>13</v>
      </c>
      <c r="D609">
        <v>328.51</v>
      </c>
      <c r="E609">
        <v>245.73</v>
      </c>
      <c r="F609">
        <v>58146</v>
      </c>
      <c r="H609">
        <f>_xlfn.LET(_xlpm.v, IFERROR(VLOOKUP($A609, manifest!$A:$E, 3, FALSE), ""), IF(OR(_xlpm.v=0, _xlpm.v=""), "", _xlpm.v))</f>
        <v>54</v>
      </c>
      <c r="I609" t="str">
        <f>_xlfn.LET(_xlpm.v, IFERROR(VLOOKUP($A609, manifest!$A:$E, 5, FALSE), ""), IF(OR(_xlpm.v=0, _xlpm.v=""), "", _xlpm.v))</f>
        <v>male</v>
      </c>
    </row>
    <row r="610" spans="1:9" x14ac:dyDescent="0.6">
      <c r="A610">
        <v>119</v>
      </c>
      <c r="B610" t="s">
        <v>7</v>
      </c>
      <c r="C610" t="s">
        <v>8</v>
      </c>
      <c r="D610">
        <v>328.29</v>
      </c>
      <c r="E610">
        <v>160.44999999999999</v>
      </c>
      <c r="F610">
        <v>32198</v>
      </c>
      <c r="G610" t="s">
        <v>9</v>
      </c>
      <c r="H610">
        <f>_xlfn.LET(_xlpm.v, IFERROR(VLOOKUP($A610, manifest!$A:$E, 3, FALSE), ""), IF(OR(_xlpm.v=0, _xlpm.v=""), "", _xlpm.v))</f>
        <v>56</v>
      </c>
      <c r="I610" t="str">
        <f>_xlfn.LET(_xlpm.v, IFERROR(VLOOKUP($A610, manifest!$A:$E, 5, FALSE), ""), IF(OR(_xlpm.v=0, _xlpm.v=""), "", _xlpm.v))</f>
        <v>male</v>
      </c>
    </row>
    <row r="611" spans="1:9" x14ac:dyDescent="0.6">
      <c r="A611">
        <v>119</v>
      </c>
      <c r="B611" t="s">
        <v>7</v>
      </c>
      <c r="C611" t="s">
        <v>10</v>
      </c>
      <c r="D611">
        <v>389.81</v>
      </c>
      <c r="E611">
        <v>240.18</v>
      </c>
      <c r="F611">
        <v>34319</v>
      </c>
      <c r="H611">
        <f>_xlfn.LET(_xlpm.v, IFERROR(VLOOKUP($A611, manifest!$A:$E, 3, FALSE), ""), IF(OR(_xlpm.v=0, _xlpm.v=""), "", _xlpm.v))</f>
        <v>56</v>
      </c>
      <c r="I611" t="str">
        <f>_xlfn.LET(_xlpm.v, IFERROR(VLOOKUP($A611, manifest!$A:$E, 5, FALSE), ""), IF(OR(_xlpm.v=0, _xlpm.v=""), "", _xlpm.v))</f>
        <v>male</v>
      </c>
    </row>
    <row r="612" spans="1:9" x14ac:dyDescent="0.6">
      <c r="A612">
        <v>119</v>
      </c>
      <c r="B612" t="s">
        <v>7</v>
      </c>
      <c r="C612" t="s">
        <v>11</v>
      </c>
      <c r="D612">
        <v>348.47</v>
      </c>
      <c r="E612">
        <v>226.49</v>
      </c>
      <c r="F612">
        <v>41354</v>
      </c>
      <c r="H612">
        <f>_xlfn.LET(_xlpm.v, IFERROR(VLOOKUP($A612, manifest!$A:$E, 3, FALSE), ""), IF(OR(_xlpm.v=0, _xlpm.v=""), "", _xlpm.v))</f>
        <v>56</v>
      </c>
      <c r="I612" t="str">
        <f>_xlfn.LET(_xlpm.v, IFERROR(VLOOKUP($A612, manifest!$A:$E, 5, FALSE), ""), IF(OR(_xlpm.v=0, _xlpm.v=""), "", _xlpm.v))</f>
        <v>male</v>
      </c>
    </row>
    <row r="613" spans="1:9" x14ac:dyDescent="0.6">
      <c r="A613">
        <v>119</v>
      </c>
      <c r="B613" t="s">
        <v>7</v>
      </c>
      <c r="C613" t="s">
        <v>12</v>
      </c>
      <c r="D613">
        <v>388.41</v>
      </c>
      <c r="E613">
        <v>239.03</v>
      </c>
      <c r="F613">
        <v>45649</v>
      </c>
      <c r="H613">
        <f>_xlfn.LET(_xlpm.v, IFERROR(VLOOKUP($A613, manifest!$A:$E, 3, FALSE), ""), IF(OR(_xlpm.v=0, _xlpm.v=""), "", _xlpm.v))</f>
        <v>56</v>
      </c>
      <c r="I613" t="str">
        <f>_xlfn.LET(_xlpm.v, IFERROR(VLOOKUP($A613, manifest!$A:$E, 5, FALSE), ""), IF(OR(_xlpm.v=0, _xlpm.v=""), "", _xlpm.v))</f>
        <v>male</v>
      </c>
    </row>
    <row r="614" spans="1:9" x14ac:dyDescent="0.6">
      <c r="A614">
        <v>119</v>
      </c>
      <c r="B614" t="s">
        <v>7</v>
      </c>
      <c r="C614" t="s">
        <v>13</v>
      </c>
      <c r="D614">
        <v>350.11</v>
      </c>
      <c r="E614">
        <v>212.37</v>
      </c>
      <c r="F614">
        <v>52366</v>
      </c>
      <c r="H614">
        <f>_xlfn.LET(_xlpm.v, IFERROR(VLOOKUP($A614, manifest!$A:$E, 3, FALSE), ""), IF(OR(_xlpm.v=0, _xlpm.v=""), "", _xlpm.v))</f>
        <v>56</v>
      </c>
      <c r="I614" t="str">
        <f>_xlfn.LET(_xlpm.v, IFERROR(VLOOKUP($A614, manifest!$A:$E, 5, FALSE), ""), IF(OR(_xlpm.v=0, _xlpm.v=""), "", _xlpm.v))</f>
        <v>male</v>
      </c>
    </row>
    <row r="615" spans="1:9" x14ac:dyDescent="0.6">
      <c r="A615">
        <v>133</v>
      </c>
      <c r="B615" t="s">
        <v>7</v>
      </c>
      <c r="C615" t="s">
        <v>8</v>
      </c>
      <c r="D615">
        <v>165.21</v>
      </c>
      <c r="E615">
        <v>90.26</v>
      </c>
      <c r="F615">
        <v>36111</v>
      </c>
      <c r="G615" t="s">
        <v>9</v>
      </c>
      <c r="H615" t="str">
        <f>_xlfn.LET(_xlpm.v, IFERROR(VLOOKUP($A615, manifest!$A:$E, 3, FALSE), ""), IF(OR(_xlpm.v=0, _xlpm.v=""), "", _xlpm.v))</f>
        <v/>
      </c>
      <c r="I615" t="str">
        <f>_xlfn.LET(_xlpm.v, IFERROR(VLOOKUP($A615, manifest!$A:$E, 5, FALSE), ""), IF(OR(_xlpm.v=0, _xlpm.v=""), "", _xlpm.v))</f>
        <v>male</v>
      </c>
    </row>
    <row r="616" spans="1:9" x14ac:dyDescent="0.6">
      <c r="A616">
        <v>133</v>
      </c>
      <c r="B616" t="s">
        <v>7</v>
      </c>
      <c r="C616" t="s">
        <v>10</v>
      </c>
      <c r="D616">
        <v>190.11</v>
      </c>
      <c r="E616">
        <v>116.85</v>
      </c>
      <c r="F616">
        <v>38464</v>
      </c>
      <c r="H616" t="str">
        <f>_xlfn.LET(_xlpm.v, IFERROR(VLOOKUP($A616, manifest!$A:$E, 3, FALSE), ""), IF(OR(_xlpm.v=0, _xlpm.v=""), "", _xlpm.v))</f>
        <v/>
      </c>
      <c r="I616" t="str">
        <f>_xlfn.LET(_xlpm.v, IFERROR(VLOOKUP($A616, manifest!$A:$E, 5, FALSE), ""), IF(OR(_xlpm.v=0, _xlpm.v=""), "", _xlpm.v))</f>
        <v>male</v>
      </c>
    </row>
    <row r="617" spans="1:9" x14ac:dyDescent="0.6">
      <c r="A617">
        <v>133</v>
      </c>
      <c r="B617" t="s">
        <v>7</v>
      </c>
      <c r="C617" t="s">
        <v>11</v>
      </c>
      <c r="D617">
        <v>178.14</v>
      </c>
      <c r="E617">
        <v>113.59</v>
      </c>
      <c r="F617">
        <v>41941</v>
      </c>
      <c r="H617" t="str">
        <f>_xlfn.LET(_xlpm.v, IFERROR(VLOOKUP($A617, manifest!$A:$E, 3, FALSE), ""), IF(OR(_xlpm.v=0, _xlpm.v=""), "", _xlpm.v))</f>
        <v/>
      </c>
      <c r="I617" t="str">
        <f>_xlfn.LET(_xlpm.v, IFERROR(VLOOKUP($A617, manifest!$A:$E, 5, FALSE), ""), IF(OR(_xlpm.v=0, _xlpm.v=""), "", _xlpm.v))</f>
        <v>male</v>
      </c>
    </row>
    <row r="618" spans="1:9" x14ac:dyDescent="0.6">
      <c r="A618">
        <v>133</v>
      </c>
      <c r="B618" t="s">
        <v>7</v>
      </c>
      <c r="C618" t="s">
        <v>12</v>
      </c>
      <c r="D618">
        <v>183.24</v>
      </c>
      <c r="E618">
        <v>130.66999999999999</v>
      </c>
      <c r="F618">
        <v>36699</v>
      </c>
      <c r="H618" t="str">
        <f>_xlfn.LET(_xlpm.v, IFERROR(VLOOKUP($A618, manifest!$A:$E, 3, FALSE), ""), IF(OR(_xlpm.v=0, _xlpm.v=""), "", _xlpm.v))</f>
        <v/>
      </c>
      <c r="I618" t="str">
        <f>_xlfn.LET(_xlpm.v, IFERROR(VLOOKUP($A618, manifest!$A:$E, 5, FALSE), ""), IF(OR(_xlpm.v=0, _xlpm.v=""), "", _xlpm.v))</f>
        <v>male</v>
      </c>
    </row>
    <row r="619" spans="1:9" x14ac:dyDescent="0.6">
      <c r="A619">
        <v>133</v>
      </c>
      <c r="B619" t="s">
        <v>7</v>
      </c>
      <c r="C619" t="s">
        <v>13</v>
      </c>
      <c r="D619">
        <v>196.79</v>
      </c>
      <c r="E619">
        <v>160.49</v>
      </c>
      <c r="F619">
        <v>47645</v>
      </c>
      <c r="H619" t="str">
        <f>_xlfn.LET(_xlpm.v, IFERROR(VLOOKUP($A619, manifest!$A:$E, 3, FALSE), ""), IF(OR(_xlpm.v=0, _xlpm.v=""), "", _xlpm.v))</f>
        <v/>
      </c>
      <c r="I619" t="str">
        <f>_xlfn.LET(_xlpm.v, IFERROR(VLOOKUP($A619, manifest!$A:$E, 5, FALSE), ""), IF(OR(_xlpm.v=0, _xlpm.v=""), "", _xlpm.v))</f>
        <v>male</v>
      </c>
    </row>
    <row r="620" spans="1:9" x14ac:dyDescent="0.6">
      <c r="A620">
        <v>143</v>
      </c>
      <c r="B620" t="s">
        <v>7</v>
      </c>
      <c r="C620" t="s">
        <v>8</v>
      </c>
      <c r="D620">
        <v>255.53</v>
      </c>
      <c r="E620">
        <v>154.71</v>
      </c>
      <c r="F620">
        <v>21284</v>
      </c>
      <c r="G620" t="s">
        <v>9</v>
      </c>
      <c r="H620">
        <f>_xlfn.LET(_xlpm.v, IFERROR(VLOOKUP($A620, manifest!$A:$E, 3, FALSE), ""), IF(OR(_xlpm.v=0, _xlpm.v=""), "", _xlpm.v))</f>
        <v>50</v>
      </c>
      <c r="I620" t="str">
        <f>_xlfn.LET(_xlpm.v, IFERROR(VLOOKUP($A620, manifest!$A:$E, 5, FALSE), ""), IF(OR(_xlpm.v=0, _xlpm.v=""), "", _xlpm.v))</f>
        <v>female</v>
      </c>
    </row>
    <row r="621" spans="1:9" x14ac:dyDescent="0.6">
      <c r="A621">
        <v>143</v>
      </c>
      <c r="B621" t="s">
        <v>7</v>
      </c>
      <c r="C621" t="s">
        <v>10</v>
      </c>
      <c r="D621">
        <v>294.2</v>
      </c>
      <c r="E621">
        <v>220.71</v>
      </c>
      <c r="F621">
        <v>26488</v>
      </c>
      <c r="H621">
        <f>_xlfn.LET(_xlpm.v, IFERROR(VLOOKUP($A621, manifest!$A:$E, 3, FALSE), ""), IF(OR(_xlpm.v=0, _xlpm.v=""), "", _xlpm.v))</f>
        <v>50</v>
      </c>
      <c r="I621" t="str">
        <f>_xlfn.LET(_xlpm.v, IFERROR(VLOOKUP($A621, manifest!$A:$E, 5, FALSE), ""), IF(OR(_xlpm.v=0, _xlpm.v=""), "", _xlpm.v))</f>
        <v>female</v>
      </c>
    </row>
    <row r="622" spans="1:9" x14ac:dyDescent="0.6">
      <c r="A622">
        <v>143</v>
      </c>
      <c r="B622" t="s">
        <v>7</v>
      </c>
      <c r="C622" t="s">
        <v>11</v>
      </c>
      <c r="D622">
        <v>268.18</v>
      </c>
      <c r="E622">
        <v>176.84</v>
      </c>
      <c r="F622">
        <v>26989</v>
      </c>
      <c r="H622">
        <f>_xlfn.LET(_xlpm.v, IFERROR(VLOOKUP($A622, manifest!$A:$E, 3, FALSE), ""), IF(OR(_xlpm.v=0, _xlpm.v=""), "", _xlpm.v))</f>
        <v>50</v>
      </c>
      <c r="I622" t="str">
        <f>_xlfn.LET(_xlpm.v, IFERROR(VLOOKUP($A622, manifest!$A:$E, 5, FALSE), ""), IF(OR(_xlpm.v=0, _xlpm.v=""), "", _xlpm.v))</f>
        <v>female</v>
      </c>
    </row>
    <row r="623" spans="1:9" x14ac:dyDescent="0.6">
      <c r="A623">
        <v>143</v>
      </c>
      <c r="B623" t="s">
        <v>7</v>
      </c>
      <c r="C623" t="s">
        <v>12</v>
      </c>
      <c r="D623">
        <v>282.36</v>
      </c>
      <c r="E623">
        <v>210.2</v>
      </c>
      <c r="F623">
        <v>37858</v>
      </c>
      <c r="H623">
        <f>_xlfn.LET(_xlpm.v, IFERROR(VLOOKUP($A623, manifest!$A:$E, 3, FALSE), ""), IF(OR(_xlpm.v=0, _xlpm.v=""), "", _xlpm.v))</f>
        <v>50</v>
      </c>
      <c r="I623" t="str">
        <f>_xlfn.LET(_xlpm.v, IFERROR(VLOOKUP($A623, manifest!$A:$E, 5, FALSE), ""), IF(OR(_xlpm.v=0, _xlpm.v=""), "", _xlpm.v))</f>
        <v>female</v>
      </c>
    </row>
    <row r="624" spans="1:9" x14ac:dyDescent="0.6">
      <c r="A624">
        <v>143</v>
      </c>
      <c r="B624" t="s">
        <v>7</v>
      </c>
      <c r="C624" t="s">
        <v>13</v>
      </c>
      <c r="D624">
        <v>245.92</v>
      </c>
      <c r="E624">
        <v>165.04</v>
      </c>
      <c r="F624">
        <v>38464</v>
      </c>
      <c r="H624">
        <f>_xlfn.LET(_xlpm.v, IFERROR(VLOOKUP($A624, manifest!$A:$E, 3, FALSE), ""), IF(OR(_xlpm.v=0, _xlpm.v=""), "", _xlpm.v))</f>
        <v>50</v>
      </c>
      <c r="I624" t="str">
        <f>_xlfn.LET(_xlpm.v, IFERROR(VLOOKUP($A624, manifest!$A:$E, 5, FALSE), ""), IF(OR(_xlpm.v=0, _xlpm.v=""), "", _xlpm.v))</f>
        <v>female</v>
      </c>
    </row>
    <row r="625" spans="1:9" x14ac:dyDescent="0.6">
      <c r="A625">
        <v>130</v>
      </c>
      <c r="B625" t="s">
        <v>14</v>
      </c>
      <c r="C625" t="s">
        <v>8</v>
      </c>
      <c r="D625">
        <v>251.48</v>
      </c>
      <c r="E625">
        <v>229.41</v>
      </c>
      <c r="F625">
        <v>25881</v>
      </c>
      <c r="G625" t="s">
        <v>9</v>
      </c>
      <c r="H625" t="str">
        <f>_xlfn.LET(_xlpm.v, IFERROR(VLOOKUP($A625, manifest!$A:$E, 3, FALSE), ""), IF(OR(_xlpm.v=0, _xlpm.v=""), "", _xlpm.v))</f>
        <v/>
      </c>
      <c r="I625" t="str">
        <f>_xlfn.LET(_xlpm.v, IFERROR(VLOOKUP($A625, manifest!$A:$E, 5, FALSE), ""), IF(OR(_xlpm.v=0, _xlpm.v=""), "", _xlpm.v))</f>
        <v>male</v>
      </c>
    </row>
    <row r="626" spans="1:9" x14ac:dyDescent="0.6">
      <c r="A626">
        <v>130</v>
      </c>
      <c r="B626" t="s">
        <v>14</v>
      </c>
      <c r="C626" t="s">
        <v>10</v>
      </c>
      <c r="D626">
        <v>264.83</v>
      </c>
      <c r="E626">
        <v>265.01</v>
      </c>
      <c r="F626">
        <v>32543</v>
      </c>
      <c r="H626" t="str">
        <f>_xlfn.LET(_xlpm.v, IFERROR(VLOOKUP($A626, manifest!$A:$E, 3, FALSE), ""), IF(OR(_xlpm.v=0, _xlpm.v=""), "", _xlpm.v))</f>
        <v/>
      </c>
      <c r="I626" t="str">
        <f>_xlfn.LET(_xlpm.v, IFERROR(VLOOKUP($A626, manifest!$A:$E, 5, FALSE), ""), IF(OR(_xlpm.v=0, _xlpm.v=""), "", _xlpm.v))</f>
        <v>male</v>
      </c>
    </row>
    <row r="627" spans="1:9" x14ac:dyDescent="0.6">
      <c r="A627">
        <v>130</v>
      </c>
      <c r="B627" t="s">
        <v>14</v>
      </c>
      <c r="C627" t="s">
        <v>11</v>
      </c>
      <c r="D627">
        <v>257.67</v>
      </c>
      <c r="E627">
        <v>259.91000000000003</v>
      </c>
      <c r="F627">
        <v>30867</v>
      </c>
      <c r="H627" t="str">
        <f>_xlfn.LET(_xlpm.v, IFERROR(VLOOKUP($A627, manifest!$A:$E, 3, FALSE), ""), IF(OR(_xlpm.v=0, _xlpm.v=""), "", _xlpm.v))</f>
        <v/>
      </c>
      <c r="I627" t="str">
        <f>_xlfn.LET(_xlpm.v, IFERROR(VLOOKUP($A627, manifest!$A:$E, 5, FALSE), ""), IF(OR(_xlpm.v=0, _xlpm.v=""), "", _xlpm.v))</f>
        <v>male</v>
      </c>
    </row>
    <row r="628" spans="1:9" x14ac:dyDescent="0.6">
      <c r="A628">
        <v>130</v>
      </c>
      <c r="B628" t="s">
        <v>14</v>
      </c>
      <c r="C628" t="s">
        <v>12</v>
      </c>
      <c r="D628">
        <v>237.57</v>
      </c>
      <c r="E628">
        <v>221.33</v>
      </c>
      <c r="F628">
        <v>40162</v>
      </c>
      <c r="H628" t="str">
        <f>_xlfn.LET(_xlpm.v, IFERROR(VLOOKUP($A628, manifest!$A:$E, 3, FALSE), ""), IF(OR(_xlpm.v=0, _xlpm.v=""), "", _xlpm.v))</f>
        <v/>
      </c>
      <c r="I628" t="str">
        <f>_xlfn.LET(_xlpm.v, IFERROR(VLOOKUP($A628, manifest!$A:$E, 5, FALSE), ""), IF(OR(_xlpm.v=0, _xlpm.v=""), "", _xlpm.v))</f>
        <v>male</v>
      </c>
    </row>
    <row r="629" spans="1:9" x14ac:dyDescent="0.6">
      <c r="A629">
        <v>130</v>
      </c>
      <c r="B629" t="s">
        <v>14</v>
      </c>
      <c r="C629" t="s">
        <v>13</v>
      </c>
      <c r="D629">
        <v>230.06</v>
      </c>
      <c r="E629">
        <v>190.12</v>
      </c>
      <c r="F629">
        <v>42538</v>
      </c>
      <c r="H629" t="str">
        <f>_xlfn.LET(_xlpm.v, IFERROR(VLOOKUP($A629, manifest!$A:$E, 3, FALSE), ""), IF(OR(_xlpm.v=0, _xlpm.v=""), "", _xlpm.v))</f>
        <v/>
      </c>
      <c r="I629" t="str">
        <f>_xlfn.LET(_xlpm.v, IFERROR(VLOOKUP($A629, manifest!$A:$E, 5, FALSE), ""), IF(OR(_xlpm.v=0, _xlpm.v=""), "", _xlpm.v))</f>
        <v>male</v>
      </c>
    </row>
    <row r="630" spans="1:9" x14ac:dyDescent="0.6">
      <c r="A630">
        <v>131</v>
      </c>
      <c r="B630" t="s">
        <v>14</v>
      </c>
      <c r="C630" t="s">
        <v>8</v>
      </c>
      <c r="D630">
        <v>200.08</v>
      </c>
      <c r="E630">
        <v>133.82</v>
      </c>
      <c r="F630">
        <v>45671</v>
      </c>
      <c r="G630" t="s">
        <v>9</v>
      </c>
      <c r="H630" t="str">
        <f>_xlfn.LET(_xlpm.v, IFERROR(VLOOKUP($A630, manifest!$A:$E, 3, FALSE), ""), IF(OR(_xlpm.v=0, _xlpm.v=""), "", _xlpm.v))</f>
        <v/>
      </c>
      <c r="I630" t="str">
        <f>_xlfn.LET(_xlpm.v, IFERROR(VLOOKUP($A630, manifest!$A:$E, 5, FALSE), ""), IF(OR(_xlpm.v=0, _xlpm.v=""), "", _xlpm.v))</f>
        <v>male</v>
      </c>
    </row>
    <row r="631" spans="1:9" x14ac:dyDescent="0.6">
      <c r="A631">
        <v>131</v>
      </c>
      <c r="B631" t="s">
        <v>14</v>
      </c>
      <c r="C631" t="s">
        <v>10</v>
      </c>
      <c r="D631">
        <v>238.37</v>
      </c>
      <c r="E631">
        <v>223.07</v>
      </c>
      <c r="F631">
        <v>48124</v>
      </c>
      <c r="H631" t="str">
        <f>_xlfn.LET(_xlpm.v, IFERROR(VLOOKUP($A631, manifest!$A:$E, 3, FALSE), ""), IF(OR(_xlpm.v=0, _xlpm.v=""), "", _xlpm.v))</f>
        <v/>
      </c>
      <c r="I631" t="str">
        <f>_xlfn.LET(_xlpm.v, IFERROR(VLOOKUP($A631, manifest!$A:$E, 5, FALSE), ""), IF(OR(_xlpm.v=0, _xlpm.v=""), "", _xlpm.v))</f>
        <v>male</v>
      </c>
    </row>
    <row r="632" spans="1:9" x14ac:dyDescent="0.6">
      <c r="A632">
        <v>131</v>
      </c>
      <c r="B632" t="s">
        <v>14</v>
      </c>
      <c r="C632" t="s">
        <v>11</v>
      </c>
      <c r="D632">
        <v>213.46</v>
      </c>
      <c r="E632">
        <v>196.75</v>
      </c>
      <c r="F632">
        <v>61098</v>
      </c>
      <c r="H632" t="str">
        <f>_xlfn.LET(_xlpm.v, IFERROR(VLOOKUP($A632, manifest!$A:$E, 3, FALSE), ""), IF(OR(_xlpm.v=0, _xlpm.v=""), "", _xlpm.v))</f>
        <v/>
      </c>
      <c r="I632" t="str">
        <f>_xlfn.LET(_xlpm.v, IFERROR(VLOOKUP($A632, manifest!$A:$E, 5, FALSE), ""), IF(OR(_xlpm.v=0, _xlpm.v=""), "", _xlpm.v))</f>
        <v>male</v>
      </c>
    </row>
    <row r="633" spans="1:9" x14ac:dyDescent="0.6">
      <c r="A633">
        <v>131</v>
      </c>
      <c r="B633" t="s">
        <v>14</v>
      </c>
      <c r="C633" t="s">
        <v>12</v>
      </c>
      <c r="D633">
        <v>190.77</v>
      </c>
      <c r="E633">
        <v>167.91</v>
      </c>
      <c r="F633">
        <v>57842</v>
      </c>
      <c r="H633" t="str">
        <f>_xlfn.LET(_xlpm.v, IFERROR(VLOOKUP($A633, manifest!$A:$E, 3, FALSE), ""), IF(OR(_xlpm.v=0, _xlpm.v=""), "", _xlpm.v))</f>
        <v/>
      </c>
      <c r="I633" t="str">
        <f>_xlfn.LET(_xlpm.v, IFERROR(VLOOKUP($A633, manifest!$A:$E, 5, FALSE), ""), IF(OR(_xlpm.v=0, _xlpm.v=""), "", _xlpm.v))</f>
        <v>male</v>
      </c>
    </row>
    <row r="634" spans="1:9" x14ac:dyDescent="0.6">
      <c r="A634">
        <v>131</v>
      </c>
      <c r="B634" t="s">
        <v>14</v>
      </c>
      <c r="C634" t="s">
        <v>13</v>
      </c>
      <c r="D634">
        <v>206.99</v>
      </c>
      <c r="E634">
        <v>175.3</v>
      </c>
      <c r="F634">
        <v>60930</v>
      </c>
      <c r="H634" t="str">
        <f>_xlfn.LET(_xlpm.v, IFERROR(VLOOKUP($A634, manifest!$A:$E, 3, FALSE), ""), IF(OR(_xlpm.v=0, _xlpm.v=""), "", _xlpm.v))</f>
        <v/>
      </c>
      <c r="I634" t="str">
        <f>_xlfn.LET(_xlpm.v, IFERROR(VLOOKUP($A634, manifest!$A:$E, 5, FALSE), ""), IF(OR(_xlpm.v=0, _xlpm.v=""), "", _xlpm.v))</f>
        <v>male</v>
      </c>
    </row>
    <row r="635" spans="1:9" x14ac:dyDescent="0.6">
      <c r="A635">
        <v>126</v>
      </c>
      <c r="B635" t="s">
        <v>14</v>
      </c>
      <c r="C635" t="s">
        <v>8</v>
      </c>
      <c r="D635">
        <v>237.54</v>
      </c>
      <c r="E635">
        <v>180.98</v>
      </c>
      <c r="F635">
        <v>27435</v>
      </c>
      <c r="G635" t="s">
        <v>9</v>
      </c>
      <c r="H635" t="str">
        <f>_xlfn.LET(_xlpm.v, IFERROR(VLOOKUP($A635, manifest!$A:$E, 3, FALSE), ""), IF(OR(_xlpm.v=0, _xlpm.v=""), "", _xlpm.v))</f>
        <v/>
      </c>
      <c r="I635" t="str">
        <f>_xlfn.LET(_xlpm.v, IFERROR(VLOOKUP($A635, manifest!$A:$E, 5, FALSE), ""), IF(OR(_xlpm.v=0, _xlpm.v=""), "", _xlpm.v))</f>
        <v>female</v>
      </c>
    </row>
    <row r="636" spans="1:9" x14ac:dyDescent="0.6">
      <c r="A636">
        <v>126</v>
      </c>
      <c r="B636" t="s">
        <v>14</v>
      </c>
      <c r="C636" t="s">
        <v>10</v>
      </c>
      <c r="D636">
        <v>249.89</v>
      </c>
      <c r="E636">
        <v>210.89</v>
      </c>
      <c r="F636">
        <v>34601</v>
      </c>
      <c r="H636" t="str">
        <f>_xlfn.LET(_xlpm.v, IFERROR(VLOOKUP($A636, manifest!$A:$E, 3, FALSE), ""), IF(OR(_xlpm.v=0, _xlpm.v=""), "", _xlpm.v))</f>
        <v/>
      </c>
      <c r="I636" t="str">
        <f>_xlfn.LET(_xlpm.v, IFERROR(VLOOKUP($A636, manifest!$A:$E, 5, FALSE), ""), IF(OR(_xlpm.v=0, _xlpm.v=""), "", _xlpm.v))</f>
        <v>female</v>
      </c>
    </row>
    <row r="637" spans="1:9" x14ac:dyDescent="0.6">
      <c r="A637">
        <v>126</v>
      </c>
      <c r="B637" t="s">
        <v>14</v>
      </c>
      <c r="C637" t="s">
        <v>11</v>
      </c>
      <c r="D637">
        <v>256.05</v>
      </c>
      <c r="E637">
        <v>227.53</v>
      </c>
      <c r="F637">
        <v>37143</v>
      </c>
      <c r="H637" t="str">
        <f>_xlfn.LET(_xlpm.v, IFERROR(VLOOKUP($A637, manifest!$A:$E, 3, FALSE), ""), IF(OR(_xlpm.v=0, _xlpm.v=""), "", _xlpm.v))</f>
        <v/>
      </c>
      <c r="I637" t="str">
        <f>_xlfn.LET(_xlpm.v, IFERROR(VLOOKUP($A637, manifest!$A:$E, 5, FALSE), ""), IF(OR(_xlpm.v=0, _xlpm.v=""), "", _xlpm.v))</f>
        <v>female</v>
      </c>
    </row>
    <row r="638" spans="1:9" x14ac:dyDescent="0.6">
      <c r="A638">
        <v>126</v>
      </c>
      <c r="B638" t="s">
        <v>14</v>
      </c>
      <c r="C638" t="s">
        <v>12</v>
      </c>
      <c r="D638">
        <v>294</v>
      </c>
      <c r="E638">
        <v>264.52999999999997</v>
      </c>
      <c r="F638">
        <v>38672</v>
      </c>
      <c r="H638" t="str">
        <f>_xlfn.LET(_xlpm.v, IFERROR(VLOOKUP($A638, manifest!$A:$E, 3, FALSE), ""), IF(OR(_xlpm.v=0, _xlpm.v=""), "", _xlpm.v))</f>
        <v/>
      </c>
      <c r="I638" t="str">
        <f>_xlfn.LET(_xlpm.v, IFERROR(VLOOKUP($A638, manifest!$A:$E, 5, FALSE), ""), IF(OR(_xlpm.v=0, _xlpm.v=""), "", _xlpm.v))</f>
        <v>female</v>
      </c>
    </row>
    <row r="639" spans="1:9" x14ac:dyDescent="0.6">
      <c r="A639">
        <v>126</v>
      </c>
      <c r="B639" t="s">
        <v>14</v>
      </c>
      <c r="C639" t="s">
        <v>13</v>
      </c>
      <c r="D639">
        <v>253.75</v>
      </c>
      <c r="E639">
        <v>191.09</v>
      </c>
      <c r="F639">
        <v>44888</v>
      </c>
      <c r="H639" t="str">
        <f>_xlfn.LET(_xlpm.v, IFERROR(VLOOKUP($A639, manifest!$A:$E, 3, FALSE), ""), IF(OR(_xlpm.v=0, _xlpm.v=""), "", _xlpm.v))</f>
        <v/>
      </c>
      <c r="I639" t="str">
        <f>_xlfn.LET(_xlpm.v, IFERROR(VLOOKUP($A639, manifest!$A:$E, 5, FALSE), ""), IF(OR(_xlpm.v=0, _xlpm.v=""), "", _xlpm.v))</f>
        <v>female</v>
      </c>
    </row>
    <row r="640" spans="1:9" x14ac:dyDescent="0.6">
      <c r="A640">
        <v>156</v>
      </c>
      <c r="B640" t="s">
        <v>7</v>
      </c>
      <c r="C640" t="s">
        <v>8</v>
      </c>
      <c r="D640">
        <v>197.01</v>
      </c>
      <c r="E640">
        <v>91.23</v>
      </c>
      <c r="F640">
        <v>25235</v>
      </c>
      <c r="G640" t="s">
        <v>9</v>
      </c>
      <c r="H640">
        <f>_xlfn.LET(_xlpm.v, IFERROR(VLOOKUP($A640, manifest!$A:$E, 3, FALSE), ""), IF(OR(_xlpm.v=0, _xlpm.v=""), "", _xlpm.v))</f>
        <v>63</v>
      </c>
      <c r="I640" t="str">
        <f>_xlfn.LET(_xlpm.v, IFERROR(VLOOKUP($A640, manifest!$A:$E, 5, FALSE), ""), IF(OR(_xlpm.v=0, _xlpm.v=""), "", _xlpm.v))</f>
        <v>female</v>
      </c>
    </row>
    <row r="641" spans="1:9" x14ac:dyDescent="0.6">
      <c r="A641">
        <v>156</v>
      </c>
      <c r="B641" t="s">
        <v>7</v>
      </c>
      <c r="C641" t="s">
        <v>10</v>
      </c>
      <c r="D641">
        <v>207.55</v>
      </c>
      <c r="E641">
        <v>117.82</v>
      </c>
      <c r="F641">
        <v>29971</v>
      </c>
      <c r="H641">
        <f>_xlfn.LET(_xlpm.v, IFERROR(VLOOKUP($A641, manifest!$A:$E, 3, FALSE), ""), IF(OR(_xlpm.v=0, _xlpm.v=""), "", _xlpm.v))</f>
        <v>63</v>
      </c>
      <c r="I641" t="str">
        <f>_xlfn.LET(_xlpm.v, IFERROR(VLOOKUP($A641, manifest!$A:$E, 5, FALSE), ""), IF(OR(_xlpm.v=0, _xlpm.v=""), "", _xlpm.v))</f>
        <v>female</v>
      </c>
    </row>
    <row r="642" spans="1:9" x14ac:dyDescent="0.6">
      <c r="A642">
        <v>156</v>
      </c>
      <c r="B642" t="s">
        <v>7</v>
      </c>
      <c r="C642" t="s">
        <v>11</v>
      </c>
      <c r="D642">
        <v>198.35</v>
      </c>
      <c r="E642">
        <v>118.19</v>
      </c>
      <c r="F642">
        <v>34048</v>
      </c>
      <c r="H642">
        <f>_xlfn.LET(_xlpm.v, IFERROR(VLOOKUP($A642, manifest!$A:$E, 3, FALSE), ""), IF(OR(_xlpm.v=0, _xlpm.v=""), "", _xlpm.v))</f>
        <v>63</v>
      </c>
      <c r="I642" t="str">
        <f>_xlfn.LET(_xlpm.v, IFERROR(VLOOKUP($A642, manifest!$A:$E, 5, FALSE), ""), IF(OR(_xlpm.v=0, _xlpm.v=""), "", _xlpm.v))</f>
        <v>female</v>
      </c>
    </row>
    <row r="643" spans="1:9" x14ac:dyDescent="0.6">
      <c r="A643">
        <v>156</v>
      </c>
      <c r="B643" t="s">
        <v>7</v>
      </c>
      <c r="C643" t="s">
        <v>12</v>
      </c>
      <c r="D643">
        <v>196.44</v>
      </c>
      <c r="E643">
        <v>132</v>
      </c>
      <c r="F643">
        <v>34422</v>
      </c>
      <c r="H643">
        <f>_xlfn.LET(_xlpm.v, IFERROR(VLOOKUP($A643, manifest!$A:$E, 3, FALSE), ""), IF(OR(_xlpm.v=0, _xlpm.v=""), "", _xlpm.v))</f>
        <v>63</v>
      </c>
      <c r="I643" t="str">
        <f>_xlfn.LET(_xlpm.v, IFERROR(VLOOKUP($A643, manifest!$A:$E, 5, FALSE), ""), IF(OR(_xlpm.v=0, _xlpm.v=""), "", _xlpm.v))</f>
        <v>female</v>
      </c>
    </row>
    <row r="644" spans="1:9" x14ac:dyDescent="0.6">
      <c r="A644">
        <v>156</v>
      </c>
      <c r="B644" t="s">
        <v>7</v>
      </c>
      <c r="C644" t="s">
        <v>13</v>
      </c>
      <c r="D644">
        <v>203.86</v>
      </c>
      <c r="E644">
        <v>145.25</v>
      </c>
      <c r="F644">
        <v>45233</v>
      </c>
      <c r="H644">
        <f>_xlfn.LET(_xlpm.v, IFERROR(VLOOKUP($A644, manifest!$A:$E, 3, FALSE), ""), IF(OR(_xlpm.v=0, _xlpm.v=""), "", _xlpm.v))</f>
        <v>63</v>
      </c>
      <c r="I644" t="str">
        <f>_xlfn.LET(_xlpm.v, IFERROR(VLOOKUP($A644, manifest!$A:$E, 5, FALSE), ""), IF(OR(_xlpm.v=0, _xlpm.v=""), "", _xlpm.v))</f>
        <v>female</v>
      </c>
    </row>
    <row r="645" spans="1:9" x14ac:dyDescent="0.6">
      <c r="A645">
        <v>111</v>
      </c>
      <c r="B645" t="s">
        <v>7</v>
      </c>
      <c r="C645" t="s">
        <v>8</v>
      </c>
      <c r="D645">
        <v>236.38</v>
      </c>
      <c r="E645">
        <v>198.91</v>
      </c>
      <c r="F645">
        <v>51211</v>
      </c>
      <c r="G645" t="s">
        <v>9</v>
      </c>
      <c r="H645">
        <f>_xlfn.LET(_xlpm.v, IFERROR(VLOOKUP($A645, manifest!$A:$E, 3, FALSE), ""), IF(OR(_xlpm.v=0, _xlpm.v=""), "", _xlpm.v))</f>
        <v>51</v>
      </c>
      <c r="I645" t="str">
        <f>_xlfn.LET(_xlpm.v, IFERROR(VLOOKUP($A645, manifest!$A:$E, 5, FALSE), ""), IF(OR(_xlpm.v=0, _xlpm.v=""), "", _xlpm.v))</f>
        <v>male</v>
      </c>
    </row>
    <row r="646" spans="1:9" x14ac:dyDescent="0.6">
      <c r="A646">
        <v>111</v>
      </c>
      <c r="B646" t="s">
        <v>7</v>
      </c>
      <c r="C646" t="s">
        <v>10</v>
      </c>
      <c r="D646">
        <v>265.67</v>
      </c>
      <c r="E646">
        <v>232.42</v>
      </c>
      <c r="F646">
        <v>58215</v>
      </c>
      <c r="H646">
        <f>_xlfn.LET(_xlpm.v, IFERROR(VLOOKUP($A646, manifest!$A:$E, 3, FALSE), ""), IF(OR(_xlpm.v=0, _xlpm.v=""), "", _xlpm.v))</f>
        <v>51</v>
      </c>
      <c r="I646" t="str">
        <f>_xlfn.LET(_xlpm.v, IFERROR(VLOOKUP($A646, manifest!$A:$E, 5, FALSE), ""), IF(OR(_xlpm.v=0, _xlpm.v=""), "", _xlpm.v))</f>
        <v>male</v>
      </c>
    </row>
    <row r="647" spans="1:9" x14ac:dyDescent="0.6">
      <c r="A647">
        <v>111</v>
      </c>
      <c r="B647" t="s">
        <v>7</v>
      </c>
      <c r="C647" t="s">
        <v>11</v>
      </c>
      <c r="D647">
        <v>243.4</v>
      </c>
      <c r="E647">
        <v>209.25</v>
      </c>
      <c r="F647">
        <v>70228</v>
      </c>
      <c r="H647">
        <f>_xlfn.LET(_xlpm.v, IFERROR(VLOOKUP($A647, manifest!$A:$E, 3, FALSE), ""), IF(OR(_xlpm.v=0, _xlpm.v=""), "", _xlpm.v))</f>
        <v>51</v>
      </c>
      <c r="I647" t="str">
        <f>_xlfn.LET(_xlpm.v, IFERROR(VLOOKUP($A647, manifest!$A:$E, 5, FALSE), ""), IF(OR(_xlpm.v=0, _xlpm.v=""), "", _xlpm.v))</f>
        <v>male</v>
      </c>
    </row>
    <row r="648" spans="1:9" x14ac:dyDescent="0.6">
      <c r="A648">
        <v>111</v>
      </c>
      <c r="B648" t="s">
        <v>7</v>
      </c>
      <c r="C648" t="s">
        <v>12</v>
      </c>
      <c r="D648">
        <v>251.46</v>
      </c>
      <c r="E648">
        <v>209.18</v>
      </c>
      <c r="F648">
        <v>72715</v>
      </c>
      <c r="H648">
        <f>_xlfn.LET(_xlpm.v, IFERROR(VLOOKUP($A648, manifest!$A:$E, 3, FALSE), ""), IF(OR(_xlpm.v=0, _xlpm.v=""), "", _xlpm.v))</f>
        <v>51</v>
      </c>
      <c r="I648" t="str">
        <f>_xlfn.LET(_xlpm.v, IFERROR(VLOOKUP($A648, manifest!$A:$E, 5, FALSE), ""), IF(OR(_xlpm.v=0, _xlpm.v=""), "", _xlpm.v))</f>
        <v>male</v>
      </c>
    </row>
    <row r="649" spans="1:9" x14ac:dyDescent="0.6">
      <c r="A649">
        <v>111</v>
      </c>
      <c r="B649" t="s">
        <v>7</v>
      </c>
      <c r="C649" t="s">
        <v>13</v>
      </c>
      <c r="D649">
        <v>272.94</v>
      </c>
      <c r="E649">
        <v>217.33</v>
      </c>
      <c r="F649">
        <v>70241</v>
      </c>
      <c r="H649">
        <f>_xlfn.LET(_xlpm.v, IFERROR(VLOOKUP($A649, manifest!$A:$E, 3, FALSE), ""), IF(OR(_xlpm.v=0, _xlpm.v=""), "", _xlpm.v))</f>
        <v>51</v>
      </c>
      <c r="I649" t="str">
        <f>_xlfn.LET(_xlpm.v, IFERROR(VLOOKUP($A649, manifest!$A:$E, 5, FALSE), ""), IF(OR(_xlpm.v=0, _xlpm.v=""), "", _xlpm.v))</f>
        <v>male</v>
      </c>
    </row>
    <row r="650" spans="1:9" x14ac:dyDescent="0.6">
      <c r="A650">
        <v>144</v>
      </c>
      <c r="B650" t="s">
        <v>7</v>
      </c>
      <c r="C650" t="s">
        <v>8</v>
      </c>
      <c r="D650">
        <v>275.08999999999997</v>
      </c>
      <c r="E650">
        <v>167.08</v>
      </c>
      <c r="F650">
        <v>20742</v>
      </c>
      <c r="G650" t="s">
        <v>9</v>
      </c>
      <c r="H650">
        <f>_xlfn.LET(_xlpm.v, IFERROR(VLOOKUP($A650, manifest!$A:$E, 3, FALSE), ""), IF(OR(_xlpm.v=0, _xlpm.v=""), "", _xlpm.v))</f>
        <v>56</v>
      </c>
      <c r="I650" t="str">
        <f>_xlfn.LET(_xlpm.v, IFERROR(VLOOKUP($A650, manifest!$A:$E, 5, FALSE), ""), IF(OR(_xlpm.v=0, _xlpm.v=""), "", _xlpm.v))</f>
        <v>female</v>
      </c>
    </row>
    <row r="651" spans="1:9" x14ac:dyDescent="0.6">
      <c r="A651">
        <v>144</v>
      </c>
      <c r="B651" t="s">
        <v>7</v>
      </c>
      <c r="C651" t="s">
        <v>10</v>
      </c>
      <c r="D651">
        <v>292.91000000000003</v>
      </c>
      <c r="E651">
        <v>212.03</v>
      </c>
      <c r="F651">
        <v>23190</v>
      </c>
      <c r="H651">
        <f>_xlfn.LET(_xlpm.v, IFERROR(VLOOKUP($A651, manifest!$A:$E, 3, FALSE), ""), IF(OR(_xlpm.v=0, _xlpm.v=""), "", _xlpm.v))</f>
        <v>56</v>
      </c>
      <c r="I651" t="str">
        <f>_xlfn.LET(_xlpm.v, IFERROR(VLOOKUP($A651, manifest!$A:$E, 5, FALSE), ""), IF(OR(_xlpm.v=0, _xlpm.v=""), "", _xlpm.v))</f>
        <v>female</v>
      </c>
    </row>
    <row r="652" spans="1:9" x14ac:dyDescent="0.6">
      <c r="A652">
        <v>144</v>
      </c>
      <c r="B652" t="s">
        <v>7</v>
      </c>
      <c r="C652" t="s">
        <v>11</v>
      </c>
      <c r="D652">
        <v>299.27</v>
      </c>
      <c r="E652">
        <v>218.01</v>
      </c>
      <c r="F652">
        <v>24465</v>
      </c>
      <c r="H652">
        <f>_xlfn.LET(_xlpm.v, IFERROR(VLOOKUP($A652, manifest!$A:$E, 3, FALSE), ""), IF(OR(_xlpm.v=0, _xlpm.v=""), "", _xlpm.v))</f>
        <v>56</v>
      </c>
      <c r="I652" t="str">
        <f>_xlfn.LET(_xlpm.v, IFERROR(VLOOKUP($A652, manifest!$A:$E, 5, FALSE), ""), IF(OR(_xlpm.v=0, _xlpm.v=""), "", _xlpm.v))</f>
        <v>female</v>
      </c>
    </row>
    <row r="653" spans="1:9" x14ac:dyDescent="0.6">
      <c r="A653">
        <v>144</v>
      </c>
      <c r="B653" t="s">
        <v>7</v>
      </c>
      <c r="C653" t="s">
        <v>12</v>
      </c>
      <c r="D653">
        <v>332.16</v>
      </c>
      <c r="E653">
        <v>251.79</v>
      </c>
      <c r="F653">
        <v>31297</v>
      </c>
      <c r="H653">
        <f>_xlfn.LET(_xlpm.v, IFERROR(VLOOKUP($A653, manifest!$A:$E, 3, FALSE), ""), IF(OR(_xlpm.v=0, _xlpm.v=""), "", _xlpm.v))</f>
        <v>56</v>
      </c>
      <c r="I653" t="str">
        <f>_xlfn.LET(_xlpm.v, IFERROR(VLOOKUP($A653, manifest!$A:$E, 5, FALSE), ""), IF(OR(_xlpm.v=0, _xlpm.v=""), "", _xlpm.v))</f>
        <v>female</v>
      </c>
    </row>
    <row r="654" spans="1:9" x14ac:dyDescent="0.6">
      <c r="A654">
        <v>144</v>
      </c>
      <c r="B654" t="s">
        <v>7</v>
      </c>
      <c r="C654" t="s">
        <v>13</v>
      </c>
      <c r="D654">
        <v>284.93</v>
      </c>
      <c r="E654">
        <v>209.88</v>
      </c>
      <c r="F654">
        <v>31973</v>
      </c>
      <c r="H654">
        <f>_xlfn.LET(_xlpm.v, IFERROR(VLOOKUP($A654, manifest!$A:$E, 3, FALSE), ""), IF(OR(_xlpm.v=0, _xlpm.v=""), "", _xlpm.v))</f>
        <v>56</v>
      </c>
      <c r="I654" t="str">
        <f>_xlfn.LET(_xlpm.v, IFERROR(VLOOKUP($A654, manifest!$A:$E, 5, FALSE), ""), IF(OR(_xlpm.v=0, _xlpm.v=""), "", _xlpm.v))</f>
        <v>female</v>
      </c>
    </row>
    <row r="655" spans="1:9" x14ac:dyDescent="0.6">
      <c r="A655">
        <v>153</v>
      </c>
      <c r="B655" t="s">
        <v>7</v>
      </c>
      <c r="C655" t="s">
        <v>8</v>
      </c>
      <c r="D655">
        <v>184.33</v>
      </c>
      <c r="E655">
        <v>104.85</v>
      </c>
      <c r="F655">
        <v>35467</v>
      </c>
      <c r="G655" t="s">
        <v>9</v>
      </c>
      <c r="H655">
        <f>_xlfn.LET(_xlpm.v, IFERROR(VLOOKUP($A655, manifest!$A:$E, 3, FALSE), ""), IF(OR(_xlpm.v=0, _xlpm.v=""), "", _xlpm.v))</f>
        <v>52</v>
      </c>
      <c r="I655" t="str">
        <f>_xlfn.LET(_xlpm.v, IFERROR(VLOOKUP($A655, manifest!$A:$E, 5, FALSE), ""), IF(OR(_xlpm.v=0, _xlpm.v=""), "", _xlpm.v))</f>
        <v>female</v>
      </c>
    </row>
    <row r="656" spans="1:9" x14ac:dyDescent="0.6">
      <c r="A656">
        <v>153</v>
      </c>
      <c r="B656" t="s">
        <v>7</v>
      </c>
      <c r="C656" t="s">
        <v>10</v>
      </c>
      <c r="D656">
        <v>181.96</v>
      </c>
      <c r="E656">
        <v>99.05</v>
      </c>
      <c r="F656">
        <v>42947</v>
      </c>
      <c r="H656">
        <f>_xlfn.LET(_xlpm.v, IFERROR(VLOOKUP($A656, manifest!$A:$E, 3, FALSE), ""), IF(OR(_xlpm.v=0, _xlpm.v=""), "", _xlpm.v))</f>
        <v>52</v>
      </c>
      <c r="I656" t="str">
        <f>_xlfn.LET(_xlpm.v, IFERROR(VLOOKUP($A656, manifest!$A:$E, 5, FALSE), ""), IF(OR(_xlpm.v=0, _xlpm.v=""), "", _xlpm.v))</f>
        <v>female</v>
      </c>
    </row>
    <row r="657" spans="1:9" x14ac:dyDescent="0.6">
      <c r="A657">
        <v>153</v>
      </c>
      <c r="B657" t="s">
        <v>7</v>
      </c>
      <c r="C657" t="s">
        <v>11</v>
      </c>
      <c r="D657">
        <v>177.32</v>
      </c>
      <c r="E657">
        <v>120.2</v>
      </c>
      <c r="F657">
        <v>51312</v>
      </c>
      <c r="H657">
        <f>_xlfn.LET(_xlpm.v, IFERROR(VLOOKUP($A657, manifest!$A:$E, 3, FALSE), ""), IF(OR(_xlpm.v=0, _xlpm.v=""), "", _xlpm.v))</f>
        <v>52</v>
      </c>
      <c r="I657" t="str">
        <f>_xlfn.LET(_xlpm.v, IFERROR(VLOOKUP($A657, manifest!$A:$E, 5, FALSE), ""), IF(OR(_xlpm.v=0, _xlpm.v=""), "", _xlpm.v))</f>
        <v>female</v>
      </c>
    </row>
    <row r="658" spans="1:9" x14ac:dyDescent="0.6">
      <c r="A658">
        <v>153</v>
      </c>
      <c r="B658" t="s">
        <v>7</v>
      </c>
      <c r="C658" t="s">
        <v>12</v>
      </c>
      <c r="D658">
        <v>171.69</v>
      </c>
      <c r="E658">
        <v>108.21</v>
      </c>
      <c r="F658">
        <v>73640</v>
      </c>
      <c r="H658">
        <f>_xlfn.LET(_xlpm.v, IFERROR(VLOOKUP($A658, manifest!$A:$E, 3, FALSE), ""), IF(OR(_xlpm.v=0, _xlpm.v=""), "", _xlpm.v))</f>
        <v>52</v>
      </c>
      <c r="I658" t="str">
        <f>_xlfn.LET(_xlpm.v, IFERROR(VLOOKUP($A658, manifest!$A:$E, 5, FALSE), ""), IF(OR(_xlpm.v=0, _xlpm.v=""), "", _xlpm.v))</f>
        <v>female</v>
      </c>
    </row>
    <row r="659" spans="1:9" x14ac:dyDescent="0.6">
      <c r="A659">
        <v>153</v>
      </c>
      <c r="B659" t="s">
        <v>7</v>
      </c>
      <c r="C659" t="s">
        <v>13</v>
      </c>
      <c r="D659">
        <v>174.41</v>
      </c>
      <c r="E659">
        <v>117.15</v>
      </c>
      <c r="F659">
        <v>66722</v>
      </c>
      <c r="H659">
        <f>_xlfn.LET(_xlpm.v, IFERROR(VLOOKUP($A659, manifest!$A:$E, 3, FALSE), ""), IF(OR(_xlpm.v=0, _xlpm.v=""), "", _xlpm.v))</f>
        <v>52</v>
      </c>
      <c r="I659" t="str">
        <f>_xlfn.LET(_xlpm.v, IFERROR(VLOOKUP($A659, manifest!$A:$E, 5, FALSE), ""), IF(OR(_xlpm.v=0, _xlpm.v=""), "", _xlpm.v))</f>
        <v>female</v>
      </c>
    </row>
    <row r="660" spans="1:9" x14ac:dyDescent="0.6">
      <c r="A660">
        <v>142</v>
      </c>
      <c r="B660" t="s">
        <v>7</v>
      </c>
      <c r="C660" t="s">
        <v>8</v>
      </c>
      <c r="D660">
        <v>194.35</v>
      </c>
      <c r="E660">
        <v>160.78</v>
      </c>
      <c r="F660">
        <v>31533</v>
      </c>
      <c r="G660" t="s">
        <v>9</v>
      </c>
      <c r="H660">
        <f>_xlfn.LET(_xlpm.v, IFERROR(VLOOKUP($A660, manifest!$A:$E, 3, FALSE), ""), IF(OR(_xlpm.v=0, _xlpm.v=""), "", _xlpm.v))</f>
        <v>58</v>
      </c>
      <c r="I660" t="str">
        <f>_xlfn.LET(_xlpm.v, IFERROR(VLOOKUP($A660, manifest!$A:$E, 5, FALSE), ""), IF(OR(_xlpm.v=0, _xlpm.v=""), "", _xlpm.v))</f>
        <v>male</v>
      </c>
    </row>
    <row r="661" spans="1:9" x14ac:dyDescent="0.6">
      <c r="A661">
        <v>142</v>
      </c>
      <c r="B661" t="s">
        <v>7</v>
      </c>
      <c r="C661" t="s">
        <v>10</v>
      </c>
      <c r="D661">
        <v>198.73</v>
      </c>
      <c r="E661">
        <v>181.38</v>
      </c>
      <c r="F661">
        <v>32876</v>
      </c>
      <c r="H661">
        <f>_xlfn.LET(_xlpm.v, IFERROR(VLOOKUP($A661, manifest!$A:$E, 3, FALSE), ""), IF(OR(_xlpm.v=0, _xlpm.v=""), "", _xlpm.v))</f>
        <v>58</v>
      </c>
      <c r="I661" t="str">
        <f>_xlfn.LET(_xlpm.v, IFERROR(VLOOKUP($A661, manifest!$A:$E, 5, FALSE), ""), IF(OR(_xlpm.v=0, _xlpm.v=""), "", _xlpm.v))</f>
        <v>male</v>
      </c>
    </row>
    <row r="662" spans="1:9" x14ac:dyDescent="0.6">
      <c r="A662">
        <v>142</v>
      </c>
      <c r="B662" t="s">
        <v>7</v>
      </c>
      <c r="C662" t="s">
        <v>11</v>
      </c>
      <c r="D662">
        <v>210.63</v>
      </c>
      <c r="E662">
        <v>194.24</v>
      </c>
      <c r="F662">
        <v>35969</v>
      </c>
      <c r="H662">
        <f>_xlfn.LET(_xlpm.v, IFERROR(VLOOKUP($A662, manifest!$A:$E, 3, FALSE), ""), IF(OR(_xlpm.v=0, _xlpm.v=""), "", _xlpm.v))</f>
        <v>58</v>
      </c>
      <c r="I662" t="str">
        <f>_xlfn.LET(_xlpm.v, IFERROR(VLOOKUP($A662, manifest!$A:$E, 5, FALSE), ""), IF(OR(_xlpm.v=0, _xlpm.v=""), "", _xlpm.v))</f>
        <v>male</v>
      </c>
    </row>
    <row r="663" spans="1:9" x14ac:dyDescent="0.6">
      <c r="A663">
        <v>142</v>
      </c>
      <c r="B663" t="s">
        <v>7</v>
      </c>
      <c r="C663" t="s">
        <v>12</v>
      </c>
      <c r="D663">
        <v>206.93</v>
      </c>
      <c r="E663">
        <v>192.95</v>
      </c>
      <c r="F663">
        <v>36113</v>
      </c>
      <c r="H663">
        <f>_xlfn.LET(_xlpm.v, IFERROR(VLOOKUP($A663, manifest!$A:$E, 3, FALSE), ""), IF(OR(_xlpm.v=0, _xlpm.v=""), "", _xlpm.v))</f>
        <v>58</v>
      </c>
      <c r="I663" t="str">
        <f>_xlfn.LET(_xlpm.v, IFERROR(VLOOKUP($A663, manifest!$A:$E, 5, FALSE), ""), IF(OR(_xlpm.v=0, _xlpm.v=""), "", _xlpm.v))</f>
        <v>male</v>
      </c>
    </row>
    <row r="664" spans="1:9" x14ac:dyDescent="0.6">
      <c r="A664">
        <v>142</v>
      </c>
      <c r="B664" t="s">
        <v>7</v>
      </c>
      <c r="C664" t="s">
        <v>13</v>
      </c>
      <c r="D664">
        <v>214</v>
      </c>
      <c r="E664">
        <v>201.19</v>
      </c>
      <c r="F664">
        <v>48038</v>
      </c>
      <c r="H664">
        <f>_xlfn.LET(_xlpm.v, IFERROR(VLOOKUP($A664, manifest!$A:$E, 3, FALSE), ""), IF(OR(_xlpm.v=0, _xlpm.v=""), "", _xlpm.v))</f>
        <v>58</v>
      </c>
      <c r="I664" t="str">
        <f>_xlfn.LET(_xlpm.v, IFERROR(VLOOKUP($A664, manifest!$A:$E, 5, FALSE), ""), IF(OR(_xlpm.v=0, _xlpm.v=""), "", _xlpm.v))</f>
        <v>male</v>
      </c>
    </row>
    <row r="665" spans="1:9" x14ac:dyDescent="0.6">
      <c r="A665">
        <v>141</v>
      </c>
      <c r="B665" t="s">
        <v>7</v>
      </c>
      <c r="C665" t="s">
        <v>8</v>
      </c>
      <c r="D665">
        <v>277.19</v>
      </c>
      <c r="E665">
        <v>98.94</v>
      </c>
      <c r="F665">
        <v>23867</v>
      </c>
      <c r="G665" t="s">
        <v>9</v>
      </c>
      <c r="H665">
        <f>_xlfn.LET(_xlpm.v, IFERROR(VLOOKUP($A665, manifest!$A:$E, 3, FALSE), ""), IF(OR(_xlpm.v=0, _xlpm.v=""), "", _xlpm.v))</f>
        <v>50</v>
      </c>
      <c r="I665" t="str">
        <f>_xlfn.LET(_xlpm.v, IFERROR(VLOOKUP($A665, manifest!$A:$E, 5, FALSE), ""), IF(OR(_xlpm.v=0, _xlpm.v=""), "", _xlpm.v))</f>
        <v>male</v>
      </c>
    </row>
    <row r="666" spans="1:9" x14ac:dyDescent="0.6">
      <c r="A666">
        <v>141</v>
      </c>
      <c r="B666" t="s">
        <v>7</v>
      </c>
      <c r="C666" t="s">
        <v>10</v>
      </c>
      <c r="D666">
        <v>297.76</v>
      </c>
      <c r="E666">
        <v>136.49</v>
      </c>
      <c r="F666">
        <v>26756</v>
      </c>
      <c r="H666">
        <f>_xlfn.LET(_xlpm.v, IFERROR(VLOOKUP($A666, manifest!$A:$E, 3, FALSE), ""), IF(OR(_xlpm.v=0, _xlpm.v=""), "", _xlpm.v))</f>
        <v>50</v>
      </c>
      <c r="I666" t="str">
        <f>_xlfn.LET(_xlpm.v, IFERROR(VLOOKUP($A666, manifest!$A:$E, 5, FALSE), ""), IF(OR(_xlpm.v=0, _xlpm.v=""), "", _xlpm.v))</f>
        <v>male</v>
      </c>
    </row>
    <row r="667" spans="1:9" x14ac:dyDescent="0.6">
      <c r="A667">
        <v>141</v>
      </c>
      <c r="B667" t="s">
        <v>7</v>
      </c>
      <c r="C667" t="s">
        <v>11</v>
      </c>
      <c r="D667">
        <v>305.51</v>
      </c>
      <c r="E667">
        <v>153.63999999999999</v>
      </c>
      <c r="F667">
        <v>31818</v>
      </c>
      <c r="H667">
        <f>_xlfn.LET(_xlpm.v, IFERROR(VLOOKUP($A667, manifest!$A:$E, 3, FALSE), ""), IF(OR(_xlpm.v=0, _xlpm.v=""), "", _xlpm.v))</f>
        <v>50</v>
      </c>
      <c r="I667" t="str">
        <f>_xlfn.LET(_xlpm.v, IFERROR(VLOOKUP($A667, manifest!$A:$E, 5, FALSE), ""), IF(OR(_xlpm.v=0, _xlpm.v=""), "", _xlpm.v))</f>
        <v>male</v>
      </c>
    </row>
    <row r="668" spans="1:9" x14ac:dyDescent="0.6">
      <c r="A668">
        <v>141</v>
      </c>
      <c r="B668" t="s">
        <v>7</v>
      </c>
      <c r="C668" t="s">
        <v>12</v>
      </c>
      <c r="D668">
        <v>314.68</v>
      </c>
      <c r="E668">
        <v>177.47</v>
      </c>
      <c r="F668">
        <v>30337</v>
      </c>
      <c r="H668">
        <f>_xlfn.LET(_xlpm.v, IFERROR(VLOOKUP($A668, manifest!$A:$E, 3, FALSE), ""), IF(OR(_xlpm.v=0, _xlpm.v=""), "", _xlpm.v))</f>
        <v>50</v>
      </c>
      <c r="I668" t="str">
        <f>_xlfn.LET(_xlpm.v, IFERROR(VLOOKUP($A668, manifest!$A:$E, 5, FALSE), ""), IF(OR(_xlpm.v=0, _xlpm.v=""), "", _xlpm.v))</f>
        <v>male</v>
      </c>
    </row>
    <row r="669" spans="1:9" x14ac:dyDescent="0.6">
      <c r="A669">
        <v>141</v>
      </c>
      <c r="B669" t="s">
        <v>7</v>
      </c>
      <c r="C669" t="s">
        <v>13</v>
      </c>
      <c r="D669">
        <v>303.37</v>
      </c>
      <c r="E669">
        <v>189.21</v>
      </c>
      <c r="F669">
        <v>33621</v>
      </c>
      <c r="H669">
        <f>_xlfn.LET(_xlpm.v, IFERROR(VLOOKUP($A669, manifest!$A:$E, 3, FALSE), ""), IF(OR(_xlpm.v=0, _xlpm.v=""), "", _xlpm.v))</f>
        <v>50</v>
      </c>
      <c r="I669" t="str">
        <f>_xlfn.LET(_xlpm.v, IFERROR(VLOOKUP($A669, manifest!$A:$E, 5, FALSE), ""), IF(OR(_xlpm.v=0, _xlpm.v=""), "", _xlpm.v))</f>
        <v>male</v>
      </c>
    </row>
    <row r="670" spans="1:9" x14ac:dyDescent="0.6">
      <c r="A670">
        <v>151</v>
      </c>
      <c r="B670" t="s">
        <v>14</v>
      </c>
      <c r="C670" t="s">
        <v>8</v>
      </c>
      <c r="D670">
        <v>193.26</v>
      </c>
      <c r="E670">
        <v>109.81</v>
      </c>
      <c r="F670">
        <v>47355</v>
      </c>
      <c r="G670" t="s">
        <v>9</v>
      </c>
      <c r="H670">
        <f>_xlfn.LET(_xlpm.v, IFERROR(VLOOKUP($A670, manifest!$A:$E, 3, FALSE), ""), IF(OR(_xlpm.v=0, _xlpm.v=""), "", _xlpm.v))</f>
        <v>50</v>
      </c>
      <c r="I670" t="str">
        <f>_xlfn.LET(_xlpm.v, IFERROR(VLOOKUP($A670, manifest!$A:$E, 5, FALSE), ""), IF(OR(_xlpm.v=0, _xlpm.v=""), "", _xlpm.v))</f>
        <v>male</v>
      </c>
    </row>
    <row r="671" spans="1:9" x14ac:dyDescent="0.6">
      <c r="A671">
        <v>151</v>
      </c>
      <c r="B671" t="s">
        <v>14</v>
      </c>
      <c r="C671" t="s">
        <v>10</v>
      </c>
      <c r="D671">
        <v>235.45</v>
      </c>
      <c r="E671">
        <v>192.54</v>
      </c>
      <c r="F671">
        <v>48001</v>
      </c>
      <c r="H671">
        <f>_xlfn.LET(_xlpm.v, IFERROR(VLOOKUP($A671, manifest!$A:$E, 3, FALSE), ""), IF(OR(_xlpm.v=0, _xlpm.v=""), "", _xlpm.v))</f>
        <v>50</v>
      </c>
      <c r="I671" t="str">
        <f>_xlfn.LET(_xlpm.v, IFERROR(VLOOKUP($A671, manifest!$A:$E, 5, FALSE), ""), IF(OR(_xlpm.v=0, _xlpm.v=""), "", _xlpm.v))</f>
        <v>male</v>
      </c>
    </row>
    <row r="672" spans="1:9" x14ac:dyDescent="0.6">
      <c r="A672">
        <v>151</v>
      </c>
      <c r="B672" t="s">
        <v>14</v>
      </c>
      <c r="C672" t="s">
        <v>11</v>
      </c>
      <c r="D672">
        <v>225.38</v>
      </c>
      <c r="E672">
        <v>194</v>
      </c>
      <c r="F672">
        <v>54000</v>
      </c>
      <c r="H672">
        <f>_xlfn.LET(_xlpm.v, IFERROR(VLOOKUP($A672, manifest!$A:$E, 3, FALSE), ""), IF(OR(_xlpm.v=0, _xlpm.v=""), "", _xlpm.v))</f>
        <v>50</v>
      </c>
      <c r="I672" t="str">
        <f>_xlfn.LET(_xlpm.v, IFERROR(VLOOKUP($A672, manifest!$A:$E, 5, FALSE), ""), IF(OR(_xlpm.v=0, _xlpm.v=""), "", _xlpm.v))</f>
        <v>male</v>
      </c>
    </row>
    <row r="673" spans="1:9" x14ac:dyDescent="0.6">
      <c r="A673">
        <v>151</v>
      </c>
      <c r="B673" t="s">
        <v>14</v>
      </c>
      <c r="C673" t="s">
        <v>12</v>
      </c>
      <c r="D673">
        <v>228.4</v>
      </c>
      <c r="E673">
        <v>200.11</v>
      </c>
      <c r="F673">
        <v>64816</v>
      </c>
      <c r="H673">
        <f>_xlfn.LET(_xlpm.v, IFERROR(VLOOKUP($A673, manifest!$A:$E, 3, FALSE), ""), IF(OR(_xlpm.v=0, _xlpm.v=""), "", _xlpm.v))</f>
        <v>50</v>
      </c>
      <c r="I673" t="str">
        <f>_xlfn.LET(_xlpm.v, IFERROR(VLOOKUP($A673, manifest!$A:$E, 5, FALSE), ""), IF(OR(_xlpm.v=0, _xlpm.v=""), "", _xlpm.v))</f>
        <v>male</v>
      </c>
    </row>
    <row r="674" spans="1:9" x14ac:dyDescent="0.6">
      <c r="A674">
        <v>151</v>
      </c>
      <c r="B674" t="s">
        <v>14</v>
      </c>
      <c r="C674" t="s">
        <v>13</v>
      </c>
      <c r="D674">
        <v>227.77</v>
      </c>
      <c r="E674">
        <v>179.96</v>
      </c>
      <c r="F674">
        <v>72808</v>
      </c>
      <c r="H674">
        <f>_xlfn.LET(_xlpm.v, IFERROR(VLOOKUP($A674, manifest!$A:$E, 3, FALSE), ""), IF(OR(_xlpm.v=0, _xlpm.v=""), "", _xlpm.v))</f>
        <v>50</v>
      </c>
      <c r="I674" t="str">
        <f>_xlfn.LET(_xlpm.v, IFERROR(VLOOKUP($A674, manifest!$A:$E, 5, FALSE), ""), IF(OR(_xlpm.v=0, _xlpm.v=""), "", _xlpm.v))</f>
        <v>male</v>
      </c>
    </row>
    <row r="675" spans="1:9" x14ac:dyDescent="0.6">
      <c r="A675">
        <v>165</v>
      </c>
      <c r="B675" t="s">
        <v>7</v>
      </c>
      <c r="C675" t="s">
        <v>8</v>
      </c>
      <c r="D675">
        <v>204.53</v>
      </c>
      <c r="E675">
        <v>100.65</v>
      </c>
      <c r="F675">
        <v>23629</v>
      </c>
      <c r="G675" t="s">
        <v>9</v>
      </c>
      <c r="H675">
        <f>_xlfn.LET(_xlpm.v, IFERROR(VLOOKUP($A675, manifest!$A:$E, 3, FALSE), ""), IF(OR(_xlpm.v=0, _xlpm.v=""), "", _xlpm.v))</f>
        <v>52</v>
      </c>
      <c r="I675" t="str">
        <f>_xlfn.LET(_xlpm.v, IFERROR(VLOOKUP($A675, manifest!$A:$E, 5, FALSE), ""), IF(OR(_xlpm.v=0, _xlpm.v=""), "", _xlpm.v))</f>
        <v>female</v>
      </c>
    </row>
    <row r="676" spans="1:9" x14ac:dyDescent="0.6">
      <c r="A676">
        <v>165</v>
      </c>
      <c r="B676" t="s">
        <v>7</v>
      </c>
      <c r="C676" t="s">
        <v>10</v>
      </c>
      <c r="D676">
        <v>217.32</v>
      </c>
      <c r="E676">
        <v>136.41</v>
      </c>
      <c r="F676">
        <v>33586</v>
      </c>
      <c r="H676">
        <f>_xlfn.LET(_xlpm.v, IFERROR(VLOOKUP($A676, manifest!$A:$E, 3, FALSE), ""), IF(OR(_xlpm.v=0, _xlpm.v=""), "", _xlpm.v))</f>
        <v>52</v>
      </c>
      <c r="I676" t="str">
        <f>_xlfn.LET(_xlpm.v, IFERROR(VLOOKUP($A676, manifest!$A:$E, 5, FALSE), ""), IF(OR(_xlpm.v=0, _xlpm.v=""), "", _xlpm.v))</f>
        <v>female</v>
      </c>
    </row>
    <row r="677" spans="1:9" x14ac:dyDescent="0.6">
      <c r="A677">
        <v>165</v>
      </c>
      <c r="B677" t="s">
        <v>7</v>
      </c>
      <c r="C677" t="s">
        <v>11</v>
      </c>
      <c r="D677">
        <v>229.11</v>
      </c>
      <c r="E677">
        <v>164.01</v>
      </c>
      <c r="F677">
        <v>34392</v>
      </c>
      <c r="H677">
        <f>_xlfn.LET(_xlpm.v, IFERROR(VLOOKUP($A677, manifest!$A:$E, 3, FALSE), ""), IF(OR(_xlpm.v=0, _xlpm.v=""), "", _xlpm.v))</f>
        <v>52</v>
      </c>
      <c r="I677" t="str">
        <f>_xlfn.LET(_xlpm.v, IFERROR(VLOOKUP($A677, manifest!$A:$E, 5, FALSE), ""), IF(OR(_xlpm.v=0, _xlpm.v=""), "", _xlpm.v))</f>
        <v>female</v>
      </c>
    </row>
    <row r="678" spans="1:9" x14ac:dyDescent="0.6">
      <c r="A678">
        <v>165</v>
      </c>
      <c r="B678" t="s">
        <v>7</v>
      </c>
      <c r="C678" t="s">
        <v>12</v>
      </c>
      <c r="D678">
        <v>222.21</v>
      </c>
      <c r="E678">
        <v>155.96</v>
      </c>
      <c r="F678">
        <v>36176</v>
      </c>
      <c r="H678">
        <f>_xlfn.LET(_xlpm.v, IFERROR(VLOOKUP($A678, manifest!$A:$E, 3, FALSE), ""), IF(OR(_xlpm.v=0, _xlpm.v=""), "", _xlpm.v))</f>
        <v>52</v>
      </c>
      <c r="I678" t="str">
        <f>_xlfn.LET(_xlpm.v, IFERROR(VLOOKUP($A678, manifest!$A:$E, 5, FALSE), ""), IF(OR(_xlpm.v=0, _xlpm.v=""), "", _xlpm.v))</f>
        <v>female</v>
      </c>
    </row>
    <row r="679" spans="1:9" x14ac:dyDescent="0.6">
      <c r="A679">
        <v>165</v>
      </c>
      <c r="B679" t="s">
        <v>7</v>
      </c>
      <c r="C679" t="s">
        <v>13</v>
      </c>
      <c r="D679">
        <v>225.31</v>
      </c>
      <c r="E679">
        <v>158.84</v>
      </c>
      <c r="F679">
        <v>45948</v>
      </c>
      <c r="H679">
        <f>_xlfn.LET(_xlpm.v, IFERROR(VLOOKUP($A679, manifest!$A:$E, 3, FALSE), ""), IF(OR(_xlpm.v=0, _xlpm.v=""), "", _xlpm.v))</f>
        <v>52</v>
      </c>
      <c r="I679" t="str">
        <f>_xlfn.LET(_xlpm.v, IFERROR(VLOOKUP($A679, manifest!$A:$E, 5, FALSE), ""), IF(OR(_xlpm.v=0, _xlpm.v=""), "", _xlpm.v))</f>
        <v>female</v>
      </c>
    </row>
    <row r="680" spans="1:9" x14ac:dyDescent="0.6">
      <c r="A680">
        <v>157</v>
      </c>
      <c r="B680" t="s">
        <v>7</v>
      </c>
      <c r="C680" t="s">
        <v>8</v>
      </c>
      <c r="D680">
        <v>179.85</v>
      </c>
      <c r="E680">
        <v>179.5</v>
      </c>
      <c r="F680">
        <v>50109</v>
      </c>
      <c r="G680" t="s">
        <v>9</v>
      </c>
      <c r="H680">
        <f>_xlfn.LET(_xlpm.v, IFERROR(VLOOKUP($A680, manifest!$A:$E, 3, FALSE), ""), IF(OR(_xlpm.v=0, _xlpm.v=""), "", _xlpm.v))</f>
        <v>62</v>
      </c>
      <c r="I680" t="str">
        <f>_xlfn.LET(_xlpm.v, IFERROR(VLOOKUP($A680, manifest!$A:$E, 5, FALSE), ""), IF(OR(_xlpm.v=0, _xlpm.v=""), "", _xlpm.v))</f>
        <v>male</v>
      </c>
    </row>
    <row r="681" spans="1:9" x14ac:dyDescent="0.6">
      <c r="A681">
        <v>157</v>
      </c>
      <c r="B681" t="s">
        <v>7</v>
      </c>
      <c r="C681" t="s">
        <v>10</v>
      </c>
      <c r="D681">
        <v>207.07</v>
      </c>
      <c r="E681">
        <v>257.88</v>
      </c>
      <c r="F681">
        <v>54409</v>
      </c>
      <c r="H681">
        <f>_xlfn.LET(_xlpm.v, IFERROR(VLOOKUP($A681, manifest!$A:$E, 3, FALSE), ""), IF(OR(_xlpm.v=0, _xlpm.v=""), "", _xlpm.v))</f>
        <v>62</v>
      </c>
      <c r="I681" t="str">
        <f>_xlfn.LET(_xlpm.v, IFERROR(VLOOKUP($A681, manifest!$A:$E, 5, FALSE), ""), IF(OR(_xlpm.v=0, _xlpm.v=""), "", _xlpm.v))</f>
        <v>male</v>
      </c>
    </row>
    <row r="682" spans="1:9" x14ac:dyDescent="0.6">
      <c r="A682">
        <v>157</v>
      </c>
      <c r="B682" t="s">
        <v>7</v>
      </c>
      <c r="C682" t="s">
        <v>11</v>
      </c>
      <c r="D682">
        <v>228.83</v>
      </c>
      <c r="E682">
        <v>272.54000000000002</v>
      </c>
      <c r="F682">
        <v>56981</v>
      </c>
      <c r="H682">
        <f>_xlfn.LET(_xlpm.v, IFERROR(VLOOKUP($A682, manifest!$A:$E, 3, FALSE), ""), IF(OR(_xlpm.v=0, _xlpm.v=""), "", _xlpm.v))</f>
        <v>62</v>
      </c>
      <c r="I682" t="str">
        <f>_xlfn.LET(_xlpm.v, IFERROR(VLOOKUP($A682, manifest!$A:$E, 5, FALSE), ""), IF(OR(_xlpm.v=0, _xlpm.v=""), "", _xlpm.v))</f>
        <v>male</v>
      </c>
    </row>
    <row r="683" spans="1:9" x14ac:dyDescent="0.6">
      <c r="A683">
        <v>157</v>
      </c>
      <c r="B683" t="s">
        <v>7</v>
      </c>
      <c r="C683" t="s">
        <v>12</v>
      </c>
      <c r="D683">
        <v>212.18</v>
      </c>
      <c r="E683">
        <v>264.73</v>
      </c>
      <c r="F683">
        <v>70919</v>
      </c>
      <c r="H683">
        <f>_xlfn.LET(_xlpm.v, IFERROR(VLOOKUP($A683, manifest!$A:$E, 3, FALSE), ""), IF(OR(_xlpm.v=0, _xlpm.v=""), "", _xlpm.v))</f>
        <v>62</v>
      </c>
      <c r="I683" t="str">
        <f>_xlfn.LET(_xlpm.v, IFERROR(VLOOKUP($A683, manifest!$A:$E, 5, FALSE), ""), IF(OR(_xlpm.v=0, _xlpm.v=""), "", _xlpm.v))</f>
        <v>male</v>
      </c>
    </row>
    <row r="684" spans="1:9" x14ac:dyDescent="0.6">
      <c r="A684">
        <v>157</v>
      </c>
      <c r="B684" t="s">
        <v>7</v>
      </c>
      <c r="C684" t="s">
        <v>13</v>
      </c>
      <c r="D684">
        <v>223.34</v>
      </c>
      <c r="E684">
        <v>218.86</v>
      </c>
      <c r="F684">
        <v>67986</v>
      </c>
      <c r="H684">
        <f>_xlfn.LET(_xlpm.v, IFERROR(VLOOKUP($A684, manifest!$A:$E, 3, FALSE), ""), IF(OR(_xlpm.v=0, _xlpm.v=""), "", _xlpm.v))</f>
        <v>62</v>
      </c>
      <c r="I684" t="str">
        <f>_xlfn.LET(_xlpm.v, IFERROR(VLOOKUP($A684, manifest!$A:$E, 5, FALSE), ""), IF(OR(_xlpm.v=0, _xlpm.v=""), "", _xlpm.v))</f>
        <v>male</v>
      </c>
    </row>
    <row r="685" spans="1:9" x14ac:dyDescent="0.6">
      <c r="A685">
        <v>159</v>
      </c>
      <c r="B685" t="s">
        <v>7</v>
      </c>
      <c r="C685" t="s">
        <v>8</v>
      </c>
      <c r="D685">
        <v>166.67</v>
      </c>
      <c r="E685">
        <v>172.9</v>
      </c>
      <c r="F685">
        <v>31111</v>
      </c>
      <c r="G685" t="s">
        <v>9</v>
      </c>
      <c r="H685">
        <f>_xlfn.LET(_xlpm.v, IFERROR(VLOOKUP($A685, manifest!$A:$E, 3, FALSE), ""), IF(OR(_xlpm.v=0, _xlpm.v=""), "", _xlpm.v))</f>
        <v>57</v>
      </c>
      <c r="I685" t="str">
        <f>_xlfn.LET(_xlpm.v, IFERROR(VLOOKUP($A685, manifest!$A:$E, 5, FALSE), ""), IF(OR(_xlpm.v=0, _xlpm.v=""), "", _xlpm.v))</f>
        <v>female</v>
      </c>
    </row>
    <row r="686" spans="1:9" x14ac:dyDescent="0.6">
      <c r="A686">
        <v>159</v>
      </c>
      <c r="B686" t="s">
        <v>7</v>
      </c>
      <c r="C686" t="s">
        <v>10</v>
      </c>
      <c r="D686">
        <v>185.09</v>
      </c>
      <c r="E686">
        <v>198.23</v>
      </c>
      <c r="F686">
        <v>34384</v>
      </c>
      <c r="H686">
        <f>_xlfn.LET(_xlpm.v, IFERROR(VLOOKUP($A686, manifest!$A:$E, 3, FALSE), ""), IF(OR(_xlpm.v=0, _xlpm.v=""), "", _xlpm.v))</f>
        <v>57</v>
      </c>
      <c r="I686" t="str">
        <f>_xlfn.LET(_xlpm.v, IFERROR(VLOOKUP($A686, manifest!$A:$E, 5, FALSE), ""), IF(OR(_xlpm.v=0, _xlpm.v=""), "", _xlpm.v))</f>
        <v>female</v>
      </c>
    </row>
    <row r="687" spans="1:9" x14ac:dyDescent="0.6">
      <c r="A687">
        <v>159</v>
      </c>
      <c r="B687" t="s">
        <v>7</v>
      </c>
      <c r="C687" t="s">
        <v>11</v>
      </c>
      <c r="D687">
        <v>182.96</v>
      </c>
      <c r="E687">
        <v>201.07</v>
      </c>
      <c r="F687">
        <v>38122</v>
      </c>
      <c r="H687">
        <f>_xlfn.LET(_xlpm.v, IFERROR(VLOOKUP($A687, manifest!$A:$E, 3, FALSE), ""), IF(OR(_xlpm.v=0, _xlpm.v=""), "", _xlpm.v))</f>
        <v>57</v>
      </c>
      <c r="I687" t="str">
        <f>_xlfn.LET(_xlpm.v, IFERROR(VLOOKUP($A687, manifest!$A:$E, 5, FALSE), ""), IF(OR(_xlpm.v=0, _xlpm.v=""), "", _xlpm.v))</f>
        <v>female</v>
      </c>
    </row>
    <row r="688" spans="1:9" x14ac:dyDescent="0.6">
      <c r="A688">
        <v>159</v>
      </c>
      <c r="B688" t="s">
        <v>7</v>
      </c>
      <c r="C688" t="s">
        <v>12</v>
      </c>
      <c r="D688">
        <v>181.84</v>
      </c>
      <c r="E688">
        <v>192.22</v>
      </c>
      <c r="F688">
        <v>39277</v>
      </c>
      <c r="H688">
        <f>_xlfn.LET(_xlpm.v, IFERROR(VLOOKUP($A688, manifest!$A:$E, 3, FALSE), ""), IF(OR(_xlpm.v=0, _xlpm.v=""), "", _xlpm.v))</f>
        <v>57</v>
      </c>
      <c r="I688" t="str">
        <f>_xlfn.LET(_xlpm.v, IFERROR(VLOOKUP($A688, manifest!$A:$E, 5, FALSE), ""), IF(OR(_xlpm.v=0, _xlpm.v=""), "", _xlpm.v))</f>
        <v>female</v>
      </c>
    </row>
    <row r="689" spans="1:9" x14ac:dyDescent="0.6">
      <c r="A689">
        <v>159</v>
      </c>
      <c r="B689" t="s">
        <v>7</v>
      </c>
      <c r="C689" t="s">
        <v>13</v>
      </c>
      <c r="D689">
        <v>364.19</v>
      </c>
      <c r="E689">
        <v>233.94</v>
      </c>
      <c r="F689">
        <v>48761</v>
      </c>
      <c r="H689">
        <f>_xlfn.LET(_xlpm.v, IFERROR(VLOOKUP($A689, manifest!$A:$E, 3, FALSE), ""), IF(OR(_xlpm.v=0, _xlpm.v=""), "", _xlpm.v))</f>
        <v>57</v>
      </c>
      <c r="I689" t="str">
        <f>_xlfn.LET(_xlpm.v, IFERROR(VLOOKUP($A689, manifest!$A:$E, 5, FALSE), ""), IF(OR(_xlpm.v=0, _xlpm.v=""), "", _xlpm.v))</f>
        <v>female</v>
      </c>
    </row>
    <row r="690" spans="1:9" x14ac:dyDescent="0.6">
      <c r="A690">
        <v>163</v>
      </c>
      <c r="B690" t="s">
        <v>14</v>
      </c>
      <c r="C690" t="s">
        <v>8</v>
      </c>
      <c r="D690">
        <v>172.65</v>
      </c>
      <c r="E690">
        <v>149.74</v>
      </c>
      <c r="F690">
        <v>62299</v>
      </c>
      <c r="G690" t="s">
        <v>9</v>
      </c>
      <c r="H690">
        <f>_xlfn.LET(_xlpm.v, IFERROR(VLOOKUP($A690, manifest!$A:$E, 3, FALSE), ""), IF(OR(_xlpm.v=0, _xlpm.v=""), "", _xlpm.v))</f>
        <v>57</v>
      </c>
      <c r="I690" t="str">
        <f>_xlfn.LET(_xlpm.v, IFERROR(VLOOKUP($A690, manifest!$A:$E, 5, FALSE), ""), IF(OR(_xlpm.v=0, _xlpm.v=""), "", _xlpm.v))</f>
        <v>male</v>
      </c>
    </row>
    <row r="691" spans="1:9" x14ac:dyDescent="0.6">
      <c r="A691">
        <v>163</v>
      </c>
      <c r="B691" t="s">
        <v>14</v>
      </c>
      <c r="C691" t="s">
        <v>10</v>
      </c>
      <c r="D691">
        <v>172.58</v>
      </c>
      <c r="E691">
        <v>160.79</v>
      </c>
      <c r="F691">
        <v>69727</v>
      </c>
      <c r="H691">
        <f>_xlfn.LET(_xlpm.v, IFERROR(VLOOKUP($A691, manifest!$A:$E, 3, FALSE), ""), IF(OR(_xlpm.v=0, _xlpm.v=""), "", _xlpm.v))</f>
        <v>57</v>
      </c>
      <c r="I691" t="str">
        <f>_xlfn.LET(_xlpm.v, IFERROR(VLOOKUP($A691, manifest!$A:$E, 5, FALSE), ""), IF(OR(_xlpm.v=0, _xlpm.v=""), "", _xlpm.v))</f>
        <v>male</v>
      </c>
    </row>
    <row r="692" spans="1:9" x14ac:dyDescent="0.6">
      <c r="A692">
        <v>163</v>
      </c>
      <c r="B692" t="s">
        <v>14</v>
      </c>
      <c r="C692" t="s">
        <v>11</v>
      </c>
      <c r="D692">
        <v>182.95</v>
      </c>
      <c r="E692">
        <v>162.78</v>
      </c>
      <c r="F692">
        <v>66187</v>
      </c>
      <c r="H692">
        <f>_xlfn.LET(_xlpm.v, IFERROR(VLOOKUP($A692, manifest!$A:$E, 3, FALSE), ""), IF(OR(_xlpm.v=0, _xlpm.v=""), "", _xlpm.v))</f>
        <v>57</v>
      </c>
      <c r="I692" t="str">
        <f>_xlfn.LET(_xlpm.v, IFERROR(VLOOKUP($A692, manifest!$A:$E, 5, FALSE), ""), IF(OR(_xlpm.v=0, _xlpm.v=""), "", _xlpm.v))</f>
        <v>male</v>
      </c>
    </row>
    <row r="693" spans="1:9" x14ac:dyDescent="0.6">
      <c r="A693">
        <v>163</v>
      </c>
      <c r="B693" t="s">
        <v>14</v>
      </c>
      <c r="C693" t="s">
        <v>12</v>
      </c>
      <c r="D693">
        <v>163.85</v>
      </c>
      <c r="E693">
        <v>147.12</v>
      </c>
      <c r="F693">
        <v>72273</v>
      </c>
      <c r="H693">
        <f>_xlfn.LET(_xlpm.v, IFERROR(VLOOKUP($A693, manifest!$A:$E, 3, FALSE), ""), IF(OR(_xlpm.v=0, _xlpm.v=""), "", _xlpm.v))</f>
        <v>57</v>
      </c>
      <c r="I693" t="str">
        <f>_xlfn.LET(_xlpm.v, IFERROR(VLOOKUP($A693, manifest!$A:$E, 5, FALSE), ""), IF(OR(_xlpm.v=0, _xlpm.v=""), "", _xlpm.v))</f>
        <v>male</v>
      </c>
    </row>
    <row r="694" spans="1:9" x14ac:dyDescent="0.6">
      <c r="A694">
        <v>163</v>
      </c>
      <c r="B694" t="s">
        <v>14</v>
      </c>
      <c r="C694" t="s">
        <v>13</v>
      </c>
      <c r="D694">
        <v>165</v>
      </c>
      <c r="E694">
        <v>172.49</v>
      </c>
      <c r="F694">
        <v>99480</v>
      </c>
      <c r="H694">
        <f>_xlfn.LET(_xlpm.v, IFERROR(VLOOKUP($A694, manifest!$A:$E, 3, FALSE), ""), IF(OR(_xlpm.v=0, _xlpm.v=""), "", _xlpm.v))</f>
        <v>57</v>
      </c>
      <c r="I694" t="str">
        <f>_xlfn.LET(_xlpm.v, IFERROR(VLOOKUP($A694, manifest!$A:$E, 5, FALSE), ""), IF(OR(_xlpm.v=0, _xlpm.v=""), "", _xlpm.v))</f>
        <v>male</v>
      </c>
    </row>
    <row r="695" spans="1:9" x14ac:dyDescent="0.6">
      <c r="A695">
        <v>145</v>
      </c>
      <c r="B695" t="s">
        <v>14</v>
      </c>
      <c r="C695" t="s">
        <v>8</v>
      </c>
      <c r="D695">
        <v>209.19</v>
      </c>
      <c r="E695">
        <v>151.18</v>
      </c>
      <c r="F695">
        <v>40387</v>
      </c>
      <c r="G695" t="s">
        <v>9</v>
      </c>
      <c r="H695">
        <f>_xlfn.LET(_xlpm.v, IFERROR(VLOOKUP($A695, manifest!$A:$E, 3, FALSE), ""), IF(OR(_xlpm.v=0, _xlpm.v=""), "", _xlpm.v))</f>
        <v>51</v>
      </c>
      <c r="I695" t="str">
        <f>_xlfn.LET(_xlpm.v, IFERROR(VLOOKUP($A695, manifest!$A:$E, 5, FALSE), ""), IF(OR(_xlpm.v=0, _xlpm.v=""), "", _xlpm.v))</f>
        <v>male</v>
      </c>
    </row>
    <row r="696" spans="1:9" x14ac:dyDescent="0.6">
      <c r="A696">
        <v>145</v>
      </c>
      <c r="B696" t="s">
        <v>14</v>
      </c>
      <c r="C696" t="s">
        <v>10</v>
      </c>
      <c r="D696">
        <v>223.4</v>
      </c>
      <c r="E696">
        <v>189.53</v>
      </c>
      <c r="F696">
        <v>43745</v>
      </c>
      <c r="H696">
        <f>_xlfn.LET(_xlpm.v, IFERROR(VLOOKUP($A696, manifest!$A:$E, 3, FALSE), ""), IF(OR(_xlpm.v=0, _xlpm.v=""), "", _xlpm.v))</f>
        <v>51</v>
      </c>
      <c r="I696" t="str">
        <f>_xlfn.LET(_xlpm.v, IFERROR(VLOOKUP($A696, manifest!$A:$E, 5, FALSE), ""), IF(OR(_xlpm.v=0, _xlpm.v=""), "", _xlpm.v))</f>
        <v>male</v>
      </c>
    </row>
    <row r="697" spans="1:9" x14ac:dyDescent="0.6">
      <c r="A697">
        <v>145</v>
      </c>
      <c r="B697" t="s">
        <v>14</v>
      </c>
      <c r="C697" t="s">
        <v>11</v>
      </c>
      <c r="D697">
        <v>217.69</v>
      </c>
      <c r="E697">
        <v>165.44</v>
      </c>
      <c r="F697">
        <v>45313</v>
      </c>
      <c r="H697">
        <f>_xlfn.LET(_xlpm.v, IFERROR(VLOOKUP($A697, manifest!$A:$E, 3, FALSE), ""), IF(OR(_xlpm.v=0, _xlpm.v=""), "", _xlpm.v))</f>
        <v>51</v>
      </c>
      <c r="I697" t="str">
        <f>_xlfn.LET(_xlpm.v, IFERROR(VLOOKUP($A697, manifest!$A:$E, 5, FALSE), ""), IF(OR(_xlpm.v=0, _xlpm.v=""), "", _xlpm.v))</f>
        <v>male</v>
      </c>
    </row>
    <row r="698" spans="1:9" x14ac:dyDescent="0.6">
      <c r="A698">
        <v>145</v>
      </c>
      <c r="B698" t="s">
        <v>14</v>
      </c>
      <c r="C698" t="s">
        <v>12</v>
      </c>
      <c r="D698">
        <v>224.12</v>
      </c>
      <c r="E698">
        <v>178.63</v>
      </c>
      <c r="F698">
        <v>50358</v>
      </c>
      <c r="H698">
        <f>_xlfn.LET(_xlpm.v, IFERROR(VLOOKUP($A698, manifest!$A:$E, 3, FALSE), ""), IF(OR(_xlpm.v=0, _xlpm.v=""), "", _xlpm.v))</f>
        <v>51</v>
      </c>
      <c r="I698" t="str">
        <f>_xlfn.LET(_xlpm.v, IFERROR(VLOOKUP($A698, manifest!$A:$E, 5, FALSE), ""), IF(OR(_xlpm.v=0, _xlpm.v=""), "", _xlpm.v))</f>
        <v>male</v>
      </c>
    </row>
    <row r="699" spans="1:9" x14ac:dyDescent="0.6">
      <c r="A699">
        <v>145</v>
      </c>
      <c r="B699" t="s">
        <v>14</v>
      </c>
      <c r="C699" t="s">
        <v>13</v>
      </c>
      <c r="D699">
        <v>242.81</v>
      </c>
      <c r="E699">
        <v>182.61</v>
      </c>
      <c r="F699">
        <v>57621</v>
      </c>
      <c r="H699">
        <f>_xlfn.LET(_xlpm.v, IFERROR(VLOOKUP($A699, manifest!$A:$E, 3, FALSE), ""), IF(OR(_xlpm.v=0, _xlpm.v=""), "", _xlpm.v))</f>
        <v>51</v>
      </c>
      <c r="I699" t="str">
        <f>_xlfn.LET(_xlpm.v, IFERROR(VLOOKUP($A699, manifest!$A:$E, 5, FALSE), ""), IF(OR(_xlpm.v=0, _xlpm.v=""), "", _xlpm.v))</f>
        <v>male</v>
      </c>
    </row>
    <row r="700" spans="1:9" x14ac:dyDescent="0.6">
      <c r="A700">
        <v>138</v>
      </c>
      <c r="B700" t="s">
        <v>7</v>
      </c>
      <c r="C700" t="s">
        <v>8</v>
      </c>
      <c r="D700">
        <v>168.13</v>
      </c>
      <c r="E700">
        <v>149.66</v>
      </c>
      <c r="F700">
        <v>38826</v>
      </c>
      <c r="G700" t="s">
        <v>9</v>
      </c>
      <c r="H700" t="str">
        <f>_xlfn.LET(_xlpm.v, IFERROR(VLOOKUP($A700, manifest!$A:$E, 3, FALSE), ""), IF(OR(_xlpm.v=0, _xlpm.v=""), "", _xlpm.v))</f>
        <v/>
      </c>
      <c r="I700" t="str">
        <f>_xlfn.LET(_xlpm.v, IFERROR(VLOOKUP($A700, manifest!$A:$E, 5, FALSE), ""), IF(OR(_xlpm.v=0, _xlpm.v=""), "", _xlpm.v))</f>
        <v>male</v>
      </c>
    </row>
    <row r="701" spans="1:9" x14ac:dyDescent="0.6">
      <c r="A701">
        <v>138</v>
      </c>
      <c r="B701" t="s">
        <v>7</v>
      </c>
      <c r="C701" t="s">
        <v>10</v>
      </c>
      <c r="D701">
        <v>185.95</v>
      </c>
      <c r="E701">
        <v>180.16</v>
      </c>
      <c r="F701">
        <v>37578</v>
      </c>
      <c r="H701" t="str">
        <f>_xlfn.LET(_xlpm.v, IFERROR(VLOOKUP($A701, manifest!$A:$E, 3, FALSE), ""), IF(OR(_xlpm.v=0, _xlpm.v=""), "", _xlpm.v))</f>
        <v/>
      </c>
      <c r="I701" t="str">
        <f>_xlfn.LET(_xlpm.v, IFERROR(VLOOKUP($A701, manifest!$A:$E, 5, FALSE), ""), IF(OR(_xlpm.v=0, _xlpm.v=""), "", _xlpm.v))</f>
        <v>male</v>
      </c>
    </row>
    <row r="702" spans="1:9" x14ac:dyDescent="0.6">
      <c r="A702">
        <v>138</v>
      </c>
      <c r="B702" t="s">
        <v>7</v>
      </c>
      <c r="C702" t="s">
        <v>11</v>
      </c>
      <c r="D702">
        <v>193.41</v>
      </c>
      <c r="E702">
        <v>195.32</v>
      </c>
      <c r="F702">
        <v>40220</v>
      </c>
      <c r="H702" t="str">
        <f>_xlfn.LET(_xlpm.v, IFERROR(VLOOKUP($A702, manifest!$A:$E, 3, FALSE), ""), IF(OR(_xlpm.v=0, _xlpm.v=""), "", _xlpm.v))</f>
        <v/>
      </c>
      <c r="I702" t="str">
        <f>_xlfn.LET(_xlpm.v, IFERROR(VLOOKUP($A702, manifest!$A:$E, 5, FALSE), ""), IF(OR(_xlpm.v=0, _xlpm.v=""), "", _xlpm.v))</f>
        <v>male</v>
      </c>
    </row>
    <row r="703" spans="1:9" x14ac:dyDescent="0.6">
      <c r="A703">
        <v>138</v>
      </c>
      <c r="B703" t="s">
        <v>7</v>
      </c>
      <c r="C703" t="s">
        <v>12</v>
      </c>
      <c r="D703">
        <v>227.2</v>
      </c>
      <c r="E703">
        <v>227.89</v>
      </c>
      <c r="F703">
        <v>53907</v>
      </c>
      <c r="H703" t="str">
        <f>_xlfn.LET(_xlpm.v, IFERROR(VLOOKUP($A703, manifest!$A:$E, 3, FALSE), ""), IF(OR(_xlpm.v=0, _xlpm.v=""), "", _xlpm.v))</f>
        <v/>
      </c>
      <c r="I703" t="str">
        <f>_xlfn.LET(_xlpm.v, IFERROR(VLOOKUP($A703, manifest!$A:$E, 5, FALSE), ""), IF(OR(_xlpm.v=0, _xlpm.v=""), "", _xlpm.v))</f>
        <v>male</v>
      </c>
    </row>
    <row r="704" spans="1:9" x14ac:dyDescent="0.6">
      <c r="A704">
        <v>138</v>
      </c>
      <c r="B704" t="s">
        <v>7</v>
      </c>
      <c r="C704" t="s">
        <v>13</v>
      </c>
      <c r="D704">
        <v>203.31</v>
      </c>
      <c r="E704">
        <v>186.88</v>
      </c>
      <c r="F704">
        <v>53906</v>
      </c>
      <c r="H704" t="str">
        <f>_xlfn.LET(_xlpm.v, IFERROR(VLOOKUP($A704, manifest!$A:$E, 3, FALSE), ""), IF(OR(_xlpm.v=0, _xlpm.v=""), "", _xlpm.v))</f>
        <v/>
      </c>
      <c r="I704" t="str">
        <f>_xlfn.LET(_xlpm.v, IFERROR(VLOOKUP($A704, manifest!$A:$E, 5, FALSE), ""), IF(OR(_xlpm.v=0, _xlpm.v=""), "", _xlpm.v))</f>
        <v>male</v>
      </c>
    </row>
    <row r="705" spans="1:9" x14ac:dyDescent="0.6">
      <c r="A705">
        <v>148</v>
      </c>
      <c r="B705" t="s">
        <v>14</v>
      </c>
      <c r="C705" t="s">
        <v>8</v>
      </c>
      <c r="D705">
        <v>176.87</v>
      </c>
      <c r="E705">
        <v>129.91999999999999</v>
      </c>
      <c r="F705">
        <v>46949</v>
      </c>
      <c r="G705" t="s">
        <v>9</v>
      </c>
      <c r="H705">
        <f>_xlfn.LET(_xlpm.v, IFERROR(VLOOKUP($A705, manifest!$A:$E, 3, FALSE), ""), IF(OR(_xlpm.v=0, _xlpm.v=""), "", _xlpm.v))</f>
        <v>79</v>
      </c>
      <c r="I705" t="str">
        <f>_xlfn.LET(_xlpm.v, IFERROR(VLOOKUP($A705, manifest!$A:$E, 5, FALSE), ""), IF(OR(_xlpm.v=0, _xlpm.v=""), "", _xlpm.v))</f>
        <v>male</v>
      </c>
    </row>
    <row r="706" spans="1:9" x14ac:dyDescent="0.6">
      <c r="A706">
        <v>148</v>
      </c>
      <c r="B706" t="s">
        <v>14</v>
      </c>
      <c r="C706" t="s">
        <v>10</v>
      </c>
      <c r="D706">
        <v>185.01</v>
      </c>
      <c r="E706">
        <v>140.26</v>
      </c>
      <c r="F706">
        <v>50641</v>
      </c>
      <c r="H706">
        <f>_xlfn.LET(_xlpm.v, IFERROR(VLOOKUP($A706, manifest!$A:$E, 3, FALSE), ""), IF(OR(_xlpm.v=0, _xlpm.v=""), "", _xlpm.v))</f>
        <v>79</v>
      </c>
      <c r="I706" t="str">
        <f>_xlfn.LET(_xlpm.v, IFERROR(VLOOKUP($A706, manifest!$A:$E, 5, FALSE), ""), IF(OR(_xlpm.v=0, _xlpm.v=""), "", _xlpm.v))</f>
        <v>male</v>
      </c>
    </row>
    <row r="707" spans="1:9" x14ac:dyDescent="0.6">
      <c r="A707">
        <v>148</v>
      </c>
      <c r="B707" t="s">
        <v>14</v>
      </c>
      <c r="C707" t="s">
        <v>11</v>
      </c>
      <c r="D707">
        <v>197.5</v>
      </c>
      <c r="E707">
        <v>169.9</v>
      </c>
      <c r="F707">
        <v>53829</v>
      </c>
      <c r="H707">
        <f>_xlfn.LET(_xlpm.v, IFERROR(VLOOKUP($A707, manifest!$A:$E, 3, FALSE), ""), IF(OR(_xlpm.v=0, _xlpm.v=""), "", _xlpm.v))</f>
        <v>79</v>
      </c>
      <c r="I707" t="str">
        <f>_xlfn.LET(_xlpm.v, IFERROR(VLOOKUP($A707, manifest!$A:$E, 5, FALSE), ""), IF(OR(_xlpm.v=0, _xlpm.v=""), "", _xlpm.v))</f>
        <v>male</v>
      </c>
    </row>
    <row r="708" spans="1:9" x14ac:dyDescent="0.6">
      <c r="A708">
        <v>148</v>
      </c>
      <c r="B708" t="s">
        <v>14</v>
      </c>
      <c r="C708" t="s">
        <v>12</v>
      </c>
      <c r="D708">
        <v>184.31</v>
      </c>
      <c r="E708">
        <v>156.99</v>
      </c>
      <c r="F708">
        <v>90303</v>
      </c>
      <c r="H708">
        <f>_xlfn.LET(_xlpm.v, IFERROR(VLOOKUP($A708, manifest!$A:$E, 3, FALSE), ""), IF(OR(_xlpm.v=0, _xlpm.v=""), "", _xlpm.v))</f>
        <v>79</v>
      </c>
      <c r="I708" t="str">
        <f>_xlfn.LET(_xlpm.v, IFERROR(VLOOKUP($A708, manifest!$A:$E, 5, FALSE), ""), IF(OR(_xlpm.v=0, _xlpm.v=""), "", _xlpm.v))</f>
        <v>male</v>
      </c>
    </row>
    <row r="709" spans="1:9" x14ac:dyDescent="0.6">
      <c r="A709">
        <v>148</v>
      </c>
      <c r="B709" t="s">
        <v>14</v>
      </c>
      <c r="C709" t="s">
        <v>13</v>
      </c>
      <c r="D709">
        <v>168.56</v>
      </c>
      <c r="E709">
        <v>122.21</v>
      </c>
      <c r="F709">
        <v>74371</v>
      </c>
      <c r="H709">
        <f>_xlfn.LET(_xlpm.v, IFERROR(VLOOKUP($A709, manifest!$A:$E, 3, FALSE), ""), IF(OR(_xlpm.v=0, _xlpm.v=""), "", _xlpm.v))</f>
        <v>79</v>
      </c>
      <c r="I709" t="str">
        <f>_xlfn.LET(_xlpm.v, IFERROR(VLOOKUP($A709, manifest!$A:$E, 5, FALSE), ""), IF(OR(_xlpm.v=0, _xlpm.v=""), "", _xlpm.v))</f>
        <v>male</v>
      </c>
    </row>
    <row r="710" spans="1:9" x14ac:dyDescent="0.6">
      <c r="A710">
        <v>166</v>
      </c>
      <c r="B710" t="s">
        <v>14</v>
      </c>
      <c r="C710" t="s">
        <v>8</v>
      </c>
      <c r="D710">
        <v>176.67</v>
      </c>
      <c r="E710">
        <v>120.79</v>
      </c>
      <c r="F710">
        <v>18116</v>
      </c>
      <c r="G710" t="s">
        <v>9</v>
      </c>
      <c r="H710">
        <f>_xlfn.LET(_xlpm.v, IFERROR(VLOOKUP($A710, manifest!$A:$E, 3, FALSE), ""), IF(OR(_xlpm.v=0, _xlpm.v=""), "", _xlpm.v))</f>
        <v>51</v>
      </c>
      <c r="I710" t="str">
        <f>_xlfn.LET(_xlpm.v, IFERROR(VLOOKUP($A710, manifest!$A:$E, 5, FALSE), ""), IF(OR(_xlpm.v=0, _xlpm.v=""), "", _xlpm.v))</f>
        <v>female</v>
      </c>
    </row>
    <row r="711" spans="1:9" x14ac:dyDescent="0.6">
      <c r="A711">
        <v>166</v>
      </c>
      <c r="B711" t="s">
        <v>14</v>
      </c>
      <c r="C711" t="s">
        <v>10</v>
      </c>
      <c r="D711">
        <v>202.27</v>
      </c>
      <c r="E711">
        <v>174.88</v>
      </c>
      <c r="F711">
        <v>23330</v>
      </c>
      <c r="H711">
        <f>_xlfn.LET(_xlpm.v, IFERROR(VLOOKUP($A711, manifest!$A:$E, 3, FALSE), ""), IF(OR(_xlpm.v=0, _xlpm.v=""), "", _xlpm.v))</f>
        <v>51</v>
      </c>
      <c r="I711" t="str">
        <f>_xlfn.LET(_xlpm.v, IFERROR(VLOOKUP($A711, manifest!$A:$E, 5, FALSE), ""), IF(OR(_xlpm.v=0, _xlpm.v=""), "", _xlpm.v))</f>
        <v>female</v>
      </c>
    </row>
    <row r="712" spans="1:9" x14ac:dyDescent="0.6">
      <c r="A712">
        <v>166</v>
      </c>
      <c r="B712" t="s">
        <v>14</v>
      </c>
      <c r="C712" t="s">
        <v>11</v>
      </c>
      <c r="D712">
        <v>195.68</v>
      </c>
      <c r="E712">
        <v>178.54</v>
      </c>
      <c r="F712">
        <v>25863</v>
      </c>
      <c r="H712">
        <f>_xlfn.LET(_xlpm.v, IFERROR(VLOOKUP($A712, manifest!$A:$E, 3, FALSE), ""), IF(OR(_xlpm.v=0, _xlpm.v=""), "", _xlpm.v))</f>
        <v>51</v>
      </c>
      <c r="I712" t="str">
        <f>_xlfn.LET(_xlpm.v, IFERROR(VLOOKUP($A712, manifest!$A:$E, 5, FALSE), ""), IF(OR(_xlpm.v=0, _xlpm.v=""), "", _xlpm.v))</f>
        <v>female</v>
      </c>
    </row>
    <row r="713" spans="1:9" x14ac:dyDescent="0.6">
      <c r="A713">
        <v>166</v>
      </c>
      <c r="B713" t="s">
        <v>14</v>
      </c>
      <c r="C713" t="s">
        <v>12</v>
      </c>
      <c r="D713">
        <v>195.03</v>
      </c>
      <c r="E713">
        <v>189.88</v>
      </c>
      <c r="F713">
        <v>33265</v>
      </c>
      <c r="H713">
        <f>_xlfn.LET(_xlpm.v, IFERROR(VLOOKUP($A713, manifest!$A:$E, 3, FALSE), ""), IF(OR(_xlpm.v=0, _xlpm.v=""), "", _xlpm.v))</f>
        <v>51</v>
      </c>
      <c r="I713" t="str">
        <f>_xlfn.LET(_xlpm.v, IFERROR(VLOOKUP($A713, manifest!$A:$E, 5, FALSE), ""), IF(OR(_xlpm.v=0, _xlpm.v=""), "", _xlpm.v))</f>
        <v>female</v>
      </c>
    </row>
    <row r="714" spans="1:9" x14ac:dyDescent="0.6">
      <c r="A714">
        <v>166</v>
      </c>
      <c r="B714" t="s">
        <v>14</v>
      </c>
      <c r="C714" t="s">
        <v>13</v>
      </c>
      <c r="D714">
        <v>192.95</v>
      </c>
      <c r="E714">
        <v>167.17</v>
      </c>
      <c r="F714">
        <v>34182</v>
      </c>
      <c r="H714">
        <f>_xlfn.LET(_xlpm.v, IFERROR(VLOOKUP($A714, manifest!$A:$E, 3, FALSE), ""), IF(OR(_xlpm.v=0, _xlpm.v=""), "", _xlpm.v))</f>
        <v>51</v>
      </c>
      <c r="I714" t="str">
        <f>_xlfn.LET(_xlpm.v, IFERROR(VLOOKUP($A714, manifest!$A:$E, 5, FALSE), ""), IF(OR(_xlpm.v=0, _xlpm.v=""), "", _xlpm.v))</f>
        <v>female</v>
      </c>
    </row>
    <row r="715" spans="1:9" x14ac:dyDescent="0.6">
      <c r="A715">
        <v>128</v>
      </c>
      <c r="B715" t="s">
        <v>7</v>
      </c>
      <c r="C715" t="s">
        <v>8</v>
      </c>
      <c r="D715">
        <v>151.66999999999999</v>
      </c>
      <c r="E715">
        <v>176.2</v>
      </c>
      <c r="F715">
        <v>33866</v>
      </c>
      <c r="G715" t="s">
        <v>15</v>
      </c>
      <c r="H715" t="str">
        <f>_xlfn.LET(_xlpm.v, IFERROR(VLOOKUP($A715, manifest!$A:$E, 3, FALSE), ""), IF(OR(_xlpm.v=0, _xlpm.v=""), "", _xlpm.v))</f>
        <v/>
      </c>
      <c r="I715" t="str">
        <f>_xlfn.LET(_xlpm.v, IFERROR(VLOOKUP($A715, manifest!$A:$E, 5, FALSE), ""), IF(OR(_xlpm.v=0, _xlpm.v=""), "", _xlpm.v))</f>
        <v>female</v>
      </c>
    </row>
    <row r="716" spans="1:9" x14ac:dyDescent="0.6">
      <c r="A716">
        <v>128</v>
      </c>
      <c r="B716" t="s">
        <v>7</v>
      </c>
      <c r="C716" t="s">
        <v>10</v>
      </c>
      <c r="D716">
        <v>157.34</v>
      </c>
      <c r="E716">
        <v>196.93</v>
      </c>
      <c r="F716">
        <v>35376</v>
      </c>
      <c r="H716" t="str">
        <f>_xlfn.LET(_xlpm.v, IFERROR(VLOOKUP($A716, manifest!$A:$E, 3, FALSE), ""), IF(OR(_xlpm.v=0, _xlpm.v=""), "", _xlpm.v))</f>
        <v/>
      </c>
      <c r="I716" t="str">
        <f>_xlfn.LET(_xlpm.v, IFERROR(VLOOKUP($A716, manifest!$A:$E, 5, FALSE), ""), IF(OR(_xlpm.v=0, _xlpm.v=""), "", _xlpm.v))</f>
        <v>female</v>
      </c>
    </row>
    <row r="717" spans="1:9" x14ac:dyDescent="0.6">
      <c r="A717">
        <v>128</v>
      </c>
      <c r="B717" t="s">
        <v>7</v>
      </c>
      <c r="C717" t="s">
        <v>11</v>
      </c>
      <c r="D717">
        <v>169.03</v>
      </c>
      <c r="E717">
        <v>201.67</v>
      </c>
      <c r="F717">
        <v>37756</v>
      </c>
      <c r="H717" t="str">
        <f>_xlfn.LET(_xlpm.v, IFERROR(VLOOKUP($A717, manifest!$A:$E, 3, FALSE), ""), IF(OR(_xlpm.v=0, _xlpm.v=""), "", _xlpm.v))</f>
        <v/>
      </c>
      <c r="I717" t="str">
        <f>_xlfn.LET(_xlpm.v, IFERROR(VLOOKUP($A717, manifest!$A:$E, 5, FALSE), ""), IF(OR(_xlpm.v=0, _xlpm.v=""), "", _xlpm.v))</f>
        <v>female</v>
      </c>
    </row>
    <row r="718" spans="1:9" x14ac:dyDescent="0.6">
      <c r="A718">
        <v>128</v>
      </c>
      <c r="B718" t="s">
        <v>7</v>
      </c>
      <c r="C718" t="s">
        <v>12</v>
      </c>
      <c r="D718">
        <v>161.16</v>
      </c>
      <c r="E718">
        <v>187.81</v>
      </c>
      <c r="F718">
        <v>43821</v>
      </c>
      <c r="H718" t="str">
        <f>_xlfn.LET(_xlpm.v, IFERROR(VLOOKUP($A718, manifest!$A:$E, 3, FALSE), ""), IF(OR(_xlpm.v=0, _xlpm.v=""), "", _xlpm.v))</f>
        <v/>
      </c>
      <c r="I718" t="str">
        <f>_xlfn.LET(_xlpm.v, IFERROR(VLOOKUP($A718, manifest!$A:$E, 5, FALSE), ""), IF(OR(_xlpm.v=0, _xlpm.v=""), "", _xlpm.v))</f>
        <v>female</v>
      </c>
    </row>
    <row r="719" spans="1:9" x14ac:dyDescent="0.6">
      <c r="A719">
        <v>128</v>
      </c>
      <c r="B719" t="s">
        <v>7</v>
      </c>
      <c r="C719" t="s">
        <v>13</v>
      </c>
      <c r="D719">
        <v>149.13999999999999</v>
      </c>
      <c r="E719">
        <v>118.28</v>
      </c>
      <c r="F719">
        <v>43580</v>
      </c>
      <c r="H719" t="str">
        <f>_xlfn.LET(_xlpm.v, IFERROR(VLOOKUP($A719, manifest!$A:$E, 3, FALSE), ""), IF(OR(_xlpm.v=0, _xlpm.v=""), "", _xlpm.v))</f>
        <v/>
      </c>
      <c r="I719" t="str">
        <f>_xlfn.LET(_xlpm.v, IFERROR(VLOOKUP($A719, manifest!$A:$E, 5, FALSE), ""), IF(OR(_xlpm.v=0, _xlpm.v=""), "", _xlpm.v))</f>
        <v>female</v>
      </c>
    </row>
    <row r="720" spans="1:9" x14ac:dyDescent="0.6">
      <c r="A720">
        <v>146</v>
      </c>
      <c r="B720" t="s">
        <v>7</v>
      </c>
      <c r="C720" t="s">
        <v>8</v>
      </c>
      <c r="D720">
        <v>167.62</v>
      </c>
      <c r="E720">
        <v>96.32</v>
      </c>
      <c r="F720">
        <v>29648</v>
      </c>
      <c r="G720" t="s">
        <v>9</v>
      </c>
      <c r="H720">
        <f>_xlfn.LET(_xlpm.v, IFERROR(VLOOKUP($A720, manifest!$A:$E, 3, FALSE), ""), IF(OR(_xlpm.v=0, _xlpm.v=""), "", _xlpm.v))</f>
        <v>61</v>
      </c>
      <c r="I720" t="str">
        <f>_xlfn.LET(_xlpm.v, IFERROR(VLOOKUP($A720, manifest!$A:$E, 5, FALSE), ""), IF(OR(_xlpm.v=0, _xlpm.v=""), "", _xlpm.v))</f>
        <v>male</v>
      </c>
    </row>
    <row r="721" spans="1:9" x14ac:dyDescent="0.6">
      <c r="A721">
        <v>146</v>
      </c>
      <c r="B721" t="s">
        <v>7</v>
      </c>
      <c r="C721" t="s">
        <v>10</v>
      </c>
      <c r="D721">
        <v>187.16</v>
      </c>
      <c r="E721">
        <v>103.95</v>
      </c>
      <c r="F721">
        <v>30995</v>
      </c>
      <c r="H721">
        <f>_xlfn.LET(_xlpm.v, IFERROR(VLOOKUP($A721, manifest!$A:$E, 3, FALSE), ""), IF(OR(_xlpm.v=0, _xlpm.v=""), "", _xlpm.v))</f>
        <v>61</v>
      </c>
      <c r="I721" t="str">
        <f>_xlfn.LET(_xlpm.v, IFERROR(VLOOKUP($A721, manifest!$A:$E, 5, FALSE), ""), IF(OR(_xlpm.v=0, _xlpm.v=""), "", _xlpm.v))</f>
        <v>male</v>
      </c>
    </row>
    <row r="722" spans="1:9" x14ac:dyDescent="0.6">
      <c r="A722">
        <v>146</v>
      </c>
      <c r="B722" t="s">
        <v>7</v>
      </c>
      <c r="C722" t="s">
        <v>11</v>
      </c>
      <c r="D722">
        <v>179.93</v>
      </c>
      <c r="E722">
        <v>112.39</v>
      </c>
      <c r="F722">
        <v>37126</v>
      </c>
      <c r="H722">
        <f>_xlfn.LET(_xlpm.v, IFERROR(VLOOKUP($A722, manifest!$A:$E, 3, FALSE), ""), IF(OR(_xlpm.v=0, _xlpm.v=""), "", _xlpm.v))</f>
        <v>61</v>
      </c>
      <c r="I722" t="str">
        <f>_xlfn.LET(_xlpm.v, IFERROR(VLOOKUP($A722, manifest!$A:$E, 5, FALSE), ""), IF(OR(_xlpm.v=0, _xlpm.v=""), "", _xlpm.v))</f>
        <v>male</v>
      </c>
    </row>
    <row r="723" spans="1:9" x14ac:dyDescent="0.6">
      <c r="A723">
        <v>146</v>
      </c>
      <c r="B723" t="s">
        <v>7</v>
      </c>
      <c r="C723" t="s">
        <v>12</v>
      </c>
      <c r="D723">
        <v>200.45</v>
      </c>
      <c r="E723">
        <v>133.9</v>
      </c>
      <c r="F723">
        <v>35608</v>
      </c>
      <c r="H723">
        <f>_xlfn.LET(_xlpm.v, IFERROR(VLOOKUP($A723, manifest!$A:$E, 3, FALSE), ""), IF(OR(_xlpm.v=0, _xlpm.v=""), "", _xlpm.v))</f>
        <v>61</v>
      </c>
      <c r="I723" t="str">
        <f>_xlfn.LET(_xlpm.v, IFERROR(VLOOKUP($A723, manifest!$A:$E, 5, FALSE), ""), IF(OR(_xlpm.v=0, _xlpm.v=""), "", _xlpm.v))</f>
        <v>male</v>
      </c>
    </row>
    <row r="724" spans="1:9" x14ac:dyDescent="0.6">
      <c r="A724">
        <v>146</v>
      </c>
      <c r="B724" t="s">
        <v>7</v>
      </c>
      <c r="C724" t="s">
        <v>13</v>
      </c>
      <c r="D724">
        <v>201.12</v>
      </c>
      <c r="E724">
        <v>110.19</v>
      </c>
      <c r="F724">
        <v>40559</v>
      </c>
      <c r="H724">
        <f>_xlfn.LET(_xlpm.v, IFERROR(VLOOKUP($A724, manifest!$A:$E, 3, FALSE), ""), IF(OR(_xlpm.v=0, _xlpm.v=""), "", _xlpm.v))</f>
        <v>61</v>
      </c>
      <c r="I724" t="str">
        <f>_xlfn.LET(_xlpm.v, IFERROR(VLOOKUP($A724, manifest!$A:$E, 5, FALSE), ""), IF(OR(_xlpm.v=0, _xlpm.v=""), "", _xlpm.v))</f>
        <v>male</v>
      </c>
    </row>
    <row r="725" spans="1:9" x14ac:dyDescent="0.6">
      <c r="A725">
        <v>152</v>
      </c>
      <c r="B725" t="s">
        <v>7</v>
      </c>
      <c r="C725" t="s">
        <v>8</v>
      </c>
      <c r="D725">
        <v>215.32</v>
      </c>
      <c r="E725">
        <v>135.34</v>
      </c>
      <c r="F725">
        <v>31090</v>
      </c>
      <c r="G725" t="s">
        <v>9</v>
      </c>
      <c r="H725">
        <f>_xlfn.LET(_xlpm.v, IFERROR(VLOOKUP($A725, manifest!$A:$E, 3, FALSE), ""), IF(OR(_xlpm.v=0, _xlpm.v=""), "", _xlpm.v))</f>
        <v>50</v>
      </c>
      <c r="I725" t="str">
        <f>_xlfn.LET(_xlpm.v, IFERROR(VLOOKUP($A725, manifest!$A:$E, 5, FALSE), ""), IF(OR(_xlpm.v=0, _xlpm.v=""), "", _xlpm.v))</f>
        <v>female</v>
      </c>
    </row>
    <row r="726" spans="1:9" x14ac:dyDescent="0.6">
      <c r="A726">
        <v>152</v>
      </c>
      <c r="B726" t="s">
        <v>7</v>
      </c>
      <c r="C726" t="s">
        <v>10</v>
      </c>
      <c r="D726">
        <v>239.16</v>
      </c>
      <c r="E726">
        <v>175.63</v>
      </c>
      <c r="F726">
        <v>34959</v>
      </c>
      <c r="H726">
        <f>_xlfn.LET(_xlpm.v, IFERROR(VLOOKUP($A726, manifest!$A:$E, 3, FALSE), ""), IF(OR(_xlpm.v=0, _xlpm.v=""), "", _xlpm.v))</f>
        <v>50</v>
      </c>
      <c r="I726" t="str">
        <f>_xlfn.LET(_xlpm.v, IFERROR(VLOOKUP($A726, manifest!$A:$E, 5, FALSE), ""), IF(OR(_xlpm.v=0, _xlpm.v=""), "", _xlpm.v))</f>
        <v>female</v>
      </c>
    </row>
    <row r="727" spans="1:9" x14ac:dyDescent="0.6">
      <c r="A727">
        <v>152</v>
      </c>
      <c r="B727" t="s">
        <v>7</v>
      </c>
      <c r="C727" t="s">
        <v>11</v>
      </c>
      <c r="D727">
        <v>213.75</v>
      </c>
      <c r="E727">
        <v>138.6</v>
      </c>
      <c r="F727">
        <v>38745</v>
      </c>
      <c r="H727">
        <f>_xlfn.LET(_xlpm.v, IFERROR(VLOOKUP($A727, manifest!$A:$E, 3, FALSE), ""), IF(OR(_xlpm.v=0, _xlpm.v=""), "", _xlpm.v))</f>
        <v>50</v>
      </c>
      <c r="I727" t="str">
        <f>_xlfn.LET(_xlpm.v, IFERROR(VLOOKUP($A727, manifest!$A:$E, 5, FALSE), ""), IF(OR(_xlpm.v=0, _xlpm.v=""), "", _xlpm.v))</f>
        <v>female</v>
      </c>
    </row>
    <row r="728" spans="1:9" x14ac:dyDescent="0.6">
      <c r="A728">
        <v>152</v>
      </c>
      <c r="B728" t="s">
        <v>7</v>
      </c>
      <c r="C728" t="s">
        <v>12</v>
      </c>
      <c r="D728">
        <v>192.24</v>
      </c>
      <c r="E728">
        <v>109.97</v>
      </c>
      <c r="F728">
        <v>42982</v>
      </c>
      <c r="H728">
        <f>_xlfn.LET(_xlpm.v, IFERROR(VLOOKUP($A728, manifest!$A:$E, 3, FALSE), ""), IF(OR(_xlpm.v=0, _xlpm.v=""), "", _xlpm.v))</f>
        <v>50</v>
      </c>
      <c r="I728" t="str">
        <f>_xlfn.LET(_xlpm.v, IFERROR(VLOOKUP($A728, manifest!$A:$E, 5, FALSE), ""), IF(OR(_xlpm.v=0, _xlpm.v=""), "", _xlpm.v))</f>
        <v>female</v>
      </c>
    </row>
    <row r="729" spans="1:9" x14ac:dyDescent="0.6">
      <c r="A729">
        <v>152</v>
      </c>
      <c r="B729" t="s">
        <v>7</v>
      </c>
      <c r="C729" t="s">
        <v>13</v>
      </c>
      <c r="D729">
        <v>190.52</v>
      </c>
      <c r="E729">
        <v>116.35</v>
      </c>
      <c r="F729">
        <v>60600</v>
      </c>
      <c r="H729">
        <f>_xlfn.LET(_xlpm.v, IFERROR(VLOOKUP($A729, manifest!$A:$E, 3, FALSE), ""), IF(OR(_xlpm.v=0, _xlpm.v=""), "", _xlpm.v))</f>
        <v>50</v>
      </c>
      <c r="I729" t="str">
        <f>_xlfn.LET(_xlpm.v, IFERROR(VLOOKUP($A729, manifest!$A:$E, 5, FALSE), ""), IF(OR(_xlpm.v=0, _xlpm.v=""), "", _xlpm.v))</f>
        <v>female</v>
      </c>
    </row>
    <row r="730" spans="1:9" x14ac:dyDescent="0.6">
      <c r="A730">
        <v>174</v>
      </c>
      <c r="B730" t="s">
        <v>14</v>
      </c>
      <c r="C730" t="s">
        <v>8</v>
      </c>
      <c r="D730">
        <v>109.18</v>
      </c>
      <c r="E730">
        <v>124.82</v>
      </c>
      <c r="F730">
        <v>45003</v>
      </c>
      <c r="G730" t="s">
        <v>17</v>
      </c>
      <c r="H730">
        <f>_xlfn.LET(_xlpm.v, IFERROR(VLOOKUP($A730, manifest!$A:$E, 3, FALSE), ""), IF(OR(_xlpm.v=0, _xlpm.v=""), "", _xlpm.v))</f>
        <v>76</v>
      </c>
      <c r="I730" t="str">
        <f>_xlfn.LET(_xlpm.v, IFERROR(VLOOKUP($A730, manifest!$A:$E, 5, FALSE), ""), IF(OR(_xlpm.v=0, _xlpm.v=""), "", _xlpm.v))</f>
        <v>female</v>
      </c>
    </row>
    <row r="731" spans="1:9" x14ac:dyDescent="0.6">
      <c r="A731">
        <v>174</v>
      </c>
      <c r="B731" t="s">
        <v>14</v>
      </c>
      <c r="C731" t="s">
        <v>10</v>
      </c>
      <c r="D731">
        <v>147.57</v>
      </c>
      <c r="E731">
        <v>165.2</v>
      </c>
      <c r="F731">
        <v>59795</v>
      </c>
      <c r="H731">
        <f>_xlfn.LET(_xlpm.v, IFERROR(VLOOKUP($A731, manifest!$A:$E, 3, FALSE), ""), IF(OR(_xlpm.v=0, _xlpm.v=""), "", _xlpm.v))</f>
        <v>76</v>
      </c>
      <c r="I731" t="str">
        <f>_xlfn.LET(_xlpm.v, IFERROR(VLOOKUP($A731, manifest!$A:$E, 5, FALSE), ""), IF(OR(_xlpm.v=0, _xlpm.v=""), "", _xlpm.v))</f>
        <v>female</v>
      </c>
    </row>
    <row r="732" spans="1:9" x14ac:dyDescent="0.6">
      <c r="A732">
        <v>174</v>
      </c>
      <c r="B732" t="s">
        <v>14</v>
      </c>
      <c r="C732" t="s">
        <v>11</v>
      </c>
      <c r="D732">
        <v>187.3</v>
      </c>
      <c r="E732">
        <v>177.58</v>
      </c>
      <c r="F732">
        <v>60157</v>
      </c>
      <c r="H732">
        <f>_xlfn.LET(_xlpm.v, IFERROR(VLOOKUP($A732, manifest!$A:$E, 3, FALSE), ""), IF(OR(_xlpm.v=0, _xlpm.v=""), "", _xlpm.v))</f>
        <v>76</v>
      </c>
      <c r="I732" t="str">
        <f>_xlfn.LET(_xlpm.v, IFERROR(VLOOKUP($A732, manifest!$A:$E, 5, FALSE), ""), IF(OR(_xlpm.v=0, _xlpm.v=""), "", _xlpm.v))</f>
        <v>female</v>
      </c>
    </row>
    <row r="733" spans="1:9" x14ac:dyDescent="0.6">
      <c r="A733">
        <v>174</v>
      </c>
      <c r="B733" t="s">
        <v>14</v>
      </c>
      <c r="C733" t="s">
        <v>12</v>
      </c>
      <c r="D733">
        <v>181.86</v>
      </c>
      <c r="E733">
        <v>182.58</v>
      </c>
      <c r="F733">
        <v>76309</v>
      </c>
      <c r="H733">
        <f>_xlfn.LET(_xlpm.v, IFERROR(VLOOKUP($A733, manifest!$A:$E, 3, FALSE), ""), IF(OR(_xlpm.v=0, _xlpm.v=""), "", _xlpm.v))</f>
        <v>76</v>
      </c>
      <c r="I733" t="str">
        <f>_xlfn.LET(_xlpm.v, IFERROR(VLOOKUP($A733, manifest!$A:$E, 5, FALSE), ""), IF(OR(_xlpm.v=0, _xlpm.v=""), "", _xlpm.v))</f>
        <v>female</v>
      </c>
    </row>
    <row r="734" spans="1:9" x14ac:dyDescent="0.6">
      <c r="A734">
        <v>174</v>
      </c>
      <c r="B734" t="s">
        <v>14</v>
      </c>
      <c r="C734" t="s">
        <v>13</v>
      </c>
      <c r="D734">
        <v>192.01</v>
      </c>
      <c r="E734">
        <v>211.01</v>
      </c>
      <c r="F734">
        <v>61082</v>
      </c>
      <c r="H734">
        <f>_xlfn.LET(_xlpm.v, IFERROR(VLOOKUP($A734, manifest!$A:$E, 3, FALSE), ""), IF(OR(_xlpm.v=0, _xlpm.v=""), "", _xlpm.v))</f>
        <v>76</v>
      </c>
      <c r="I734" t="str">
        <f>_xlfn.LET(_xlpm.v, IFERROR(VLOOKUP($A734, manifest!$A:$E, 5, FALSE), ""), IF(OR(_xlpm.v=0, _xlpm.v=""), "", _xlpm.v))</f>
        <v>female</v>
      </c>
    </row>
    <row r="735" spans="1:9" x14ac:dyDescent="0.6">
      <c r="A735">
        <v>164</v>
      </c>
      <c r="B735" t="s">
        <v>14</v>
      </c>
      <c r="C735" t="s">
        <v>8</v>
      </c>
      <c r="D735">
        <v>231.12</v>
      </c>
      <c r="E735">
        <v>169.42</v>
      </c>
      <c r="F735">
        <v>41770</v>
      </c>
      <c r="G735" t="s">
        <v>9</v>
      </c>
      <c r="H735">
        <f>_xlfn.LET(_xlpm.v, IFERROR(VLOOKUP($A735, manifest!$A:$E, 3, FALSE), ""), IF(OR(_xlpm.v=0, _xlpm.v=""), "", _xlpm.v))</f>
        <v>61</v>
      </c>
      <c r="I735" t="str">
        <f>_xlfn.LET(_xlpm.v, IFERROR(VLOOKUP($A735, manifest!$A:$E, 5, FALSE), ""), IF(OR(_xlpm.v=0, _xlpm.v=""), "", _xlpm.v))</f>
        <v>male</v>
      </c>
    </row>
    <row r="736" spans="1:9" x14ac:dyDescent="0.6">
      <c r="A736">
        <v>164</v>
      </c>
      <c r="B736" t="s">
        <v>14</v>
      </c>
      <c r="C736" t="s">
        <v>10</v>
      </c>
      <c r="D736">
        <v>242.14</v>
      </c>
      <c r="E736">
        <v>207.46</v>
      </c>
      <c r="F736">
        <v>46095</v>
      </c>
      <c r="H736">
        <f>_xlfn.LET(_xlpm.v, IFERROR(VLOOKUP($A736, manifest!$A:$E, 3, FALSE), ""), IF(OR(_xlpm.v=0, _xlpm.v=""), "", _xlpm.v))</f>
        <v>61</v>
      </c>
      <c r="I736" t="str">
        <f>_xlfn.LET(_xlpm.v, IFERROR(VLOOKUP($A736, manifest!$A:$E, 5, FALSE), ""), IF(OR(_xlpm.v=0, _xlpm.v=""), "", _xlpm.v))</f>
        <v>male</v>
      </c>
    </row>
    <row r="737" spans="1:9" x14ac:dyDescent="0.6">
      <c r="A737">
        <v>164</v>
      </c>
      <c r="B737" t="s">
        <v>14</v>
      </c>
      <c r="C737" t="s">
        <v>11</v>
      </c>
      <c r="D737">
        <v>250.2</v>
      </c>
      <c r="E737">
        <v>219.99</v>
      </c>
      <c r="F737">
        <v>61883</v>
      </c>
      <c r="H737">
        <f>_xlfn.LET(_xlpm.v, IFERROR(VLOOKUP($A737, manifest!$A:$E, 3, FALSE), ""), IF(OR(_xlpm.v=0, _xlpm.v=""), "", _xlpm.v))</f>
        <v>61</v>
      </c>
      <c r="I737" t="str">
        <f>_xlfn.LET(_xlpm.v, IFERROR(VLOOKUP($A737, manifest!$A:$E, 5, FALSE), ""), IF(OR(_xlpm.v=0, _xlpm.v=""), "", _xlpm.v))</f>
        <v>male</v>
      </c>
    </row>
    <row r="738" spans="1:9" x14ac:dyDescent="0.6">
      <c r="A738">
        <v>164</v>
      </c>
      <c r="B738" t="s">
        <v>14</v>
      </c>
      <c r="C738" t="s">
        <v>12</v>
      </c>
      <c r="D738">
        <v>263.27</v>
      </c>
      <c r="E738">
        <v>194.71</v>
      </c>
      <c r="F738">
        <v>60350</v>
      </c>
      <c r="H738">
        <f>_xlfn.LET(_xlpm.v, IFERROR(VLOOKUP($A738, manifest!$A:$E, 3, FALSE), ""), IF(OR(_xlpm.v=0, _xlpm.v=""), "", _xlpm.v))</f>
        <v>61</v>
      </c>
      <c r="I738" t="str">
        <f>_xlfn.LET(_xlpm.v, IFERROR(VLOOKUP($A738, manifest!$A:$E, 5, FALSE), ""), IF(OR(_xlpm.v=0, _xlpm.v=""), "", _xlpm.v))</f>
        <v>male</v>
      </c>
    </row>
    <row r="739" spans="1:9" x14ac:dyDescent="0.6">
      <c r="A739">
        <v>164</v>
      </c>
      <c r="B739" t="s">
        <v>14</v>
      </c>
      <c r="C739" t="s">
        <v>13</v>
      </c>
      <c r="D739">
        <v>271.26</v>
      </c>
      <c r="E739">
        <v>181.24</v>
      </c>
      <c r="F739">
        <v>61757</v>
      </c>
      <c r="H739">
        <f>_xlfn.LET(_xlpm.v, IFERROR(VLOOKUP($A739, manifest!$A:$E, 3, FALSE), ""), IF(OR(_xlpm.v=0, _xlpm.v=""), "", _xlpm.v))</f>
        <v>61</v>
      </c>
      <c r="I739" t="str">
        <f>_xlfn.LET(_xlpm.v, IFERROR(VLOOKUP($A739, manifest!$A:$E, 5, FALSE), ""), IF(OR(_xlpm.v=0, _xlpm.v=""), "", _xlpm.v))</f>
        <v>male</v>
      </c>
    </row>
    <row r="740" spans="1:9" x14ac:dyDescent="0.6">
      <c r="A740">
        <v>136</v>
      </c>
      <c r="B740" t="s">
        <v>7</v>
      </c>
      <c r="C740" t="s">
        <v>8</v>
      </c>
      <c r="D740">
        <v>156.19</v>
      </c>
      <c r="E740">
        <v>164.72</v>
      </c>
      <c r="F740">
        <v>39698</v>
      </c>
      <c r="G740" t="s">
        <v>15</v>
      </c>
      <c r="H740" t="str">
        <f>_xlfn.LET(_xlpm.v, IFERROR(VLOOKUP($A740, manifest!$A:$E, 3, FALSE), ""), IF(OR(_xlpm.v=0, _xlpm.v=""), "", _xlpm.v))</f>
        <v/>
      </c>
      <c r="I740" t="str">
        <f>_xlfn.LET(_xlpm.v, IFERROR(VLOOKUP($A740, manifest!$A:$E, 5, FALSE), ""), IF(OR(_xlpm.v=0, _xlpm.v=""), "", _xlpm.v))</f>
        <v>male</v>
      </c>
    </row>
    <row r="741" spans="1:9" x14ac:dyDescent="0.6">
      <c r="A741">
        <v>136</v>
      </c>
      <c r="B741" t="s">
        <v>7</v>
      </c>
      <c r="C741" t="s">
        <v>10</v>
      </c>
      <c r="D741">
        <v>176.55</v>
      </c>
      <c r="E741">
        <v>217.46</v>
      </c>
      <c r="F741">
        <v>42770</v>
      </c>
      <c r="H741" t="str">
        <f>_xlfn.LET(_xlpm.v, IFERROR(VLOOKUP($A741, manifest!$A:$E, 3, FALSE), ""), IF(OR(_xlpm.v=0, _xlpm.v=""), "", _xlpm.v))</f>
        <v/>
      </c>
      <c r="I741" t="str">
        <f>_xlfn.LET(_xlpm.v, IFERROR(VLOOKUP($A741, manifest!$A:$E, 5, FALSE), ""), IF(OR(_xlpm.v=0, _xlpm.v=""), "", _xlpm.v))</f>
        <v>male</v>
      </c>
    </row>
    <row r="742" spans="1:9" x14ac:dyDescent="0.6">
      <c r="A742">
        <v>136</v>
      </c>
      <c r="B742" t="s">
        <v>7</v>
      </c>
      <c r="C742" t="s">
        <v>11</v>
      </c>
      <c r="D742">
        <v>159.83000000000001</v>
      </c>
      <c r="E742">
        <v>191.49</v>
      </c>
      <c r="F742">
        <v>49464</v>
      </c>
      <c r="H742" t="str">
        <f>_xlfn.LET(_xlpm.v, IFERROR(VLOOKUP($A742, manifest!$A:$E, 3, FALSE), ""), IF(OR(_xlpm.v=0, _xlpm.v=""), "", _xlpm.v))</f>
        <v/>
      </c>
      <c r="I742" t="str">
        <f>_xlfn.LET(_xlpm.v, IFERROR(VLOOKUP($A742, manifest!$A:$E, 5, FALSE), ""), IF(OR(_xlpm.v=0, _xlpm.v=""), "", _xlpm.v))</f>
        <v>male</v>
      </c>
    </row>
    <row r="743" spans="1:9" x14ac:dyDescent="0.6">
      <c r="A743">
        <v>136</v>
      </c>
      <c r="B743" t="s">
        <v>7</v>
      </c>
      <c r="C743" t="s">
        <v>12</v>
      </c>
      <c r="D743">
        <v>153.69</v>
      </c>
      <c r="E743">
        <v>199.12</v>
      </c>
      <c r="F743">
        <v>62908</v>
      </c>
      <c r="H743" t="str">
        <f>_xlfn.LET(_xlpm.v, IFERROR(VLOOKUP($A743, manifest!$A:$E, 3, FALSE), ""), IF(OR(_xlpm.v=0, _xlpm.v=""), "", _xlpm.v))</f>
        <v/>
      </c>
      <c r="I743" t="str">
        <f>_xlfn.LET(_xlpm.v, IFERROR(VLOOKUP($A743, manifest!$A:$E, 5, FALSE), ""), IF(OR(_xlpm.v=0, _xlpm.v=""), "", _xlpm.v))</f>
        <v>male</v>
      </c>
    </row>
    <row r="744" spans="1:9" x14ac:dyDescent="0.6">
      <c r="A744">
        <v>136</v>
      </c>
      <c r="B744" t="s">
        <v>7</v>
      </c>
      <c r="C744" t="s">
        <v>13</v>
      </c>
      <c r="D744">
        <v>175.95</v>
      </c>
      <c r="E744">
        <v>211.23</v>
      </c>
      <c r="F744">
        <v>68086</v>
      </c>
      <c r="H744" t="str">
        <f>_xlfn.LET(_xlpm.v, IFERROR(VLOOKUP($A744, manifest!$A:$E, 3, FALSE), ""), IF(OR(_xlpm.v=0, _xlpm.v=""), "", _xlpm.v))</f>
        <v/>
      </c>
      <c r="I744" t="str">
        <f>_xlfn.LET(_xlpm.v, IFERROR(VLOOKUP($A744, manifest!$A:$E, 5, FALSE), ""), IF(OR(_xlpm.v=0, _xlpm.v=""), "", _xlpm.v))</f>
        <v>male</v>
      </c>
    </row>
    <row r="745" spans="1:9" x14ac:dyDescent="0.6">
      <c r="A745">
        <v>168</v>
      </c>
      <c r="B745" t="s">
        <v>7</v>
      </c>
      <c r="C745" t="s">
        <v>8</v>
      </c>
      <c r="D745">
        <v>155.61000000000001</v>
      </c>
      <c r="E745">
        <v>135.02000000000001</v>
      </c>
      <c r="F745">
        <v>37308</v>
      </c>
      <c r="G745" t="s">
        <v>15</v>
      </c>
      <c r="H745">
        <f>_xlfn.LET(_xlpm.v, IFERROR(VLOOKUP($A745, manifest!$A:$E, 3, FALSE), ""), IF(OR(_xlpm.v=0, _xlpm.v=""), "", _xlpm.v))</f>
        <v>53</v>
      </c>
      <c r="I745" t="str">
        <f>_xlfn.LET(_xlpm.v, IFERROR(VLOOKUP($A745, manifest!$A:$E, 5, FALSE), ""), IF(OR(_xlpm.v=0, _xlpm.v=""), "", _xlpm.v))</f>
        <v>male</v>
      </c>
    </row>
    <row r="746" spans="1:9" x14ac:dyDescent="0.6">
      <c r="A746">
        <v>168</v>
      </c>
      <c r="B746" t="s">
        <v>7</v>
      </c>
      <c r="C746" t="s">
        <v>10</v>
      </c>
      <c r="D746">
        <v>178.66</v>
      </c>
      <c r="E746">
        <v>179.9</v>
      </c>
      <c r="F746">
        <v>39012</v>
      </c>
      <c r="H746">
        <f>_xlfn.LET(_xlpm.v, IFERROR(VLOOKUP($A746, manifest!$A:$E, 3, FALSE), ""), IF(OR(_xlpm.v=0, _xlpm.v=""), "", _xlpm.v))</f>
        <v>53</v>
      </c>
      <c r="I746" t="str">
        <f>_xlfn.LET(_xlpm.v, IFERROR(VLOOKUP($A746, manifest!$A:$E, 5, FALSE), ""), IF(OR(_xlpm.v=0, _xlpm.v=""), "", _xlpm.v))</f>
        <v>male</v>
      </c>
    </row>
    <row r="747" spans="1:9" x14ac:dyDescent="0.6">
      <c r="A747">
        <v>168</v>
      </c>
      <c r="B747" t="s">
        <v>7</v>
      </c>
      <c r="C747" t="s">
        <v>11</v>
      </c>
      <c r="D747">
        <v>185.53</v>
      </c>
      <c r="E747">
        <v>195.47</v>
      </c>
      <c r="F747">
        <v>44459</v>
      </c>
      <c r="H747">
        <f>_xlfn.LET(_xlpm.v, IFERROR(VLOOKUP($A747, manifest!$A:$E, 3, FALSE), ""), IF(OR(_xlpm.v=0, _xlpm.v=""), "", _xlpm.v))</f>
        <v>53</v>
      </c>
      <c r="I747" t="str">
        <f>_xlfn.LET(_xlpm.v, IFERROR(VLOOKUP($A747, manifest!$A:$E, 5, FALSE), ""), IF(OR(_xlpm.v=0, _xlpm.v=""), "", _xlpm.v))</f>
        <v>male</v>
      </c>
    </row>
    <row r="748" spans="1:9" x14ac:dyDescent="0.6">
      <c r="A748">
        <v>168</v>
      </c>
      <c r="B748" t="s">
        <v>7</v>
      </c>
      <c r="C748" t="s">
        <v>12</v>
      </c>
      <c r="D748">
        <v>192.05</v>
      </c>
      <c r="E748">
        <v>192.49</v>
      </c>
      <c r="F748">
        <v>56375</v>
      </c>
      <c r="H748">
        <f>_xlfn.LET(_xlpm.v, IFERROR(VLOOKUP($A748, manifest!$A:$E, 3, FALSE), ""), IF(OR(_xlpm.v=0, _xlpm.v=""), "", _xlpm.v))</f>
        <v>53</v>
      </c>
      <c r="I748" t="str">
        <f>_xlfn.LET(_xlpm.v, IFERROR(VLOOKUP($A748, manifest!$A:$E, 5, FALSE), ""), IF(OR(_xlpm.v=0, _xlpm.v=""), "", _xlpm.v))</f>
        <v>male</v>
      </c>
    </row>
    <row r="749" spans="1:9" x14ac:dyDescent="0.6">
      <c r="A749">
        <v>168</v>
      </c>
      <c r="B749" t="s">
        <v>7</v>
      </c>
      <c r="C749" t="s">
        <v>13</v>
      </c>
      <c r="D749">
        <v>219.64</v>
      </c>
      <c r="E749">
        <v>193.58</v>
      </c>
      <c r="F749">
        <v>58926</v>
      </c>
      <c r="H749">
        <f>_xlfn.LET(_xlpm.v, IFERROR(VLOOKUP($A749, manifest!$A:$E, 3, FALSE), ""), IF(OR(_xlpm.v=0, _xlpm.v=""), "", _xlpm.v))</f>
        <v>53</v>
      </c>
      <c r="I749" t="str">
        <f>_xlfn.LET(_xlpm.v, IFERROR(VLOOKUP($A749, manifest!$A:$E, 5, FALSE), ""), IF(OR(_xlpm.v=0, _xlpm.v=""), "", _xlpm.v))</f>
        <v>male</v>
      </c>
    </row>
    <row r="750" spans="1:9" x14ac:dyDescent="0.6">
      <c r="A750">
        <v>149</v>
      </c>
      <c r="B750" t="s">
        <v>14</v>
      </c>
      <c r="C750" t="s">
        <v>8</v>
      </c>
      <c r="D750">
        <v>195.16</v>
      </c>
      <c r="E750">
        <v>111.41</v>
      </c>
      <c r="F750">
        <v>16639</v>
      </c>
      <c r="G750" t="s">
        <v>9</v>
      </c>
      <c r="H750">
        <f>_xlfn.LET(_xlpm.v, IFERROR(VLOOKUP($A750, manifest!$A:$E, 3, FALSE), ""), IF(OR(_xlpm.v=0, _xlpm.v=""), "", _xlpm.v))</f>
        <v>56</v>
      </c>
      <c r="I750" t="str">
        <f>_xlfn.LET(_xlpm.v, IFERROR(VLOOKUP($A750, manifest!$A:$E, 5, FALSE), ""), IF(OR(_xlpm.v=0, _xlpm.v=""), "", _xlpm.v))</f>
        <v>female</v>
      </c>
    </row>
    <row r="751" spans="1:9" x14ac:dyDescent="0.6">
      <c r="A751">
        <v>149</v>
      </c>
      <c r="B751" t="s">
        <v>14</v>
      </c>
      <c r="C751" t="s">
        <v>10</v>
      </c>
      <c r="D751">
        <v>219.21</v>
      </c>
      <c r="E751">
        <v>142.91999999999999</v>
      </c>
      <c r="F751">
        <v>16216</v>
      </c>
      <c r="H751">
        <f>_xlfn.LET(_xlpm.v, IFERROR(VLOOKUP($A751, manifest!$A:$E, 3, FALSE), ""), IF(OR(_xlpm.v=0, _xlpm.v=""), "", _xlpm.v))</f>
        <v>56</v>
      </c>
      <c r="I751" t="str">
        <f>_xlfn.LET(_xlpm.v, IFERROR(VLOOKUP($A751, manifest!$A:$E, 5, FALSE), ""), IF(OR(_xlpm.v=0, _xlpm.v=""), "", _xlpm.v))</f>
        <v>female</v>
      </c>
    </row>
    <row r="752" spans="1:9" x14ac:dyDescent="0.6">
      <c r="A752">
        <v>149</v>
      </c>
      <c r="B752" t="s">
        <v>14</v>
      </c>
      <c r="C752" t="s">
        <v>11</v>
      </c>
      <c r="D752">
        <v>217.97</v>
      </c>
      <c r="E752">
        <v>161.38999999999999</v>
      </c>
      <c r="F752">
        <v>18345</v>
      </c>
      <c r="H752">
        <f>_xlfn.LET(_xlpm.v, IFERROR(VLOOKUP($A752, manifest!$A:$E, 3, FALSE), ""), IF(OR(_xlpm.v=0, _xlpm.v=""), "", _xlpm.v))</f>
        <v>56</v>
      </c>
      <c r="I752" t="str">
        <f>_xlfn.LET(_xlpm.v, IFERROR(VLOOKUP($A752, manifest!$A:$E, 5, FALSE), ""), IF(OR(_xlpm.v=0, _xlpm.v=""), "", _xlpm.v))</f>
        <v>female</v>
      </c>
    </row>
    <row r="753" spans="1:9" x14ac:dyDescent="0.6">
      <c r="A753">
        <v>149</v>
      </c>
      <c r="B753" t="s">
        <v>14</v>
      </c>
      <c r="C753" t="s">
        <v>12</v>
      </c>
      <c r="D753">
        <v>230.28</v>
      </c>
      <c r="E753">
        <v>203.36</v>
      </c>
      <c r="F753">
        <v>18681</v>
      </c>
      <c r="H753">
        <f>_xlfn.LET(_xlpm.v, IFERROR(VLOOKUP($A753, manifest!$A:$E, 3, FALSE), ""), IF(OR(_xlpm.v=0, _xlpm.v=""), "", _xlpm.v))</f>
        <v>56</v>
      </c>
      <c r="I753" t="str">
        <f>_xlfn.LET(_xlpm.v, IFERROR(VLOOKUP($A753, manifest!$A:$E, 5, FALSE), ""), IF(OR(_xlpm.v=0, _xlpm.v=""), "", _xlpm.v))</f>
        <v>female</v>
      </c>
    </row>
    <row r="754" spans="1:9" x14ac:dyDescent="0.6">
      <c r="A754">
        <v>149</v>
      </c>
      <c r="B754" t="s">
        <v>14</v>
      </c>
      <c r="C754" t="s">
        <v>13</v>
      </c>
      <c r="D754">
        <v>221.58</v>
      </c>
      <c r="E754">
        <v>197.04</v>
      </c>
      <c r="F754">
        <v>20484</v>
      </c>
      <c r="H754">
        <f>_xlfn.LET(_xlpm.v, IFERROR(VLOOKUP($A754, manifest!$A:$E, 3, FALSE), ""), IF(OR(_xlpm.v=0, _xlpm.v=""), "", _xlpm.v))</f>
        <v>56</v>
      </c>
      <c r="I754" t="str">
        <f>_xlfn.LET(_xlpm.v, IFERROR(VLOOKUP($A754, manifest!$A:$E, 5, FALSE), ""), IF(OR(_xlpm.v=0, _xlpm.v=""), "", _xlpm.v))</f>
        <v>female</v>
      </c>
    </row>
    <row r="755" spans="1:9" x14ac:dyDescent="0.6">
      <c r="A755">
        <v>149</v>
      </c>
      <c r="B755" t="s">
        <v>14</v>
      </c>
      <c r="C755" t="s">
        <v>16</v>
      </c>
      <c r="D755">
        <v>261.86</v>
      </c>
      <c r="E755">
        <v>149.9</v>
      </c>
      <c r="F755">
        <v>27429</v>
      </c>
      <c r="H755">
        <f>_xlfn.LET(_xlpm.v, IFERROR(VLOOKUP($A755, manifest!$A:$E, 3, FALSE), ""), IF(OR(_xlpm.v=0, _xlpm.v=""), "", _xlpm.v))</f>
        <v>56</v>
      </c>
      <c r="I755" t="str">
        <f>_xlfn.LET(_xlpm.v, IFERROR(VLOOKUP($A755, manifest!$A:$E, 5, FALSE), ""), IF(OR(_xlpm.v=0, _xlpm.v=""), "", _xlpm.v))</f>
        <v>female</v>
      </c>
    </row>
    <row r="756" spans="1:9" x14ac:dyDescent="0.6">
      <c r="A756">
        <v>158</v>
      </c>
      <c r="B756" t="s">
        <v>14</v>
      </c>
      <c r="C756" t="s">
        <v>8</v>
      </c>
      <c r="D756">
        <v>236.38</v>
      </c>
      <c r="E756">
        <v>141.55000000000001</v>
      </c>
      <c r="F756">
        <v>23388</v>
      </c>
      <c r="G756" t="s">
        <v>9</v>
      </c>
      <c r="H756">
        <f>_xlfn.LET(_xlpm.v, IFERROR(VLOOKUP($A756, manifest!$A:$E, 3, FALSE), ""), IF(OR(_xlpm.v=0, _xlpm.v=""), "", _xlpm.v))</f>
        <v>50</v>
      </c>
      <c r="I756" t="str">
        <f>_xlfn.LET(_xlpm.v, IFERROR(VLOOKUP($A756, manifest!$A:$E, 5, FALSE), ""), IF(OR(_xlpm.v=0, _xlpm.v=""), "", _xlpm.v))</f>
        <v>female</v>
      </c>
    </row>
    <row r="757" spans="1:9" x14ac:dyDescent="0.6">
      <c r="A757">
        <v>158</v>
      </c>
      <c r="B757" t="s">
        <v>14</v>
      </c>
      <c r="C757" t="s">
        <v>10</v>
      </c>
      <c r="D757">
        <v>269.19</v>
      </c>
      <c r="E757">
        <v>185.86</v>
      </c>
      <c r="F757">
        <v>25266</v>
      </c>
      <c r="H757">
        <f>_xlfn.LET(_xlpm.v, IFERROR(VLOOKUP($A757, manifest!$A:$E, 3, FALSE), ""), IF(OR(_xlpm.v=0, _xlpm.v=""), "", _xlpm.v))</f>
        <v>50</v>
      </c>
      <c r="I757" t="str">
        <f>_xlfn.LET(_xlpm.v, IFERROR(VLOOKUP($A757, manifest!$A:$E, 5, FALSE), ""), IF(OR(_xlpm.v=0, _xlpm.v=""), "", _xlpm.v))</f>
        <v>female</v>
      </c>
    </row>
    <row r="758" spans="1:9" x14ac:dyDescent="0.6">
      <c r="A758">
        <v>158</v>
      </c>
      <c r="B758" t="s">
        <v>14</v>
      </c>
      <c r="C758" t="s">
        <v>11</v>
      </c>
      <c r="D758">
        <v>266.64</v>
      </c>
      <c r="E758">
        <v>217.47</v>
      </c>
      <c r="F758">
        <v>28570</v>
      </c>
      <c r="H758">
        <f>_xlfn.LET(_xlpm.v, IFERROR(VLOOKUP($A758, manifest!$A:$E, 3, FALSE), ""), IF(OR(_xlpm.v=0, _xlpm.v=""), "", _xlpm.v))</f>
        <v>50</v>
      </c>
      <c r="I758" t="str">
        <f>_xlfn.LET(_xlpm.v, IFERROR(VLOOKUP($A758, manifest!$A:$E, 5, FALSE), ""), IF(OR(_xlpm.v=0, _xlpm.v=""), "", _xlpm.v))</f>
        <v>female</v>
      </c>
    </row>
    <row r="759" spans="1:9" x14ac:dyDescent="0.6">
      <c r="A759">
        <v>158</v>
      </c>
      <c r="B759" t="s">
        <v>14</v>
      </c>
      <c r="C759" t="s">
        <v>12</v>
      </c>
      <c r="D759">
        <v>262.7</v>
      </c>
      <c r="E759">
        <v>222.53</v>
      </c>
      <c r="F759">
        <v>27626</v>
      </c>
      <c r="H759">
        <f>_xlfn.LET(_xlpm.v, IFERROR(VLOOKUP($A759, manifest!$A:$E, 3, FALSE), ""), IF(OR(_xlpm.v=0, _xlpm.v=""), "", _xlpm.v))</f>
        <v>50</v>
      </c>
      <c r="I759" t="str">
        <f>_xlfn.LET(_xlpm.v, IFERROR(VLOOKUP($A759, manifest!$A:$E, 5, FALSE), ""), IF(OR(_xlpm.v=0, _xlpm.v=""), "", _xlpm.v))</f>
        <v>female</v>
      </c>
    </row>
    <row r="760" spans="1:9" x14ac:dyDescent="0.6">
      <c r="A760">
        <v>158</v>
      </c>
      <c r="B760" t="s">
        <v>14</v>
      </c>
      <c r="C760" t="s">
        <v>13</v>
      </c>
      <c r="D760">
        <v>251.13</v>
      </c>
      <c r="E760">
        <v>204.17</v>
      </c>
      <c r="F760">
        <v>38164</v>
      </c>
      <c r="H760">
        <f>_xlfn.LET(_xlpm.v, IFERROR(VLOOKUP($A760, manifest!$A:$E, 3, FALSE), ""), IF(OR(_xlpm.v=0, _xlpm.v=""), "", _xlpm.v))</f>
        <v>50</v>
      </c>
      <c r="I760" t="str">
        <f>_xlfn.LET(_xlpm.v, IFERROR(VLOOKUP($A760, manifest!$A:$E, 5, FALSE), ""), IF(OR(_xlpm.v=0, _xlpm.v=""), "", _xlpm.v))</f>
        <v>female</v>
      </c>
    </row>
    <row r="761" spans="1:9" x14ac:dyDescent="0.6">
      <c r="A761">
        <v>160</v>
      </c>
      <c r="B761" t="s">
        <v>14</v>
      </c>
      <c r="C761" t="s">
        <v>8</v>
      </c>
      <c r="D761">
        <v>148.11000000000001</v>
      </c>
      <c r="E761">
        <v>138.24</v>
      </c>
      <c r="F761">
        <v>35664</v>
      </c>
      <c r="G761" t="s">
        <v>15</v>
      </c>
      <c r="H761">
        <f>_xlfn.LET(_xlpm.v, IFERROR(VLOOKUP($A761, manifest!$A:$E, 3, FALSE), ""), IF(OR(_xlpm.v=0, _xlpm.v=""), "", _xlpm.v))</f>
        <v>58</v>
      </c>
      <c r="I761" t="str">
        <f>_xlfn.LET(_xlpm.v, IFERROR(VLOOKUP($A761, manifest!$A:$E, 5, FALSE), ""), IF(OR(_xlpm.v=0, _xlpm.v=""), "", _xlpm.v))</f>
        <v>male</v>
      </c>
    </row>
    <row r="762" spans="1:9" x14ac:dyDescent="0.6">
      <c r="A762">
        <v>160</v>
      </c>
      <c r="B762" t="s">
        <v>14</v>
      </c>
      <c r="C762" t="s">
        <v>10</v>
      </c>
      <c r="D762">
        <v>155.66999999999999</v>
      </c>
      <c r="E762">
        <v>136.41</v>
      </c>
      <c r="F762">
        <v>44100</v>
      </c>
      <c r="H762">
        <f>_xlfn.LET(_xlpm.v, IFERROR(VLOOKUP($A762, manifest!$A:$E, 3, FALSE), ""), IF(OR(_xlpm.v=0, _xlpm.v=""), "", _xlpm.v))</f>
        <v>58</v>
      </c>
      <c r="I762" t="str">
        <f>_xlfn.LET(_xlpm.v, IFERROR(VLOOKUP($A762, manifest!$A:$E, 5, FALSE), ""), IF(OR(_xlpm.v=0, _xlpm.v=""), "", _xlpm.v))</f>
        <v>male</v>
      </c>
    </row>
    <row r="763" spans="1:9" x14ac:dyDescent="0.6">
      <c r="A763">
        <v>160</v>
      </c>
      <c r="B763" t="s">
        <v>14</v>
      </c>
      <c r="C763" t="s">
        <v>11</v>
      </c>
      <c r="D763">
        <v>144.97999999999999</v>
      </c>
      <c r="E763">
        <v>128.83000000000001</v>
      </c>
      <c r="F763">
        <v>44561</v>
      </c>
      <c r="H763">
        <f>_xlfn.LET(_xlpm.v, IFERROR(VLOOKUP($A763, manifest!$A:$E, 3, FALSE), ""), IF(OR(_xlpm.v=0, _xlpm.v=""), "", _xlpm.v))</f>
        <v>58</v>
      </c>
      <c r="I763" t="str">
        <f>_xlfn.LET(_xlpm.v, IFERROR(VLOOKUP($A763, manifest!$A:$E, 5, FALSE), ""), IF(OR(_xlpm.v=0, _xlpm.v=""), "", _xlpm.v))</f>
        <v>male</v>
      </c>
    </row>
    <row r="764" spans="1:9" x14ac:dyDescent="0.6">
      <c r="A764">
        <v>160</v>
      </c>
      <c r="B764" t="s">
        <v>14</v>
      </c>
      <c r="C764" t="s">
        <v>12</v>
      </c>
      <c r="D764">
        <v>145.74</v>
      </c>
      <c r="E764">
        <v>130.49</v>
      </c>
      <c r="F764">
        <v>59054</v>
      </c>
      <c r="H764">
        <f>_xlfn.LET(_xlpm.v, IFERROR(VLOOKUP($A764, manifest!$A:$E, 3, FALSE), ""), IF(OR(_xlpm.v=0, _xlpm.v=""), "", _xlpm.v))</f>
        <v>58</v>
      </c>
      <c r="I764" t="str">
        <f>_xlfn.LET(_xlpm.v, IFERROR(VLOOKUP($A764, manifest!$A:$E, 5, FALSE), ""), IF(OR(_xlpm.v=0, _xlpm.v=""), "", _xlpm.v))</f>
        <v>male</v>
      </c>
    </row>
    <row r="765" spans="1:9" x14ac:dyDescent="0.6">
      <c r="A765">
        <v>160</v>
      </c>
      <c r="B765" t="s">
        <v>14</v>
      </c>
      <c r="C765" t="s">
        <v>13</v>
      </c>
      <c r="D765">
        <v>147.78</v>
      </c>
      <c r="E765">
        <v>131.52000000000001</v>
      </c>
      <c r="F765">
        <v>54674</v>
      </c>
      <c r="H765">
        <f>_xlfn.LET(_xlpm.v, IFERROR(VLOOKUP($A765, manifest!$A:$E, 3, FALSE), ""), IF(OR(_xlpm.v=0, _xlpm.v=""), "", _xlpm.v))</f>
        <v>58</v>
      </c>
      <c r="I765" t="str">
        <f>_xlfn.LET(_xlpm.v, IFERROR(VLOOKUP($A765, manifest!$A:$E, 5, FALSE), ""), IF(OR(_xlpm.v=0, _xlpm.v=""), "", _xlpm.v))</f>
        <v>male</v>
      </c>
    </row>
    <row r="766" spans="1:9" x14ac:dyDescent="0.6">
      <c r="A766">
        <v>172</v>
      </c>
      <c r="B766" t="s">
        <v>14</v>
      </c>
      <c r="C766" t="s">
        <v>8</v>
      </c>
      <c r="D766">
        <v>267.33999999999997</v>
      </c>
      <c r="E766">
        <v>183.93</v>
      </c>
      <c r="F766">
        <v>40654</v>
      </c>
      <c r="G766" t="s">
        <v>9</v>
      </c>
      <c r="H766">
        <f>_xlfn.LET(_xlpm.v, IFERROR(VLOOKUP($A766, manifest!$A:$E, 3, FALSE), ""), IF(OR(_xlpm.v=0, _xlpm.v=""), "", _xlpm.v))</f>
        <v>52</v>
      </c>
      <c r="I766" t="str">
        <f>_xlfn.LET(_xlpm.v, IFERROR(VLOOKUP($A766, manifest!$A:$E, 5, FALSE), ""), IF(OR(_xlpm.v=0, _xlpm.v=""), "", _xlpm.v))</f>
        <v>male</v>
      </c>
    </row>
    <row r="767" spans="1:9" x14ac:dyDescent="0.6">
      <c r="A767">
        <v>172</v>
      </c>
      <c r="B767" t="s">
        <v>14</v>
      </c>
      <c r="C767" t="s">
        <v>10</v>
      </c>
      <c r="D767">
        <v>288.2</v>
      </c>
      <c r="E767">
        <v>217.51</v>
      </c>
      <c r="F767">
        <v>39566</v>
      </c>
      <c r="H767">
        <f>_xlfn.LET(_xlpm.v, IFERROR(VLOOKUP($A767, manifest!$A:$E, 3, FALSE), ""), IF(OR(_xlpm.v=0, _xlpm.v=""), "", _xlpm.v))</f>
        <v>52</v>
      </c>
      <c r="I767" t="str">
        <f>_xlfn.LET(_xlpm.v, IFERROR(VLOOKUP($A767, manifest!$A:$E, 5, FALSE), ""), IF(OR(_xlpm.v=0, _xlpm.v=""), "", _xlpm.v))</f>
        <v>male</v>
      </c>
    </row>
    <row r="768" spans="1:9" x14ac:dyDescent="0.6">
      <c r="A768">
        <v>172</v>
      </c>
      <c r="B768" t="s">
        <v>14</v>
      </c>
      <c r="C768" t="s">
        <v>11</v>
      </c>
      <c r="D768">
        <v>265.38</v>
      </c>
      <c r="E768">
        <v>203.22</v>
      </c>
      <c r="F768">
        <v>47104</v>
      </c>
      <c r="H768">
        <f>_xlfn.LET(_xlpm.v, IFERROR(VLOOKUP($A768, manifest!$A:$E, 3, FALSE), ""), IF(OR(_xlpm.v=0, _xlpm.v=""), "", _xlpm.v))</f>
        <v>52</v>
      </c>
      <c r="I768" t="str">
        <f>_xlfn.LET(_xlpm.v, IFERROR(VLOOKUP($A768, manifest!$A:$E, 5, FALSE), ""), IF(OR(_xlpm.v=0, _xlpm.v=""), "", _xlpm.v))</f>
        <v>male</v>
      </c>
    </row>
    <row r="769" spans="1:9" x14ac:dyDescent="0.6">
      <c r="A769">
        <v>172</v>
      </c>
      <c r="B769" t="s">
        <v>14</v>
      </c>
      <c r="C769" t="s">
        <v>12</v>
      </c>
      <c r="D769">
        <v>293.39999999999998</v>
      </c>
      <c r="E769">
        <v>232.27</v>
      </c>
      <c r="F769">
        <v>56804</v>
      </c>
      <c r="H769">
        <f>_xlfn.LET(_xlpm.v, IFERROR(VLOOKUP($A769, manifest!$A:$E, 3, FALSE), ""), IF(OR(_xlpm.v=0, _xlpm.v=""), "", _xlpm.v))</f>
        <v>52</v>
      </c>
      <c r="I769" t="str">
        <f>_xlfn.LET(_xlpm.v, IFERROR(VLOOKUP($A769, manifest!$A:$E, 5, FALSE), ""), IF(OR(_xlpm.v=0, _xlpm.v=""), "", _xlpm.v))</f>
        <v>male</v>
      </c>
    </row>
    <row r="770" spans="1:9" x14ac:dyDescent="0.6">
      <c r="A770">
        <v>172</v>
      </c>
      <c r="B770" t="s">
        <v>14</v>
      </c>
      <c r="C770" t="s">
        <v>13</v>
      </c>
      <c r="D770">
        <v>312.45999999999998</v>
      </c>
      <c r="E770">
        <v>215.69</v>
      </c>
      <c r="F770">
        <v>53250</v>
      </c>
      <c r="H770">
        <f>_xlfn.LET(_xlpm.v, IFERROR(VLOOKUP($A770, manifest!$A:$E, 3, FALSE), ""), IF(OR(_xlpm.v=0, _xlpm.v=""), "", _xlpm.v))</f>
        <v>52</v>
      </c>
      <c r="I770" t="str">
        <f>_xlfn.LET(_xlpm.v, IFERROR(VLOOKUP($A770, manifest!$A:$E, 5, FALSE), ""), IF(OR(_xlpm.v=0, _xlpm.v=""), "", _xlpm.v))</f>
        <v>male</v>
      </c>
    </row>
    <row r="771" spans="1:9" x14ac:dyDescent="0.6">
      <c r="A771">
        <v>139</v>
      </c>
      <c r="B771" t="s">
        <v>7</v>
      </c>
      <c r="C771" t="s">
        <v>8</v>
      </c>
      <c r="D771">
        <v>286.37</v>
      </c>
      <c r="E771">
        <v>195.37</v>
      </c>
      <c r="F771">
        <v>33561</v>
      </c>
      <c r="G771" t="s">
        <v>9</v>
      </c>
      <c r="H771" t="str">
        <f>_xlfn.LET(_xlpm.v, IFERROR(VLOOKUP($A771, manifest!$A:$E, 3, FALSE), ""), IF(OR(_xlpm.v=0, _xlpm.v=""), "", _xlpm.v))</f>
        <v/>
      </c>
      <c r="I771" t="str">
        <f>_xlfn.LET(_xlpm.v, IFERROR(VLOOKUP($A771, manifest!$A:$E, 5, FALSE), ""), IF(OR(_xlpm.v=0, _xlpm.v=""), "", _xlpm.v))</f>
        <v>male</v>
      </c>
    </row>
    <row r="772" spans="1:9" x14ac:dyDescent="0.6">
      <c r="A772">
        <v>139</v>
      </c>
      <c r="B772" t="s">
        <v>7</v>
      </c>
      <c r="C772" t="s">
        <v>10</v>
      </c>
      <c r="D772">
        <v>308.79000000000002</v>
      </c>
      <c r="E772">
        <v>228.82</v>
      </c>
      <c r="F772">
        <v>32374</v>
      </c>
      <c r="H772" t="str">
        <f>_xlfn.LET(_xlpm.v, IFERROR(VLOOKUP($A772, manifest!$A:$E, 3, FALSE), ""), IF(OR(_xlpm.v=0, _xlpm.v=""), "", _xlpm.v))</f>
        <v/>
      </c>
      <c r="I772" t="str">
        <f>_xlfn.LET(_xlpm.v, IFERROR(VLOOKUP($A772, manifest!$A:$E, 5, FALSE), ""), IF(OR(_xlpm.v=0, _xlpm.v=""), "", _xlpm.v))</f>
        <v>male</v>
      </c>
    </row>
    <row r="773" spans="1:9" x14ac:dyDescent="0.6">
      <c r="A773">
        <v>139</v>
      </c>
      <c r="B773" t="s">
        <v>7</v>
      </c>
      <c r="C773" t="s">
        <v>11</v>
      </c>
      <c r="D773">
        <v>284.7</v>
      </c>
      <c r="E773">
        <v>208.6</v>
      </c>
      <c r="F773">
        <v>41498</v>
      </c>
      <c r="H773" t="str">
        <f>_xlfn.LET(_xlpm.v, IFERROR(VLOOKUP($A773, manifest!$A:$E, 3, FALSE), ""), IF(OR(_xlpm.v=0, _xlpm.v=""), "", _xlpm.v))</f>
        <v/>
      </c>
      <c r="I773" t="str">
        <f>_xlfn.LET(_xlpm.v, IFERROR(VLOOKUP($A773, manifest!$A:$E, 5, FALSE), ""), IF(OR(_xlpm.v=0, _xlpm.v=""), "", _xlpm.v))</f>
        <v>male</v>
      </c>
    </row>
    <row r="774" spans="1:9" x14ac:dyDescent="0.6">
      <c r="A774">
        <v>139</v>
      </c>
      <c r="B774" t="s">
        <v>7</v>
      </c>
      <c r="C774" t="s">
        <v>12</v>
      </c>
      <c r="D774">
        <v>318.83</v>
      </c>
      <c r="E774">
        <v>207.83</v>
      </c>
      <c r="F774">
        <v>35016</v>
      </c>
      <c r="H774" t="str">
        <f>_xlfn.LET(_xlpm.v, IFERROR(VLOOKUP($A774, manifest!$A:$E, 3, FALSE), ""), IF(OR(_xlpm.v=0, _xlpm.v=""), "", _xlpm.v))</f>
        <v/>
      </c>
      <c r="I774" t="str">
        <f>_xlfn.LET(_xlpm.v, IFERROR(VLOOKUP($A774, manifest!$A:$E, 5, FALSE), ""), IF(OR(_xlpm.v=0, _xlpm.v=""), "", _xlpm.v))</f>
        <v>male</v>
      </c>
    </row>
    <row r="775" spans="1:9" x14ac:dyDescent="0.6">
      <c r="A775">
        <v>139</v>
      </c>
      <c r="B775" t="s">
        <v>7</v>
      </c>
      <c r="C775" t="s">
        <v>13</v>
      </c>
      <c r="D775">
        <v>309.20999999999998</v>
      </c>
      <c r="E775">
        <v>207.23</v>
      </c>
      <c r="F775">
        <v>47546</v>
      </c>
      <c r="H775" t="str">
        <f>_xlfn.LET(_xlpm.v, IFERROR(VLOOKUP($A775, manifest!$A:$E, 3, FALSE), ""), IF(OR(_xlpm.v=0, _xlpm.v=""), "", _xlpm.v))</f>
        <v/>
      </c>
      <c r="I775" t="str">
        <f>_xlfn.LET(_xlpm.v, IFERROR(VLOOKUP($A775, manifest!$A:$E, 5, FALSE), ""), IF(OR(_xlpm.v=0, _xlpm.v=""), "", _xlpm.v))</f>
        <v>male</v>
      </c>
    </row>
    <row r="776" spans="1:9" x14ac:dyDescent="0.6">
      <c r="A776">
        <v>155</v>
      </c>
      <c r="B776" t="s">
        <v>7</v>
      </c>
      <c r="C776" t="s">
        <v>8</v>
      </c>
      <c r="D776">
        <v>277.64999999999998</v>
      </c>
      <c r="E776">
        <v>149.29</v>
      </c>
      <c r="F776">
        <v>48159</v>
      </c>
      <c r="G776" t="s">
        <v>9</v>
      </c>
      <c r="H776">
        <f>_xlfn.LET(_xlpm.v, IFERROR(VLOOKUP($A776, manifest!$A:$E, 3, FALSE), ""), IF(OR(_xlpm.v=0, _xlpm.v=""), "", _xlpm.v))</f>
        <v>56</v>
      </c>
      <c r="I776" t="str">
        <f>_xlfn.LET(_xlpm.v, IFERROR(VLOOKUP($A776, manifest!$A:$E, 5, FALSE), ""), IF(OR(_xlpm.v=0, _xlpm.v=""), "", _xlpm.v))</f>
        <v>male</v>
      </c>
    </row>
    <row r="777" spans="1:9" x14ac:dyDescent="0.6">
      <c r="A777">
        <v>155</v>
      </c>
      <c r="B777" t="s">
        <v>7</v>
      </c>
      <c r="C777" t="s">
        <v>10</v>
      </c>
      <c r="D777">
        <v>305.56</v>
      </c>
      <c r="E777">
        <v>187.9</v>
      </c>
      <c r="F777">
        <v>47200</v>
      </c>
      <c r="H777">
        <f>_xlfn.LET(_xlpm.v, IFERROR(VLOOKUP($A777, manifest!$A:$E, 3, FALSE), ""), IF(OR(_xlpm.v=0, _xlpm.v=""), "", _xlpm.v))</f>
        <v>56</v>
      </c>
      <c r="I777" t="str">
        <f>_xlfn.LET(_xlpm.v, IFERROR(VLOOKUP($A777, manifest!$A:$E, 5, FALSE), ""), IF(OR(_xlpm.v=0, _xlpm.v=""), "", _xlpm.v))</f>
        <v>male</v>
      </c>
    </row>
    <row r="778" spans="1:9" x14ac:dyDescent="0.6">
      <c r="A778">
        <v>155</v>
      </c>
      <c r="B778" t="s">
        <v>7</v>
      </c>
      <c r="C778" t="s">
        <v>11</v>
      </c>
      <c r="D778">
        <v>293.58999999999997</v>
      </c>
      <c r="E778">
        <v>199.24</v>
      </c>
      <c r="F778">
        <v>45855</v>
      </c>
      <c r="H778">
        <f>_xlfn.LET(_xlpm.v, IFERROR(VLOOKUP($A778, manifest!$A:$E, 3, FALSE), ""), IF(OR(_xlpm.v=0, _xlpm.v=""), "", _xlpm.v))</f>
        <v>56</v>
      </c>
      <c r="I778" t="str">
        <f>_xlfn.LET(_xlpm.v, IFERROR(VLOOKUP($A778, manifest!$A:$E, 5, FALSE), ""), IF(OR(_xlpm.v=0, _xlpm.v=""), "", _xlpm.v))</f>
        <v>male</v>
      </c>
    </row>
    <row r="779" spans="1:9" x14ac:dyDescent="0.6">
      <c r="A779">
        <v>155</v>
      </c>
      <c r="B779" t="s">
        <v>7</v>
      </c>
      <c r="C779" t="s">
        <v>12</v>
      </c>
      <c r="D779">
        <v>283.04000000000002</v>
      </c>
      <c r="E779">
        <v>198.56</v>
      </c>
      <c r="F779">
        <v>63181</v>
      </c>
      <c r="H779">
        <f>_xlfn.LET(_xlpm.v, IFERROR(VLOOKUP($A779, manifest!$A:$E, 3, FALSE), ""), IF(OR(_xlpm.v=0, _xlpm.v=""), "", _xlpm.v))</f>
        <v>56</v>
      </c>
      <c r="I779" t="str">
        <f>_xlfn.LET(_xlpm.v, IFERROR(VLOOKUP($A779, manifest!$A:$E, 5, FALSE), ""), IF(OR(_xlpm.v=0, _xlpm.v=""), "", _xlpm.v))</f>
        <v>male</v>
      </c>
    </row>
    <row r="780" spans="1:9" x14ac:dyDescent="0.6">
      <c r="A780">
        <v>155</v>
      </c>
      <c r="B780" t="s">
        <v>7</v>
      </c>
      <c r="C780" t="s">
        <v>13</v>
      </c>
      <c r="D780">
        <v>291.58</v>
      </c>
      <c r="E780">
        <v>142.93</v>
      </c>
      <c r="F780">
        <v>57894</v>
      </c>
      <c r="H780">
        <f>_xlfn.LET(_xlpm.v, IFERROR(VLOOKUP($A780, manifest!$A:$E, 3, FALSE), ""), IF(OR(_xlpm.v=0, _xlpm.v=""), "", _xlpm.v))</f>
        <v>56</v>
      </c>
      <c r="I780" t="str">
        <f>_xlfn.LET(_xlpm.v, IFERROR(VLOOKUP($A780, manifest!$A:$E, 5, FALSE), ""), IF(OR(_xlpm.v=0, _xlpm.v=""), "", _xlpm.v))</f>
        <v>male</v>
      </c>
    </row>
    <row r="781" spans="1:9" x14ac:dyDescent="0.6">
      <c r="A781">
        <v>162</v>
      </c>
      <c r="B781" t="s">
        <v>7</v>
      </c>
      <c r="C781" t="s">
        <v>8</v>
      </c>
      <c r="D781">
        <v>232.8</v>
      </c>
      <c r="E781">
        <v>129.16</v>
      </c>
      <c r="F781">
        <v>28405</v>
      </c>
      <c r="G781" t="s">
        <v>9</v>
      </c>
      <c r="H781">
        <f>_xlfn.LET(_xlpm.v, IFERROR(VLOOKUP($A781, manifest!$A:$E, 3, FALSE), ""), IF(OR(_xlpm.v=0, _xlpm.v=""), "", _xlpm.v))</f>
        <v>59</v>
      </c>
      <c r="I781" t="str">
        <f>_xlfn.LET(_xlpm.v, IFERROR(VLOOKUP($A781, manifest!$A:$E, 5, FALSE), ""), IF(OR(_xlpm.v=0, _xlpm.v=""), "", _xlpm.v))</f>
        <v>male</v>
      </c>
    </row>
    <row r="782" spans="1:9" x14ac:dyDescent="0.6">
      <c r="A782">
        <v>162</v>
      </c>
      <c r="B782" t="s">
        <v>7</v>
      </c>
      <c r="C782" t="s">
        <v>10</v>
      </c>
      <c r="D782">
        <v>241.31</v>
      </c>
      <c r="E782">
        <v>152.37</v>
      </c>
      <c r="F782">
        <v>31299</v>
      </c>
      <c r="H782">
        <f>_xlfn.LET(_xlpm.v, IFERROR(VLOOKUP($A782, manifest!$A:$E, 3, FALSE), ""), IF(OR(_xlpm.v=0, _xlpm.v=""), "", _xlpm.v))</f>
        <v>59</v>
      </c>
      <c r="I782" t="str">
        <f>_xlfn.LET(_xlpm.v, IFERROR(VLOOKUP($A782, manifest!$A:$E, 5, FALSE), ""), IF(OR(_xlpm.v=0, _xlpm.v=""), "", _xlpm.v))</f>
        <v>male</v>
      </c>
    </row>
    <row r="783" spans="1:9" x14ac:dyDescent="0.6">
      <c r="A783">
        <v>162</v>
      </c>
      <c r="B783" t="s">
        <v>7</v>
      </c>
      <c r="C783" t="s">
        <v>11</v>
      </c>
      <c r="D783">
        <v>249.94</v>
      </c>
      <c r="E783">
        <v>162.88999999999999</v>
      </c>
      <c r="F783">
        <v>33321</v>
      </c>
      <c r="H783">
        <f>_xlfn.LET(_xlpm.v, IFERROR(VLOOKUP($A783, manifest!$A:$E, 3, FALSE), ""), IF(OR(_xlpm.v=0, _xlpm.v=""), "", _xlpm.v))</f>
        <v>59</v>
      </c>
      <c r="I783" t="str">
        <f>_xlfn.LET(_xlpm.v, IFERROR(VLOOKUP($A783, manifest!$A:$E, 5, FALSE), ""), IF(OR(_xlpm.v=0, _xlpm.v=""), "", _xlpm.v))</f>
        <v>male</v>
      </c>
    </row>
    <row r="784" spans="1:9" x14ac:dyDescent="0.6">
      <c r="A784">
        <v>162</v>
      </c>
      <c r="B784" t="s">
        <v>7</v>
      </c>
      <c r="C784" t="s">
        <v>12</v>
      </c>
      <c r="D784">
        <v>248.52</v>
      </c>
      <c r="E784">
        <v>132.30000000000001</v>
      </c>
      <c r="F784">
        <v>34081</v>
      </c>
      <c r="H784">
        <f>_xlfn.LET(_xlpm.v, IFERROR(VLOOKUP($A784, manifest!$A:$E, 3, FALSE), ""), IF(OR(_xlpm.v=0, _xlpm.v=""), "", _xlpm.v))</f>
        <v>59</v>
      </c>
      <c r="I784" t="str">
        <f>_xlfn.LET(_xlpm.v, IFERROR(VLOOKUP($A784, manifest!$A:$E, 5, FALSE), ""), IF(OR(_xlpm.v=0, _xlpm.v=""), "", _xlpm.v))</f>
        <v>male</v>
      </c>
    </row>
    <row r="785" spans="1:9" x14ac:dyDescent="0.6">
      <c r="A785">
        <v>162</v>
      </c>
      <c r="B785" t="s">
        <v>7</v>
      </c>
      <c r="C785" t="s">
        <v>13</v>
      </c>
      <c r="D785">
        <v>248.82</v>
      </c>
      <c r="E785">
        <v>130.11000000000001</v>
      </c>
      <c r="F785">
        <v>35544</v>
      </c>
      <c r="H785">
        <f>_xlfn.LET(_xlpm.v, IFERROR(VLOOKUP($A785, manifest!$A:$E, 3, FALSE), ""), IF(OR(_xlpm.v=0, _xlpm.v=""), "", _xlpm.v))</f>
        <v>59</v>
      </c>
      <c r="I785" t="str">
        <f>_xlfn.LET(_xlpm.v, IFERROR(VLOOKUP($A785, manifest!$A:$E, 5, FALSE), ""), IF(OR(_xlpm.v=0, _xlpm.v=""), "", _xlpm.v))</f>
        <v>male</v>
      </c>
    </row>
    <row r="786" spans="1:9" x14ac:dyDescent="0.6">
      <c r="A786">
        <v>154</v>
      </c>
      <c r="B786" t="s">
        <v>14</v>
      </c>
      <c r="C786" t="s">
        <v>8</v>
      </c>
      <c r="D786">
        <v>197.48</v>
      </c>
      <c r="E786">
        <v>127.48</v>
      </c>
      <c r="F786">
        <v>32411</v>
      </c>
      <c r="G786" t="s">
        <v>9</v>
      </c>
      <c r="H786">
        <f>_xlfn.LET(_xlpm.v, IFERROR(VLOOKUP($A786, manifest!$A:$E, 3, FALSE), ""), IF(OR(_xlpm.v=0, _xlpm.v=""), "", _xlpm.v))</f>
        <v>53</v>
      </c>
      <c r="I786" t="str">
        <f>_xlfn.LET(_xlpm.v, IFERROR(VLOOKUP($A786, manifest!$A:$E, 5, FALSE), ""), IF(OR(_xlpm.v=0, _xlpm.v=""), "", _xlpm.v))</f>
        <v>male</v>
      </c>
    </row>
    <row r="787" spans="1:9" x14ac:dyDescent="0.6">
      <c r="A787">
        <v>154</v>
      </c>
      <c r="B787" t="s">
        <v>14</v>
      </c>
      <c r="C787" t="s">
        <v>10</v>
      </c>
      <c r="D787">
        <v>200.84</v>
      </c>
      <c r="E787">
        <v>162.4</v>
      </c>
      <c r="F787">
        <v>38402</v>
      </c>
      <c r="H787">
        <f>_xlfn.LET(_xlpm.v, IFERROR(VLOOKUP($A787, manifest!$A:$E, 3, FALSE), ""), IF(OR(_xlpm.v=0, _xlpm.v=""), "", _xlpm.v))</f>
        <v>53</v>
      </c>
      <c r="I787" t="str">
        <f>_xlfn.LET(_xlpm.v, IFERROR(VLOOKUP($A787, manifest!$A:$E, 5, FALSE), ""), IF(OR(_xlpm.v=0, _xlpm.v=""), "", _xlpm.v))</f>
        <v>male</v>
      </c>
    </row>
    <row r="788" spans="1:9" x14ac:dyDescent="0.6">
      <c r="A788">
        <v>154</v>
      </c>
      <c r="B788" t="s">
        <v>14</v>
      </c>
      <c r="C788" t="s">
        <v>11</v>
      </c>
      <c r="D788">
        <v>205.82</v>
      </c>
      <c r="E788">
        <v>174.39</v>
      </c>
      <c r="F788">
        <v>40129</v>
      </c>
      <c r="H788">
        <f>_xlfn.LET(_xlpm.v, IFERROR(VLOOKUP($A788, manifest!$A:$E, 3, FALSE), ""), IF(OR(_xlpm.v=0, _xlpm.v=""), "", _xlpm.v))</f>
        <v>53</v>
      </c>
      <c r="I788" t="str">
        <f>_xlfn.LET(_xlpm.v, IFERROR(VLOOKUP($A788, manifest!$A:$E, 5, FALSE), ""), IF(OR(_xlpm.v=0, _xlpm.v=""), "", _xlpm.v))</f>
        <v>male</v>
      </c>
    </row>
    <row r="789" spans="1:9" x14ac:dyDescent="0.6">
      <c r="A789">
        <v>154</v>
      </c>
      <c r="B789" t="s">
        <v>14</v>
      </c>
      <c r="C789" t="s">
        <v>12</v>
      </c>
      <c r="D789">
        <v>238.29</v>
      </c>
      <c r="E789">
        <v>204.96</v>
      </c>
      <c r="F789">
        <v>42873</v>
      </c>
      <c r="H789">
        <f>_xlfn.LET(_xlpm.v, IFERROR(VLOOKUP($A789, manifest!$A:$E, 3, FALSE), ""), IF(OR(_xlpm.v=0, _xlpm.v=""), "", _xlpm.v))</f>
        <v>53</v>
      </c>
      <c r="I789" t="str">
        <f>_xlfn.LET(_xlpm.v, IFERROR(VLOOKUP($A789, manifest!$A:$E, 5, FALSE), ""), IF(OR(_xlpm.v=0, _xlpm.v=""), "", _xlpm.v))</f>
        <v>male</v>
      </c>
    </row>
    <row r="790" spans="1:9" x14ac:dyDescent="0.6">
      <c r="A790">
        <v>154</v>
      </c>
      <c r="B790" t="s">
        <v>14</v>
      </c>
      <c r="C790" t="s">
        <v>13</v>
      </c>
      <c r="D790">
        <v>242.56</v>
      </c>
      <c r="E790">
        <v>208.56</v>
      </c>
      <c r="F790">
        <v>54885</v>
      </c>
      <c r="H790">
        <f>_xlfn.LET(_xlpm.v, IFERROR(VLOOKUP($A790, manifest!$A:$E, 3, FALSE), ""), IF(OR(_xlpm.v=0, _xlpm.v=""), "", _xlpm.v))</f>
        <v>53</v>
      </c>
      <c r="I790" t="str">
        <f>_xlfn.LET(_xlpm.v, IFERROR(VLOOKUP($A790, manifest!$A:$E, 5, FALSE), ""), IF(OR(_xlpm.v=0, _xlpm.v=""), "", _xlpm.v))</f>
        <v>male</v>
      </c>
    </row>
    <row r="791" spans="1:9" x14ac:dyDescent="0.6">
      <c r="A791">
        <v>185</v>
      </c>
      <c r="B791" t="s">
        <v>14</v>
      </c>
      <c r="C791" t="s">
        <v>8</v>
      </c>
      <c r="D791">
        <v>177.8</v>
      </c>
      <c r="E791">
        <v>93.79</v>
      </c>
      <c r="F791">
        <v>40613</v>
      </c>
      <c r="G791" t="s">
        <v>9</v>
      </c>
      <c r="H791">
        <f>_xlfn.LET(_xlpm.v, IFERROR(VLOOKUP($A791, manifest!$A:$E, 3, FALSE), ""), IF(OR(_xlpm.v=0, _xlpm.v=""), "", _xlpm.v))</f>
        <v>53</v>
      </c>
      <c r="I791" t="str">
        <f>_xlfn.LET(_xlpm.v, IFERROR(VLOOKUP($A791, manifest!$A:$E, 5, FALSE), ""), IF(OR(_xlpm.v=0, _xlpm.v=""), "", _xlpm.v))</f>
        <v>male</v>
      </c>
    </row>
    <row r="792" spans="1:9" x14ac:dyDescent="0.6">
      <c r="A792">
        <v>185</v>
      </c>
      <c r="B792" t="s">
        <v>14</v>
      </c>
      <c r="C792" t="s">
        <v>10</v>
      </c>
      <c r="D792">
        <v>192.13</v>
      </c>
      <c r="E792">
        <v>127.9</v>
      </c>
      <c r="F792">
        <v>46001</v>
      </c>
      <c r="H792">
        <f>_xlfn.LET(_xlpm.v, IFERROR(VLOOKUP($A792, manifest!$A:$E, 3, FALSE), ""), IF(OR(_xlpm.v=0, _xlpm.v=""), "", _xlpm.v))</f>
        <v>53</v>
      </c>
      <c r="I792" t="str">
        <f>_xlfn.LET(_xlpm.v, IFERROR(VLOOKUP($A792, manifest!$A:$E, 5, FALSE), ""), IF(OR(_xlpm.v=0, _xlpm.v=""), "", _xlpm.v))</f>
        <v>male</v>
      </c>
    </row>
    <row r="793" spans="1:9" x14ac:dyDescent="0.6">
      <c r="A793">
        <v>185</v>
      </c>
      <c r="B793" t="s">
        <v>14</v>
      </c>
      <c r="C793" t="s">
        <v>11</v>
      </c>
      <c r="D793">
        <v>175.33</v>
      </c>
      <c r="E793">
        <v>109.97</v>
      </c>
      <c r="F793">
        <v>53747</v>
      </c>
      <c r="H793">
        <f>_xlfn.LET(_xlpm.v, IFERROR(VLOOKUP($A793, manifest!$A:$E, 3, FALSE), ""), IF(OR(_xlpm.v=0, _xlpm.v=""), "", _xlpm.v))</f>
        <v>53</v>
      </c>
      <c r="I793" t="str">
        <f>_xlfn.LET(_xlpm.v, IFERROR(VLOOKUP($A793, manifest!$A:$E, 5, FALSE), ""), IF(OR(_xlpm.v=0, _xlpm.v=""), "", _xlpm.v))</f>
        <v>male</v>
      </c>
    </row>
    <row r="794" spans="1:9" x14ac:dyDescent="0.6">
      <c r="A794">
        <v>185</v>
      </c>
      <c r="B794" t="s">
        <v>14</v>
      </c>
      <c r="C794" t="s">
        <v>12</v>
      </c>
      <c r="D794">
        <v>166.45</v>
      </c>
      <c r="E794">
        <v>125.41</v>
      </c>
      <c r="F794">
        <v>42371</v>
      </c>
      <c r="H794">
        <f>_xlfn.LET(_xlpm.v, IFERROR(VLOOKUP($A794, manifest!$A:$E, 3, FALSE), ""), IF(OR(_xlpm.v=0, _xlpm.v=""), "", _xlpm.v))</f>
        <v>53</v>
      </c>
      <c r="I794" t="str">
        <f>_xlfn.LET(_xlpm.v, IFERROR(VLOOKUP($A794, manifest!$A:$E, 5, FALSE), ""), IF(OR(_xlpm.v=0, _xlpm.v=""), "", _xlpm.v))</f>
        <v>male</v>
      </c>
    </row>
    <row r="795" spans="1:9" x14ac:dyDescent="0.6">
      <c r="A795">
        <v>185</v>
      </c>
      <c r="B795" t="s">
        <v>14</v>
      </c>
      <c r="C795" t="s">
        <v>13</v>
      </c>
      <c r="D795">
        <v>156.44999999999999</v>
      </c>
      <c r="E795">
        <v>107.68</v>
      </c>
      <c r="F795">
        <v>50692</v>
      </c>
      <c r="H795">
        <f>_xlfn.LET(_xlpm.v, IFERROR(VLOOKUP($A795, manifest!$A:$E, 3, FALSE), ""), IF(OR(_xlpm.v=0, _xlpm.v=""), "", _xlpm.v))</f>
        <v>53</v>
      </c>
      <c r="I795" t="str">
        <f>_xlfn.LET(_xlpm.v, IFERROR(VLOOKUP($A795, manifest!$A:$E, 5, FALSE), ""), IF(OR(_xlpm.v=0, _xlpm.v=""), "", _xlpm.v))</f>
        <v>male</v>
      </c>
    </row>
    <row r="796" spans="1:9" x14ac:dyDescent="0.6">
      <c r="A796">
        <v>161</v>
      </c>
      <c r="B796" t="s">
        <v>7</v>
      </c>
      <c r="C796" t="s">
        <v>8</v>
      </c>
      <c r="D796">
        <v>210.52</v>
      </c>
      <c r="E796">
        <v>128.37</v>
      </c>
      <c r="F796">
        <v>30767</v>
      </c>
      <c r="G796" t="s">
        <v>9</v>
      </c>
      <c r="H796">
        <f>_xlfn.LET(_xlpm.v, IFERROR(VLOOKUP($A796, manifest!$A:$E, 3, FALSE), ""), IF(OR(_xlpm.v=0, _xlpm.v=""), "", _xlpm.v))</f>
        <v>59</v>
      </c>
      <c r="I796" t="str">
        <f>_xlfn.LET(_xlpm.v, IFERROR(VLOOKUP($A796, manifest!$A:$E, 5, FALSE), ""), IF(OR(_xlpm.v=0, _xlpm.v=""), "", _xlpm.v))</f>
        <v>male</v>
      </c>
    </row>
    <row r="797" spans="1:9" x14ac:dyDescent="0.6">
      <c r="A797">
        <v>161</v>
      </c>
      <c r="B797" t="s">
        <v>7</v>
      </c>
      <c r="C797" t="s">
        <v>10</v>
      </c>
      <c r="D797">
        <v>218.31</v>
      </c>
      <c r="E797">
        <v>159.47999999999999</v>
      </c>
      <c r="F797">
        <v>32399</v>
      </c>
      <c r="H797">
        <f>_xlfn.LET(_xlpm.v, IFERROR(VLOOKUP($A797, manifest!$A:$E, 3, FALSE), ""), IF(OR(_xlpm.v=0, _xlpm.v=""), "", _xlpm.v))</f>
        <v>59</v>
      </c>
      <c r="I797" t="str">
        <f>_xlfn.LET(_xlpm.v, IFERROR(VLOOKUP($A797, manifest!$A:$E, 5, FALSE), ""), IF(OR(_xlpm.v=0, _xlpm.v=""), "", _xlpm.v))</f>
        <v>male</v>
      </c>
    </row>
    <row r="798" spans="1:9" x14ac:dyDescent="0.6">
      <c r="A798">
        <v>161</v>
      </c>
      <c r="B798" t="s">
        <v>7</v>
      </c>
      <c r="C798" t="s">
        <v>11</v>
      </c>
      <c r="D798">
        <v>216.58</v>
      </c>
      <c r="E798">
        <v>145.32</v>
      </c>
      <c r="F798">
        <v>36450</v>
      </c>
      <c r="H798">
        <f>_xlfn.LET(_xlpm.v, IFERROR(VLOOKUP($A798, manifest!$A:$E, 3, FALSE), ""), IF(OR(_xlpm.v=0, _xlpm.v=""), "", _xlpm.v))</f>
        <v>59</v>
      </c>
      <c r="I798" t="str">
        <f>_xlfn.LET(_xlpm.v, IFERROR(VLOOKUP($A798, manifest!$A:$E, 5, FALSE), ""), IF(OR(_xlpm.v=0, _xlpm.v=""), "", _xlpm.v))</f>
        <v>male</v>
      </c>
    </row>
    <row r="799" spans="1:9" x14ac:dyDescent="0.6">
      <c r="A799">
        <v>161</v>
      </c>
      <c r="B799" t="s">
        <v>7</v>
      </c>
      <c r="C799" t="s">
        <v>12</v>
      </c>
      <c r="D799">
        <v>224.17</v>
      </c>
      <c r="E799">
        <v>151.94</v>
      </c>
      <c r="F799">
        <v>50098</v>
      </c>
      <c r="H799">
        <f>_xlfn.LET(_xlpm.v, IFERROR(VLOOKUP($A799, manifest!$A:$E, 3, FALSE), ""), IF(OR(_xlpm.v=0, _xlpm.v=""), "", _xlpm.v))</f>
        <v>59</v>
      </c>
      <c r="I799" t="str">
        <f>_xlfn.LET(_xlpm.v, IFERROR(VLOOKUP($A799, manifest!$A:$E, 5, FALSE), ""), IF(OR(_xlpm.v=0, _xlpm.v=""), "", _xlpm.v))</f>
        <v>male</v>
      </c>
    </row>
    <row r="800" spans="1:9" x14ac:dyDescent="0.6">
      <c r="A800">
        <v>161</v>
      </c>
      <c r="B800" t="s">
        <v>7</v>
      </c>
      <c r="C800" t="s">
        <v>13</v>
      </c>
      <c r="D800">
        <v>233.04</v>
      </c>
      <c r="E800">
        <v>156.33000000000001</v>
      </c>
      <c r="F800">
        <v>42145</v>
      </c>
      <c r="H800">
        <f>_xlfn.LET(_xlpm.v, IFERROR(VLOOKUP($A800, manifest!$A:$E, 3, FALSE), ""), IF(OR(_xlpm.v=0, _xlpm.v=""), "", _xlpm.v))</f>
        <v>59</v>
      </c>
      <c r="I800" t="str">
        <f>_xlfn.LET(_xlpm.v, IFERROR(VLOOKUP($A800, manifest!$A:$E, 5, FALSE), ""), IF(OR(_xlpm.v=0, _xlpm.v=""), "", _xlpm.v))</f>
        <v>male</v>
      </c>
    </row>
    <row r="801" spans="1:9" x14ac:dyDescent="0.6">
      <c r="A801">
        <v>175</v>
      </c>
      <c r="B801" t="s">
        <v>14</v>
      </c>
      <c r="C801" t="s">
        <v>8</v>
      </c>
      <c r="D801">
        <v>213.75</v>
      </c>
      <c r="E801">
        <v>148.93</v>
      </c>
      <c r="F801">
        <v>37387</v>
      </c>
      <c r="G801" t="s">
        <v>9</v>
      </c>
      <c r="H801">
        <f>_xlfn.LET(_xlpm.v, IFERROR(VLOOKUP($A801, manifest!$A:$E, 3, FALSE), ""), IF(OR(_xlpm.v=0, _xlpm.v=""), "", _xlpm.v))</f>
        <v>54</v>
      </c>
      <c r="I801" t="str">
        <f>_xlfn.LET(_xlpm.v, IFERROR(VLOOKUP($A801, manifest!$A:$E, 5, FALSE), ""), IF(OR(_xlpm.v=0, _xlpm.v=""), "", _xlpm.v))</f>
        <v>male</v>
      </c>
    </row>
    <row r="802" spans="1:9" x14ac:dyDescent="0.6">
      <c r="A802">
        <v>175</v>
      </c>
      <c r="B802" t="s">
        <v>14</v>
      </c>
      <c r="C802" t="s">
        <v>10</v>
      </c>
      <c r="D802">
        <v>231.46</v>
      </c>
      <c r="E802">
        <v>173.5</v>
      </c>
      <c r="F802">
        <v>36422</v>
      </c>
      <c r="H802">
        <f>_xlfn.LET(_xlpm.v, IFERROR(VLOOKUP($A802, manifest!$A:$E, 3, FALSE), ""), IF(OR(_xlpm.v=0, _xlpm.v=""), "", _xlpm.v))</f>
        <v>54</v>
      </c>
      <c r="I802" t="str">
        <f>_xlfn.LET(_xlpm.v, IFERROR(VLOOKUP($A802, manifest!$A:$E, 5, FALSE), ""), IF(OR(_xlpm.v=0, _xlpm.v=""), "", _xlpm.v))</f>
        <v>male</v>
      </c>
    </row>
    <row r="803" spans="1:9" x14ac:dyDescent="0.6">
      <c r="A803">
        <v>175</v>
      </c>
      <c r="B803" t="s">
        <v>14</v>
      </c>
      <c r="C803" t="s">
        <v>11</v>
      </c>
      <c r="D803">
        <v>262.49</v>
      </c>
      <c r="E803">
        <v>229.01</v>
      </c>
      <c r="F803">
        <v>36507</v>
      </c>
      <c r="H803">
        <f>_xlfn.LET(_xlpm.v, IFERROR(VLOOKUP($A803, manifest!$A:$E, 3, FALSE), ""), IF(OR(_xlpm.v=0, _xlpm.v=""), "", _xlpm.v))</f>
        <v>54</v>
      </c>
      <c r="I803" t="str">
        <f>_xlfn.LET(_xlpm.v, IFERROR(VLOOKUP($A803, manifest!$A:$E, 5, FALSE), ""), IF(OR(_xlpm.v=0, _xlpm.v=""), "", _xlpm.v))</f>
        <v>male</v>
      </c>
    </row>
    <row r="804" spans="1:9" x14ac:dyDescent="0.6">
      <c r="A804">
        <v>175</v>
      </c>
      <c r="B804" t="s">
        <v>14</v>
      </c>
      <c r="C804" t="s">
        <v>12</v>
      </c>
      <c r="D804">
        <v>245.26</v>
      </c>
      <c r="E804">
        <v>213.53</v>
      </c>
      <c r="F804">
        <v>52588</v>
      </c>
      <c r="H804">
        <f>_xlfn.LET(_xlpm.v, IFERROR(VLOOKUP($A804, manifest!$A:$E, 3, FALSE), ""), IF(OR(_xlpm.v=0, _xlpm.v=""), "", _xlpm.v))</f>
        <v>54</v>
      </c>
      <c r="I804" t="str">
        <f>_xlfn.LET(_xlpm.v, IFERROR(VLOOKUP($A804, manifest!$A:$E, 5, FALSE), ""), IF(OR(_xlpm.v=0, _xlpm.v=""), "", _xlpm.v))</f>
        <v>male</v>
      </c>
    </row>
    <row r="805" spans="1:9" x14ac:dyDescent="0.6">
      <c r="A805">
        <v>175</v>
      </c>
      <c r="B805" t="s">
        <v>14</v>
      </c>
      <c r="C805" t="s">
        <v>13</v>
      </c>
      <c r="D805">
        <v>230.98</v>
      </c>
      <c r="E805">
        <v>200.25</v>
      </c>
      <c r="F805">
        <v>54613</v>
      </c>
      <c r="H805">
        <f>_xlfn.LET(_xlpm.v, IFERROR(VLOOKUP($A805, manifest!$A:$E, 3, FALSE), ""), IF(OR(_xlpm.v=0, _xlpm.v=""), "", _xlpm.v))</f>
        <v>54</v>
      </c>
      <c r="I805" t="str">
        <f>_xlfn.LET(_xlpm.v, IFERROR(VLOOKUP($A805, manifest!$A:$E, 5, FALSE), ""), IF(OR(_xlpm.v=0, _xlpm.v=""), "", _xlpm.v))</f>
        <v>male</v>
      </c>
    </row>
    <row r="806" spans="1:9" x14ac:dyDescent="0.6">
      <c r="A806">
        <v>175</v>
      </c>
      <c r="B806" t="s">
        <v>14</v>
      </c>
      <c r="C806" t="s">
        <v>16</v>
      </c>
      <c r="D806">
        <v>218.39</v>
      </c>
      <c r="E806">
        <v>173.71</v>
      </c>
      <c r="F806">
        <v>53729</v>
      </c>
      <c r="H806">
        <f>_xlfn.LET(_xlpm.v, IFERROR(VLOOKUP($A806, manifest!$A:$E, 3, FALSE), ""), IF(OR(_xlpm.v=0, _xlpm.v=""), "", _xlpm.v))</f>
        <v>54</v>
      </c>
      <c r="I806" t="str">
        <f>_xlfn.LET(_xlpm.v, IFERROR(VLOOKUP($A806, manifest!$A:$E, 5, FALSE), ""), IF(OR(_xlpm.v=0, _xlpm.v=""), "", _xlpm.v))</f>
        <v>male</v>
      </c>
    </row>
    <row r="807" spans="1:9" x14ac:dyDescent="0.6">
      <c r="A807">
        <v>183</v>
      </c>
      <c r="B807" t="s">
        <v>7</v>
      </c>
      <c r="C807" t="s">
        <v>8</v>
      </c>
      <c r="D807">
        <v>252.54</v>
      </c>
      <c r="E807">
        <v>173.45</v>
      </c>
      <c r="F807">
        <v>19989</v>
      </c>
      <c r="G807" t="s">
        <v>9</v>
      </c>
      <c r="H807">
        <f>_xlfn.LET(_xlpm.v, IFERROR(VLOOKUP($A807, manifest!$A:$E, 3, FALSE), ""), IF(OR(_xlpm.v=0, _xlpm.v=""), "", _xlpm.v))</f>
        <v>58</v>
      </c>
      <c r="I807" t="str">
        <f>_xlfn.LET(_xlpm.v, IFERROR(VLOOKUP($A807, manifest!$A:$E, 5, FALSE), ""), IF(OR(_xlpm.v=0, _xlpm.v=""), "", _xlpm.v))</f>
        <v>female</v>
      </c>
    </row>
    <row r="808" spans="1:9" x14ac:dyDescent="0.6">
      <c r="A808">
        <v>183</v>
      </c>
      <c r="B808" t="s">
        <v>7</v>
      </c>
      <c r="C808" t="s">
        <v>10</v>
      </c>
      <c r="D808">
        <v>258.43</v>
      </c>
      <c r="E808">
        <v>196.82</v>
      </c>
      <c r="F808">
        <v>20658</v>
      </c>
      <c r="H808">
        <f>_xlfn.LET(_xlpm.v, IFERROR(VLOOKUP($A808, manifest!$A:$E, 3, FALSE), ""), IF(OR(_xlpm.v=0, _xlpm.v=""), "", _xlpm.v))</f>
        <v>58</v>
      </c>
      <c r="I808" t="str">
        <f>_xlfn.LET(_xlpm.v, IFERROR(VLOOKUP($A808, manifest!$A:$E, 5, FALSE), ""), IF(OR(_xlpm.v=0, _xlpm.v=""), "", _xlpm.v))</f>
        <v>female</v>
      </c>
    </row>
    <row r="809" spans="1:9" x14ac:dyDescent="0.6">
      <c r="A809">
        <v>183</v>
      </c>
      <c r="B809" t="s">
        <v>7</v>
      </c>
      <c r="C809" t="s">
        <v>11</v>
      </c>
      <c r="D809">
        <v>238.14</v>
      </c>
      <c r="E809">
        <v>175.17</v>
      </c>
      <c r="F809">
        <v>28973</v>
      </c>
      <c r="H809">
        <f>_xlfn.LET(_xlpm.v, IFERROR(VLOOKUP($A809, manifest!$A:$E, 3, FALSE), ""), IF(OR(_xlpm.v=0, _xlpm.v=""), "", _xlpm.v))</f>
        <v>58</v>
      </c>
      <c r="I809" t="str">
        <f>_xlfn.LET(_xlpm.v, IFERROR(VLOOKUP($A809, manifest!$A:$E, 5, FALSE), ""), IF(OR(_xlpm.v=0, _xlpm.v=""), "", _xlpm.v))</f>
        <v>female</v>
      </c>
    </row>
    <row r="810" spans="1:9" x14ac:dyDescent="0.6">
      <c r="A810">
        <v>183</v>
      </c>
      <c r="B810" t="s">
        <v>7</v>
      </c>
      <c r="C810" t="s">
        <v>12</v>
      </c>
      <c r="D810">
        <v>222.55</v>
      </c>
      <c r="E810">
        <v>185.26</v>
      </c>
      <c r="F810">
        <v>34254</v>
      </c>
      <c r="H810">
        <f>_xlfn.LET(_xlpm.v, IFERROR(VLOOKUP($A810, manifest!$A:$E, 3, FALSE), ""), IF(OR(_xlpm.v=0, _xlpm.v=""), "", _xlpm.v))</f>
        <v>58</v>
      </c>
      <c r="I810" t="str">
        <f>_xlfn.LET(_xlpm.v, IFERROR(VLOOKUP($A810, manifest!$A:$E, 5, FALSE), ""), IF(OR(_xlpm.v=0, _xlpm.v=""), "", _xlpm.v))</f>
        <v>female</v>
      </c>
    </row>
    <row r="811" spans="1:9" x14ac:dyDescent="0.6">
      <c r="A811">
        <v>183</v>
      </c>
      <c r="B811" t="s">
        <v>7</v>
      </c>
      <c r="C811" t="s">
        <v>13</v>
      </c>
      <c r="D811">
        <v>222.16</v>
      </c>
      <c r="E811">
        <v>199.54</v>
      </c>
      <c r="F811">
        <v>36967</v>
      </c>
      <c r="H811">
        <f>_xlfn.LET(_xlpm.v, IFERROR(VLOOKUP($A811, manifest!$A:$E, 3, FALSE), ""), IF(OR(_xlpm.v=0, _xlpm.v=""), "", _xlpm.v))</f>
        <v>58</v>
      </c>
      <c r="I811" t="str">
        <f>_xlfn.LET(_xlpm.v, IFERROR(VLOOKUP($A811, manifest!$A:$E, 5, FALSE), ""), IF(OR(_xlpm.v=0, _xlpm.v=""), "", _xlpm.v))</f>
        <v>female</v>
      </c>
    </row>
    <row r="812" spans="1:9" x14ac:dyDescent="0.6">
      <c r="A812">
        <v>182</v>
      </c>
      <c r="B812" t="s">
        <v>14</v>
      </c>
      <c r="C812" t="s">
        <v>8</v>
      </c>
      <c r="D812">
        <v>206.75</v>
      </c>
      <c r="E812">
        <v>167.33</v>
      </c>
      <c r="F812">
        <v>51224</v>
      </c>
      <c r="G812" t="s">
        <v>9</v>
      </c>
      <c r="H812">
        <f>_xlfn.LET(_xlpm.v, IFERROR(VLOOKUP($A812, manifest!$A:$E, 3, FALSE), ""), IF(OR(_xlpm.v=0, _xlpm.v=""), "", _xlpm.v))</f>
        <v>53</v>
      </c>
      <c r="I812" t="str">
        <f>_xlfn.LET(_xlpm.v, IFERROR(VLOOKUP($A812, manifest!$A:$E, 5, FALSE), ""), IF(OR(_xlpm.v=0, _xlpm.v=""), "", _xlpm.v))</f>
        <v>male</v>
      </c>
    </row>
    <row r="813" spans="1:9" x14ac:dyDescent="0.6">
      <c r="A813">
        <v>182</v>
      </c>
      <c r="B813" t="s">
        <v>14</v>
      </c>
      <c r="C813" t="s">
        <v>10</v>
      </c>
      <c r="D813">
        <v>231.31</v>
      </c>
      <c r="E813">
        <v>199.93</v>
      </c>
      <c r="F813">
        <v>43326</v>
      </c>
      <c r="H813">
        <f>_xlfn.LET(_xlpm.v, IFERROR(VLOOKUP($A813, manifest!$A:$E, 3, FALSE), ""), IF(OR(_xlpm.v=0, _xlpm.v=""), "", _xlpm.v))</f>
        <v>53</v>
      </c>
      <c r="I813" t="str">
        <f>_xlfn.LET(_xlpm.v, IFERROR(VLOOKUP($A813, manifest!$A:$E, 5, FALSE), ""), IF(OR(_xlpm.v=0, _xlpm.v=""), "", _xlpm.v))</f>
        <v>male</v>
      </c>
    </row>
    <row r="814" spans="1:9" x14ac:dyDescent="0.6">
      <c r="A814">
        <v>182</v>
      </c>
      <c r="B814" t="s">
        <v>14</v>
      </c>
      <c r="C814" t="s">
        <v>11</v>
      </c>
      <c r="D814">
        <v>221.55</v>
      </c>
      <c r="E814">
        <v>219.6</v>
      </c>
      <c r="F814">
        <v>42082</v>
      </c>
      <c r="H814">
        <f>_xlfn.LET(_xlpm.v, IFERROR(VLOOKUP($A814, manifest!$A:$E, 3, FALSE), ""), IF(OR(_xlpm.v=0, _xlpm.v=""), "", _xlpm.v))</f>
        <v>53</v>
      </c>
      <c r="I814" t="str">
        <f>_xlfn.LET(_xlpm.v, IFERROR(VLOOKUP($A814, manifest!$A:$E, 5, FALSE), ""), IF(OR(_xlpm.v=0, _xlpm.v=""), "", _xlpm.v))</f>
        <v>male</v>
      </c>
    </row>
    <row r="815" spans="1:9" x14ac:dyDescent="0.6">
      <c r="A815">
        <v>182</v>
      </c>
      <c r="B815" t="s">
        <v>14</v>
      </c>
      <c r="C815" t="s">
        <v>12</v>
      </c>
      <c r="D815">
        <v>212.28</v>
      </c>
      <c r="E815">
        <v>191.22</v>
      </c>
      <c r="F815">
        <v>49726</v>
      </c>
      <c r="H815">
        <f>_xlfn.LET(_xlpm.v, IFERROR(VLOOKUP($A815, manifest!$A:$E, 3, FALSE), ""), IF(OR(_xlpm.v=0, _xlpm.v=""), "", _xlpm.v))</f>
        <v>53</v>
      </c>
      <c r="I815" t="str">
        <f>_xlfn.LET(_xlpm.v, IFERROR(VLOOKUP($A815, manifest!$A:$E, 5, FALSE), ""), IF(OR(_xlpm.v=0, _xlpm.v=""), "", _xlpm.v))</f>
        <v>male</v>
      </c>
    </row>
    <row r="816" spans="1:9" x14ac:dyDescent="0.6">
      <c r="A816">
        <v>182</v>
      </c>
      <c r="B816" t="s">
        <v>14</v>
      </c>
      <c r="C816" t="s">
        <v>13</v>
      </c>
      <c r="D816">
        <v>246.07</v>
      </c>
      <c r="E816">
        <v>232.39</v>
      </c>
      <c r="F816">
        <v>47628</v>
      </c>
      <c r="H816">
        <f>_xlfn.LET(_xlpm.v, IFERROR(VLOOKUP($A816, manifest!$A:$E, 3, FALSE), ""), IF(OR(_xlpm.v=0, _xlpm.v=""), "", _xlpm.v))</f>
        <v>53</v>
      </c>
      <c r="I816" t="str">
        <f>_xlfn.LET(_xlpm.v, IFERROR(VLOOKUP($A816, manifest!$A:$E, 5, FALSE), ""), IF(OR(_xlpm.v=0, _xlpm.v=""), "", _xlpm.v))</f>
        <v>male</v>
      </c>
    </row>
    <row r="817" spans="1:9" x14ac:dyDescent="0.6">
      <c r="A817">
        <v>187</v>
      </c>
      <c r="B817" t="s">
        <v>14</v>
      </c>
      <c r="C817" t="s">
        <v>8</v>
      </c>
      <c r="D817">
        <v>193.36</v>
      </c>
      <c r="E817">
        <v>128.06</v>
      </c>
      <c r="F817">
        <v>31111</v>
      </c>
      <c r="G817" t="s">
        <v>9</v>
      </c>
      <c r="H817">
        <f>_xlfn.LET(_xlpm.v, IFERROR(VLOOKUP($A817, manifest!$A:$E, 3, FALSE), ""), IF(OR(_xlpm.v=0, _xlpm.v=""), "", _xlpm.v))</f>
        <v>52</v>
      </c>
      <c r="I817" t="str">
        <f>_xlfn.LET(_xlpm.v, IFERROR(VLOOKUP($A817, manifest!$A:$E, 5, FALSE), ""), IF(OR(_xlpm.v=0, _xlpm.v=""), "", _xlpm.v))</f>
        <v>male</v>
      </c>
    </row>
    <row r="818" spans="1:9" x14ac:dyDescent="0.6">
      <c r="A818">
        <v>187</v>
      </c>
      <c r="B818" t="s">
        <v>14</v>
      </c>
      <c r="C818" t="s">
        <v>10</v>
      </c>
      <c r="D818">
        <v>194.88</v>
      </c>
      <c r="E818">
        <v>151.18</v>
      </c>
      <c r="F818">
        <v>33901</v>
      </c>
      <c r="H818">
        <f>_xlfn.LET(_xlpm.v, IFERROR(VLOOKUP($A818, manifest!$A:$E, 3, FALSE), ""), IF(OR(_xlpm.v=0, _xlpm.v=""), "", _xlpm.v))</f>
        <v>52</v>
      </c>
      <c r="I818" t="str">
        <f>_xlfn.LET(_xlpm.v, IFERROR(VLOOKUP($A818, manifest!$A:$E, 5, FALSE), ""), IF(OR(_xlpm.v=0, _xlpm.v=""), "", _xlpm.v))</f>
        <v>male</v>
      </c>
    </row>
    <row r="819" spans="1:9" x14ac:dyDescent="0.6">
      <c r="A819">
        <v>187</v>
      </c>
      <c r="B819" t="s">
        <v>14</v>
      </c>
      <c r="C819" t="s">
        <v>11</v>
      </c>
      <c r="D819">
        <v>180.49</v>
      </c>
      <c r="E819">
        <v>148.18</v>
      </c>
      <c r="F819">
        <v>37127</v>
      </c>
      <c r="H819">
        <f>_xlfn.LET(_xlpm.v, IFERROR(VLOOKUP($A819, manifest!$A:$E, 3, FALSE), ""), IF(OR(_xlpm.v=0, _xlpm.v=""), "", _xlpm.v))</f>
        <v>52</v>
      </c>
      <c r="I819" t="str">
        <f>_xlfn.LET(_xlpm.v, IFERROR(VLOOKUP($A819, manifest!$A:$E, 5, FALSE), ""), IF(OR(_xlpm.v=0, _xlpm.v=""), "", _xlpm.v))</f>
        <v>male</v>
      </c>
    </row>
    <row r="820" spans="1:9" x14ac:dyDescent="0.6">
      <c r="A820">
        <v>187</v>
      </c>
      <c r="B820" t="s">
        <v>14</v>
      </c>
      <c r="C820" t="s">
        <v>12</v>
      </c>
      <c r="D820">
        <v>170.02</v>
      </c>
      <c r="E820">
        <v>111</v>
      </c>
      <c r="F820">
        <v>40256</v>
      </c>
      <c r="H820">
        <f>_xlfn.LET(_xlpm.v, IFERROR(VLOOKUP($A820, manifest!$A:$E, 3, FALSE), ""), IF(OR(_xlpm.v=0, _xlpm.v=""), "", _xlpm.v))</f>
        <v>52</v>
      </c>
      <c r="I820" t="str">
        <f>_xlfn.LET(_xlpm.v, IFERROR(VLOOKUP($A820, manifest!$A:$E, 5, FALSE), ""), IF(OR(_xlpm.v=0, _xlpm.v=""), "", _xlpm.v))</f>
        <v>male</v>
      </c>
    </row>
    <row r="821" spans="1:9" x14ac:dyDescent="0.6">
      <c r="A821">
        <v>187</v>
      </c>
      <c r="B821" t="s">
        <v>14</v>
      </c>
      <c r="C821" t="s">
        <v>13</v>
      </c>
      <c r="D821">
        <v>194.35</v>
      </c>
      <c r="E821">
        <v>151.30000000000001</v>
      </c>
      <c r="F821">
        <v>44806</v>
      </c>
      <c r="H821">
        <f>_xlfn.LET(_xlpm.v, IFERROR(VLOOKUP($A821, manifest!$A:$E, 3, FALSE), ""), IF(OR(_xlpm.v=0, _xlpm.v=""), "", _xlpm.v))</f>
        <v>52</v>
      </c>
      <c r="I821" t="str">
        <f>_xlfn.LET(_xlpm.v, IFERROR(VLOOKUP($A821, manifest!$A:$E, 5, FALSE), ""), IF(OR(_xlpm.v=0, _xlpm.v=""), "", _xlpm.v))</f>
        <v>male</v>
      </c>
    </row>
    <row r="822" spans="1:9" x14ac:dyDescent="0.6">
      <c r="A822">
        <v>179</v>
      </c>
      <c r="B822" t="s">
        <v>14</v>
      </c>
      <c r="C822" t="s">
        <v>8</v>
      </c>
      <c r="D822">
        <v>205.9</v>
      </c>
      <c r="E822">
        <v>208.99</v>
      </c>
      <c r="F822">
        <v>32525</v>
      </c>
      <c r="G822" t="s">
        <v>9</v>
      </c>
      <c r="H822">
        <f>_xlfn.LET(_xlpm.v, IFERROR(VLOOKUP($A822, manifest!$A:$E, 3, FALSE), ""), IF(OR(_xlpm.v=0, _xlpm.v=""), "", _xlpm.v))</f>
        <v>64</v>
      </c>
      <c r="I822" t="str">
        <f>_xlfn.LET(_xlpm.v, IFERROR(VLOOKUP($A822, manifest!$A:$E, 5, FALSE), ""), IF(OR(_xlpm.v=0, _xlpm.v=""), "", _xlpm.v))</f>
        <v>female</v>
      </c>
    </row>
    <row r="823" spans="1:9" x14ac:dyDescent="0.6">
      <c r="A823">
        <v>179</v>
      </c>
      <c r="B823" t="s">
        <v>14</v>
      </c>
      <c r="C823" t="s">
        <v>10</v>
      </c>
      <c r="D823">
        <v>198.97</v>
      </c>
      <c r="E823">
        <v>213.56</v>
      </c>
      <c r="F823">
        <v>36218</v>
      </c>
      <c r="H823">
        <f>_xlfn.LET(_xlpm.v, IFERROR(VLOOKUP($A823, manifest!$A:$E, 3, FALSE), ""), IF(OR(_xlpm.v=0, _xlpm.v=""), "", _xlpm.v))</f>
        <v>64</v>
      </c>
      <c r="I823" t="str">
        <f>_xlfn.LET(_xlpm.v, IFERROR(VLOOKUP($A823, manifest!$A:$E, 5, FALSE), ""), IF(OR(_xlpm.v=0, _xlpm.v=""), "", _xlpm.v))</f>
        <v>female</v>
      </c>
    </row>
    <row r="824" spans="1:9" x14ac:dyDescent="0.6">
      <c r="A824">
        <v>179</v>
      </c>
      <c r="B824" t="s">
        <v>14</v>
      </c>
      <c r="C824" t="s">
        <v>11</v>
      </c>
      <c r="D824">
        <v>186.26</v>
      </c>
      <c r="E824">
        <v>203.29</v>
      </c>
      <c r="F824">
        <v>51017</v>
      </c>
      <c r="H824">
        <f>_xlfn.LET(_xlpm.v, IFERROR(VLOOKUP($A824, manifest!$A:$E, 3, FALSE), ""), IF(OR(_xlpm.v=0, _xlpm.v=""), "", _xlpm.v))</f>
        <v>64</v>
      </c>
      <c r="I824" t="str">
        <f>_xlfn.LET(_xlpm.v, IFERROR(VLOOKUP($A824, manifest!$A:$E, 5, FALSE), ""), IF(OR(_xlpm.v=0, _xlpm.v=""), "", _xlpm.v))</f>
        <v>female</v>
      </c>
    </row>
    <row r="825" spans="1:9" x14ac:dyDescent="0.6">
      <c r="A825">
        <v>179</v>
      </c>
      <c r="B825" t="s">
        <v>14</v>
      </c>
      <c r="C825" t="s">
        <v>12</v>
      </c>
      <c r="D825">
        <v>200.73</v>
      </c>
      <c r="E825">
        <v>189.89</v>
      </c>
      <c r="F825">
        <v>45440</v>
      </c>
      <c r="H825">
        <f>_xlfn.LET(_xlpm.v, IFERROR(VLOOKUP($A825, manifest!$A:$E, 3, FALSE), ""), IF(OR(_xlpm.v=0, _xlpm.v=""), "", _xlpm.v))</f>
        <v>64</v>
      </c>
      <c r="I825" t="str">
        <f>_xlfn.LET(_xlpm.v, IFERROR(VLOOKUP($A825, manifest!$A:$E, 5, FALSE), ""), IF(OR(_xlpm.v=0, _xlpm.v=""), "", _xlpm.v))</f>
        <v>female</v>
      </c>
    </row>
    <row r="826" spans="1:9" x14ac:dyDescent="0.6">
      <c r="A826">
        <v>179</v>
      </c>
      <c r="B826" t="s">
        <v>14</v>
      </c>
      <c r="C826" t="s">
        <v>13</v>
      </c>
      <c r="D826">
        <v>210.28</v>
      </c>
      <c r="E826">
        <v>199.95</v>
      </c>
      <c r="F826">
        <v>62400</v>
      </c>
      <c r="H826">
        <f>_xlfn.LET(_xlpm.v, IFERROR(VLOOKUP($A826, manifest!$A:$E, 3, FALSE), ""), IF(OR(_xlpm.v=0, _xlpm.v=""), "", _xlpm.v))</f>
        <v>64</v>
      </c>
      <c r="I826" t="str">
        <f>_xlfn.LET(_xlpm.v, IFERROR(VLOOKUP($A826, manifest!$A:$E, 5, FALSE), ""), IF(OR(_xlpm.v=0, _xlpm.v=""), "", _xlpm.v))</f>
        <v>female</v>
      </c>
    </row>
    <row r="827" spans="1:9" x14ac:dyDescent="0.6">
      <c r="A827">
        <v>167</v>
      </c>
      <c r="B827" t="s">
        <v>7</v>
      </c>
      <c r="C827" t="s">
        <v>8</v>
      </c>
      <c r="D827">
        <v>158.66999999999999</v>
      </c>
      <c r="E827">
        <v>115.72</v>
      </c>
      <c r="F827">
        <v>26506</v>
      </c>
      <c r="G827" t="s">
        <v>15</v>
      </c>
      <c r="H827">
        <f>_xlfn.LET(_xlpm.v, IFERROR(VLOOKUP($A827, manifest!$A:$E, 3, FALSE), ""), IF(OR(_xlpm.v=0, _xlpm.v=""), "", _xlpm.v))</f>
        <v>61</v>
      </c>
      <c r="I827" t="str">
        <f>_xlfn.LET(_xlpm.v, IFERROR(VLOOKUP($A827, manifest!$A:$E, 5, FALSE), ""), IF(OR(_xlpm.v=0, _xlpm.v=""), "", _xlpm.v))</f>
        <v>female</v>
      </c>
    </row>
    <row r="828" spans="1:9" x14ac:dyDescent="0.6">
      <c r="A828">
        <v>167</v>
      </c>
      <c r="B828" t="s">
        <v>7</v>
      </c>
      <c r="C828" t="s">
        <v>10</v>
      </c>
      <c r="D828">
        <v>178.33</v>
      </c>
      <c r="E828">
        <v>172.73</v>
      </c>
      <c r="F828">
        <v>27996</v>
      </c>
      <c r="H828">
        <f>_xlfn.LET(_xlpm.v, IFERROR(VLOOKUP($A828, manifest!$A:$E, 3, FALSE), ""), IF(OR(_xlpm.v=0, _xlpm.v=""), "", _xlpm.v))</f>
        <v>61</v>
      </c>
      <c r="I828" t="str">
        <f>_xlfn.LET(_xlpm.v, IFERROR(VLOOKUP($A828, manifest!$A:$E, 5, FALSE), ""), IF(OR(_xlpm.v=0, _xlpm.v=""), "", _xlpm.v))</f>
        <v>female</v>
      </c>
    </row>
    <row r="829" spans="1:9" x14ac:dyDescent="0.6">
      <c r="A829">
        <v>167</v>
      </c>
      <c r="B829" t="s">
        <v>7</v>
      </c>
      <c r="C829" t="s">
        <v>11</v>
      </c>
      <c r="D829">
        <v>186.22</v>
      </c>
      <c r="E829">
        <v>169.03</v>
      </c>
      <c r="F829">
        <v>28189</v>
      </c>
      <c r="H829">
        <f>_xlfn.LET(_xlpm.v, IFERROR(VLOOKUP($A829, manifest!$A:$E, 3, FALSE), ""), IF(OR(_xlpm.v=0, _xlpm.v=""), "", _xlpm.v))</f>
        <v>61</v>
      </c>
      <c r="I829" t="str">
        <f>_xlfn.LET(_xlpm.v, IFERROR(VLOOKUP($A829, manifest!$A:$E, 5, FALSE), ""), IF(OR(_xlpm.v=0, _xlpm.v=""), "", _xlpm.v))</f>
        <v>female</v>
      </c>
    </row>
    <row r="830" spans="1:9" x14ac:dyDescent="0.6">
      <c r="A830">
        <v>167</v>
      </c>
      <c r="B830" t="s">
        <v>7</v>
      </c>
      <c r="C830" t="s">
        <v>12</v>
      </c>
      <c r="D830">
        <v>205.84</v>
      </c>
      <c r="E830">
        <v>187.74</v>
      </c>
      <c r="F830">
        <v>30761</v>
      </c>
      <c r="H830">
        <f>_xlfn.LET(_xlpm.v, IFERROR(VLOOKUP($A830, manifest!$A:$E, 3, FALSE), ""), IF(OR(_xlpm.v=0, _xlpm.v=""), "", _xlpm.v))</f>
        <v>61</v>
      </c>
      <c r="I830" t="str">
        <f>_xlfn.LET(_xlpm.v, IFERROR(VLOOKUP($A830, manifest!$A:$E, 5, FALSE), ""), IF(OR(_xlpm.v=0, _xlpm.v=""), "", _xlpm.v))</f>
        <v>female</v>
      </c>
    </row>
    <row r="831" spans="1:9" x14ac:dyDescent="0.6">
      <c r="A831">
        <v>167</v>
      </c>
      <c r="B831" t="s">
        <v>7</v>
      </c>
      <c r="C831" t="s">
        <v>13</v>
      </c>
      <c r="D831">
        <v>200.97</v>
      </c>
      <c r="E831">
        <v>187.9</v>
      </c>
      <c r="F831">
        <v>33207</v>
      </c>
      <c r="H831">
        <f>_xlfn.LET(_xlpm.v, IFERROR(VLOOKUP($A831, manifest!$A:$E, 3, FALSE), ""), IF(OR(_xlpm.v=0, _xlpm.v=""), "", _xlpm.v))</f>
        <v>61</v>
      </c>
      <c r="I831" t="str">
        <f>_xlfn.LET(_xlpm.v, IFERROR(VLOOKUP($A831, manifest!$A:$E, 5, FALSE), ""), IF(OR(_xlpm.v=0, _xlpm.v=""), "", _xlpm.v))</f>
        <v>female</v>
      </c>
    </row>
    <row r="832" spans="1:9" x14ac:dyDescent="0.6">
      <c r="A832">
        <v>167</v>
      </c>
      <c r="B832" t="s">
        <v>7</v>
      </c>
      <c r="C832" t="s">
        <v>16</v>
      </c>
      <c r="D832">
        <v>232.97</v>
      </c>
      <c r="E832">
        <v>196.82</v>
      </c>
      <c r="F832">
        <v>41483</v>
      </c>
      <c r="H832">
        <f>_xlfn.LET(_xlpm.v, IFERROR(VLOOKUP($A832, manifest!$A:$E, 3, FALSE), ""), IF(OR(_xlpm.v=0, _xlpm.v=""), "", _xlpm.v))</f>
        <v>61</v>
      </c>
      <c r="I832" t="str">
        <f>_xlfn.LET(_xlpm.v, IFERROR(VLOOKUP($A832, manifest!$A:$E, 5, FALSE), ""), IF(OR(_xlpm.v=0, _xlpm.v=""), "", _xlpm.v))</f>
        <v>female</v>
      </c>
    </row>
    <row r="833" spans="1:9" x14ac:dyDescent="0.6">
      <c r="A833">
        <v>171</v>
      </c>
      <c r="B833" t="s">
        <v>7</v>
      </c>
      <c r="C833" t="s">
        <v>8</v>
      </c>
      <c r="D833">
        <v>215.92</v>
      </c>
      <c r="E833">
        <v>126.15</v>
      </c>
      <c r="F833">
        <v>39942</v>
      </c>
      <c r="G833" t="s">
        <v>9</v>
      </c>
      <c r="H833">
        <f>_xlfn.LET(_xlpm.v, IFERROR(VLOOKUP($A833, manifest!$A:$E, 3, FALSE), ""), IF(OR(_xlpm.v=0, _xlpm.v=""), "", _xlpm.v))</f>
        <v>58</v>
      </c>
      <c r="I833" t="str">
        <f>_xlfn.LET(_xlpm.v, IFERROR(VLOOKUP($A833, manifest!$A:$E, 5, FALSE), ""), IF(OR(_xlpm.v=0, _xlpm.v=""), "", _xlpm.v))</f>
        <v>male</v>
      </c>
    </row>
    <row r="834" spans="1:9" x14ac:dyDescent="0.6">
      <c r="A834">
        <v>171</v>
      </c>
      <c r="B834" t="s">
        <v>7</v>
      </c>
      <c r="C834" t="s">
        <v>10</v>
      </c>
      <c r="D834">
        <v>210.3</v>
      </c>
      <c r="E834">
        <v>160.87</v>
      </c>
      <c r="F834">
        <v>46219</v>
      </c>
      <c r="H834">
        <f>_xlfn.LET(_xlpm.v, IFERROR(VLOOKUP($A834, manifest!$A:$E, 3, FALSE), ""), IF(OR(_xlpm.v=0, _xlpm.v=""), "", _xlpm.v))</f>
        <v>58</v>
      </c>
      <c r="I834" t="str">
        <f>_xlfn.LET(_xlpm.v, IFERROR(VLOOKUP($A834, manifest!$A:$E, 5, FALSE), ""), IF(OR(_xlpm.v=0, _xlpm.v=""), "", _xlpm.v))</f>
        <v>male</v>
      </c>
    </row>
    <row r="835" spans="1:9" x14ac:dyDescent="0.6">
      <c r="A835">
        <v>171</v>
      </c>
      <c r="B835" t="s">
        <v>7</v>
      </c>
      <c r="C835" t="s">
        <v>11</v>
      </c>
      <c r="D835">
        <v>256.02999999999997</v>
      </c>
      <c r="E835">
        <v>235.29</v>
      </c>
      <c r="F835">
        <v>51944</v>
      </c>
      <c r="H835">
        <f>_xlfn.LET(_xlpm.v, IFERROR(VLOOKUP($A835, manifest!$A:$E, 3, FALSE), ""), IF(OR(_xlpm.v=0, _xlpm.v=""), "", _xlpm.v))</f>
        <v>58</v>
      </c>
      <c r="I835" t="str">
        <f>_xlfn.LET(_xlpm.v, IFERROR(VLOOKUP($A835, manifest!$A:$E, 5, FALSE), ""), IF(OR(_xlpm.v=0, _xlpm.v=""), "", _xlpm.v))</f>
        <v>male</v>
      </c>
    </row>
    <row r="836" spans="1:9" x14ac:dyDescent="0.6">
      <c r="A836">
        <v>171</v>
      </c>
      <c r="B836" t="s">
        <v>7</v>
      </c>
      <c r="C836" t="s">
        <v>12</v>
      </c>
      <c r="D836">
        <v>269.62</v>
      </c>
      <c r="E836">
        <v>250.32</v>
      </c>
      <c r="F836">
        <v>58554</v>
      </c>
      <c r="H836">
        <f>_xlfn.LET(_xlpm.v, IFERROR(VLOOKUP($A836, manifest!$A:$E, 3, FALSE), ""), IF(OR(_xlpm.v=0, _xlpm.v=""), "", _xlpm.v))</f>
        <v>58</v>
      </c>
      <c r="I836" t="str">
        <f>_xlfn.LET(_xlpm.v, IFERROR(VLOOKUP($A836, manifest!$A:$E, 5, FALSE), ""), IF(OR(_xlpm.v=0, _xlpm.v=""), "", _xlpm.v))</f>
        <v>male</v>
      </c>
    </row>
    <row r="837" spans="1:9" x14ac:dyDescent="0.6">
      <c r="A837">
        <v>171</v>
      </c>
      <c r="B837" t="s">
        <v>7</v>
      </c>
      <c r="C837" t="s">
        <v>13</v>
      </c>
      <c r="D837">
        <v>242.93</v>
      </c>
      <c r="E837">
        <v>212.89</v>
      </c>
      <c r="F837">
        <v>63178</v>
      </c>
      <c r="H837">
        <f>_xlfn.LET(_xlpm.v, IFERROR(VLOOKUP($A837, manifest!$A:$E, 3, FALSE), ""), IF(OR(_xlpm.v=0, _xlpm.v=""), "", _xlpm.v))</f>
        <v>58</v>
      </c>
      <c r="I837" t="str">
        <f>_xlfn.LET(_xlpm.v, IFERROR(VLOOKUP($A837, manifest!$A:$E, 5, FALSE), ""), IF(OR(_xlpm.v=0, _xlpm.v=""), "", _xlpm.v))</f>
        <v>male</v>
      </c>
    </row>
    <row r="838" spans="1:9" x14ac:dyDescent="0.6">
      <c r="A838">
        <v>184</v>
      </c>
      <c r="B838" t="s">
        <v>14</v>
      </c>
      <c r="C838" t="s">
        <v>8</v>
      </c>
      <c r="D838">
        <v>192.64</v>
      </c>
      <c r="E838">
        <v>155.65</v>
      </c>
      <c r="F838">
        <v>42598</v>
      </c>
      <c r="G838" t="s">
        <v>9</v>
      </c>
      <c r="H838">
        <f>_xlfn.LET(_xlpm.v, IFERROR(VLOOKUP($A838, manifest!$A:$E, 3, FALSE), ""), IF(OR(_xlpm.v=0, _xlpm.v=""), "", _xlpm.v))</f>
        <v>78</v>
      </c>
      <c r="I838" t="str">
        <f>_xlfn.LET(_xlpm.v, IFERROR(VLOOKUP($A838, manifest!$A:$E, 5, FALSE), ""), IF(OR(_xlpm.v=0, _xlpm.v=""), "", _xlpm.v))</f>
        <v>male</v>
      </c>
    </row>
    <row r="839" spans="1:9" x14ac:dyDescent="0.6">
      <c r="A839">
        <v>184</v>
      </c>
      <c r="B839" t="s">
        <v>14</v>
      </c>
      <c r="C839" t="s">
        <v>10</v>
      </c>
      <c r="D839">
        <v>244.38</v>
      </c>
      <c r="E839">
        <v>221.92</v>
      </c>
      <c r="F839">
        <v>45684</v>
      </c>
      <c r="H839">
        <f>_xlfn.LET(_xlpm.v, IFERROR(VLOOKUP($A839, manifest!$A:$E, 3, FALSE), ""), IF(OR(_xlpm.v=0, _xlpm.v=""), "", _xlpm.v))</f>
        <v>78</v>
      </c>
      <c r="I839" t="str">
        <f>_xlfn.LET(_xlpm.v, IFERROR(VLOOKUP($A839, manifest!$A:$E, 5, FALSE), ""), IF(OR(_xlpm.v=0, _xlpm.v=""), "", _xlpm.v))</f>
        <v>male</v>
      </c>
    </row>
    <row r="840" spans="1:9" x14ac:dyDescent="0.6">
      <c r="A840">
        <v>184</v>
      </c>
      <c r="B840" t="s">
        <v>14</v>
      </c>
      <c r="C840" t="s">
        <v>11</v>
      </c>
      <c r="D840">
        <v>236.1</v>
      </c>
      <c r="E840">
        <v>192.97</v>
      </c>
      <c r="F840">
        <v>48527</v>
      </c>
      <c r="H840">
        <f>_xlfn.LET(_xlpm.v, IFERROR(VLOOKUP($A840, manifest!$A:$E, 3, FALSE), ""), IF(OR(_xlpm.v=0, _xlpm.v=""), "", _xlpm.v))</f>
        <v>78</v>
      </c>
      <c r="I840" t="str">
        <f>_xlfn.LET(_xlpm.v, IFERROR(VLOOKUP($A840, manifest!$A:$E, 5, FALSE), ""), IF(OR(_xlpm.v=0, _xlpm.v=""), "", _xlpm.v))</f>
        <v>male</v>
      </c>
    </row>
    <row r="841" spans="1:9" x14ac:dyDescent="0.6">
      <c r="A841">
        <v>184</v>
      </c>
      <c r="B841" t="s">
        <v>14</v>
      </c>
      <c r="C841" t="s">
        <v>12</v>
      </c>
      <c r="D841">
        <v>210.68</v>
      </c>
      <c r="E841">
        <v>193.02</v>
      </c>
      <c r="F841">
        <v>51229</v>
      </c>
      <c r="H841">
        <f>_xlfn.LET(_xlpm.v, IFERROR(VLOOKUP($A841, manifest!$A:$E, 3, FALSE), ""), IF(OR(_xlpm.v=0, _xlpm.v=""), "", _xlpm.v))</f>
        <v>78</v>
      </c>
      <c r="I841" t="str">
        <f>_xlfn.LET(_xlpm.v, IFERROR(VLOOKUP($A841, manifest!$A:$E, 5, FALSE), ""), IF(OR(_xlpm.v=0, _xlpm.v=""), "", _xlpm.v))</f>
        <v>male</v>
      </c>
    </row>
    <row r="842" spans="1:9" x14ac:dyDescent="0.6">
      <c r="A842">
        <v>184</v>
      </c>
      <c r="B842" t="s">
        <v>14</v>
      </c>
      <c r="C842" t="s">
        <v>13</v>
      </c>
      <c r="D842">
        <v>189</v>
      </c>
      <c r="E842">
        <v>169.59</v>
      </c>
      <c r="F842">
        <v>61596</v>
      </c>
      <c r="H842">
        <f>_xlfn.LET(_xlpm.v, IFERROR(VLOOKUP($A842, manifest!$A:$E, 3, FALSE), ""), IF(OR(_xlpm.v=0, _xlpm.v=""), "", _xlpm.v))</f>
        <v>78</v>
      </c>
      <c r="I842" t="str">
        <f>_xlfn.LET(_xlpm.v, IFERROR(VLOOKUP($A842, manifest!$A:$E, 5, FALSE), ""), IF(OR(_xlpm.v=0, _xlpm.v=""), "", _xlpm.v))</f>
        <v>male</v>
      </c>
    </row>
    <row r="843" spans="1:9" x14ac:dyDescent="0.6">
      <c r="A843">
        <v>201</v>
      </c>
      <c r="B843" t="s">
        <v>14</v>
      </c>
      <c r="C843" t="s">
        <v>8</v>
      </c>
      <c r="D843">
        <v>169.54</v>
      </c>
      <c r="E843">
        <v>149.21</v>
      </c>
      <c r="F843">
        <v>31223</v>
      </c>
      <c r="G843" t="s">
        <v>9</v>
      </c>
      <c r="H843">
        <f>_xlfn.LET(_xlpm.v, IFERROR(VLOOKUP($A843, manifest!$A:$E, 3, FALSE), ""), IF(OR(_xlpm.v=0, _xlpm.v=""), "", _xlpm.v))</f>
        <v>61</v>
      </c>
      <c r="I843" t="str">
        <f>_xlfn.LET(_xlpm.v, IFERROR(VLOOKUP($A843, manifest!$A:$E, 5, FALSE), ""), IF(OR(_xlpm.v=0, _xlpm.v=""), "", _xlpm.v))</f>
        <v>male</v>
      </c>
    </row>
    <row r="844" spans="1:9" x14ac:dyDescent="0.6">
      <c r="A844">
        <v>201</v>
      </c>
      <c r="B844" t="s">
        <v>14</v>
      </c>
      <c r="C844" t="s">
        <v>10</v>
      </c>
      <c r="D844">
        <v>203.92</v>
      </c>
      <c r="E844">
        <v>199.34</v>
      </c>
      <c r="F844">
        <v>27277</v>
      </c>
      <c r="H844">
        <f>_xlfn.LET(_xlpm.v, IFERROR(VLOOKUP($A844, manifest!$A:$E, 3, FALSE), ""), IF(OR(_xlpm.v=0, _xlpm.v=""), "", _xlpm.v))</f>
        <v>61</v>
      </c>
      <c r="I844" t="str">
        <f>_xlfn.LET(_xlpm.v, IFERROR(VLOOKUP($A844, manifest!$A:$E, 5, FALSE), ""), IF(OR(_xlpm.v=0, _xlpm.v=""), "", _xlpm.v))</f>
        <v>male</v>
      </c>
    </row>
    <row r="845" spans="1:9" x14ac:dyDescent="0.6">
      <c r="A845">
        <v>201</v>
      </c>
      <c r="B845" t="s">
        <v>14</v>
      </c>
      <c r="C845" t="s">
        <v>11</v>
      </c>
      <c r="D845">
        <v>195.84</v>
      </c>
      <c r="E845">
        <v>215.44</v>
      </c>
      <c r="F845">
        <v>32751</v>
      </c>
      <c r="H845">
        <f>_xlfn.LET(_xlpm.v, IFERROR(VLOOKUP($A845, manifest!$A:$E, 3, FALSE), ""), IF(OR(_xlpm.v=0, _xlpm.v=""), "", _xlpm.v))</f>
        <v>61</v>
      </c>
      <c r="I845" t="str">
        <f>_xlfn.LET(_xlpm.v, IFERROR(VLOOKUP($A845, manifest!$A:$E, 5, FALSE), ""), IF(OR(_xlpm.v=0, _xlpm.v=""), "", _xlpm.v))</f>
        <v>male</v>
      </c>
    </row>
    <row r="846" spans="1:9" x14ac:dyDescent="0.6">
      <c r="A846">
        <v>201</v>
      </c>
      <c r="B846" t="s">
        <v>14</v>
      </c>
      <c r="C846" t="s">
        <v>12</v>
      </c>
      <c r="D846">
        <v>181.9</v>
      </c>
      <c r="E846">
        <v>221.28</v>
      </c>
      <c r="F846">
        <v>37395</v>
      </c>
      <c r="H846">
        <f>_xlfn.LET(_xlpm.v, IFERROR(VLOOKUP($A846, manifest!$A:$E, 3, FALSE), ""), IF(OR(_xlpm.v=0, _xlpm.v=""), "", _xlpm.v))</f>
        <v>61</v>
      </c>
      <c r="I846" t="str">
        <f>_xlfn.LET(_xlpm.v, IFERROR(VLOOKUP($A846, manifest!$A:$E, 5, FALSE), ""), IF(OR(_xlpm.v=0, _xlpm.v=""), "", _xlpm.v))</f>
        <v>male</v>
      </c>
    </row>
    <row r="847" spans="1:9" x14ac:dyDescent="0.6">
      <c r="A847">
        <v>201</v>
      </c>
      <c r="B847" t="s">
        <v>14</v>
      </c>
      <c r="C847" t="s">
        <v>13</v>
      </c>
      <c r="D847">
        <v>189.42</v>
      </c>
      <c r="E847">
        <v>188.88</v>
      </c>
      <c r="F847">
        <v>45828</v>
      </c>
      <c r="H847">
        <f>_xlfn.LET(_xlpm.v, IFERROR(VLOOKUP($A847, manifest!$A:$E, 3, FALSE), ""), IF(OR(_xlpm.v=0, _xlpm.v=""), "", _xlpm.v))</f>
        <v>61</v>
      </c>
      <c r="I847" t="str">
        <f>_xlfn.LET(_xlpm.v, IFERROR(VLOOKUP($A847, manifest!$A:$E, 5, FALSE), ""), IF(OR(_xlpm.v=0, _xlpm.v=""), "", _xlpm.v))</f>
        <v>male</v>
      </c>
    </row>
    <row r="848" spans="1:9" x14ac:dyDescent="0.6">
      <c r="A848">
        <v>180</v>
      </c>
      <c r="B848" t="s">
        <v>14</v>
      </c>
      <c r="C848" t="s">
        <v>8</v>
      </c>
      <c r="D848">
        <v>216.02</v>
      </c>
      <c r="E848">
        <v>151.26</v>
      </c>
      <c r="F848">
        <v>29191</v>
      </c>
      <c r="G848" t="s">
        <v>9</v>
      </c>
      <c r="H848">
        <f>_xlfn.LET(_xlpm.v, IFERROR(VLOOKUP($A848, manifest!$A:$E, 3, FALSE), ""), IF(OR(_xlpm.v=0, _xlpm.v=""), "", _xlpm.v))</f>
        <v>52</v>
      </c>
      <c r="I848" t="str">
        <f>_xlfn.LET(_xlpm.v, IFERROR(VLOOKUP($A848, manifest!$A:$E, 5, FALSE), ""), IF(OR(_xlpm.v=0, _xlpm.v=""), "", _xlpm.v))</f>
        <v>female</v>
      </c>
    </row>
    <row r="849" spans="1:9" x14ac:dyDescent="0.6">
      <c r="A849">
        <v>180</v>
      </c>
      <c r="B849" t="s">
        <v>14</v>
      </c>
      <c r="C849" t="s">
        <v>10</v>
      </c>
      <c r="D849">
        <v>255.44</v>
      </c>
      <c r="E849">
        <v>204.76</v>
      </c>
      <c r="F849">
        <v>25091</v>
      </c>
      <c r="H849">
        <f>_xlfn.LET(_xlpm.v, IFERROR(VLOOKUP($A849, manifest!$A:$E, 3, FALSE), ""), IF(OR(_xlpm.v=0, _xlpm.v=""), "", _xlpm.v))</f>
        <v>52</v>
      </c>
      <c r="I849" t="str">
        <f>_xlfn.LET(_xlpm.v, IFERROR(VLOOKUP($A849, manifest!$A:$E, 5, FALSE), ""), IF(OR(_xlpm.v=0, _xlpm.v=""), "", _xlpm.v))</f>
        <v>female</v>
      </c>
    </row>
    <row r="850" spans="1:9" x14ac:dyDescent="0.6">
      <c r="A850">
        <v>180</v>
      </c>
      <c r="B850" t="s">
        <v>14</v>
      </c>
      <c r="C850" t="s">
        <v>11</v>
      </c>
      <c r="D850">
        <v>253.03</v>
      </c>
      <c r="E850">
        <v>224.08</v>
      </c>
      <c r="F850">
        <v>29361</v>
      </c>
      <c r="H850">
        <f>_xlfn.LET(_xlpm.v, IFERROR(VLOOKUP($A850, manifest!$A:$E, 3, FALSE), ""), IF(OR(_xlpm.v=0, _xlpm.v=""), "", _xlpm.v))</f>
        <v>52</v>
      </c>
      <c r="I850" t="str">
        <f>_xlfn.LET(_xlpm.v, IFERROR(VLOOKUP($A850, manifest!$A:$E, 5, FALSE), ""), IF(OR(_xlpm.v=0, _xlpm.v=""), "", _xlpm.v))</f>
        <v>female</v>
      </c>
    </row>
    <row r="851" spans="1:9" x14ac:dyDescent="0.6">
      <c r="A851">
        <v>180</v>
      </c>
      <c r="B851" t="s">
        <v>14</v>
      </c>
      <c r="C851" t="s">
        <v>12</v>
      </c>
      <c r="D851">
        <v>247.92</v>
      </c>
      <c r="E851">
        <v>227.03</v>
      </c>
      <c r="F851">
        <v>31665</v>
      </c>
      <c r="H851">
        <f>_xlfn.LET(_xlpm.v, IFERROR(VLOOKUP($A851, manifest!$A:$E, 3, FALSE), ""), IF(OR(_xlpm.v=0, _xlpm.v=""), "", _xlpm.v))</f>
        <v>52</v>
      </c>
      <c r="I851" t="str">
        <f>_xlfn.LET(_xlpm.v, IFERROR(VLOOKUP($A851, manifest!$A:$E, 5, FALSE), ""), IF(OR(_xlpm.v=0, _xlpm.v=""), "", _xlpm.v))</f>
        <v>female</v>
      </c>
    </row>
    <row r="852" spans="1:9" x14ac:dyDescent="0.6">
      <c r="A852">
        <v>180</v>
      </c>
      <c r="B852" t="s">
        <v>14</v>
      </c>
      <c r="C852" t="s">
        <v>13</v>
      </c>
      <c r="D852">
        <v>253.77</v>
      </c>
      <c r="E852">
        <v>231.61</v>
      </c>
      <c r="F852">
        <v>39736</v>
      </c>
      <c r="H852">
        <f>_xlfn.LET(_xlpm.v, IFERROR(VLOOKUP($A852, manifest!$A:$E, 3, FALSE), ""), IF(OR(_xlpm.v=0, _xlpm.v=""), "", _xlpm.v))</f>
        <v>52</v>
      </c>
      <c r="I852" t="str">
        <f>_xlfn.LET(_xlpm.v, IFERROR(VLOOKUP($A852, manifest!$A:$E, 5, FALSE), ""), IF(OR(_xlpm.v=0, _xlpm.v=""), "", _xlpm.v))</f>
        <v>female</v>
      </c>
    </row>
    <row r="853" spans="1:9" x14ac:dyDescent="0.6">
      <c r="A853">
        <v>190</v>
      </c>
      <c r="B853" t="s">
        <v>7</v>
      </c>
      <c r="C853" t="s">
        <v>8</v>
      </c>
      <c r="D853">
        <v>247.98</v>
      </c>
      <c r="E853">
        <v>193.48</v>
      </c>
      <c r="F853">
        <v>28004</v>
      </c>
      <c r="G853" t="s">
        <v>9</v>
      </c>
      <c r="H853">
        <f>_xlfn.LET(_xlpm.v, IFERROR(VLOOKUP($A853, manifest!$A:$E, 3, FALSE), ""), IF(OR(_xlpm.v=0, _xlpm.v=""), "", _xlpm.v))</f>
        <v>53</v>
      </c>
      <c r="I853" t="str">
        <f>_xlfn.LET(_xlpm.v, IFERROR(VLOOKUP($A853, manifest!$A:$E, 5, FALSE), ""), IF(OR(_xlpm.v=0, _xlpm.v=""), "", _xlpm.v))</f>
        <v>female</v>
      </c>
    </row>
    <row r="854" spans="1:9" x14ac:dyDescent="0.6">
      <c r="A854">
        <v>190</v>
      </c>
      <c r="B854" t="s">
        <v>7</v>
      </c>
      <c r="C854" t="s">
        <v>10</v>
      </c>
      <c r="D854">
        <v>262.61</v>
      </c>
      <c r="E854">
        <v>214.25</v>
      </c>
      <c r="F854">
        <v>28906</v>
      </c>
      <c r="H854">
        <f>_xlfn.LET(_xlpm.v, IFERROR(VLOOKUP($A854, manifest!$A:$E, 3, FALSE), ""), IF(OR(_xlpm.v=0, _xlpm.v=""), "", _xlpm.v))</f>
        <v>53</v>
      </c>
      <c r="I854" t="str">
        <f>_xlfn.LET(_xlpm.v, IFERROR(VLOOKUP($A854, manifest!$A:$E, 5, FALSE), ""), IF(OR(_xlpm.v=0, _xlpm.v=""), "", _xlpm.v))</f>
        <v>female</v>
      </c>
    </row>
    <row r="855" spans="1:9" x14ac:dyDescent="0.6">
      <c r="A855">
        <v>190</v>
      </c>
      <c r="B855" t="s">
        <v>7</v>
      </c>
      <c r="C855" t="s">
        <v>11</v>
      </c>
      <c r="D855">
        <v>250.66</v>
      </c>
      <c r="E855">
        <v>207.73</v>
      </c>
      <c r="F855">
        <v>34583</v>
      </c>
      <c r="H855">
        <f>_xlfn.LET(_xlpm.v, IFERROR(VLOOKUP($A855, manifest!$A:$E, 3, FALSE), ""), IF(OR(_xlpm.v=0, _xlpm.v=""), "", _xlpm.v))</f>
        <v>53</v>
      </c>
      <c r="I855" t="str">
        <f>_xlfn.LET(_xlpm.v, IFERROR(VLOOKUP($A855, manifest!$A:$E, 5, FALSE), ""), IF(OR(_xlpm.v=0, _xlpm.v=""), "", _xlpm.v))</f>
        <v>female</v>
      </c>
    </row>
    <row r="856" spans="1:9" x14ac:dyDescent="0.6">
      <c r="A856">
        <v>190</v>
      </c>
      <c r="B856" t="s">
        <v>7</v>
      </c>
      <c r="C856" t="s">
        <v>12</v>
      </c>
      <c r="D856">
        <v>274.26</v>
      </c>
      <c r="E856">
        <v>242.74</v>
      </c>
      <c r="F856">
        <v>38677</v>
      </c>
      <c r="H856">
        <f>_xlfn.LET(_xlpm.v, IFERROR(VLOOKUP($A856, manifest!$A:$E, 3, FALSE), ""), IF(OR(_xlpm.v=0, _xlpm.v=""), "", _xlpm.v))</f>
        <v>53</v>
      </c>
      <c r="I856" t="str">
        <f>_xlfn.LET(_xlpm.v, IFERROR(VLOOKUP($A856, manifest!$A:$E, 5, FALSE), ""), IF(OR(_xlpm.v=0, _xlpm.v=""), "", _xlpm.v))</f>
        <v>female</v>
      </c>
    </row>
    <row r="857" spans="1:9" x14ac:dyDescent="0.6">
      <c r="A857">
        <v>190</v>
      </c>
      <c r="B857" t="s">
        <v>7</v>
      </c>
      <c r="C857" t="s">
        <v>13</v>
      </c>
      <c r="D857">
        <v>350.35</v>
      </c>
      <c r="E857">
        <v>324.47000000000003</v>
      </c>
      <c r="F857">
        <v>36262</v>
      </c>
      <c r="H857">
        <f>_xlfn.LET(_xlpm.v, IFERROR(VLOOKUP($A857, manifest!$A:$E, 3, FALSE), ""), IF(OR(_xlpm.v=0, _xlpm.v=""), "", _xlpm.v))</f>
        <v>53</v>
      </c>
      <c r="I857" t="str">
        <f>_xlfn.LET(_xlpm.v, IFERROR(VLOOKUP($A857, manifest!$A:$E, 5, FALSE), ""), IF(OR(_xlpm.v=0, _xlpm.v=""), "", _xlpm.v))</f>
        <v>female</v>
      </c>
    </row>
    <row r="858" spans="1:9" x14ac:dyDescent="0.6">
      <c r="A858">
        <v>178</v>
      </c>
      <c r="B858" t="s">
        <v>14</v>
      </c>
      <c r="C858" t="s">
        <v>8</v>
      </c>
      <c r="D858">
        <v>247.16</v>
      </c>
      <c r="E858">
        <v>189.68</v>
      </c>
      <c r="F858">
        <v>41061</v>
      </c>
      <c r="G858" t="s">
        <v>9</v>
      </c>
      <c r="H858">
        <f>_xlfn.LET(_xlpm.v, IFERROR(VLOOKUP($A858, manifest!$A:$E, 3, FALSE), ""), IF(OR(_xlpm.v=0, _xlpm.v=""), "", _xlpm.v))</f>
        <v>50</v>
      </c>
      <c r="I858" t="str">
        <f>_xlfn.LET(_xlpm.v, IFERROR(VLOOKUP($A858, manifest!$A:$E, 5, FALSE), ""), IF(OR(_xlpm.v=0, _xlpm.v=""), "", _xlpm.v))</f>
        <v>male</v>
      </c>
    </row>
    <row r="859" spans="1:9" x14ac:dyDescent="0.6">
      <c r="A859">
        <v>178</v>
      </c>
      <c r="B859" t="s">
        <v>14</v>
      </c>
      <c r="C859" t="s">
        <v>10</v>
      </c>
      <c r="D859">
        <v>273.79000000000002</v>
      </c>
      <c r="E859">
        <v>245.28</v>
      </c>
      <c r="F859">
        <v>45695</v>
      </c>
      <c r="H859">
        <f>_xlfn.LET(_xlpm.v, IFERROR(VLOOKUP($A859, manifest!$A:$E, 3, FALSE), ""), IF(OR(_xlpm.v=0, _xlpm.v=""), "", _xlpm.v))</f>
        <v>50</v>
      </c>
      <c r="I859" t="str">
        <f>_xlfn.LET(_xlpm.v, IFERROR(VLOOKUP($A859, manifest!$A:$E, 5, FALSE), ""), IF(OR(_xlpm.v=0, _xlpm.v=""), "", _xlpm.v))</f>
        <v>male</v>
      </c>
    </row>
    <row r="860" spans="1:9" x14ac:dyDescent="0.6">
      <c r="A860">
        <v>178</v>
      </c>
      <c r="B860" t="s">
        <v>14</v>
      </c>
      <c r="C860" t="s">
        <v>11</v>
      </c>
      <c r="D860">
        <v>273.13</v>
      </c>
      <c r="E860">
        <v>234.17</v>
      </c>
      <c r="F860">
        <v>50449</v>
      </c>
      <c r="H860">
        <f>_xlfn.LET(_xlpm.v, IFERROR(VLOOKUP($A860, manifest!$A:$E, 3, FALSE), ""), IF(OR(_xlpm.v=0, _xlpm.v=""), "", _xlpm.v))</f>
        <v>50</v>
      </c>
      <c r="I860" t="str">
        <f>_xlfn.LET(_xlpm.v, IFERROR(VLOOKUP($A860, manifest!$A:$E, 5, FALSE), ""), IF(OR(_xlpm.v=0, _xlpm.v=""), "", _xlpm.v))</f>
        <v>male</v>
      </c>
    </row>
    <row r="861" spans="1:9" x14ac:dyDescent="0.6">
      <c r="A861">
        <v>178</v>
      </c>
      <c r="B861" t="s">
        <v>14</v>
      </c>
      <c r="C861" t="s">
        <v>12</v>
      </c>
      <c r="D861">
        <v>247.66</v>
      </c>
      <c r="E861">
        <v>202.49</v>
      </c>
      <c r="F861">
        <v>66424</v>
      </c>
      <c r="H861">
        <f>_xlfn.LET(_xlpm.v, IFERROR(VLOOKUP($A861, manifest!$A:$E, 3, FALSE), ""), IF(OR(_xlpm.v=0, _xlpm.v=""), "", _xlpm.v))</f>
        <v>50</v>
      </c>
      <c r="I861" t="str">
        <f>_xlfn.LET(_xlpm.v, IFERROR(VLOOKUP($A861, manifest!$A:$E, 5, FALSE), ""), IF(OR(_xlpm.v=0, _xlpm.v=""), "", _xlpm.v))</f>
        <v>male</v>
      </c>
    </row>
    <row r="862" spans="1:9" x14ac:dyDescent="0.6">
      <c r="A862">
        <v>178</v>
      </c>
      <c r="B862" t="s">
        <v>14</v>
      </c>
      <c r="C862" t="s">
        <v>13</v>
      </c>
      <c r="D862">
        <v>301.49</v>
      </c>
      <c r="E862">
        <v>224.93</v>
      </c>
      <c r="F862">
        <v>54213</v>
      </c>
      <c r="H862">
        <f>_xlfn.LET(_xlpm.v, IFERROR(VLOOKUP($A862, manifest!$A:$E, 3, FALSE), ""), IF(OR(_xlpm.v=0, _xlpm.v=""), "", _xlpm.v))</f>
        <v>50</v>
      </c>
      <c r="I862" t="str">
        <f>_xlfn.LET(_xlpm.v, IFERROR(VLOOKUP($A862, manifest!$A:$E, 5, FALSE), ""), IF(OR(_xlpm.v=0, _xlpm.v=""), "", _xlpm.v))</f>
        <v>male</v>
      </c>
    </row>
    <row r="863" spans="1:9" x14ac:dyDescent="0.6">
      <c r="A863">
        <v>191</v>
      </c>
      <c r="B863" t="s">
        <v>7</v>
      </c>
      <c r="C863" t="s">
        <v>8</v>
      </c>
      <c r="D863">
        <v>233.03</v>
      </c>
      <c r="E863">
        <v>216.32</v>
      </c>
      <c r="F863">
        <v>18794</v>
      </c>
      <c r="G863" t="s">
        <v>9</v>
      </c>
      <c r="H863">
        <f>_xlfn.LET(_xlpm.v, IFERROR(VLOOKUP($A863, manifest!$A:$E, 3, FALSE), ""), IF(OR(_xlpm.v=0, _xlpm.v=""), "", _xlpm.v))</f>
        <v>57</v>
      </c>
      <c r="I863" t="str">
        <f>_xlfn.LET(_xlpm.v, IFERROR(VLOOKUP($A863, manifest!$A:$E, 5, FALSE), ""), IF(OR(_xlpm.v=0, _xlpm.v=""), "", _xlpm.v))</f>
        <v>female</v>
      </c>
    </row>
    <row r="864" spans="1:9" x14ac:dyDescent="0.6">
      <c r="A864">
        <v>191</v>
      </c>
      <c r="B864" t="s">
        <v>7</v>
      </c>
      <c r="C864" t="s">
        <v>10</v>
      </c>
      <c r="D864">
        <v>244.5</v>
      </c>
      <c r="E864">
        <v>230.22</v>
      </c>
      <c r="F864">
        <v>23480</v>
      </c>
      <c r="H864">
        <f>_xlfn.LET(_xlpm.v, IFERROR(VLOOKUP($A864, manifest!$A:$E, 3, FALSE), ""), IF(OR(_xlpm.v=0, _xlpm.v=""), "", _xlpm.v))</f>
        <v>57</v>
      </c>
      <c r="I864" t="str">
        <f>_xlfn.LET(_xlpm.v, IFERROR(VLOOKUP($A864, manifest!$A:$E, 5, FALSE), ""), IF(OR(_xlpm.v=0, _xlpm.v=""), "", _xlpm.v))</f>
        <v>female</v>
      </c>
    </row>
    <row r="865" spans="1:9" x14ac:dyDescent="0.6">
      <c r="A865">
        <v>191</v>
      </c>
      <c r="B865" t="s">
        <v>7</v>
      </c>
      <c r="C865" t="s">
        <v>11</v>
      </c>
      <c r="D865">
        <v>250.17</v>
      </c>
      <c r="E865">
        <v>249.57</v>
      </c>
      <c r="F865">
        <v>26311</v>
      </c>
      <c r="H865">
        <f>_xlfn.LET(_xlpm.v, IFERROR(VLOOKUP($A865, manifest!$A:$E, 3, FALSE), ""), IF(OR(_xlpm.v=0, _xlpm.v=""), "", _xlpm.v))</f>
        <v>57</v>
      </c>
      <c r="I865" t="str">
        <f>_xlfn.LET(_xlpm.v, IFERROR(VLOOKUP($A865, manifest!$A:$E, 5, FALSE), ""), IF(OR(_xlpm.v=0, _xlpm.v=""), "", _xlpm.v))</f>
        <v>female</v>
      </c>
    </row>
    <row r="866" spans="1:9" x14ac:dyDescent="0.6">
      <c r="A866">
        <v>191</v>
      </c>
      <c r="B866" t="s">
        <v>7</v>
      </c>
      <c r="C866" t="s">
        <v>12</v>
      </c>
      <c r="D866">
        <v>230.82</v>
      </c>
      <c r="E866">
        <v>230.51</v>
      </c>
      <c r="F866">
        <v>35065</v>
      </c>
      <c r="H866">
        <f>_xlfn.LET(_xlpm.v, IFERROR(VLOOKUP($A866, manifest!$A:$E, 3, FALSE), ""), IF(OR(_xlpm.v=0, _xlpm.v=""), "", _xlpm.v))</f>
        <v>57</v>
      </c>
      <c r="I866" t="str">
        <f>_xlfn.LET(_xlpm.v, IFERROR(VLOOKUP($A866, manifest!$A:$E, 5, FALSE), ""), IF(OR(_xlpm.v=0, _xlpm.v=""), "", _xlpm.v))</f>
        <v>female</v>
      </c>
    </row>
    <row r="867" spans="1:9" x14ac:dyDescent="0.6">
      <c r="A867">
        <v>191</v>
      </c>
      <c r="B867" t="s">
        <v>7</v>
      </c>
      <c r="C867" t="s">
        <v>13</v>
      </c>
      <c r="D867">
        <v>201.57</v>
      </c>
      <c r="E867">
        <v>194.68</v>
      </c>
      <c r="F867">
        <v>41300</v>
      </c>
      <c r="H867">
        <f>_xlfn.LET(_xlpm.v, IFERROR(VLOOKUP($A867, manifest!$A:$E, 3, FALSE), ""), IF(OR(_xlpm.v=0, _xlpm.v=""), "", _xlpm.v))</f>
        <v>57</v>
      </c>
      <c r="I867" t="str">
        <f>_xlfn.LET(_xlpm.v, IFERROR(VLOOKUP($A867, manifest!$A:$E, 5, FALSE), ""), IF(OR(_xlpm.v=0, _xlpm.v=""), "", _xlpm.v))</f>
        <v>female</v>
      </c>
    </row>
    <row r="868" spans="1:9" x14ac:dyDescent="0.6">
      <c r="A868">
        <v>207</v>
      </c>
      <c r="B868" t="s">
        <v>7</v>
      </c>
      <c r="C868" t="s">
        <v>8</v>
      </c>
      <c r="D868">
        <v>215.65</v>
      </c>
      <c r="E868">
        <v>123.03</v>
      </c>
      <c r="F868">
        <v>16542</v>
      </c>
      <c r="G868" t="s">
        <v>9</v>
      </c>
      <c r="H868">
        <f>_xlfn.LET(_xlpm.v, IFERROR(VLOOKUP($A868, manifest!$A:$E, 3, FALSE), ""), IF(OR(_xlpm.v=0, _xlpm.v=""), "", _xlpm.v))</f>
        <v>52</v>
      </c>
      <c r="I868" t="str">
        <f>_xlfn.LET(_xlpm.v, IFERROR(VLOOKUP($A868, manifest!$A:$E, 5, FALSE), ""), IF(OR(_xlpm.v=0, _xlpm.v=""), "", _xlpm.v))</f>
        <v>female</v>
      </c>
    </row>
    <row r="869" spans="1:9" x14ac:dyDescent="0.6">
      <c r="A869">
        <v>207</v>
      </c>
      <c r="B869" t="s">
        <v>7</v>
      </c>
      <c r="C869" t="s">
        <v>10</v>
      </c>
      <c r="D869">
        <v>237.37</v>
      </c>
      <c r="E869">
        <v>207.5</v>
      </c>
      <c r="F869">
        <v>21150</v>
      </c>
      <c r="H869">
        <f>_xlfn.LET(_xlpm.v, IFERROR(VLOOKUP($A869, manifest!$A:$E, 3, FALSE), ""), IF(OR(_xlpm.v=0, _xlpm.v=""), "", _xlpm.v))</f>
        <v>52</v>
      </c>
      <c r="I869" t="str">
        <f>_xlfn.LET(_xlpm.v, IFERROR(VLOOKUP($A869, manifest!$A:$E, 5, FALSE), ""), IF(OR(_xlpm.v=0, _xlpm.v=""), "", _xlpm.v))</f>
        <v>female</v>
      </c>
    </row>
    <row r="870" spans="1:9" x14ac:dyDescent="0.6">
      <c r="A870">
        <v>207</v>
      </c>
      <c r="B870" t="s">
        <v>7</v>
      </c>
      <c r="C870" t="s">
        <v>11</v>
      </c>
      <c r="D870">
        <v>241.19</v>
      </c>
      <c r="E870">
        <v>240.9</v>
      </c>
      <c r="F870">
        <v>26369</v>
      </c>
      <c r="H870">
        <f>_xlfn.LET(_xlpm.v, IFERROR(VLOOKUP($A870, manifest!$A:$E, 3, FALSE), ""), IF(OR(_xlpm.v=0, _xlpm.v=""), "", _xlpm.v))</f>
        <v>52</v>
      </c>
      <c r="I870" t="str">
        <f>_xlfn.LET(_xlpm.v, IFERROR(VLOOKUP($A870, manifest!$A:$E, 5, FALSE), ""), IF(OR(_xlpm.v=0, _xlpm.v=""), "", _xlpm.v))</f>
        <v>female</v>
      </c>
    </row>
    <row r="871" spans="1:9" x14ac:dyDescent="0.6">
      <c r="A871">
        <v>207</v>
      </c>
      <c r="B871" t="s">
        <v>7</v>
      </c>
      <c r="C871" t="s">
        <v>12</v>
      </c>
      <c r="D871">
        <v>250.74</v>
      </c>
      <c r="E871">
        <v>232.16</v>
      </c>
      <c r="F871">
        <v>26701</v>
      </c>
      <c r="H871">
        <f>_xlfn.LET(_xlpm.v, IFERROR(VLOOKUP($A871, manifest!$A:$E, 3, FALSE), ""), IF(OR(_xlpm.v=0, _xlpm.v=""), "", _xlpm.v))</f>
        <v>52</v>
      </c>
      <c r="I871" t="str">
        <f>_xlfn.LET(_xlpm.v, IFERROR(VLOOKUP($A871, manifest!$A:$E, 5, FALSE), ""), IF(OR(_xlpm.v=0, _xlpm.v=""), "", _xlpm.v))</f>
        <v>female</v>
      </c>
    </row>
    <row r="872" spans="1:9" x14ac:dyDescent="0.6">
      <c r="A872">
        <v>207</v>
      </c>
      <c r="B872" t="s">
        <v>7</v>
      </c>
      <c r="C872" t="s">
        <v>13</v>
      </c>
      <c r="D872">
        <v>200.59</v>
      </c>
      <c r="E872">
        <v>135.38</v>
      </c>
      <c r="F872">
        <v>36221</v>
      </c>
      <c r="H872">
        <f>_xlfn.LET(_xlpm.v, IFERROR(VLOOKUP($A872, manifest!$A:$E, 3, FALSE), ""), IF(OR(_xlpm.v=0, _xlpm.v=""), "", _xlpm.v))</f>
        <v>52</v>
      </c>
      <c r="I872" t="str">
        <f>_xlfn.LET(_xlpm.v, IFERROR(VLOOKUP($A872, manifest!$A:$E, 5, FALSE), ""), IF(OR(_xlpm.v=0, _xlpm.v=""), "", _xlpm.v))</f>
        <v>female</v>
      </c>
    </row>
    <row r="873" spans="1:9" x14ac:dyDescent="0.6">
      <c r="A873">
        <v>170</v>
      </c>
      <c r="B873" t="s">
        <v>7</v>
      </c>
      <c r="C873" t="s">
        <v>8</v>
      </c>
      <c r="D873">
        <v>333.44</v>
      </c>
      <c r="E873">
        <v>237.57</v>
      </c>
      <c r="F873">
        <v>22236</v>
      </c>
      <c r="G873" t="s">
        <v>9</v>
      </c>
      <c r="H873">
        <f>_xlfn.LET(_xlpm.v, IFERROR(VLOOKUP($A873, manifest!$A:$E, 3, FALSE), ""), IF(OR(_xlpm.v=0, _xlpm.v=""), "", _xlpm.v))</f>
        <v>60</v>
      </c>
      <c r="I873" t="str">
        <f>_xlfn.LET(_xlpm.v, IFERROR(VLOOKUP($A873, manifest!$A:$E, 5, FALSE), ""), IF(OR(_xlpm.v=0, _xlpm.v=""), "", _xlpm.v))</f>
        <v>male</v>
      </c>
    </row>
    <row r="874" spans="1:9" x14ac:dyDescent="0.6">
      <c r="A874">
        <v>170</v>
      </c>
      <c r="B874" t="s">
        <v>7</v>
      </c>
      <c r="C874" t="s">
        <v>10</v>
      </c>
      <c r="D874">
        <v>333.35</v>
      </c>
      <c r="E874">
        <v>267.43</v>
      </c>
      <c r="F874">
        <v>26847</v>
      </c>
      <c r="H874">
        <f>_xlfn.LET(_xlpm.v, IFERROR(VLOOKUP($A874, manifest!$A:$E, 3, FALSE), ""), IF(OR(_xlpm.v=0, _xlpm.v=""), "", _xlpm.v))</f>
        <v>60</v>
      </c>
      <c r="I874" t="str">
        <f>_xlfn.LET(_xlpm.v, IFERROR(VLOOKUP($A874, manifest!$A:$E, 5, FALSE), ""), IF(OR(_xlpm.v=0, _xlpm.v=""), "", _xlpm.v))</f>
        <v>male</v>
      </c>
    </row>
    <row r="875" spans="1:9" x14ac:dyDescent="0.6">
      <c r="A875">
        <v>170</v>
      </c>
      <c r="B875" t="s">
        <v>7</v>
      </c>
      <c r="C875" t="s">
        <v>11</v>
      </c>
      <c r="D875">
        <v>362.96</v>
      </c>
      <c r="E875">
        <v>319.51</v>
      </c>
      <c r="F875">
        <v>33962</v>
      </c>
      <c r="H875">
        <f>_xlfn.LET(_xlpm.v, IFERROR(VLOOKUP($A875, manifest!$A:$E, 3, FALSE), ""), IF(OR(_xlpm.v=0, _xlpm.v=""), "", _xlpm.v))</f>
        <v>60</v>
      </c>
      <c r="I875" t="str">
        <f>_xlfn.LET(_xlpm.v, IFERROR(VLOOKUP($A875, manifest!$A:$E, 5, FALSE), ""), IF(OR(_xlpm.v=0, _xlpm.v=""), "", _xlpm.v))</f>
        <v>male</v>
      </c>
    </row>
    <row r="876" spans="1:9" x14ac:dyDescent="0.6">
      <c r="A876">
        <v>170</v>
      </c>
      <c r="B876" t="s">
        <v>7</v>
      </c>
      <c r="C876" t="s">
        <v>12</v>
      </c>
      <c r="D876">
        <v>337.13</v>
      </c>
      <c r="E876">
        <v>284.86</v>
      </c>
      <c r="F876">
        <v>42954</v>
      </c>
      <c r="H876">
        <f>_xlfn.LET(_xlpm.v, IFERROR(VLOOKUP($A876, manifest!$A:$E, 3, FALSE), ""), IF(OR(_xlpm.v=0, _xlpm.v=""), "", _xlpm.v))</f>
        <v>60</v>
      </c>
      <c r="I876" t="str">
        <f>_xlfn.LET(_xlpm.v, IFERROR(VLOOKUP($A876, manifest!$A:$E, 5, FALSE), ""), IF(OR(_xlpm.v=0, _xlpm.v=""), "", _xlpm.v))</f>
        <v>male</v>
      </c>
    </row>
    <row r="877" spans="1:9" x14ac:dyDescent="0.6">
      <c r="A877">
        <v>170</v>
      </c>
      <c r="B877" t="s">
        <v>7</v>
      </c>
      <c r="C877" t="s">
        <v>13</v>
      </c>
      <c r="D877">
        <v>369.8</v>
      </c>
      <c r="E877">
        <v>267.02</v>
      </c>
      <c r="F877">
        <v>42281</v>
      </c>
      <c r="H877">
        <f>_xlfn.LET(_xlpm.v, IFERROR(VLOOKUP($A877, manifest!$A:$E, 3, FALSE), ""), IF(OR(_xlpm.v=0, _xlpm.v=""), "", _xlpm.v))</f>
        <v>60</v>
      </c>
      <c r="I877" t="str">
        <f>_xlfn.LET(_xlpm.v, IFERROR(VLOOKUP($A877, manifest!$A:$E, 5, FALSE), ""), IF(OR(_xlpm.v=0, _xlpm.v=""), "", _xlpm.v))</f>
        <v>male</v>
      </c>
    </row>
    <row r="878" spans="1:9" x14ac:dyDescent="0.6">
      <c r="A878">
        <v>181</v>
      </c>
      <c r="B878" t="s">
        <v>14</v>
      </c>
      <c r="C878" t="s">
        <v>8</v>
      </c>
      <c r="D878">
        <v>314.89</v>
      </c>
      <c r="E878">
        <v>213.35</v>
      </c>
      <c r="F878">
        <v>31073</v>
      </c>
      <c r="G878" t="s">
        <v>9</v>
      </c>
      <c r="H878">
        <f>_xlfn.LET(_xlpm.v, IFERROR(VLOOKUP($A878, manifest!$A:$E, 3, FALSE), ""), IF(OR(_xlpm.v=0, _xlpm.v=""), "", _xlpm.v))</f>
        <v>65</v>
      </c>
      <c r="I878" t="str">
        <f>_xlfn.LET(_xlpm.v, IFERROR(VLOOKUP($A878, manifest!$A:$E, 5, FALSE), ""), IF(OR(_xlpm.v=0, _xlpm.v=""), "", _xlpm.v))</f>
        <v>male</v>
      </c>
    </row>
    <row r="879" spans="1:9" x14ac:dyDescent="0.6">
      <c r="A879">
        <v>181</v>
      </c>
      <c r="B879" t="s">
        <v>14</v>
      </c>
      <c r="C879" t="s">
        <v>10</v>
      </c>
      <c r="D879">
        <v>325.10000000000002</v>
      </c>
      <c r="E879">
        <v>236.7</v>
      </c>
      <c r="F879">
        <v>34261</v>
      </c>
      <c r="H879">
        <f>_xlfn.LET(_xlpm.v, IFERROR(VLOOKUP($A879, manifest!$A:$E, 3, FALSE), ""), IF(OR(_xlpm.v=0, _xlpm.v=""), "", _xlpm.v))</f>
        <v>65</v>
      </c>
      <c r="I879" t="str">
        <f>_xlfn.LET(_xlpm.v, IFERROR(VLOOKUP($A879, manifest!$A:$E, 5, FALSE), ""), IF(OR(_xlpm.v=0, _xlpm.v=""), "", _xlpm.v))</f>
        <v>male</v>
      </c>
    </row>
    <row r="880" spans="1:9" x14ac:dyDescent="0.6">
      <c r="A880">
        <v>181</v>
      </c>
      <c r="B880" t="s">
        <v>14</v>
      </c>
      <c r="C880" t="s">
        <v>11</v>
      </c>
      <c r="D880">
        <v>319.68</v>
      </c>
      <c r="E880">
        <v>231.11</v>
      </c>
      <c r="F880">
        <v>47931</v>
      </c>
      <c r="H880">
        <f>_xlfn.LET(_xlpm.v, IFERROR(VLOOKUP($A880, manifest!$A:$E, 3, FALSE), ""), IF(OR(_xlpm.v=0, _xlpm.v=""), "", _xlpm.v))</f>
        <v>65</v>
      </c>
      <c r="I880" t="str">
        <f>_xlfn.LET(_xlpm.v, IFERROR(VLOOKUP($A880, manifest!$A:$E, 5, FALSE), ""), IF(OR(_xlpm.v=0, _xlpm.v=""), "", _xlpm.v))</f>
        <v>male</v>
      </c>
    </row>
    <row r="881" spans="1:9" x14ac:dyDescent="0.6">
      <c r="A881">
        <v>181</v>
      </c>
      <c r="B881" t="s">
        <v>14</v>
      </c>
      <c r="C881" t="s">
        <v>12</v>
      </c>
      <c r="D881">
        <v>319.39</v>
      </c>
      <c r="E881">
        <v>245.61</v>
      </c>
      <c r="F881">
        <v>55712</v>
      </c>
      <c r="H881">
        <f>_xlfn.LET(_xlpm.v, IFERROR(VLOOKUP($A881, manifest!$A:$E, 3, FALSE), ""), IF(OR(_xlpm.v=0, _xlpm.v=""), "", _xlpm.v))</f>
        <v>65</v>
      </c>
      <c r="I881" t="str">
        <f>_xlfn.LET(_xlpm.v, IFERROR(VLOOKUP($A881, manifest!$A:$E, 5, FALSE), ""), IF(OR(_xlpm.v=0, _xlpm.v=""), "", _xlpm.v))</f>
        <v>male</v>
      </c>
    </row>
    <row r="882" spans="1:9" x14ac:dyDescent="0.6">
      <c r="A882">
        <v>181</v>
      </c>
      <c r="B882" t="s">
        <v>14</v>
      </c>
      <c r="C882" t="s">
        <v>13</v>
      </c>
      <c r="D882">
        <v>340.06</v>
      </c>
      <c r="E882">
        <v>210.42</v>
      </c>
      <c r="F882">
        <v>53233</v>
      </c>
      <c r="H882">
        <f>_xlfn.LET(_xlpm.v, IFERROR(VLOOKUP($A882, manifest!$A:$E, 3, FALSE), ""), IF(OR(_xlpm.v=0, _xlpm.v=""), "", _xlpm.v))</f>
        <v>65</v>
      </c>
      <c r="I882" t="str">
        <f>_xlfn.LET(_xlpm.v, IFERROR(VLOOKUP($A882, manifest!$A:$E, 5, FALSE), ""), IF(OR(_xlpm.v=0, _xlpm.v=""), "", _xlpm.v))</f>
        <v>male</v>
      </c>
    </row>
    <row r="883" spans="1:9" x14ac:dyDescent="0.6">
      <c r="A883">
        <v>177</v>
      </c>
      <c r="B883" t="s">
        <v>14</v>
      </c>
      <c r="C883" t="s">
        <v>8</v>
      </c>
      <c r="D883">
        <v>199.11</v>
      </c>
      <c r="E883">
        <v>94.11</v>
      </c>
      <c r="F883">
        <v>41022</v>
      </c>
      <c r="G883" t="s">
        <v>9</v>
      </c>
      <c r="H883">
        <f>_xlfn.LET(_xlpm.v, IFERROR(VLOOKUP($A883, manifest!$A:$E, 3, FALSE), ""), IF(OR(_xlpm.v=0, _xlpm.v=""), "", _xlpm.v))</f>
        <v>50</v>
      </c>
      <c r="I883" t="str">
        <f>_xlfn.LET(_xlpm.v, IFERROR(VLOOKUP($A883, manifest!$A:$E, 5, FALSE), ""), IF(OR(_xlpm.v=0, _xlpm.v=""), "", _xlpm.v))</f>
        <v>male</v>
      </c>
    </row>
    <row r="884" spans="1:9" x14ac:dyDescent="0.6">
      <c r="A884">
        <v>177</v>
      </c>
      <c r="B884" t="s">
        <v>14</v>
      </c>
      <c r="C884" t="s">
        <v>10</v>
      </c>
      <c r="D884">
        <v>202.3</v>
      </c>
      <c r="E884">
        <v>115.6</v>
      </c>
      <c r="F884">
        <v>41708</v>
      </c>
      <c r="H884">
        <f>_xlfn.LET(_xlpm.v, IFERROR(VLOOKUP($A884, manifest!$A:$E, 3, FALSE), ""), IF(OR(_xlpm.v=0, _xlpm.v=""), "", _xlpm.v))</f>
        <v>50</v>
      </c>
      <c r="I884" t="str">
        <f>_xlfn.LET(_xlpm.v, IFERROR(VLOOKUP($A884, manifest!$A:$E, 5, FALSE), ""), IF(OR(_xlpm.v=0, _xlpm.v=""), "", _xlpm.v))</f>
        <v>male</v>
      </c>
    </row>
    <row r="885" spans="1:9" x14ac:dyDescent="0.6">
      <c r="A885">
        <v>177</v>
      </c>
      <c r="B885" t="s">
        <v>14</v>
      </c>
      <c r="C885" t="s">
        <v>11</v>
      </c>
      <c r="D885">
        <v>198.6</v>
      </c>
      <c r="E885">
        <v>125.33</v>
      </c>
      <c r="F885">
        <v>46599</v>
      </c>
      <c r="H885">
        <f>_xlfn.LET(_xlpm.v, IFERROR(VLOOKUP($A885, manifest!$A:$E, 3, FALSE), ""), IF(OR(_xlpm.v=0, _xlpm.v=""), "", _xlpm.v))</f>
        <v>50</v>
      </c>
      <c r="I885" t="str">
        <f>_xlfn.LET(_xlpm.v, IFERROR(VLOOKUP($A885, manifest!$A:$E, 5, FALSE), ""), IF(OR(_xlpm.v=0, _xlpm.v=""), "", _xlpm.v))</f>
        <v>male</v>
      </c>
    </row>
    <row r="886" spans="1:9" x14ac:dyDescent="0.6">
      <c r="A886">
        <v>177</v>
      </c>
      <c r="B886" t="s">
        <v>14</v>
      </c>
      <c r="C886" t="s">
        <v>12</v>
      </c>
      <c r="D886">
        <v>189.47</v>
      </c>
      <c r="E886">
        <v>108.97</v>
      </c>
      <c r="F886">
        <v>50094</v>
      </c>
      <c r="H886">
        <f>_xlfn.LET(_xlpm.v, IFERROR(VLOOKUP($A886, manifest!$A:$E, 3, FALSE), ""), IF(OR(_xlpm.v=0, _xlpm.v=""), "", _xlpm.v))</f>
        <v>50</v>
      </c>
      <c r="I886" t="str">
        <f>_xlfn.LET(_xlpm.v, IFERROR(VLOOKUP($A886, manifest!$A:$E, 5, FALSE), ""), IF(OR(_xlpm.v=0, _xlpm.v=""), "", _xlpm.v))</f>
        <v>male</v>
      </c>
    </row>
    <row r="887" spans="1:9" x14ac:dyDescent="0.6">
      <c r="A887">
        <v>177</v>
      </c>
      <c r="B887" t="s">
        <v>14</v>
      </c>
      <c r="C887" t="s">
        <v>13</v>
      </c>
      <c r="D887">
        <v>200.34</v>
      </c>
      <c r="E887">
        <v>126.05</v>
      </c>
      <c r="F887">
        <v>52188</v>
      </c>
      <c r="H887">
        <f>_xlfn.LET(_xlpm.v, IFERROR(VLOOKUP($A887, manifest!$A:$E, 3, FALSE), ""), IF(OR(_xlpm.v=0, _xlpm.v=""), "", _xlpm.v))</f>
        <v>50</v>
      </c>
      <c r="I887" t="str">
        <f>_xlfn.LET(_xlpm.v, IFERROR(VLOOKUP($A887, manifest!$A:$E, 5, FALSE), ""), IF(OR(_xlpm.v=0, _xlpm.v=""), "", _xlpm.v))</f>
        <v>male</v>
      </c>
    </row>
    <row r="888" spans="1:9" x14ac:dyDescent="0.6">
      <c r="A888">
        <v>176</v>
      </c>
      <c r="B888" t="s">
        <v>7</v>
      </c>
      <c r="C888" t="s">
        <v>8</v>
      </c>
      <c r="D888">
        <v>220.67</v>
      </c>
      <c r="E888">
        <v>148.69999999999999</v>
      </c>
      <c r="F888">
        <v>33871</v>
      </c>
      <c r="G888" t="s">
        <v>9</v>
      </c>
      <c r="H888">
        <f>_xlfn.LET(_xlpm.v, IFERROR(VLOOKUP($A888, manifest!$A:$E, 3, FALSE), ""), IF(OR(_xlpm.v=0, _xlpm.v=""), "", _xlpm.v))</f>
        <v>57</v>
      </c>
      <c r="I888" t="str">
        <f>_xlfn.LET(_xlpm.v, IFERROR(VLOOKUP($A888, manifest!$A:$E, 5, FALSE), ""), IF(OR(_xlpm.v=0, _xlpm.v=""), "", _xlpm.v))</f>
        <v>female</v>
      </c>
    </row>
    <row r="889" spans="1:9" x14ac:dyDescent="0.6">
      <c r="A889">
        <v>176</v>
      </c>
      <c r="B889" t="s">
        <v>7</v>
      </c>
      <c r="C889" t="s">
        <v>10</v>
      </c>
      <c r="D889">
        <v>211.97</v>
      </c>
      <c r="E889">
        <v>157.12</v>
      </c>
      <c r="F889">
        <v>37824</v>
      </c>
      <c r="H889">
        <f>_xlfn.LET(_xlpm.v, IFERROR(VLOOKUP($A889, manifest!$A:$E, 3, FALSE), ""), IF(OR(_xlpm.v=0, _xlpm.v=""), "", _xlpm.v))</f>
        <v>57</v>
      </c>
      <c r="I889" t="str">
        <f>_xlfn.LET(_xlpm.v, IFERROR(VLOOKUP($A889, manifest!$A:$E, 5, FALSE), ""), IF(OR(_xlpm.v=0, _xlpm.v=""), "", _xlpm.v))</f>
        <v>female</v>
      </c>
    </row>
    <row r="890" spans="1:9" x14ac:dyDescent="0.6">
      <c r="A890">
        <v>176</v>
      </c>
      <c r="B890" t="s">
        <v>7</v>
      </c>
      <c r="C890" t="s">
        <v>11</v>
      </c>
      <c r="D890">
        <v>207.12</v>
      </c>
      <c r="E890">
        <v>154.29</v>
      </c>
      <c r="F890">
        <v>46695</v>
      </c>
      <c r="H890">
        <f>_xlfn.LET(_xlpm.v, IFERROR(VLOOKUP($A890, manifest!$A:$E, 3, FALSE), ""), IF(OR(_xlpm.v=0, _xlpm.v=""), "", _xlpm.v))</f>
        <v>57</v>
      </c>
      <c r="I890" t="str">
        <f>_xlfn.LET(_xlpm.v, IFERROR(VLOOKUP($A890, manifest!$A:$E, 5, FALSE), ""), IF(OR(_xlpm.v=0, _xlpm.v=""), "", _xlpm.v))</f>
        <v>female</v>
      </c>
    </row>
    <row r="891" spans="1:9" x14ac:dyDescent="0.6">
      <c r="A891">
        <v>176</v>
      </c>
      <c r="B891" t="s">
        <v>7</v>
      </c>
      <c r="C891" t="s">
        <v>12</v>
      </c>
      <c r="D891">
        <v>198.43</v>
      </c>
      <c r="E891">
        <v>158.76</v>
      </c>
      <c r="F891">
        <v>51267</v>
      </c>
      <c r="H891">
        <f>_xlfn.LET(_xlpm.v, IFERROR(VLOOKUP($A891, manifest!$A:$E, 3, FALSE), ""), IF(OR(_xlpm.v=0, _xlpm.v=""), "", _xlpm.v))</f>
        <v>57</v>
      </c>
      <c r="I891" t="str">
        <f>_xlfn.LET(_xlpm.v, IFERROR(VLOOKUP($A891, manifest!$A:$E, 5, FALSE), ""), IF(OR(_xlpm.v=0, _xlpm.v=""), "", _xlpm.v))</f>
        <v>female</v>
      </c>
    </row>
    <row r="892" spans="1:9" x14ac:dyDescent="0.6">
      <c r="A892">
        <v>176</v>
      </c>
      <c r="B892" t="s">
        <v>7</v>
      </c>
      <c r="C892" t="s">
        <v>13</v>
      </c>
      <c r="D892">
        <v>192.91</v>
      </c>
      <c r="E892">
        <v>155.07</v>
      </c>
      <c r="F892">
        <v>57922</v>
      </c>
      <c r="H892">
        <f>_xlfn.LET(_xlpm.v, IFERROR(VLOOKUP($A892, manifest!$A:$E, 3, FALSE), ""), IF(OR(_xlpm.v=0, _xlpm.v=""), "", _xlpm.v))</f>
        <v>57</v>
      </c>
      <c r="I892" t="str">
        <f>_xlfn.LET(_xlpm.v, IFERROR(VLOOKUP($A892, manifest!$A:$E, 5, FALSE), ""), IF(OR(_xlpm.v=0, _xlpm.v=""), "", _xlpm.v))</f>
        <v>female</v>
      </c>
    </row>
    <row r="893" spans="1:9" x14ac:dyDescent="0.6">
      <c r="A893">
        <v>200</v>
      </c>
      <c r="B893" t="s">
        <v>7</v>
      </c>
      <c r="C893" t="s">
        <v>8</v>
      </c>
      <c r="D893">
        <v>197.62</v>
      </c>
      <c r="E893">
        <v>121.98</v>
      </c>
      <c r="F893">
        <v>25367</v>
      </c>
      <c r="G893" t="s">
        <v>9</v>
      </c>
      <c r="H893">
        <f>_xlfn.LET(_xlpm.v, IFERROR(VLOOKUP($A893, manifest!$A:$E, 3, FALSE), ""), IF(OR(_xlpm.v=0, _xlpm.v=""), "", _xlpm.v))</f>
        <v>51</v>
      </c>
      <c r="I893" t="str">
        <f>_xlfn.LET(_xlpm.v, IFERROR(VLOOKUP($A893, manifest!$A:$E, 5, FALSE), ""), IF(OR(_xlpm.v=0, _xlpm.v=""), "", _xlpm.v))</f>
        <v>male</v>
      </c>
    </row>
    <row r="894" spans="1:9" x14ac:dyDescent="0.6">
      <c r="A894">
        <v>200</v>
      </c>
      <c r="B894" t="s">
        <v>7</v>
      </c>
      <c r="C894" t="s">
        <v>10</v>
      </c>
      <c r="D894">
        <v>211.82</v>
      </c>
      <c r="E894">
        <v>175.8</v>
      </c>
      <c r="F894">
        <v>29085</v>
      </c>
      <c r="H894">
        <f>_xlfn.LET(_xlpm.v, IFERROR(VLOOKUP($A894, manifest!$A:$E, 3, FALSE), ""), IF(OR(_xlpm.v=0, _xlpm.v=""), "", _xlpm.v))</f>
        <v>51</v>
      </c>
      <c r="I894" t="str">
        <f>_xlfn.LET(_xlpm.v, IFERROR(VLOOKUP($A894, manifest!$A:$E, 5, FALSE), ""), IF(OR(_xlpm.v=0, _xlpm.v=""), "", _xlpm.v))</f>
        <v>male</v>
      </c>
    </row>
    <row r="895" spans="1:9" x14ac:dyDescent="0.6">
      <c r="A895">
        <v>200</v>
      </c>
      <c r="B895" t="s">
        <v>7</v>
      </c>
      <c r="C895" t="s">
        <v>11</v>
      </c>
      <c r="D895">
        <v>209.31</v>
      </c>
      <c r="E895">
        <v>197.35</v>
      </c>
      <c r="F895">
        <v>32975</v>
      </c>
      <c r="H895">
        <f>_xlfn.LET(_xlpm.v, IFERROR(VLOOKUP($A895, manifest!$A:$E, 3, FALSE), ""), IF(OR(_xlpm.v=0, _xlpm.v=""), "", _xlpm.v))</f>
        <v>51</v>
      </c>
      <c r="I895" t="str">
        <f>_xlfn.LET(_xlpm.v, IFERROR(VLOOKUP($A895, manifest!$A:$E, 5, FALSE), ""), IF(OR(_xlpm.v=0, _xlpm.v=""), "", _xlpm.v))</f>
        <v>male</v>
      </c>
    </row>
    <row r="896" spans="1:9" x14ac:dyDescent="0.6">
      <c r="A896">
        <v>200</v>
      </c>
      <c r="B896" t="s">
        <v>7</v>
      </c>
      <c r="C896" t="s">
        <v>12</v>
      </c>
      <c r="D896">
        <v>205.68</v>
      </c>
      <c r="E896">
        <v>187.73</v>
      </c>
      <c r="F896">
        <v>36324</v>
      </c>
      <c r="H896">
        <f>_xlfn.LET(_xlpm.v, IFERROR(VLOOKUP($A896, manifest!$A:$E, 3, FALSE), ""), IF(OR(_xlpm.v=0, _xlpm.v=""), "", _xlpm.v))</f>
        <v>51</v>
      </c>
      <c r="I896" t="str">
        <f>_xlfn.LET(_xlpm.v, IFERROR(VLOOKUP($A896, manifest!$A:$E, 5, FALSE), ""), IF(OR(_xlpm.v=0, _xlpm.v=""), "", _xlpm.v))</f>
        <v>male</v>
      </c>
    </row>
    <row r="897" spans="1:9" x14ac:dyDescent="0.6">
      <c r="A897">
        <v>200</v>
      </c>
      <c r="B897" t="s">
        <v>7</v>
      </c>
      <c r="C897" t="s">
        <v>13</v>
      </c>
      <c r="D897">
        <v>208.02</v>
      </c>
      <c r="E897">
        <v>186.05</v>
      </c>
      <c r="F897">
        <v>53092</v>
      </c>
      <c r="H897">
        <f>_xlfn.LET(_xlpm.v, IFERROR(VLOOKUP($A897, manifest!$A:$E, 3, FALSE), ""), IF(OR(_xlpm.v=0, _xlpm.v=""), "", _xlpm.v))</f>
        <v>51</v>
      </c>
      <c r="I897" t="str">
        <f>_xlfn.LET(_xlpm.v, IFERROR(VLOOKUP($A897, manifest!$A:$E, 5, FALSE), ""), IF(OR(_xlpm.v=0, _xlpm.v=""), "", _xlpm.v))</f>
        <v>male</v>
      </c>
    </row>
    <row r="898" spans="1:9" x14ac:dyDescent="0.6">
      <c r="A898">
        <v>213</v>
      </c>
      <c r="B898" t="s">
        <v>14</v>
      </c>
      <c r="C898" t="s">
        <v>8</v>
      </c>
      <c r="D898">
        <v>205.5</v>
      </c>
      <c r="E898">
        <v>96.17</v>
      </c>
      <c r="F898">
        <v>29207</v>
      </c>
      <c r="G898" t="s">
        <v>9</v>
      </c>
      <c r="H898">
        <f>_xlfn.LET(_xlpm.v, IFERROR(VLOOKUP($A898, manifest!$A:$E, 3, FALSE), ""), IF(OR(_xlpm.v=0, _xlpm.v=""), "", _xlpm.v))</f>
        <v>89</v>
      </c>
      <c r="I898" t="str">
        <f>_xlfn.LET(_xlpm.v, IFERROR(VLOOKUP($A898, manifest!$A:$E, 5, FALSE), ""), IF(OR(_xlpm.v=0, _xlpm.v=""), "", _xlpm.v))</f>
        <v>other</v>
      </c>
    </row>
    <row r="899" spans="1:9" x14ac:dyDescent="0.6">
      <c r="A899">
        <v>213</v>
      </c>
      <c r="B899" t="s">
        <v>14</v>
      </c>
      <c r="C899" t="s">
        <v>10</v>
      </c>
      <c r="D899">
        <v>194.87</v>
      </c>
      <c r="E899">
        <v>108.54</v>
      </c>
      <c r="F899">
        <v>31061</v>
      </c>
      <c r="H899">
        <f>_xlfn.LET(_xlpm.v, IFERROR(VLOOKUP($A899, manifest!$A:$E, 3, FALSE), ""), IF(OR(_xlpm.v=0, _xlpm.v=""), "", _xlpm.v))</f>
        <v>89</v>
      </c>
      <c r="I899" t="str">
        <f>_xlfn.LET(_xlpm.v, IFERROR(VLOOKUP($A899, manifest!$A:$E, 5, FALSE), ""), IF(OR(_xlpm.v=0, _xlpm.v=""), "", _xlpm.v))</f>
        <v>other</v>
      </c>
    </row>
    <row r="900" spans="1:9" x14ac:dyDescent="0.6">
      <c r="A900">
        <v>213</v>
      </c>
      <c r="B900" t="s">
        <v>14</v>
      </c>
      <c r="C900" t="s">
        <v>11</v>
      </c>
      <c r="D900">
        <v>189.16</v>
      </c>
      <c r="E900">
        <v>119.34</v>
      </c>
      <c r="F900">
        <v>36590</v>
      </c>
      <c r="H900">
        <f>_xlfn.LET(_xlpm.v, IFERROR(VLOOKUP($A900, manifest!$A:$E, 3, FALSE), ""), IF(OR(_xlpm.v=0, _xlpm.v=""), "", _xlpm.v))</f>
        <v>89</v>
      </c>
      <c r="I900" t="str">
        <f>_xlfn.LET(_xlpm.v, IFERROR(VLOOKUP($A900, manifest!$A:$E, 5, FALSE), ""), IF(OR(_xlpm.v=0, _xlpm.v=""), "", _xlpm.v))</f>
        <v>other</v>
      </c>
    </row>
    <row r="901" spans="1:9" x14ac:dyDescent="0.6">
      <c r="A901">
        <v>213</v>
      </c>
      <c r="B901" t="s">
        <v>14</v>
      </c>
      <c r="C901" t="s">
        <v>12</v>
      </c>
      <c r="D901">
        <v>187.52</v>
      </c>
      <c r="E901">
        <v>123.49</v>
      </c>
      <c r="F901">
        <v>50161</v>
      </c>
      <c r="H901">
        <f>_xlfn.LET(_xlpm.v, IFERROR(VLOOKUP($A901, manifest!$A:$E, 3, FALSE), ""), IF(OR(_xlpm.v=0, _xlpm.v=""), "", _xlpm.v))</f>
        <v>89</v>
      </c>
      <c r="I901" t="str">
        <f>_xlfn.LET(_xlpm.v, IFERROR(VLOOKUP($A901, manifest!$A:$E, 5, FALSE), ""), IF(OR(_xlpm.v=0, _xlpm.v=""), "", _xlpm.v))</f>
        <v>other</v>
      </c>
    </row>
    <row r="902" spans="1:9" x14ac:dyDescent="0.6">
      <c r="A902">
        <v>213</v>
      </c>
      <c r="B902" t="s">
        <v>14</v>
      </c>
      <c r="C902" t="s">
        <v>13</v>
      </c>
      <c r="D902">
        <v>193.32</v>
      </c>
      <c r="E902">
        <v>131.37</v>
      </c>
      <c r="F902">
        <v>55471</v>
      </c>
      <c r="H902">
        <f>_xlfn.LET(_xlpm.v, IFERROR(VLOOKUP($A902, manifest!$A:$E, 3, FALSE), ""), IF(OR(_xlpm.v=0, _xlpm.v=""), "", _xlpm.v))</f>
        <v>89</v>
      </c>
      <c r="I902" t="str">
        <f>_xlfn.LET(_xlpm.v, IFERROR(VLOOKUP($A902, manifest!$A:$E, 5, FALSE), ""), IF(OR(_xlpm.v=0, _xlpm.v=""), "", _xlpm.v))</f>
        <v>other</v>
      </c>
    </row>
    <row r="903" spans="1:9" x14ac:dyDescent="0.6">
      <c r="A903">
        <v>209</v>
      </c>
      <c r="B903" t="s">
        <v>14</v>
      </c>
      <c r="C903" t="s">
        <v>8</v>
      </c>
      <c r="D903">
        <v>135.29</v>
      </c>
      <c r="E903">
        <v>97.56</v>
      </c>
      <c r="F903">
        <v>34224</v>
      </c>
      <c r="G903" t="s">
        <v>15</v>
      </c>
      <c r="H903" t="str">
        <f>_xlfn.LET(_xlpm.v, IFERROR(VLOOKUP($A903, manifest!$A:$E, 3, FALSE), ""), IF(OR(_xlpm.v=0, _xlpm.v=""), "", _xlpm.v))</f>
        <v/>
      </c>
      <c r="I903" t="str">
        <f>_xlfn.LET(_xlpm.v, IFERROR(VLOOKUP($A903, manifest!$A:$E, 5, FALSE), ""), IF(OR(_xlpm.v=0, _xlpm.v=""), "", _xlpm.v))</f>
        <v>male</v>
      </c>
    </row>
    <row r="904" spans="1:9" x14ac:dyDescent="0.6">
      <c r="A904">
        <v>209</v>
      </c>
      <c r="B904" t="s">
        <v>14</v>
      </c>
      <c r="C904" t="s">
        <v>10</v>
      </c>
      <c r="D904">
        <v>141.13999999999999</v>
      </c>
      <c r="E904">
        <v>114.99</v>
      </c>
      <c r="F904">
        <v>36665</v>
      </c>
      <c r="H904" t="str">
        <f>_xlfn.LET(_xlpm.v, IFERROR(VLOOKUP($A904, manifest!$A:$E, 3, FALSE), ""), IF(OR(_xlpm.v=0, _xlpm.v=""), "", _xlpm.v))</f>
        <v/>
      </c>
      <c r="I904" t="str">
        <f>_xlfn.LET(_xlpm.v, IFERROR(VLOOKUP($A904, manifest!$A:$E, 5, FALSE), ""), IF(OR(_xlpm.v=0, _xlpm.v=""), "", _xlpm.v))</f>
        <v>male</v>
      </c>
    </row>
    <row r="905" spans="1:9" x14ac:dyDescent="0.6">
      <c r="A905">
        <v>209</v>
      </c>
      <c r="B905" t="s">
        <v>14</v>
      </c>
      <c r="C905" t="s">
        <v>11</v>
      </c>
      <c r="D905">
        <v>133.07</v>
      </c>
      <c r="E905">
        <v>122.83</v>
      </c>
      <c r="F905">
        <v>44023</v>
      </c>
      <c r="H905" t="str">
        <f>_xlfn.LET(_xlpm.v, IFERROR(VLOOKUP($A905, manifest!$A:$E, 3, FALSE), ""), IF(OR(_xlpm.v=0, _xlpm.v=""), "", _xlpm.v))</f>
        <v/>
      </c>
      <c r="I905" t="str">
        <f>_xlfn.LET(_xlpm.v, IFERROR(VLOOKUP($A905, manifest!$A:$E, 5, FALSE), ""), IF(OR(_xlpm.v=0, _xlpm.v=""), "", _xlpm.v))</f>
        <v>male</v>
      </c>
    </row>
    <row r="906" spans="1:9" x14ac:dyDescent="0.6">
      <c r="A906">
        <v>209</v>
      </c>
      <c r="B906" t="s">
        <v>14</v>
      </c>
      <c r="C906" t="s">
        <v>12</v>
      </c>
      <c r="D906">
        <v>137.02000000000001</v>
      </c>
      <c r="E906">
        <v>146.74</v>
      </c>
      <c r="F906">
        <v>50724</v>
      </c>
      <c r="H906" t="str">
        <f>_xlfn.LET(_xlpm.v, IFERROR(VLOOKUP($A906, manifest!$A:$E, 3, FALSE), ""), IF(OR(_xlpm.v=0, _xlpm.v=""), "", _xlpm.v))</f>
        <v/>
      </c>
      <c r="I906" t="str">
        <f>_xlfn.LET(_xlpm.v, IFERROR(VLOOKUP($A906, manifest!$A:$E, 5, FALSE), ""), IF(OR(_xlpm.v=0, _xlpm.v=""), "", _xlpm.v))</f>
        <v>male</v>
      </c>
    </row>
    <row r="907" spans="1:9" x14ac:dyDescent="0.6">
      <c r="A907">
        <v>209</v>
      </c>
      <c r="B907" t="s">
        <v>14</v>
      </c>
      <c r="C907" t="s">
        <v>13</v>
      </c>
      <c r="D907">
        <v>156.88</v>
      </c>
      <c r="E907">
        <v>170.03</v>
      </c>
      <c r="F907">
        <v>56922</v>
      </c>
      <c r="H907" t="str">
        <f>_xlfn.LET(_xlpm.v, IFERROR(VLOOKUP($A907, manifest!$A:$E, 3, FALSE), ""), IF(OR(_xlpm.v=0, _xlpm.v=""), "", _xlpm.v))</f>
        <v/>
      </c>
      <c r="I907" t="str">
        <f>_xlfn.LET(_xlpm.v, IFERROR(VLOOKUP($A907, manifest!$A:$E, 5, FALSE), ""), IF(OR(_xlpm.v=0, _xlpm.v=""), "", _xlpm.v))</f>
        <v>male</v>
      </c>
    </row>
    <row r="908" spans="1:9" x14ac:dyDescent="0.6">
      <c r="A908">
        <v>186</v>
      </c>
      <c r="B908" t="s">
        <v>7</v>
      </c>
      <c r="C908" t="s">
        <v>8</v>
      </c>
      <c r="D908">
        <v>162.63999999999999</v>
      </c>
      <c r="E908">
        <v>131.75</v>
      </c>
      <c r="F908">
        <v>40797</v>
      </c>
      <c r="G908" t="s">
        <v>9</v>
      </c>
      <c r="H908">
        <f>_xlfn.LET(_xlpm.v, IFERROR(VLOOKUP($A908, manifest!$A:$E, 3, FALSE), ""), IF(OR(_xlpm.v=0, _xlpm.v=""), "", _xlpm.v))</f>
        <v>64</v>
      </c>
      <c r="I908" t="str">
        <f>_xlfn.LET(_xlpm.v, IFERROR(VLOOKUP($A908, manifest!$A:$E, 5, FALSE), ""), IF(OR(_xlpm.v=0, _xlpm.v=""), "", _xlpm.v))</f>
        <v>male</v>
      </c>
    </row>
    <row r="909" spans="1:9" x14ac:dyDescent="0.6">
      <c r="A909">
        <v>186</v>
      </c>
      <c r="B909" t="s">
        <v>7</v>
      </c>
      <c r="C909" t="s">
        <v>10</v>
      </c>
      <c r="D909">
        <v>163.34</v>
      </c>
      <c r="E909">
        <v>148.41</v>
      </c>
      <c r="F909">
        <v>38864</v>
      </c>
      <c r="H909">
        <f>_xlfn.LET(_xlpm.v, IFERROR(VLOOKUP($A909, manifest!$A:$E, 3, FALSE), ""), IF(OR(_xlpm.v=0, _xlpm.v=""), "", _xlpm.v))</f>
        <v>64</v>
      </c>
      <c r="I909" t="str">
        <f>_xlfn.LET(_xlpm.v, IFERROR(VLOOKUP($A909, manifest!$A:$E, 5, FALSE), ""), IF(OR(_xlpm.v=0, _xlpm.v=""), "", _xlpm.v))</f>
        <v>male</v>
      </c>
    </row>
    <row r="910" spans="1:9" x14ac:dyDescent="0.6">
      <c r="A910">
        <v>186</v>
      </c>
      <c r="B910" t="s">
        <v>7</v>
      </c>
      <c r="C910" t="s">
        <v>11</v>
      </c>
      <c r="D910">
        <v>165.12</v>
      </c>
      <c r="E910">
        <v>159.32</v>
      </c>
      <c r="F910">
        <v>46116</v>
      </c>
      <c r="H910">
        <f>_xlfn.LET(_xlpm.v, IFERROR(VLOOKUP($A910, manifest!$A:$E, 3, FALSE), ""), IF(OR(_xlpm.v=0, _xlpm.v=""), "", _xlpm.v))</f>
        <v>64</v>
      </c>
      <c r="I910" t="str">
        <f>_xlfn.LET(_xlpm.v, IFERROR(VLOOKUP($A910, manifest!$A:$E, 5, FALSE), ""), IF(OR(_xlpm.v=0, _xlpm.v=""), "", _xlpm.v))</f>
        <v>male</v>
      </c>
    </row>
    <row r="911" spans="1:9" x14ac:dyDescent="0.6">
      <c r="A911">
        <v>186</v>
      </c>
      <c r="B911" t="s">
        <v>7</v>
      </c>
      <c r="C911" t="s">
        <v>12</v>
      </c>
      <c r="D911">
        <v>180.65</v>
      </c>
      <c r="E911">
        <v>174.3</v>
      </c>
      <c r="F911">
        <v>56787</v>
      </c>
      <c r="H911">
        <f>_xlfn.LET(_xlpm.v, IFERROR(VLOOKUP($A911, manifest!$A:$E, 3, FALSE), ""), IF(OR(_xlpm.v=0, _xlpm.v=""), "", _xlpm.v))</f>
        <v>64</v>
      </c>
      <c r="I911" t="str">
        <f>_xlfn.LET(_xlpm.v, IFERROR(VLOOKUP($A911, manifest!$A:$E, 5, FALSE), ""), IF(OR(_xlpm.v=0, _xlpm.v=""), "", _xlpm.v))</f>
        <v>male</v>
      </c>
    </row>
    <row r="912" spans="1:9" x14ac:dyDescent="0.6">
      <c r="A912">
        <v>186</v>
      </c>
      <c r="B912" t="s">
        <v>7</v>
      </c>
      <c r="C912" t="s">
        <v>13</v>
      </c>
      <c r="D912">
        <v>186.03</v>
      </c>
      <c r="E912">
        <v>162.16</v>
      </c>
      <c r="F912">
        <v>51550</v>
      </c>
      <c r="H912">
        <f>_xlfn.LET(_xlpm.v, IFERROR(VLOOKUP($A912, manifest!$A:$E, 3, FALSE), ""), IF(OR(_xlpm.v=0, _xlpm.v=""), "", _xlpm.v))</f>
        <v>64</v>
      </c>
      <c r="I912" t="str">
        <f>_xlfn.LET(_xlpm.v, IFERROR(VLOOKUP($A912, manifest!$A:$E, 5, FALSE), ""), IF(OR(_xlpm.v=0, _xlpm.v=""), "", _xlpm.v))</f>
        <v>male</v>
      </c>
    </row>
    <row r="913" spans="1:9" x14ac:dyDescent="0.6">
      <c r="A913">
        <v>188</v>
      </c>
      <c r="B913" t="s">
        <v>7</v>
      </c>
      <c r="C913" t="s">
        <v>8</v>
      </c>
      <c r="D913">
        <v>255.29</v>
      </c>
      <c r="E913">
        <v>165.76</v>
      </c>
      <c r="F913">
        <v>44840</v>
      </c>
      <c r="G913" t="s">
        <v>9</v>
      </c>
      <c r="H913">
        <f>_xlfn.LET(_xlpm.v, IFERROR(VLOOKUP($A913, manifest!$A:$E, 3, FALSE), ""), IF(OR(_xlpm.v=0, _xlpm.v=""), "", _xlpm.v))</f>
        <v>66</v>
      </c>
      <c r="I913" t="str">
        <f>_xlfn.LET(_xlpm.v, IFERROR(VLOOKUP($A913, manifest!$A:$E, 5, FALSE), ""), IF(OR(_xlpm.v=0, _xlpm.v=""), "", _xlpm.v))</f>
        <v>male</v>
      </c>
    </row>
    <row r="914" spans="1:9" x14ac:dyDescent="0.6">
      <c r="A914">
        <v>188</v>
      </c>
      <c r="B914" t="s">
        <v>7</v>
      </c>
      <c r="C914" t="s">
        <v>10</v>
      </c>
      <c r="D914">
        <v>266.56</v>
      </c>
      <c r="E914">
        <v>183.98</v>
      </c>
      <c r="F914">
        <v>38996</v>
      </c>
      <c r="H914">
        <f>_xlfn.LET(_xlpm.v, IFERROR(VLOOKUP($A914, manifest!$A:$E, 3, FALSE), ""), IF(OR(_xlpm.v=0, _xlpm.v=""), "", _xlpm.v))</f>
        <v>66</v>
      </c>
      <c r="I914" t="str">
        <f>_xlfn.LET(_xlpm.v, IFERROR(VLOOKUP($A914, manifest!$A:$E, 5, FALSE), ""), IF(OR(_xlpm.v=0, _xlpm.v=""), "", _xlpm.v))</f>
        <v>male</v>
      </c>
    </row>
    <row r="915" spans="1:9" x14ac:dyDescent="0.6">
      <c r="A915">
        <v>188</v>
      </c>
      <c r="B915" t="s">
        <v>7</v>
      </c>
      <c r="C915" t="s">
        <v>11</v>
      </c>
      <c r="D915">
        <v>241.81</v>
      </c>
      <c r="E915">
        <v>166.21</v>
      </c>
      <c r="F915">
        <v>56196</v>
      </c>
      <c r="H915">
        <f>_xlfn.LET(_xlpm.v, IFERROR(VLOOKUP($A915, manifest!$A:$E, 3, FALSE), ""), IF(OR(_xlpm.v=0, _xlpm.v=""), "", _xlpm.v))</f>
        <v>66</v>
      </c>
      <c r="I915" t="str">
        <f>_xlfn.LET(_xlpm.v, IFERROR(VLOOKUP($A915, manifest!$A:$E, 5, FALSE), ""), IF(OR(_xlpm.v=0, _xlpm.v=""), "", _xlpm.v))</f>
        <v>male</v>
      </c>
    </row>
    <row r="916" spans="1:9" x14ac:dyDescent="0.6">
      <c r="A916">
        <v>188</v>
      </c>
      <c r="B916" t="s">
        <v>7</v>
      </c>
      <c r="C916" t="s">
        <v>12</v>
      </c>
      <c r="D916">
        <v>221.07</v>
      </c>
      <c r="E916">
        <v>169.14</v>
      </c>
      <c r="F916">
        <v>67670</v>
      </c>
      <c r="H916">
        <f>_xlfn.LET(_xlpm.v, IFERROR(VLOOKUP($A916, manifest!$A:$E, 3, FALSE), ""), IF(OR(_xlpm.v=0, _xlpm.v=""), "", _xlpm.v))</f>
        <v>66</v>
      </c>
      <c r="I916" t="str">
        <f>_xlfn.LET(_xlpm.v, IFERROR(VLOOKUP($A916, manifest!$A:$E, 5, FALSE), ""), IF(OR(_xlpm.v=0, _xlpm.v=""), "", _xlpm.v))</f>
        <v>male</v>
      </c>
    </row>
    <row r="917" spans="1:9" x14ac:dyDescent="0.6">
      <c r="A917">
        <v>188</v>
      </c>
      <c r="B917" t="s">
        <v>7</v>
      </c>
      <c r="C917" t="s">
        <v>13</v>
      </c>
      <c r="D917">
        <v>232.69</v>
      </c>
      <c r="E917">
        <v>174.8</v>
      </c>
      <c r="F917">
        <v>63225</v>
      </c>
      <c r="H917">
        <f>_xlfn.LET(_xlpm.v, IFERROR(VLOOKUP($A917, manifest!$A:$E, 3, FALSE), ""), IF(OR(_xlpm.v=0, _xlpm.v=""), "", _xlpm.v))</f>
        <v>66</v>
      </c>
      <c r="I917" t="str">
        <f>_xlfn.LET(_xlpm.v, IFERROR(VLOOKUP($A917, manifest!$A:$E, 5, FALSE), ""), IF(OR(_xlpm.v=0, _xlpm.v=""), "", _xlpm.v))</f>
        <v>male</v>
      </c>
    </row>
    <row r="918" spans="1:9" x14ac:dyDescent="0.6">
      <c r="A918">
        <v>204</v>
      </c>
      <c r="B918" t="s">
        <v>14</v>
      </c>
      <c r="C918" t="s">
        <v>8</v>
      </c>
      <c r="D918">
        <v>291.14</v>
      </c>
      <c r="E918">
        <v>247.02</v>
      </c>
      <c r="F918">
        <v>45091</v>
      </c>
      <c r="G918" t="s">
        <v>9</v>
      </c>
      <c r="H918">
        <f>_xlfn.LET(_xlpm.v, IFERROR(VLOOKUP($A918, manifest!$A:$E, 3, FALSE), ""), IF(OR(_xlpm.v=0, _xlpm.v=""), "", _xlpm.v))</f>
        <v>60</v>
      </c>
      <c r="I918" t="str">
        <f>_xlfn.LET(_xlpm.v, IFERROR(VLOOKUP($A918, manifest!$A:$E, 5, FALSE), ""), IF(OR(_xlpm.v=0, _xlpm.v=""), "", _xlpm.v))</f>
        <v>male</v>
      </c>
    </row>
    <row r="919" spans="1:9" x14ac:dyDescent="0.6">
      <c r="A919">
        <v>204</v>
      </c>
      <c r="B919" t="s">
        <v>14</v>
      </c>
      <c r="C919" t="s">
        <v>10</v>
      </c>
      <c r="D919">
        <v>363.02</v>
      </c>
      <c r="E919">
        <v>317.18</v>
      </c>
      <c r="F919">
        <v>47656</v>
      </c>
      <c r="H919">
        <f>_xlfn.LET(_xlpm.v, IFERROR(VLOOKUP($A919, manifest!$A:$E, 3, FALSE), ""), IF(OR(_xlpm.v=0, _xlpm.v=""), "", _xlpm.v))</f>
        <v>60</v>
      </c>
      <c r="I919" t="str">
        <f>_xlfn.LET(_xlpm.v, IFERROR(VLOOKUP($A919, manifest!$A:$E, 5, FALSE), ""), IF(OR(_xlpm.v=0, _xlpm.v=""), "", _xlpm.v))</f>
        <v>male</v>
      </c>
    </row>
    <row r="920" spans="1:9" x14ac:dyDescent="0.6">
      <c r="A920">
        <v>204</v>
      </c>
      <c r="B920" t="s">
        <v>14</v>
      </c>
      <c r="C920" t="s">
        <v>11</v>
      </c>
      <c r="D920">
        <v>313.02999999999997</v>
      </c>
      <c r="E920">
        <v>287.07</v>
      </c>
      <c r="F920">
        <v>46987</v>
      </c>
      <c r="H920">
        <f>_xlfn.LET(_xlpm.v, IFERROR(VLOOKUP($A920, manifest!$A:$E, 3, FALSE), ""), IF(OR(_xlpm.v=0, _xlpm.v=""), "", _xlpm.v))</f>
        <v>60</v>
      </c>
      <c r="I920" t="str">
        <f>_xlfn.LET(_xlpm.v, IFERROR(VLOOKUP($A920, manifest!$A:$E, 5, FALSE), ""), IF(OR(_xlpm.v=0, _xlpm.v=""), "", _xlpm.v))</f>
        <v>male</v>
      </c>
    </row>
    <row r="921" spans="1:9" x14ac:dyDescent="0.6">
      <c r="A921">
        <v>204</v>
      </c>
      <c r="B921" t="s">
        <v>14</v>
      </c>
      <c r="C921" t="s">
        <v>12</v>
      </c>
      <c r="D921">
        <v>297.99</v>
      </c>
      <c r="E921">
        <v>272.19</v>
      </c>
      <c r="F921">
        <v>58297</v>
      </c>
      <c r="H921">
        <f>_xlfn.LET(_xlpm.v, IFERROR(VLOOKUP($A921, manifest!$A:$E, 3, FALSE), ""), IF(OR(_xlpm.v=0, _xlpm.v=""), "", _xlpm.v))</f>
        <v>60</v>
      </c>
      <c r="I921" t="str">
        <f>_xlfn.LET(_xlpm.v, IFERROR(VLOOKUP($A921, manifest!$A:$E, 5, FALSE), ""), IF(OR(_xlpm.v=0, _xlpm.v=""), "", _xlpm.v))</f>
        <v>male</v>
      </c>
    </row>
    <row r="922" spans="1:9" x14ac:dyDescent="0.6">
      <c r="A922">
        <v>204</v>
      </c>
      <c r="B922" t="s">
        <v>14</v>
      </c>
      <c r="C922" t="s">
        <v>13</v>
      </c>
      <c r="D922">
        <v>271.19</v>
      </c>
      <c r="E922">
        <v>232.84</v>
      </c>
      <c r="F922">
        <v>68506</v>
      </c>
      <c r="H922">
        <f>_xlfn.LET(_xlpm.v, IFERROR(VLOOKUP($A922, manifest!$A:$E, 3, FALSE), ""), IF(OR(_xlpm.v=0, _xlpm.v=""), "", _xlpm.v))</f>
        <v>60</v>
      </c>
      <c r="I922" t="str">
        <f>_xlfn.LET(_xlpm.v, IFERROR(VLOOKUP($A922, manifest!$A:$E, 5, FALSE), ""), IF(OR(_xlpm.v=0, _xlpm.v=""), "", _xlpm.v))</f>
        <v>male</v>
      </c>
    </row>
    <row r="923" spans="1:9" x14ac:dyDescent="0.6">
      <c r="A923">
        <v>199</v>
      </c>
      <c r="B923" t="s">
        <v>7</v>
      </c>
      <c r="C923" t="s">
        <v>8</v>
      </c>
      <c r="D923">
        <v>263.2</v>
      </c>
      <c r="E923">
        <v>141.80000000000001</v>
      </c>
      <c r="F923">
        <v>44803</v>
      </c>
      <c r="G923" t="s">
        <v>9</v>
      </c>
      <c r="H923">
        <f>_xlfn.LET(_xlpm.v, IFERROR(VLOOKUP($A923, manifest!$A:$E, 3, FALSE), ""), IF(OR(_xlpm.v=0, _xlpm.v=""), "", _xlpm.v))</f>
        <v>55</v>
      </c>
      <c r="I923" t="str">
        <f>_xlfn.LET(_xlpm.v, IFERROR(VLOOKUP($A923, manifest!$A:$E, 5, FALSE), ""), IF(OR(_xlpm.v=0, _xlpm.v=""), "", _xlpm.v))</f>
        <v>male</v>
      </c>
    </row>
    <row r="924" spans="1:9" x14ac:dyDescent="0.6">
      <c r="A924">
        <v>199</v>
      </c>
      <c r="B924" t="s">
        <v>7</v>
      </c>
      <c r="C924" t="s">
        <v>10</v>
      </c>
      <c r="D924">
        <v>254.9</v>
      </c>
      <c r="E924">
        <v>162.66</v>
      </c>
      <c r="F924">
        <v>48918</v>
      </c>
      <c r="H924">
        <f>_xlfn.LET(_xlpm.v, IFERROR(VLOOKUP($A924, manifest!$A:$E, 3, FALSE), ""), IF(OR(_xlpm.v=0, _xlpm.v=""), "", _xlpm.v))</f>
        <v>55</v>
      </c>
      <c r="I924" t="str">
        <f>_xlfn.LET(_xlpm.v, IFERROR(VLOOKUP($A924, manifest!$A:$E, 5, FALSE), ""), IF(OR(_xlpm.v=0, _xlpm.v=""), "", _xlpm.v))</f>
        <v>male</v>
      </c>
    </row>
    <row r="925" spans="1:9" x14ac:dyDescent="0.6">
      <c r="A925">
        <v>199</v>
      </c>
      <c r="B925" t="s">
        <v>7</v>
      </c>
      <c r="C925" t="s">
        <v>11</v>
      </c>
      <c r="D925">
        <v>249.06</v>
      </c>
      <c r="E925">
        <v>152.1</v>
      </c>
      <c r="F925">
        <v>43197</v>
      </c>
      <c r="H925">
        <f>_xlfn.LET(_xlpm.v, IFERROR(VLOOKUP($A925, manifest!$A:$E, 3, FALSE), ""), IF(OR(_xlpm.v=0, _xlpm.v=""), "", _xlpm.v))</f>
        <v>55</v>
      </c>
      <c r="I925" t="str">
        <f>_xlfn.LET(_xlpm.v, IFERROR(VLOOKUP($A925, manifest!$A:$E, 5, FALSE), ""), IF(OR(_xlpm.v=0, _xlpm.v=""), "", _xlpm.v))</f>
        <v>male</v>
      </c>
    </row>
    <row r="926" spans="1:9" x14ac:dyDescent="0.6">
      <c r="A926">
        <v>199</v>
      </c>
      <c r="B926" t="s">
        <v>7</v>
      </c>
      <c r="C926" t="s">
        <v>12</v>
      </c>
      <c r="D926">
        <v>245.43</v>
      </c>
      <c r="E926">
        <v>164.28</v>
      </c>
      <c r="F926">
        <v>44553</v>
      </c>
      <c r="H926">
        <f>_xlfn.LET(_xlpm.v, IFERROR(VLOOKUP($A926, manifest!$A:$E, 3, FALSE), ""), IF(OR(_xlpm.v=0, _xlpm.v=""), "", _xlpm.v))</f>
        <v>55</v>
      </c>
      <c r="I926" t="str">
        <f>_xlfn.LET(_xlpm.v, IFERROR(VLOOKUP($A926, manifest!$A:$E, 5, FALSE), ""), IF(OR(_xlpm.v=0, _xlpm.v=""), "", _xlpm.v))</f>
        <v>male</v>
      </c>
    </row>
    <row r="927" spans="1:9" x14ac:dyDescent="0.6">
      <c r="A927">
        <v>199</v>
      </c>
      <c r="B927" t="s">
        <v>7</v>
      </c>
      <c r="C927" t="s">
        <v>13</v>
      </c>
      <c r="D927">
        <v>248.98</v>
      </c>
      <c r="E927">
        <v>159.55000000000001</v>
      </c>
      <c r="F927">
        <v>62579</v>
      </c>
      <c r="H927">
        <f>_xlfn.LET(_xlpm.v, IFERROR(VLOOKUP($A927, manifest!$A:$E, 3, FALSE), ""), IF(OR(_xlpm.v=0, _xlpm.v=""), "", _xlpm.v))</f>
        <v>55</v>
      </c>
      <c r="I927" t="str">
        <f>_xlfn.LET(_xlpm.v, IFERROR(VLOOKUP($A927, manifest!$A:$E, 5, FALSE), ""), IF(OR(_xlpm.v=0, _xlpm.v=""), "", _xlpm.v))</f>
        <v>male</v>
      </c>
    </row>
    <row r="928" spans="1:9" x14ac:dyDescent="0.6">
      <c r="A928">
        <v>193</v>
      </c>
      <c r="B928" t="s">
        <v>7</v>
      </c>
      <c r="C928" t="s">
        <v>8</v>
      </c>
      <c r="D928">
        <v>188.4</v>
      </c>
      <c r="E928">
        <v>86.32</v>
      </c>
      <c r="F928">
        <v>29053</v>
      </c>
      <c r="G928" t="s">
        <v>9</v>
      </c>
      <c r="H928">
        <f>_xlfn.LET(_xlpm.v, IFERROR(VLOOKUP($A928, manifest!$A:$E, 3, FALSE), ""), IF(OR(_xlpm.v=0, _xlpm.v=""), "", _xlpm.v))</f>
        <v>55</v>
      </c>
      <c r="I928" t="str">
        <f>_xlfn.LET(_xlpm.v, IFERROR(VLOOKUP($A928, manifest!$A:$E, 5, FALSE), ""), IF(OR(_xlpm.v=0, _xlpm.v=""), "", _xlpm.v))</f>
        <v>female</v>
      </c>
    </row>
    <row r="929" spans="1:9" x14ac:dyDescent="0.6">
      <c r="A929">
        <v>193</v>
      </c>
      <c r="B929" t="s">
        <v>7</v>
      </c>
      <c r="C929" t="s">
        <v>10</v>
      </c>
      <c r="D929">
        <v>196.62</v>
      </c>
      <c r="E929">
        <v>113.13</v>
      </c>
      <c r="F929">
        <v>31999</v>
      </c>
      <c r="H929">
        <f>_xlfn.LET(_xlpm.v, IFERROR(VLOOKUP($A929, manifest!$A:$E, 3, FALSE), ""), IF(OR(_xlpm.v=0, _xlpm.v=""), "", _xlpm.v))</f>
        <v>55</v>
      </c>
      <c r="I929" t="str">
        <f>_xlfn.LET(_xlpm.v, IFERROR(VLOOKUP($A929, manifest!$A:$E, 5, FALSE), ""), IF(OR(_xlpm.v=0, _xlpm.v=""), "", _xlpm.v))</f>
        <v>female</v>
      </c>
    </row>
    <row r="930" spans="1:9" x14ac:dyDescent="0.6">
      <c r="A930">
        <v>193</v>
      </c>
      <c r="B930" t="s">
        <v>7</v>
      </c>
      <c r="C930" t="s">
        <v>11</v>
      </c>
      <c r="D930">
        <v>184.65</v>
      </c>
      <c r="E930">
        <v>99.74</v>
      </c>
      <c r="F930">
        <v>34428</v>
      </c>
      <c r="H930">
        <f>_xlfn.LET(_xlpm.v, IFERROR(VLOOKUP($A930, manifest!$A:$E, 3, FALSE), ""), IF(OR(_xlpm.v=0, _xlpm.v=""), "", _xlpm.v))</f>
        <v>55</v>
      </c>
      <c r="I930" t="str">
        <f>_xlfn.LET(_xlpm.v, IFERROR(VLOOKUP($A930, manifest!$A:$E, 5, FALSE), ""), IF(OR(_xlpm.v=0, _xlpm.v=""), "", _xlpm.v))</f>
        <v>female</v>
      </c>
    </row>
    <row r="931" spans="1:9" x14ac:dyDescent="0.6">
      <c r="A931">
        <v>193</v>
      </c>
      <c r="B931" t="s">
        <v>7</v>
      </c>
      <c r="C931" t="s">
        <v>12</v>
      </c>
      <c r="D931">
        <v>182.42</v>
      </c>
      <c r="E931">
        <v>99.7</v>
      </c>
      <c r="F931">
        <v>39704</v>
      </c>
      <c r="H931">
        <f>_xlfn.LET(_xlpm.v, IFERROR(VLOOKUP($A931, manifest!$A:$E, 3, FALSE), ""), IF(OR(_xlpm.v=0, _xlpm.v=""), "", _xlpm.v))</f>
        <v>55</v>
      </c>
      <c r="I931" t="str">
        <f>_xlfn.LET(_xlpm.v, IFERROR(VLOOKUP($A931, manifest!$A:$E, 5, FALSE), ""), IF(OR(_xlpm.v=0, _xlpm.v=""), "", _xlpm.v))</f>
        <v>female</v>
      </c>
    </row>
    <row r="932" spans="1:9" x14ac:dyDescent="0.6">
      <c r="A932">
        <v>193</v>
      </c>
      <c r="B932" t="s">
        <v>7</v>
      </c>
      <c r="C932" t="s">
        <v>13</v>
      </c>
      <c r="D932">
        <v>167.4</v>
      </c>
      <c r="E932">
        <v>101.01</v>
      </c>
      <c r="F932">
        <v>48111</v>
      </c>
      <c r="H932">
        <f>_xlfn.LET(_xlpm.v, IFERROR(VLOOKUP($A932, manifest!$A:$E, 3, FALSE), ""), IF(OR(_xlpm.v=0, _xlpm.v=""), "", _xlpm.v))</f>
        <v>55</v>
      </c>
      <c r="I932" t="str">
        <f>_xlfn.LET(_xlpm.v, IFERROR(VLOOKUP($A932, manifest!$A:$E, 5, FALSE), ""), IF(OR(_xlpm.v=0, _xlpm.v=""), "", _xlpm.v))</f>
        <v>female</v>
      </c>
    </row>
    <row r="933" spans="1:9" x14ac:dyDescent="0.6">
      <c r="A933">
        <v>197</v>
      </c>
      <c r="B933" t="s">
        <v>7</v>
      </c>
      <c r="C933" t="s">
        <v>8</v>
      </c>
      <c r="D933">
        <v>176.44</v>
      </c>
      <c r="E933">
        <v>112.03</v>
      </c>
      <c r="F933">
        <v>50703</v>
      </c>
      <c r="G933" t="s">
        <v>9</v>
      </c>
      <c r="H933">
        <f>_xlfn.LET(_xlpm.v, IFERROR(VLOOKUP($A933, manifest!$A:$E, 3, FALSE), ""), IF(OR(_xlpm.v=0, _xlpm.v=""), "", _xlpm.v))</f>
        <v>55</v>
      </c>
      <c r="I933" t="str">
        <f>_xlfn.LET(_xlpm.v, IFERROR(VLOOKUP($A933, manifest!$A:$E, 5, FALSE), ""), IF(OR(_xlpm.v=0, _xlpm.v=""), "", _xlpm.v))</f>
        <v>male</v>
      </c>
    </row>
    <row r="934" spans="1:9" x14ac:dyDescent="0.6">
      <c r="A934">
        <v>197</v>
      </c>
      <c r="B934" t="s">
        <v>7</v>
      </c>
      <c r="C934" t="s">
        <v>10</v>
      </c>
      <c r="D934">
        <v>179.37</v>
      </c>
      <c r="E934">
        <v>131.69</v>
      </c>
      <c r="F934">
        <v>63282</v>
      </c>
      <c r="H934">
        <f>_xlfn.LET(_xlpm.v, IFERROR(VLOOKUP($A934, manifest!$A:$E, 3, FALSE), ""), IF(OR(_xlpm.v=0, _xlpm.v=""), "", _xlpm.v))</f>
        <v>55</v>
      </c>
      <c r="I934" t="str">
        <f>_xlfn.LET(_xlpm.v, IFERROR(VLOOKUP($A934, manifest!$A:$E, 5, FALSE), ""), IF(OR(_xlpm.v=0, _xlpm.v=""), "", _xlpm.v))</f>
        <v>male</v>
      </c>
    </row>
    <row r="935" spans="1:9" x14ac:dyDescent="0.6">
      <c r="A935">
        <v>197</v>
      </c>
      <c r="B935" t="s">
        <v>7</v>
      </c>
      <c r="C935" t="s">
        <v>11</v>
      </c>
      <c r="D935">
        <v>167.05</v>
      </c>
      <c r="E935">
        <v>126.86</v>
      </c>
      <c r="F935">
        <v>82028</v>
      </c>
      <c r="H935">
        <f>_xlfn.LET(_xlpm.v, IFERROR(VLOOKUP($A935, manifest!$A:$E, 3, FALSE), ""), IF(OR(_xlpm.v=0, _xlpm.v=""), "", _xlpm.v))</f>
        <v>55</v>
      </c>
      <c r="I935" t="str">
        <f>_xlfn.LET(_xlpm.v, IFERROR(VLOOKUP($A935, manifest!$A:$E, 5, FALSE), ""), IF(OR(_xlpm.v=0, _xlpm.v=""), "", _xlpm.v))</f>
        <v>male</v>
      </c>
    </row>
    <row r="936" spans="1:9" x14ac:dyDescent="0.6">
      <c r="A936">
        <v>197</v>
      </c>
      <c r="B936" t="s">
        <v>7</v>
      </c>
      <c r="C936" t="s">
        <v>12</v>
      </c>
      <c r="D936">
        <v>184.91</v>
      </c>
      <c r="E936">
        <v>122.37</v>
      </c>
      <c r="F936">
        <v>67838</v>
      </c>
      <c r="H936">
        <f>_xlfn.LET(_xlpm.v, IFERROR(VLOOKUP($A936, manifest!$A:$E, 3, FALSE), ""), IF(OR(_xlpm.v=0, _xlpm.v=""), "", _xlpm.v))</f>
        <v>55</v>
      </c>
      <c r="I936" t="str">
        <f>_xlfn.LET(_xlpm.v, IFERROR(VLOOKUP($A936, manifest!$A:$E, 5, FALSE), ""), IF(OR(_xlpm.v=0, _xlpm.v=""), "", _xlpm.v))</f>
        <v>male</v>
      </c>
    </row>
    <row r="937" spans="1:9" x14ac:dyDescent="0.6">
      <c r="A937">
        <v>197</v>
      </c>
      <c r="B937" t="s">
        <v>7</v>
      </c>
      <c r="C937" t="s">
        <v>13</v>
      </c>
      <c r="D937">
        <v>195.33</v>
      </c>
      <c r="E937">
        <v>120.19</v>
      </c>
      <c r="F937">
        <v>74320</v>
      </c>
      <c r="H937">
        <f>_xlfn.LET(_xlpm.v, IFERROR(VLOOKUP($A937, manifest!$A:$E, 3, FALSE), ""), IF(OR(_xlpm.v=0, _xlpm.v=""), "", _xlpm.v))</f>
        <v>55</v>
      </c>
      <c r="I937" t="str">
        <f>_xlfn.LET(_xlpm.v, IFERROR(VLOOKUP($A937, manifest!$A:$E, 5, FALSE), ""), IF(OR(_xlpm.v=0, _xlpm.v=""), "", _xlpm.v))</f>
        <v>male</v>
      </c>
    </row>
    <row r="938" spans="1:9" x14ac:dyDescent="0.6">
      <c r="A938">
        <v>202</v>
      </c>
      <c r="B938" t="s">
        <v>14</v>
      </c>
      <c r="C938" t="s">
        <v>8</v>
      </c>
      <c r="D938">
        <v>153.37</v>
      </c>
      <c r="E938">
        <v>94.32</v>
      </c>
      <c r="F938">
        <v>24417</v>
      </c>
      <c r="G938" t="s">
        <v>15</v>
      </c>
      <c r="H938">
        <f>_xlfn.LET(_xlpm.v, IFERROR(VLOOKUP($A938, manifest!$A:$E, 3, FALSE), ""), IF(OR(_xlpm.v=0, _xlpm.v=""), "", _xlpm.v))</f>
        <v>64</v>
      </c>
      <c r="I938" t="str">
        <f>_xlfn.LET(_xlpm.v, IFERROR(VLOOKUP($A938, manifest!$A:$E, 5, FALSE), ""), IF(OR(_xlpm.v=0, _xlpm.v=""), "", _xlpm.v))</f>
        <v>female</v>
      </c>
    </row>
    <row r="939" spans="1:9" x14ac:dyDescent="0.6">
      <c r="A939">
        <v>202</v>
      </c>
      <c r="B939" t="s">
        <v>14</v>
      </c>
      <c r="C939" t="s">
        <v>10</v>
      </c>
      <c r="D939">
        <v>172.1</v>
      </c>
      <c r="E939">
        <v>124.05</v>
      </c>
      <c r="F939">
        <v>32484</v>
      </c>
      <c r="H939">
        <f>_xlfn.LET(_xlpm.v, IFERROR(VLOOKUP($A939, manifest!$A:$E, 3, FALSE), ""), IF(OR(_xlpm.v=0, _xlpm.v=""), "", _xlpm.v))</f>
        <v>64</v>
      </c>
      <c r="I939" t="str">
        <f>_xlfn.LET(_xlpm.v, IFERROR(VLOOKUP($A939, manifest!$A:$E, 5, FALSE), ""), IF(OR(_xlpm.v=0, _xlpm.v=""), "", _xlpm.v))</f>
        <v>female</v>
      </c>
    </row>
    <row r="940" spans="1:9" x14ac:dyDescent="0.6">
      <c r="A940">
        <v>202</v>
      </c>
      <c r="B940" t="s">
        <v>14</v>
      </c>
      <c r="C940" t="s">
        <v>11</v>
      </c>
      <c r="D940">
        <v>163.66</v>
      </c>
      <c r="E940">
        <v>132.02000000000001</v>
      </c>
      <c r="F940">
        <v>46546</v>
      </c>
      <c r="H940">
        <f>_xlfn.LET(_xlpm.v, IFERROR(VLOOKUP($A940, manifest!$A:$E, 3, FALSE), ""), IF(OR(_xlpm.v=0, _xlpm.v=""), "", _xlpm.v))</f>
        <v>64</v>
      </c>
      <c r="I940" t="str">
        <f>_xlfn.LET(_xlpm.v, IFERROR(VLOOKUP($A940, manifest!$A:$E, 5, FALSE), ""), IF(OR(_xlpm.v=0, _xlpm.v=""), "", _xlpm.v))</f>
        <v>female</v>
      </c>
    </row>
    <row r="941" spans="1:9" x14ac:dyDescent="0.6">
      <c r="A941">
        <v>202</v>
      </c>
      <c r="B941" t="s">
        <v>14</v>
      </c>
      <c r="C941" t="s">
        <v>12</v>
      </c>
      <c r="D941">
        <v>194.12</v>
      </c>
      <c r="E941">
        <v>161.41999999999999</v>
      </c>
      <c r="F941">
        <v>45629</v>
      </c>
      <c r="H941">
        <f>_xlfn.LET(_xlpm.v, IFERROR(VLOOKUP($A941, manifest!$A:$E, 3, FALSE), ""), IF(OR(_xlpm.v=0, _xlpm.v=""), "", _xlpm.v))</f>
        <v>64</v>
      </c>
      <c r="I941" t="str">
        <f>_xlfn.LET(_xlpm.v, IFERROR(VLOOKUP($A941, manifest!$A:$E, 5, FALSE), ""), IF(OR(_xlpm.v=0, _xlpm.v=""), "", _xlpm.v))</f>
        <v>female</v>
      </c>
    </row>
    <row r="942" spans="1:9" x14ac:dyDescent="0.6">
      <c r="A942">
        <v>202</v>
      </c>
      <c r="B942" t="s">
        <v>14</v>
      </c>
      <c r="C942" t="s">
        <v>13</v>
      </c>
      <c r="D942">
        <v>195.65</v>
      </c>
      <c r="E942">
        <v>157.13</v>
      </c>
      <c r="F942">
        <v>57293</v>
      </c>
      <c r="H942">
        <f>_xlfn.LET(_xlpm.v, IFERROR(VLOOKUP($A942, manifest!$A:$E, 3, FALSE), ""), IF(OR(_xlpm.v=0, _xlpm.v=""), "", _xlpm.v))</f>
        <v>64</v>
      </c>
      <c r="I942" t="str">
        <f>_xlfn.LET(_xlpm.v, IFERROR(VLOOKUP($A942, manifest!$A:$E, 5, FALSE), ""), IF(OR(_xlpm.v=0, _xlpm.v=""), "", _xlpm.v))</f>
        <v>female</v>
      </c>
    </row>
    <row r="943" spans="1:9" x14ac:dyDescent="0.6">
      <c r="A943">
        <v>203</v>
      </c>
      <c r="B943" t="s">
        <v>7</v>
      </c>
      <c r="C943" t="s">
        <v>8</v>
      </c>
      <c r="D943">
        <v>96.43</v>
      </c>
      <c r="E943">
        <v>123.2</v>
      </c>
      <c r="F943">
        <v>29820</v>
      </c>
      <c r="G943" t="s">
        <v>17</v>
      </c>
      <c r="H943">
        <f>_xlfn.LET(_xlpm.v, IFERROR(VLOOKUP($A943, manifest!$A:$E, 3, FALSE), ""), IF(OR(_xlpm.v=0, _xlpm.v=""), "", _xlpm.v))</f>
        <v>77</v>
      </c>
      <c r="I943" t="str">
        <f>_xlfn.LET(_xlpm.v, IFERROR(VLOOKUP($A943, manifest!$A:$E, 5, FALSE), ""), IF(OR(_xlpm.v=0, _xlpm.v=""), "", _xlpm.v))</f>
        <v>female</v>
      </c>
    </row>
    <row r="944" spans="1:9" x14ac:dyDescent="0.6">
      <c r="A944">
        <v>203</v>
      </c>
      <c r="B944" t="s">
        <v>7</v>
      </c>
      <c r="C944" t="s">
        <v>10</v>
      </c>
      <c r="D944">
        <v>109.18</v>
      </c>
      <c r="E944">
        <v>154.04</v>
      </c>
      <c r="F944">
        <v>32917</v>
      </c>
      <c r="H944">
        <f>_xlfn.LET(_xlpm.v, IFERROR(VLOOKUP($A944, manifest!$A:$E, 3, FALSE), ""), IF(OR(_xlpm.v=0, _xlpm.v=""), "", _xlpm.v))</f>
        <v>77</v>
      </c>
      <c r="I944" t="str">
        <f>_xlfn.LET(_xlpm.v, IFERROR(VLOOKUP($A944, manifest!$A:$E, 5, FALSE), ""), IF(OR(_xlpm.v=0, _xlpm.v=""), "", _xlpm.v))</f>
        <v>female</v>
      </c>
    </row>
    <row r="945" spans="1:9" x14ac:dyDescent="0.6">
      <c r="A945">
        <v>203</v>
      </c>
      <c r="B945" t="s">
        <v>7</v>
      </c>
      <c r="C945" t="s">
        <v>11</v>
      </c>
      <c r="D945">
        <v>280.89</v>
      </c>
      <c r="E945">
        <v>202.14</v>
      </c>
      <c r="F945">
        <v>46282</v>
      </c>
      <c r="H945">
        <f>_xlfn.LET(_xlpm.v, IFERROR(VLOOKUP($A945, manifest!$A:$E, 3, FALSE), ""), IF(OR(_xlpm.v=0, _xlpm.v=""), "", _xlpm.v))</f>
        <v>77</v>
      </c>
      <c r="I945" t="str">
        <f>_xlfn.LET(_xlpm.v, IFERROR(VLOOKUP($A945, manifest!$A:$E, 5, FALSE), ""), IF(OR(_xlpm.v=0, _xlpm.v=""), "", _xlpm.v))</f>
        <v>female</v>
      </c>
    </row>
    <row r="946" spans="1:9" x14ac:dyDescent="0.6">
      <c r="A946">
        <v>203</v>
      </c>
      <c r="B946" t="s">
        <v>7</v>
      </c>
      <c r="C946" t="s">
        <v>12</v>
      </c>
      <c r="D946">
        <v>300.02</v>
      </c>
      <c r="E946">
        <v>237.55</v>
      </c>
      <c r="F946">
        <v>45612</v>
      </c>
      <c r="H946">
        <f>_xlfn.LET(_xlpm.v, IFERROR(VLOOKUP($A946, manifest!$A:$E, 3, FALSE), ""), IF(OR(_xlpm.v=0, _xlpm.v=""), "", _xlpm.v))</f>
        <v>77</v>
      </c>
      <c r="I946" t="str">
        <f>_xlfn.LET(_xlpm.v, IFERROR(VLOOKUP($A946, manifest!$A:$E, 5, FALSE), ""), IF(OR(_xlpm.v=0, _xlpm.v=""), "", _xlpm.v))</f>
        <v>female</v>
      </c>
    </row>
    <row r="947" spans="1:9" x14ac:dyDescent="0.6">
      <c r="A947">
        <v>203</v>
      </c>
      <c r="B947" t="s">
        <v>7</v>
      </c>
      <c r="C947" t="s">
        <v>13</v>
      </c>
      <c r="D947">
        <v>263.13</v>
      </c>
      <c r="E947">
        <v>222.61</v>
      </c>
      <c r="F947">
        <v>48388</v>
      </c>
      <c r="H947">
        <f>_xlfn.LET(_xlpm.v, IFERROR(VLOOKUP($A947, manifest!$A:$E, 3, FALSE), ""), IF(OR(_xlpm.v=0, _xlpm.v=""), "", _xlpm.v))</f>
        <v>77</v>
      </c>
      <c r="I947" t="str">
        <f>_xlfn.LET(_xlpm.v, IFERROR(VLOOKUP($A947, manifest!$A:$E, 5, FALSE), ""), IF(OR(_xlpm.v=0, _xlpm.v=""), "", _xlpm.v))</f>
        <v>female</v>
      </c>
    </row>
    <row r="948" spans="1:9" x14ac:dyDescent="0.6">
      <c r="A948">
        <v>194</v>
      </c>
      <c r="B948" t="s">
        <v>14</v>
      </c>
      <c r="C948" t="s">
        <v>8</v>
      </c>
      <c r="D948">
        <v>303.86</v>
      </c>
      <c r="E948">
        <v>175.66</v>
      </c>
      <c r="F948">
        <v>40151</v>
      </c>
      <c r="G948" t="s">
        <v>9</v>
      </c>
      <c r="H948">
        <f>_xlfn.LET(_xlpm.v, IFERROR(VLOOKUP($A948, manifest!$A:$E, 3, FALSE), ""), IF(OR(_xlpm.v=0, _xlpm.v=""), "", _xlpm.v))</f>
        <v>55</v>
      </c>
      <c r="I948" t="str">
        <f>_xlfn.LET(_xlpm.v, IFERROR(VLOOKUP($A948, manifest!$A:$E, 5, FALSE), ""), IF(OR(_xlpm.v=0, _xlpm.v=""), "", _xlpm.v))</f>
        <v>male</v>
      </c>
    </row>
    <row r="949" spans="1:9" x14ac:dyDescent="0.6">
      <c r="A949">
        <v>194</v>
      </c>
      <c r="B949" t="s">
        <v>14</v>
      </c>
      <c r="C949" t="s">
        <v>10</v>
      </c>
      <c r="D949">
        <v>324.61</v>
      </c>
      <c r="E949">
        <v>202.85</v>
      </c>
      <c r="F949">
        <v>44154</v>
      </c>
      <c r="H949">
        <f>_xlfn.LET(_xlpm.v, IFERROR(VLOOKUP($A949, manifest!$A:$E, 3, FALSE), ""), IF(OR(_xlpm.v=0, _xlpm.v=""), "", _xlpm.v))</f>
        <v>55</v>
      </c>
      <c r="I949" t="str">
        <f>_xlfn.LET(_xlpm.v, IFERROR(VLOOKUP($A949, manifest!$A:$E, 5, FALSE), ""), IF(OR(_xlpm.v=0, _xlpm.v=""), "", _xlpm.v))</f>
        <v>male</v>
      </c>
    </row>
    <row r="950" spans="1:9" x14ac:dyDescent="0.6">
      <c r="A950">
        <v>194</v>
      </c>
      <c r="B950" t="s">
        <v>14</v>
      </c>
      <c r="C950" t="s">
        <v>11</v>
      </c>
      <c r="D950">
        <v>303.58</v>
      </c>
      <c r="E950">
        <v>215.32</v>
      </c>
      <c r="F950">
        <v>57277</v>
      </c>
      <c r="H950">
        <f>_xlfn.LET(_xlpm.v, IFERROR(VLOOKUP($A950, manifest!$A:$E, 3, FALSE), ""), IF(OR(_xlpm.v=0, _xlpm.v=""), "", _xlpm.v))</f>
        <v>55</v>
      </c>
      <c r="I950" t="str">
        <f>_xlfn.LET(_xlpm.v, IFERROR(VLOOKUP($A950, manifest!$A:$E, 5, FALSE), ""), IF(OR(_xlpm.v=0, _xlpm.v=""), "", _xlpm.v))</f>
        <v>male</v>
      </c>
    </row>
    <row r="951" spans="1:9" x14ac:dyDescent="0.6">
      <c r="A951">
        <v>194</v>
      </c>
      <c r="B951" t="s">
        <v>14</v>
      </c>
      <c r="C951" t="s">
        <v>12</v>
      </c>
      <c r="D951">
        <v>289.08999999999997</v>
      </c>
      <c r="E951">
        <v>206.59</v>
      </c>
      <c r="F951">
        <v>68362</v>
      </c>
      <c r="H951">
        <f>_xlfn.LET(_xlpm.v, IFERROR(VLOOKUP($A951, manifest!$A:$E, 3, FALSE), ""), IF(OR(_xlpm.v=0, _xlpm.v=""), "", _xlpm.v))</f>
        <v>55</v>
      </c>
      <c r="I951" t="str">
        <f>_xlfn.LET(_xlpm.v, IFERROR(VLOOKUP($A951, manifest!$A:$E, 5, FALSE), ""), IF(OR(_xlpm.v=0, _xlpm.v=""), "", _xlpm.v))</f>
        <v>male</v>
      </c>
    </row>
    <row r="952" spans="1:9" x14ac:dyDescent="0.6">
      <c r="A952">
        <v>194</v>
      </c>
      <c r="B952" t="s">
        <v>14</v>
      </c>
      <c r="C952" t="s">
        <v>13</v>
      </c>
      <c r="D952">
        <v>269.14999999999998</v>
      </c>
      <c r="E952">
        <v>168.1</v>
      </c>
      <c r="F952">
        <v>77696</v>
      </c>
      <c r="H952">
        <f>_xlfn.LET(_xlpm.v, IFERROR(VLOOKUP($A952, manifest!$A:$E, 3, FALSE), ""), IF(OR(_xlpm.v=0, _xlpm.v=""), "", _xlpm.v))</f>
        <v>55</v>
      </c>
      <c r="I952" t="str">
        <f>_xlfn.LET(_xlpm.v, IFERROR(VLOOKUP($A952, manifest!$A:$E, 5, FALSE), ""), IF(OR(_xlpm.v=0, _xlpm.v=""), "", _xlpm.v))</f>
        <v>male</v>
      </c>
    </row>
    <row r="953" spans="1:9" x14ac:dyDescent="0.6">
      <c r="A953">
        <v>210</v>
      </c>
      <c r="B953" t="s">
        <v>14</v>
      </c>
      <c r="C953" t="s">
        <v>8</v>
      </c>
      <c r="D953">
        <v>134.4</v>
      </c>
      <c r="E953">
        <v>116.51</v>
      </c>
      <c r="F953">
        <v>35986</v>
      </c>
      <c r="G953" t="s">
        <v>15</v>
      </c>
      <c r="H953">
        <f>_xlfn.LET(_xlpm.v, IFERROR(VLOOKUP($A953, manifest!$A:$E, 3, FALSE), ""), IF(OR(_xlpm.v=0, _xlpm.v=""), "", _xlpm.v))</f>
        <v>66</v>
      </c>
      <c r="I953" t="str">
        <f>_xlfn.LET(_xlpm.v, IFERROR(VLOOKUP($A953, manifest!$A:$E, 5, FALSE), ""), IF(OR(_xlpm.v=0, _xlpm.v=""), "", _xlpm.v))</f>
        <v>female</v>
      </c>
    </row>
    <row r="954" spans="1:9" x14ac:dyDescent="0.6">
      <c r="A954">
        <v>210</v>
      </c>
      <c r="B954" t="s">
        <v>14</v>
      </c>
      <c r="C954" t="s">
        <v>10</v>
      </c>
      <c r="D954">
        <v>140.15</v>
      </c>
      <c r="E954">
        <v>148.72</v>
      </c>
      <c r="F954">
        <v>40064</v>
      </c>
      <c r="H954">
        <f>_xlfn.LET(_xlpm.v, IFERROR(VLOOKUP($A954, manifest!$A:$E, 3, FALSE), ""), IF(OR(_xlpm.v=0, _xlpm.v=""), "", _xlpm.v))</f>
        <v>66</v>
      </c>
      <c r="I954" t="str">
        <f>_xlfn.LET(_xlpm.v, IFERROR(VLOOKUP($A954, manifest!$A:$E, 5, FALSE), ""), IF(OR(_xlpm.v=0, _xlpm.v=""), "", _xlpm.v))</f>
        <v>female</v>
      </c>
    </row>
    <row r="955" spans="1:9" x14ac:dyDescent="0.6">
      <c r="A955">
        <v>210</v>
      </c>
      <c r="B955" t="s">
        <v>14</v>
      </c>
      <c r="C955" t="s">
        <v>11</v>
      </c>
      <c r="D955">
        <v>129.43</v>
      </c>
      <c r="E955">
        <v>171.58</v>
      </c>
      <c r="F955">
        <v>52673</v>
      </c>
      <c r="H955">
        <f>_xlfn.LET(_xlpm.v, IFERROR(VLOOKUP($A955, manifest!$A:$E, 3, FALSE), ""), IF(OR(_xlpm.v=0, _xlpm.v=""), "", _xlpm.v))</f>
        <v>66</v>
      </c>
      <c r="I955" t="str">
        <f>_xlfn.LET(_xlpm.v, IFERROR(VLOOKUP($A955, manifest!$A:$E, 5, FALSE), ""), IF(OR(_xlpm.v=0, _xlpm.v=""), "", _xlpm.v))</f>
        <v>female</v>
      </c>
    </row>
    <row r="956" spans="1:9" x14ac:dyDescent="0.6">
      <c r="A956">
        <v>210</v>
      </c>
      <c r="B956" t="s">
        <v>14</v>
      </c>
      <c r="C956" t="s">
        <v>12</v>
      </c>
      <c r="D956">
        <v>166.32</v>
      </c>
      <c r="E956">
        <v>199.48</v>
      </c>
      <c r="F956">
        <v>66657</v>
      </c>
      <c r="H956">
        <f>_xlfn.LET(_xlpm.v, IFERROR(VLOOKUP($A956, manifest!$A:$E, 3, FALSE), ""), IF(OR(_xlpm.v=0, _xlpm.v=""), "", _xlpm.v))</f>
        <v>66</v>
      </c>
      <c r="I956" t="str">
        <f>_xlfn.LET(_xlpm.v, IFERROR(VLOOKUP($A956, manifest!$A:$E, 5, FALSE), ""), IF(OR(_xlpm.v=0, _xlpm.v=""), "", _xlpm.v))</f>
        <v>female</v>
      </c>
    </row>
    <row r="957" spans="1:9" x14ac:dyDescent="0.6">
      <c r="A957">
        <v>210</v>
      </c>
      <c r="B957" t="s">
        <v>14</v>
      </c>
      <c r="C957" t="s">
        <v>13</v>
      </c>
      <c r="D957">
        <v>177.71</v>
      </c>
      <c r="E957">
        <v>182.76</v>
      </c>
      <c r="F957">
        <v>63986</v>
      </c>
      <c r="H957">
        <f>_xlfn.LET(_xlpm.v, IFERROR(VLOOKUP($A957, manifest!$A:$E, 3, FALSE), ""), IF(OR(_xlpm.v=0, _xlpm.v=""), "", _xlpm.v))</f>
        <v>66</v>
      </c>
      <c r="I957" t="str">
        <f>_xlfn.LET(_xlpm.v, IFERROR(VLOOKUP($A957, manifest!$A:$E, 5, FALSE), ""), IF(OR(_xlpm.v=0, _xlpm.v=""), "", _xlpm.v))</f>
        <v>female</v>
      </c>
    </row>
    <row r="958" spans="1:9" x14ac:dyDescent="0.6">
      <c r="A958">
        <v>189</v>
      </c>
      <c r="B958" t="s">
        <v>7</v>
      </c>
      <c r="C958" t="s">
        <v>8</v>
      </c>
      <c r="D958">
        <v>185.22</v>
      </c>
      <c r="E958">
        <v>153.51</v>
      </c>
      <c r="F958">
        <v>47574</v>
      </c>
      <c r="G958" t="s">
        <v>9</v>
      </c>
      <c r="H958">
        <f>_xlfn.LET(_xlpm.v, IFERROR(VLOOKUP($A958, manifest!$A:$E, 3, FALSE), ""), IF(OR(_xlpm.v=0, _xlpm.v=""), "", _xlpm.v))</f>
        <v>51</v>
      </c>
      <c r="I958" t="str">
        <f>_xlfn.LET(_xlpm.v, IFERROR(VLOOKUP($A958, manifest!$A:$E, 5, FALSE), ""), IF(OR(_xlpm.v=0, _xlpm.v=""), "", _xlpm.v))</f>
        <v>male</v>
      </c>
    </row>
    <row r="959" spans="1:9" x14ac:dyDescent="0.6">
      <c r="A959">
        <v>189</v>
      </c>
      <c r="B959" t="s">
        <v>7</v>
      </c>
      <c r="C959" t="s">
        <v>10</v>
      </c>
      <c r="D959">
        <v>243.58</v>
      </c>
      <c r="E959">
        <v>245.2</v>
      </c>
      <c r="F959">
        <v>43617</v>
      </c>
      <c r="H959">
        <f>_xlfn.LET(_xlpm.v, IFERROR(VLOOKUP($A959, manifest!$A:$E, 3, FALSE), ""), IF(OR(_xlpm.v=0, _xlpm.v=""), "", _xlpm.v))</f>
        <v>51</v>
      </c>
      <c r="I959" t="str">
        <f>_xlfn.LET(_xlpm.v, IFERROR(VLOOKUP($A959, manifest!$A:$E, 5, FALSE), ""), IF(OR(_xlpm.v=0, _xlpm.v=""), "", _xlpm.v))</f>
        <v>male</v>
      </c>
    </row>
    <row r="960" spans="1:9" x14ac:dyDescent="0.6">
      <c r="A960">
        <v>189</v>
      </c>
      <c r="B960" t="s">
        <v>7</v>
      </c>
      <c r="C960" t="s">
        <v>11</v>
      </c>
      <c r="D960">
        <v>229.5</v>
      </c>
      <c r="E960">
        <v>240.01</v>
      </c>
      <c r="F960">
        <v>58079</v>
      </c>
      <c r="H960">
        <f>_xlfn.LET(_xlpm.v, IFERROR(VLOOKUP($A960, manifest!$A:$E, 3, FALSE), ""), IF(OR(_xlpm.v=0, _xlpm.v=""), "", _xlpm.v))</f>
        <v>51</v>
      </c>
      <c r="I960" t="str">
        <f>_xlfn.LET(_xlpm.v, IFERROR(VLOOKUP($A960, manifest!$A:$E, 5, FALSE), ""), IF(OR(_xlpm.v=0, _xlpm.v=""), "", _xlpm.v))</f>
        <v>male</v>
      </c>
    </row>
    <row r="961" spans="1:9" x14ac:dyDescent="0.6">
      <c r="A961">
        <v>189</v>
      </c>
      <c r="B961" t="s">
        <v>7</v>
      </c>
      <c r="C961" t="s">
        <v>12</v>
      </c>
      <c r="D961">
        <v>208.2</v>
      </c>
      <c r="E961">
        <v>220.35</v>
      </c>
      <c r="F961">
        <v>59556</v>
      </c>
      <c r="H961">
        <f>_xlfn.LET(_xlpm.v, IFERROR(VLOOKUP($A961, manifest!$A:$E, 3, FALSE), ""), IF(OR(_xlpm.v=0, _xlpm.v=""), "", _xlpm.v))</f>
        <v>51</v>
      </c>
      <c r="I961" t="str">
        <f>_xlfn.LET(_xlpm.v, IFERROR(VLOOKUP($A961, manifest!$A:$E, 5, FALSE), ""), IF(OR(_xlpm.v=0, _xlpm.v=""), "", _xlpm.v))</f>
        <v>male</v>
      </c>
    </row>
    <row r="962" spans="1:9" x14ac:dyDescent="0.6">
      <c r="A962">
        <v>189</v>
      </c>
      <c r="B962" t="s">
        <v>7</v>
      </c>
      <c r="C962" t="s">
        <v>13</v>
      </c>
      <c r="D962">
        <v>191.47</v>
      </c>
      <c r="E962">
        <v>196.37</v>
      </c>
      <c r="F962">
        <v>67615</v>
      </c>
      <c r="H962">
        <f>_xlfn.LET(_xlpm.v, IFERROR(VLOOKUP($A962, manifest!$A:$E, 3, FALSE), ""), IF(OR(_xlpm.v=0, _xlpm.v=""), "", _xlpm.v))</f>
        <v>51</v>
      </c>
      <c r="I962" t="str">
        <f>_xlfn.LET(_xlpm.v, IFERROR(VLOOKUP($A962, manifest!$A:$E, 5, FALSE), ""), IF(OR(_xlpm.v=0, _xlpm.v=""), "", _xlpm.v))</f>
        <v>male</v>
      </c>
    </row>
    <row r="963" spans="1:9" x14ac:dyDescent="0.6">
      <c r="A963">
        <v>189</v>
      </c>
      <c r="B963" t="s">
        <v>7</v>
      </c>
      <c r="C963" t="s">
        <v>16</v>
      </c>
      <c r="D963">
        <v>180.08</v>
      </c>
      <c r="E963">
        <v>170.42</v>
      </c>
      <c r="F963">
        <v>65115</v>
      </c>
      <c r="H963">
        <f>_xlfn.LET(_xlpm.v, IFERROR(VLOOKUP($A963, manifest!$A:$E, 3, FALSE), ""), IF(OR(_xlpm.v=0, _xlpm.v=""), "", _xlpm.v))</f>
        <v>51</v>
      </c>
      <c r="I963" t="str">
        <f>_xlfn.LET(_xlpm.v, IFERROR(VLOOKUP($A963, manifest!$A:$E, 5, FALSE), ""), IF(OR(_xlpm.v=0, _xlpm.v=""), "", _xlpm.v))</f>
        <v>male</v>
      </c>
    </row>
    <row r="964" spans="1:9" x14ac:dyDescent="0.6">
      <c r="A964">
        <v>195</v>
      </c>
      <c r="B964" t="s">
        <v>7</v>
      </c>
      <c r="C964" t="s">
        <v>8</v>
      </c>
      <c r="D964">
        <v>177.92</v>
      </c>
      <c r="E964">
        <v>85.66</v>
      </c>
      <c r="F964">
        <v>23210</v>
      </c>
      <c r="G964" t="s">
        <v>9</v>
      </c>
      <c r="H964">
        <f>_xlfn.LET(_xlpm.v, IFERROR(VLOOKUP($A964, manifest!$A:$E, 3, FALSE), ""), IF(OR(_xlpm.v=0, _xlpm.v=""), "", _xlpm.v))</f>
        <v>51</v>
      </c>
      <c r="I964" t="str">
        <f>_xlfn.LET(_xlpm.v, IFERROR(VLOOKUP($A964, manifest!$A:$E, 5, FALSE), ""), IF(OR(_xlpm.v=0, _xlpm.v=""), "", _xlpm.v))</f>
        <v>female</v>
      </c>
    </row>
    <row r="965" spans="1:9" x14ac:dyDescent="0.6">
      <c r="A965">
        <v>195</v>
      </c>
      <c r="B965" t="s">
        <v>7</v>
      </c>
      <c r="C965" t="s">
        <v>10</v>
      </c>
      <c r="D965">
        <v>198.93</v>
      </c>
      <c r="E965">
        <v>138.02000000000001</v>
      </c>
      <c r="F965">
        <v>28908</v>
      </c>
      <c r="H965">
        <f>_xlfn.LET(_xlpm.v, IFERROR(VLOOKUP($A965, manifest!$A:$E, 3, FALSE), ""), IF(OR(_xlpm.v=0, _xlpm.v=""), "", _xlpm.v))</f>
        <v>51</v>
      </c>
      <c r="I965" t="str">
        <f>_xlfn.LET(_xlpm.v, IFERROR(VLOOKUP($A965, manifest!$A:$E, 5, FALSE), ""), IF(OR(_xlpm.v=0, _xlpm.v=""), "", _xlpm.v))</f>
        <v>female</v>
      </c>
    </row>
    <row r="966" spans="1:9" x14ac:dyDescent="0.6">
      <c r="A966">
        <v>195</v>
      </c>
      <c r="B966" t="s">
        <v>7</v>
      </c>
      <c r="C966" t="s">
        <v>11</v>
      </c>
      <c r="D966">
        <v>177.56</v>
      </c>
      <c r="E966">
        <v>117.91</v>
      </c>
      <c r="F966">
        <v>30947</v>
      </c>
      <c r="H966">
        <f>_xlfn.LET(_xlpm.v, IFERROR(VLOOKUP($A966, manifest!$A:$E, 3, FALSE), ""), IF(OR(_xlpm.v=0, _xlpm.v=""), "", _xlpm.v))</f>
        <v>51</v>
      </c>
      <c r="I966" t="str">
        <f>_xlfn.LET(_xlpm.v, IFERROR(VLOOKUP($A966, manifest!$A:$E, 5, FALSE), ""), IF(OR(_xlpm.v=0, _xlpm.v=""), "", _xlpm.v))</f>
        <v>female</v>
      </c>
    </row>
    <row r="967" spans="1:9" x14ac:dyDescent="0.6">
      <c r="A967">
        <v>195</v>
      </c>
      <c r="B967" t="s">
        <v>7</v>
      </c>
      <c r="C967" t="s">
        <v>12</v>
      </c>
      <c r="D967">
        <v>178.04</v>
      </c>
      <c r="E967">
        <v>113.85</v>
      </c>
      <c r="F967">
        <v>29207</v>
      </c>
      <c r="H967">
        <f>_xlfn.LET(_xlpm.v, IFERROR(VLOOKUP($A967, manifest!$A:$E, 3, FALSE), ""), IF(OR(_xlpm.v=0, _xlpm.v=""), "", _xlpm.v))</f>
        <v>51</v>
      </c>
      <c r="I967" t="str">
        <f>_xlfn.LET(_xlpm.v, IFERROR(VLOOKUP($A967, manifest!$A:$E, 5, FALSE), ""), IF(OR(_xlpm.v=0, _xlpm.v=""), "", _xlpm.v))</f>
        <v>female</v>
      </c>
    </row>
    <row r="968" spans="1:9" x14ac:dyDescent="0.6">
      <c r="A968">
        <v>195</v>
      </c>
      <c r="B968" t="s">
        <v>7</v>
      </c>
      <c r="C968" t="s">
        <v>13</v>
      </c>
      <c r="D968">
        <v>165.04</v>
      </c>
      <c r="E968">
        <v>101.19</v>
      </c>
      <c r="F968">
        <v>37527</v>
      </c>
      <c r="H968">
        <f>_xlfn.LET(_xlpm.v, IFERROR(VLOOKUP($A968, manifest!$A:$E, 3, FALSE), ""), IF(OR(_xlpm.v=0, _xlpm.v=""), "", _xlpm.v))</f>
        <v>51</v>
      </c>
      <c r="I968" t="str">
        <f>_xlfn.LET(_xlpm.v, IFERROR(VLOOKUP($A968, manifest!$A:$E, 5, FALSE), ""), IF(OR(_xlpm.v=0, _xlpm.v=""), "", _xlpm.v))</f>
        <v>female</v>
      </c>
    </row>
    <row r="969" spans="1:9" x14ac:dyDescent="0.6">
      <c r="A969">
        <v>205</v>
      </c>
      <c r="B969" t="s">
        <v>14</v>
      </c>
      <c r="C969" t="s">
        <v>8</v>
      </c>
      <c r="D969">
        <v>198.95</v>
      </c>
      <c r="E969">
        <v>119.46</v>
      </c>
      <c r="F969">
        <v>34016</v>
      </c>
      <c r="G969" t="s">
        <v>9</v>
      </c>
      <c r="H969">
        <f>_xlfn.LET(_xlpm.v, IFERROR(VLOOKUP($A969, manifest!$A:$E, 3, FALSE), ""), IF(OR(_xlpm.v=0, _xlpm.v=""), "", _xlpm.v))</f>
        <v>66</v>
      </c>
      <c r="I969" t="str">
        <f>_xlfn.LET(_xlpm.v, IFERROR(VLOOKUP($A969, manifest!$A:$E, 5, FALSE), ""), IF(OR(_xlpm.v=0, _xlpm.v=""), "", _xlpm.v))</f>
        <v>male</v>
      </c>
    </row>
    <row r="970" spans="1:9" x14ac:dyDescent="0.6">
      <c r="A970">
        <v>205</v>
      </c>
      <c r="B970" t="s">
        <v>14</v>
      </c>
      <c r="C970" t="s">
        <v>10</v>
      </c>
      <c r="D970">
        <v>200.63</v>
      </c>
      <c r="E970">
        <v>152.49</v>
      </c>
      <c r="F970">
        <v>37119</v>
      </c>
      <c r="H970">
        <f>_xlfn.LET(_xlpm.v, IFERROR(VLOOKUP($A970, manifest!$A:$E, 3, FALSE), ""), IF(OR(_xlpm.v=0, _xlpm.v=""), "", _xlpm.v))</f>
        <v>66</v>
      </c>
      <c r="I970" t="str">
        <f>_xlfn.LET(_xlpm.v, IFERROR(VLOOKUP($A970, manifest!$A:$E, 5, FALSE), ""), IF(OR(_xlpm.v=0, _xlpm.v=""), "", _xlpm.v))</f>
        <v>male</v>
      </c>
    </row>
    <row r="971" spans="1:9" x14ac:dyDescent="0.6">
      <c r="A971">
        <v>205</v>
      </c>
      <c r="B971" t="s">
        <v>14</v>
      </c>
      <c r="C971" t="s">
        <v>11</v>
      </c>
      <c r="D971">
        <v>199.51</v>
      </c>
      <c r="E971">
        <v>161.36000000000001</v>
      </c>
      <c r="F971">
        <v>41625</v>
      </c>
      <c r="H971">
        <f>_xlfn.LET(_xlpm.v, IFERROR(VLOOKUP($A971, manifest!$A:$E, 3, FALSE), ""), IF(OR(_xlpm.v=0, _xlpm.v=""), "", _xlpm.v))</f>
        <v>66</v>
      </c>
      <c r="I971" t="str">
        <f>_xlfn.LET(_xlpm.v, IFERROR(VLOOKUP($A971, manifest!$A:$E, 5, FALSE), ""), IF(OR(_xlpm.v=0, _xlpm.v=""), "", _xlpm.v))</f>
        <v>male</v>
      </c>
    </row>
    <row r="972" spans="1:9" x14ac:dyDescent="0.6">
      <c r="A972">
        <v>205</v>
      </c>
      <c r="B972" t="s">
        <v>14</v>
      </c>
      <c r="C972" t="s">
        <v>12</v>
      </c>
      <c r="D972">
        <v>200.4</v>
      </c>
      <c r="E972">
        <v>159.36000000000001</v>
      </c>
      <c r="F972">
        <v>51758</v>
      </c>
      <c r="H972">
        <f>_xlfn.LET(_xlpm.v, IFERROR(VLOOKUP($A972, manifest!$A:$E, 3, FALSE), ""), IF(OR(_xlpm.v=0, _xlpm.v=""), "", _xlpm.v))</f>
        <v>66</v>
      </c>
      <c r="I972" t="str">
        <f>_xlfn.LET(_xlpm.v, IFERROR(VLOOKUP($A972, manifest!$A:$E, 5, FALSE), ""), IF(OR(_xlpm.v=0, _xlpm.v=""), "", _xlpm.v))</f>
        <v>male</v>
      </c>
    </row>
    <row r="973" spans="1:9" x14ac:dyDescent="0.6">
      <c r="A973">
        <v>205</v>
      </c>
      <c r="B973" t="s">
        <v>14</v>
      </c>
      <c r="C973" t="s">
        <v>13</v>
      </c>
      <c r="D973">
        <v>199.34</v>
      </c>
      <c r="E973">
        <v>157.21</v>
      </c>
      <c r="F973">
        <v>52596</v>
      </c>
      <c r="H973">
        <f>_xlfn.LET(_xlpm.v, IFERROR(VLOOKUP($A973, manifest!$A:$E, 3, FALSE), ""), IF(OR(_xlpm.v=0, _xlpm.v=""), "", _xlpm.v))</f>
        <v>66</v>
      </c>
      <c r="I973" t="str">
        <f>_xlfn.LET(_xlpm.v, IFERROR(VLOOKUP($A973, manifest!$A:$E, 5, FALSE), ""), IF(OR(_xlpm.v=0, _xlpm.v=""), "", _xlpm.v))</f>
        <v>male</v>
      </c>
    </row>
    <row r="974" spans="1:9" x14ac:dyDescent="0.6">
      <c r="A974">
        <v>196</v>
      </c>
      <c r="B974" t="s">
        <v>7</v>
      </c>
      <c r="C974" t="s">
        <v>8</v>
      </c>
      <c r="D974">
        <v>192.64</v>
      </c>
      <c r="E974">
        <v>178.49</v>
      </c>
      <c r="F974">
        <v>32435</v>
      </c>
      <c r="G974" t="s">
        <v>9</v>
      </c>
      <c r="H974">
        <f>_xlfn.LET(_xlpm.v, IFERROR(VLOOKUP($A974, manifest!$A:$E, 3, FALSE), ""), IF(OR(_xlpm.v=0, _xlpm.v=""), "", _xlpm.v))</f>
        <v>55</v>
      </c>
      <c r="I974" t="str">
        <f>_xlfn.LET(_xlpm.v, IFERROR(VLOOKUP($A974, manifest!$A:$E, 5, FALSE), ""), IF(OR(_xlpm.v=0, _xlpm.v=""), "", _xlpm.v))</f>
        <v>female</v>
      </c>
    </row>
    <row r="975" spans="1:9" x14ac:dyDescent="0.6">
      <c r="A975">
        <v>196</v>
      </c>
      <c r="B975" t="s">
        <v>7</v>
      </c>
      <c r="C975" t="s">
        <v>10</v>
      </c>
      <c r="D975">
        <v>200.63</v>
      </c>
      <c r="E975">
        <v>205.01</v>
      </c>
      <c r="F975">
        <v>36272</v>
      </c>
      <c r="H975">
        <f>_xlfn.LET(_xlpm.v, IFERROR(VLOOKUP($A975, manifest!$A:$E, 3, FALSE), ""), IF(OR(_xlpm.v=0, _xlpm.v=""), "", _xlpm.v))</f>
        <v>55</v>
      </c>
      <c r="I975" t="str">
        <f>_xlfn.LET(_xlpm.v, IFERROR(VLOOKUP($A975, manifest!$A:$E, 5, FALSE), ""), IF(OR(_xlpm.v=0, _xlpm.v=""), "", _xlpm.v))</f>
        <v>female</v>
      </c>
    </row>
    <row r="976" spans="1:9" x14ac:dyDescent="0.6">
      <c r="A976">
        <v>196</v>
      </c>
      <c r="B976" t="s">
        <v>7</v>
      </c>
      <c r="C976" t="s">
        <v>11</v>
      </c>
      <c r="D976">
        <v>211.92</v>
      </c>
      <c r="E976">
        <v>227.67</v>
      </c>
      <c r="F976">
        <v>42450</v>
      </c>
      <c r="H976">
        <f>_xlfn.LET(_xlpm.v, IFERROR(VLOOKUP($A976, manifest!$A:$E, 3, FALSE), ""), IF(OR(_xlpm.v=0, _xlpm.v=""), "", _xlpm.v))</f>
        <v>55</v>
      </c>
      <c r="I976" t="str">
        <f>_xlfn.LET(_xlpm.v, IFERROR(VLOOKUP($A976, manifest!$A:$E, 5, FALSE), ""), IF(OR(_xlpm.v=0, _xlpm.v=""), "", _xlpm.v))</f>
        <v>female</v>
      </c>
    </row>
    <row r="977" spans="1:9" x14ac:dyDescent="0.6">
      <c r="A977">
        <v>196</v>
      </c>
      <c r="B977" t="s">
        <v>7</v>
      </c>
      <c r="C977" t="s">
        <v>12</v>
      </c>
      <c r="D977">
        <v>219.4</v>
      </c>
      <c r="E977">
        <v>235.97</v>
      </c>
      <c r="F977">
        <v>42444</v>
      </c>
      <c r="H977">
        <f>_xlfn.LET(_xlpm.v, IFERROR(VLOOKUP($A977, manifest!$A:$E, 3, FALSE), ""), IF(OR(_xlpm.v=0, _xlpm.v=""), "", _xlpm.v))</f>
        <v>55</v>
      </c>
      <c r="I977" t="str">
        <f>_xlfn.LET(_xlpm.v, IFERROR(VLOOKUP($A977, manifest!$A:$E, 5, FALSE), ""), IF(OR(_xlpm.v=0, _xlpm.v=""), "", _xlpm.v))</f>
        <v>female</v>
      </c>
    </row>
    <row r="978" spans="1:9" x14ac:dyDescent="0.6">
      <c r="A978">
        <v>196</v>
      </c>
      <c r="B978" t="s">
        <v>7</v>
      </c>
      <c r="C978" t="s">
        <v>13</v>
      </c>
      <c r="D978">
        <v>176.22</v>
      </c>
      <c r="E978">
        <v>190.38</v>
      </c>
      <c r="F978">
        <v>57285</v>
      </c>
      <c r="H978">
        <f>_xlfn.LET(_xlpm.v, IFERROR(VLOOKUP($A978, manifest!$A:$E, 3, FALSE), ""), IF(OR(_xlpm.v=0, _xlpm.v=""), "", _xlpm.v))</f>
        <v>55</v>
      </c>
      <c r="I978" t="str">
        <f>_xlfn.LET(_xlpm.v, IFERROR(VLOOKUP($A978, manifest!$A:$E, 5, FALSE), ""), IF(OR(_xlpm.v=0, _xlpm.v=""), "", _xlpm.v))</f>
        <v>female</v>
      </c>
    </row>
    <row r="979" spans="1:9" x14ac:dyDescent="0.6">
      <c r="A979">
        <v>212</v>
      </c>
      <c r="B979" t="s">
        <v>7</v>
      </c>
      <c r="C979" t="s">
        <v>8</v>
      </c>
      <c r="D979">
        <v>126.59</v>
      </c>
      <c r="E979">
        <v>76.03</v>
      </c>
      <c r="F979">
        <v>38961</v>
      </c>
      <c r="G979" t="s">
        <v>15</v>
      </c>
      <c r="H979">
        <f>_xlfn.LET(_xlpm.v, IFERROR(VLOOKUP($A979, manifest!$A:$E, 3, FALSE), ""), IF(OR(_xlpm.v=0, _xlpm.v=""), "", _xlpm.v))</f>
        <v>89</v>
      </c>
      <c r="I979" t="str">
        <f>_xlfn.LET(_xlpm.v, IFERROR(VLOOKUP($A979, manifest!$A:$E, 5, FALSE), ""), IF(OR(_xlpm.v=0, _xlpm.v=""), "", _xlpm.v))</f>
        <v>other</v>
      </c>
    </row>
    <row r="980" spans="1:9" x14ac:dyDescent="0.6">
      <c r="A980">
        <v>212</v>
      </c>
      <c r="B980" t="s">
        <v>7</v>
      </c>
      <c r="C980" t="s">
        <v>10</v>
      </c>
      <c r="D980">
        <v>136.22999999999999</v>
      </c>
      <c r="E980">
        <v>100.98</v>
      </c>
      <c r="F980">
        <v>37685</v>
      </c>
      <c r="H980">
        <f>_xlfn.LET(_xlpm.v, IFERROR(VLOOKUP($A980, manifest!$A:$E, 3, FALSE), ""), IF(OR(_xlpm.v=0, _xlpm.v=""), "", _xlpm.v))</f>
        <v>89</v>
      </c>
      <c r="I980" t="str">
        <f>_xlfn.LET(_xlpm.v, IFERROR(VLOOKUP($A980, manifest!$A:$E, 5, FALSE), ""), IF(OR(_xlpm.v=0, _xlpm.v=""), "", _xlpm.v))</f>
        <v>other</v>
      </c>
    </row>
    <row r="981" spans="1:9" x14ac:dyDescent="0.6">
      <c r="A981">
        <v>212</v>
      </c>
      <c r="B981" t="s">
        <v>7</v>
      </c>
      <c r="C981" t="s">
        <v>11</v>
      </c>
      <c r="D981">
        <v>145.93</v>
      </c>
      <c r="E981">
        <v>107.91</v>
      </c>
      <c r="F981">
        <v>42247</v>
      </c>
      <c r="H981">
        <f>_xlfn.LET(_xlpm.v, IFERROR(VLOOKUP($A981, manifest!$A:$E, 3, FALSE), ""), IF(OR(_xlpm.v=0, _xlpm.v=""), "", _xlpm.v))</f>
        <v>89</v>
      </c>
      <c r="I981" t="str">
        <f>_xlfn.LET(_xlpm.v, IFERROR(VLOOKUP($A981, manifest!$A:$E, 5, FALSE), ""), IF(OR(_xlpm.v=0, _xlpm.v=""), "", _xlpm.v))</f>
        <v>other</v>
      </c>
    </row>
    <row r="982" spans="1:9" x14ac:dyDescent="0.6">
      <c r="A982">
        <v>212</v>
      </c>
      <c r="B982" t="s">
        <v>7</v>
      </c>
      <c r="C982" t="s">
        <v>12</v>
      </c>
      <c r="D982">
        <v>143.79</v>
      </c>
      <c r="E982">
        <v>108.22</v>
      </c>
      <c r="F982">
        <v>48016</v>
      </c>
      <c r="H982">
        <f>_xlfn.LET(_xlpm.v, IFERROR(VLOOKUP($A982, manifest!$A:$E, 3, FALSE), ""), IF(OR(_xlpm.v=0, _xlpm.v=""), "", _xlpm.v))</f>
        <v>89</v>
      </c>
      <c r="I982" t="str">
        <f>_xlfn.LET(_xlpm.v, IFERROR(VLOOKUP($A982, manifest!$A:$E, 5, FALSE), ""), IF(OR(_xlpm.v=0, _xlpm.v=""), "", _xlpm.v))</f>
        <v>other</v>
      </c>
    </row>
    <row r="983" spans="1:9" x14ac:dyDescent="0.6">
      <c r="A983">
        <v>212</v>
      </c>
      <c r="B983" t="s">
        <v>7</v>
      </c>
      <c r="C983" t="s">
        <v>13</v>
      </c>
      <c r="D983">
        <v>133.58000000000001</v>
      </c>
      <c r="E983">
        <v>113.72</v>
      </c>
      <c r="F983">
        <v>61387</v>
      </c>
      <c r="H983">
        <f>_xlfn.LET(_xlpm.v, IFERROR(VLOOKUP($A983, manifest!$A:$E, 3, FALSE), ""), IF(OR(_xlpm.v=0, _xlpm.v=""), "", _xlpm.v))</f>
        <v>89</v>
      </c>
      <c r="I983" t="str">
        <f>_xlfn.LET(_xlpm.v, IFERROR(VLOOKUP($A983, manifest!$A:$E, 5, FALSE), ""), IF(OR(_xlpm.v=0, _xlpm.v=""), "", _xlpm.v))</f>
        <v>other</v>
      </c>
    </row>
    <row r="984" spans="1:9" x14ac:dyDescent="0.6">
      <c r="A984">
        <v>192</v>
      </c>
      <c r="B984" t="s">
        <v>7</v>
      </c>
      <c r="C984" t="s">
        <v>8</v>
      </c>
      <c r="D984">
        <v>87.06</v>
      </c>
      <c r="E984">
        <v>134.47</v>
      </c>
      <c r="F984">
        <v>29541</v>
      </c>
      <c r="G984" t="s">
        <v>17</v>
      </c>
      <c r="H984">
        <f>_xlfn.LET(_xlpm.v, IFERROR(VLOOKUP($A984, manifest!$A:$E, 3, FALSE), ""), IF(OR(_xlpm.v=0, _xlpm.v=""), "", _xlpm.v))</f>
        <v>70</v>
      </c>
      <c r="I984" t="str">
        <f>_xlfn.LET(_xlpm.v, IFERROR(VLOOKUP($A984, manifest!$A:$E, 5, FALSE), ""), IF(OR(_xlpm.v=0, _xlpm.v=""), "", _xlpm.v))</f>
        <v>female</v>
      </c>
    </row>
    <row r="985" spans="1:9" x14ac:dyDescent="0.6">
      <c r="A985">
        <v>192</v>
      </c>
      <c r="B985" t="s">
        <v>7</v>
      </c>
      <c r="C985" t="s">
        <v>10</v>
      </c>
      <c r="D985">
        <v>133.26</v>
      </c>
      <c r="E985">
        <v>140.38999999999999</v>
      </c>
      <c r="F985">
        <v>32746</v>
      </c>
      <c r="H985">
        <f>_xlfn.LET(_xlpm.v, IFERROR(VLOOKUP($A985, manifest!$A:$E, 3, FALSE), ""), IF(OR(_xlpm.v=0, _xlpm.v=""), "", _xlpm.v))</f>
        <v>70</v>
      </c>
      <c r="I985" t="str">
        <f>_xlfn.LET(_xlpm.v, IFERROR(VLOOKUP($A985, manifest!$A:$E, 5, FALSE), ""), IF(OR(_xlpm.v=0, _xlpm.v=""), "", _xlpm.v))</f>
        <v>female</v>
      </c>
    </row>
    <row r="986" spans="1:9" x14ac:dyDescent="0.6">
      <c r="A986">
        <v>192</v>
      </c>
      <c r="B986" t="s">
        <v>7</v>
      </c>
      <c r="C986" t="s">
        <v>11</v>
      </c>
      <c r="D986">
        <v>134.28</v>
      </c>
      <c r="E986">
        <v>143.30000000000001</v>
      </c>
      <c r="F986">
        <v>42699</v>
      </c>
      <c r="H986">
        <f>_xlfn.LET(_xlpm.v, IFERROR(VLOOKUP($A986, manifest!$A:$E, 3, FALSE), ""), IF(OR(_xlpm.v=0, _xlpm.v=""), "", _xlpm.v))</f>
        <v>70</v>
      </c>
      <c r="I986" t="str">
        <f>_xlfn.LET(_xlpm.v, IFERROR(VLOOKUP($A986, manifest!$A:$E, 5, FALSE), ""), IF(OR(_xlpm.v=0, _xlpm.v=""), "", _xlpm.v))</f>
        <v>female</v>
      </c>
    </row>
    <row r="987" spans="1:9" x14ac:dyDescent="0.6">
      <c r="A987">
        <v>192</v>
      </c>
      <c r="B987" t="s">
        <v>7</v>
      </c>
      <c r="C987" t="s">
        <v>12</v>
      </c>
      <c r="D987">
        <v>136.97</v>
      </c>
      <c r="E987">
        <v>145.93</v>
      </c>
      <c r="F987">
        <v>60451</v>
      </c>
      <c r="H987">
        <f>_xlfn.LET(_xlpm.v, IFERROR(VLOOKUP($A987, manifest!$A:$E, 3, FALSE), ""), IF(OR(_xlpm.v=0, _xlpm.v=""), "", _xlpm.v))</f>
        <v>70</v>
      </c>
      <c r="I987" t="str">
        <f>_xlfn.LET(_xlpm.v, IFERROR(VLOOKUP($A987, manifest!$A:$E, 5, FALSE), ""), IF(OR(_xlpm.v=0, _xlpm.v=""), "", _xlpm.v))</f>
        <v>female</v>
      </c>
    </row>
    <row r="988" spans="1:9" x14ac:dyDescent="0.6">
      <c r="A988">
        <v>192</v>
      </c>
      <c r="B988" t="s">
        <v>7</v>
      </c>
      <c r="C988" t="s">
        <v>13</v>
      </c>
      <c r="D988">
        <v>163.53</v>
      </c>
      <c r="E988">
        <v>153.18</v>
      </c>
      <c r="F988">
        <v>62923</v>
      </c>
      <c r="H988">
        <f>_xlfn.LET(_xlpm.v, IFERROR(VLOOKUP($A988, manifest!$A:$E, 3, FALSE), ""), IF(OR(_xlpm.v=0, _xlpm.v=""), "", _xlpm.v))</f>
        <v>70</v>
      </c>
      <c r="I988" t="str">
        <f>_xlfn.LET(_xlpm.v, IFERROR(VLOOKUP($A988, manifest!$A:$E, 5, FALSE), ""), IF(OR(_xlpm.v=0, _xlpm.v=""), "", _xlpm.v))</f>
        <v>female</v>
      </c>
    </row>
    <row r="989" spans="1:9" x14ac:dyDescent="0.6">
      <c r="A989">
        <v>208</v>
      </c>
      <c r="B989" t="s">
        <v>14</v>
      </c>
      <c r="C989" t="s">
        <v>8</v>
      </c>
      <c r="D989">
        <v>256.31</v>
      </c>
      <c r="E989">
        <v>205.66</v>
      </c>
      <c r="F989">
        <v>35434</v>
      </c>
      <c r="G989" t="s">
        <v>9</v>
      </c>
      <c r="H989" t="str">
        <f>_xlfn.LET(_xlpm.v, IFERROR(VLOOKUP($A989, manifest!$A:$E, 3, FALSE), ""), IF(OR(_xlpm.v=0, _xlpm.v=""), "", _xlpm.v))</f>
        <v/>
      </c>
      <c r="I989" t="str">
        <f>_xlfn.LET(_xlpm.v, IFERROR(VLOOKUP($A989, manifest!$A:$E, 5, FALSE), ""), IF(OR(_xlpm.v=0, _xlpm.v=""), "", _xlpm.v))</f>
        <v>male</v>
      </c>
    </row>
    <row r="990" spans="1:9" x14ac:dyDescent="0.6">
      <c r="A990">
        <v>208</v>
      </c>
      <c r="B990" t="s">
        <v>14</v>
      </c>
      <c r="C990" t="s">
        <v>10</v>
      </c>
      <c r="D990">
        <v>267.95</v>
      </c>
      <c r="E990">
        <v>214.59</v>
      </c>
      <c r="F990">
        <v>39394</v>
      </c>
      <c r="H990" t="str">
        <f>_xlfn.LET(_xlpm.v, IFERROR(VLOOKUP($A990, manifest!$A:$E, 3, FALSE), ""), IF(OR(_xlpm.v=0, _xlpm.v=""), "", _xlpm.v))</f>
        <v/>
      </c>
      <c r="I990" t="str">
        <f>_xlfn.LET(_xlpm.v, IFERROR(VLOOKUP($A990, manifest!$A:$E, 5, FALSE), ""), IF(OR(_xlpm.v=0, _xlpm.v=""), "", _xlpm.v))</f>
        <v>male</v>
      </c>
    </row>
    <row r="991" spans="1:9" x14ac:dyDescent="0.6">
      <c r="A991">
        <v>208</v>
      </c>
      <c r="B991" t="s">
        <v>14</v>
      </c>
      <c r="C991" t="s">
        <v>11</v>
      </c>
      <c r="D991">
        <v>266.89999999999998</v>
      </c>
      <c r="E991">
        <v>219.68</v>
      </c>
      <c r="F991">
        <v>42249</v>
      </c>
      <c r="H991" t="str">
        <f>_xlfn.LET(_xlpm.v, IFERROR(VLOOKUP($A991, manifest!$A:$E, 3, FALSE), ""), IF(OR(_xlpm.v=0, _xlpm.v=""), "", _xlpm.v))</f>
        <v/>
      </c>
      <c r="I991" t="str">
        <f>_xlfn.LET(_xlpm.v, IFERROR(VLOOKUP($A991, manifest!$A:$E, 5, FALSE), ""), IF(OR(_xlpm.v=0, _xlpm.v=""), "", _xlpm.v))</f>
        <v>male</v>
      </c>
    </row>
    <row r="992" spans="1:9" x14ac:dyDescent="0.6">
      <c r="A992">
        <v>208</v>
      </c>
      <c r="B992" t="s">
        <v>14</v>
      </c>
      <c r="C992" t="s">
        <v>12</v>
      </c>
      <c r="D992">
        <v>234.02</v>
      </c>
      <c r="E992">
        <v>178.18</v>
      </c>
      <c r="F992">
        <v>45866</v>
      </c>
      <c r="H992" t="str">
        <f>_xlfn.LET(_xlpm.v, IFERROR(VLOOKUP($A992, manifest!$A:$E, 3, FALSE), ""), IF(OR(_xlpm.v=0, _xlpm.v=""), "", _xlpm.v))</f>
        <v/>
      </c>
      <c r="I992" t="str">
        <f>_xlfn.LET(_xlpm.v, IFERROR(VLOOKUP($A992, manifest!$A:$E, 5, FALSE), ""), IF(OR(_xlpm.v=0, _xlpm.v=""), "", _xlpm.v))</f>
        <v>male</v>
      </c>
    </row>
    <row r="993" spans="1:9" x14ac:dyDescent="0.6">
      <c r="A993">
        <v>208</v>
      </c>
      <c r="B993" t="s">
        <v>14</v>
      </c>
      <c r="C993" t="s">
        <v>13</v>
      </c>
      <c r="D993">
        <v>230.44</v>
      </c>
      <c r="E993">
        <v>127.14</v>
      </c>
      <c r="F993">
        <v>46067</v>
      </c>
      <c r="H993" t="str">
        <f>_xlfn.LET(_xlpm.v, IFERROR(VLOOKUP($A993, manifest!$A:$E, 3, FALSE), ""), IF(OR(_xlpm.v=0, _xlpm.v=""), "", _xlpm.v))</f>
        <v/>
      </c>
      <c r="I993" t="str">
        <f>_xlfn.LET(_xlpm.v, IFERROR(VLOOKUP($A993, manifest!$A:$E, 5, FALSE), ""), IF(OR(_xlpm.v=0, _xlpm.v=""), "", _xlpm.v))</f>
        <v>male</v>
      </c>
    </row>
    <row r="994" spans="1:9" x14ac:dyDescent="0.6">
      <c r="A994">
        <v>214</v>
      </c>
      <c r="B994" t="s">
        <v>7</v>
      </c>
      <c r="C994" t="s">
        <v>8</v>
      </c>
      <c r="D994">
        <v>139.94999999999999</v>
      </c>
      <c r="E994">
        <v>111.81</v>
      </c>
      <c r="F994">
        <v>23898</v>
      </c>
      <c r="G994" t="s">
        <v>15</v>
      </c>
      <c r="H994">
        <f>_xlfn.LET(_xlpm.v, IFERROR(VLOOKUP($A994, manifest!$A:$E, 3, FALSE), ""), IF(OR(_xlpm.v=0, _xlpm.v=""), "", _xlpm.v))</f>
        <v>61</v>
      </c>
      <c r="I994" t="str">
        <f>_xlfn.LET(_xlpm.v, IFERROR(VLOOKUP($A994, manifest!$A:$E, 5, FALSE), ""), IF(OR(_xlpm.v=0, _xlpm.v=""), "", _xlpm.v))</f>
        <v>female</v>
      </c>
    </row>
    <row r="995" spans="1:9" x14ac:dyDescent="0.6">
      <c r="A995">
        <v>214</v>
      </c>
      <c r="B995" t="s">
        <v>7</v>
      </c>
      <c r="C995" t="s">
        <v>10</v>
      </c>
      <c r="D995">
        <v>163.35</v>
      </c>
      <c r="E995">
        <v>141.72999999999999</v>
      </c>
      <c r="F995">
        <v>27170</v>
      </c>
      <c r="H995">
        <f>_xlfn.LET(_xlpm.v, IFERROR(VLOOKUP($A995, manifest!$A:$E, 3, FALSE), ""), IF(OR(_xlpm.v=0, _xlpm.v=""), "", _xlpm.v))</f>
        <v>61</v>
      </c>
      <c r="I995" t="str">
        <f>_xlfn.LET(_xlpm.v, IFERROR(VLOOKUP($A995, manifest!$A:$E, 5, FALSE), ""), IF(OR(_xlpm.v=0, _xlpm.v=""), "", _xlpm.v))</f>
        <v>female</v>
      </c>
    </row>
    <row r="996" spans="1:9" x14ac:dyDescent="0.6">
      <c r="A996">
        <v>214</v>
      </c>
      <c r="B996" t="s">
        <v>7</v>
      </c>
      <c r="C996" t="s">
        <v>11</v>
      </c>
      <c r="D996">
        <v>167.33</v>
      </c>
      <c r="E996">
        <v>151.79</v>
      </c>
      <c r="F996">
        <v>33492</v>
      </c>
      <c r="H996">
        <f>_xlfn.LET(_xlpm.v, IFERROR(VLOOKUP($A996, manifest!$A:$E, 3, FALSE), ""), IF(OR(_xlpm.v=0, _xlpm.v=""), "", _xlpm.v))</f>
        <v>61</v>
      </c>
      <c r="I996" t="str">
        <f>_xlfn.LET(_xlpm.v, IFERROR(VLOOKUP($A996, manifest!$A:$E, 5, FALSE), ""), IF(OR(_xlpm.v=0, _xlpm.v=""), "", _xlpm.v))</f>
        <v>female</v>
      </c>
    </row>
    <row r="997" spans="1:9" x14ac:dyDescent="0.6">
      <c r="A997">
        <v>214</v>
      </c>
      <c r="B997" t="s">
        <v>7</v>
      </c>
      <c r="C997" t="s">
        <v>12</v>
      </c>
      <c r="D997">
        <v>143.54</v>
      </c>
      <c r="E997">
        <v>134.59</v>
      </c>
      <c r="F997">
        <v>33454</v>
      </c>
      <c r="H997">
        <f>_xlfn.LET(_xlpm.v, IFERROR(VLOOKUP($A997, manifest!$A:$E, 3, FALSE), ""), IF(OR(_xlpm.v=0, _xlpm.v=""), "", _xlpm.v))</f>
        <v>61</v>
      </c>
      <c r="I997" t="str">
        <f>_xlfn.LET(_xlpm.v, IFERROR(VLOOKUP($A997, manifest!$A:$E, 5, FALSE), ""), IF(OR(_xlpm.v=0, _xlpm.v=""), "", _xlpm.v))</f>
        <v>female</v>
      </c>
    </row>
    <row r="998" spans="1:9" x14ac:dyDescent="0.6">
      <c r="A998">
        <v>214</v>
      </c>
      <c r="B998" t="s">
        <v>7</v>
      </c>
      <c r="C998" t="s">
        <v>13</v>
      </c>
      <c r="D998">
        <v>155.79</v>
      </c>
      <c r="E998">
        <v>158.41999999999999</v>
      </c>
      <c r="F998">
        <v>44594</v>
      </c>
      <c r="H998">
        <f>_xlfn.LET(_xlpm.v, IFERROR(VLOOKUP($A998, manifest!$A:$E, 3, FALSE), ""), IF(OR(_xlpm.v=0, _xlpm.v=""), "", _xlpm.v))</f>
        <v>61</v>
      </c>
      <c r="I998" t="str">
        <f>_xlfn.LET(_xlpm.v, IFERROR(VLOOKUP($A998, manifest!$A:$E, 5, FALSE), ""), IF(OR(_xlpm.v=0, _xlpm.v=""), "", _xlpm.v))</f>
        <v>female</v>
      </c>
    </row>
    <row r="999" spans="1:9" x14ac:dyDescent="0.6">
      <c r="A999">
        <v>216</v>
      </c>
      <c r="B999" t="s">
        <v>14</v>
      </c>
      <c r="C999" t="s">
        <v>8</v>
      </c>
      <c r="D999">
        <v>168.57</v>
      </c>
      <c r="E999">
        <v>116.45</v>
      </c>
      <c r="F999">
        <v>30328</v>
      </c>
      <c r="G999" t="s">
        <v>9</v>
      </c>
      <c r="H999">
        <f>_xlfn.LET(_xlpm.v, IFERROR(VLOOKUP($A999, manifest!$A:$E, 3, FALSE), ""), IF(OR(_xlpm.v=0, _xlpm.v=""), "", _xlpm.v))</f>
        <v>70</v>
      </c>
      <c r="I999" t="str">
        <f>_xlfn.LET(_xlpm.v, IFERROR(VLOOKUP($A999, manifest!$A:$E, 5, FALSE), ""), IF(OR(_xlpm.v=0, _xlpm.v=""), "", _xlpm.v))</f>
        <v>female</v>
      </c>
    </row>
    <row r="1000" spans="1:9" x14ac:dyDescent="0.6">
      <c r="A1000">
        <v>216</v>
      </c>
      <c r="B1000" t="s">
        <v>14</v>
      </c>
      <c r="C1000" t="s">
        <v>10</v>
      </c>
      <c r="D1000">
        <v>167.86</v>
      </c>
      <c r="E1000">
        <v>121.36</v>
      </c>
      <c r="F1000">
        <v>32929</v>
      </c>
      <c r="H1000">
        <f>_xlfn.LET(_xlpm.v, IFERROR(VLOOKUP($A1000, manifest!$A:$E, 3, FALSE), ""), IF(OR(_xlpm.v=0, _xlpm.v=""), "", _xlpm.v))</f>
        <v>70</v>
      </c>
      <c r="I1000" t="str">
        <f>_xlfn.LET(_xlpm.v, IFERROR(VLOOKUP($A1000, manifest!$A:$E, 5, FALSE), ""), IF(OR(_xlpm.v=0, _xlpm.v=""), "", _xlpm.v))</f>
        <v>female</v>
      </c>
    </row>
    <row r="1001" spans="1:9" x14ac:dyDescent="0.6">
      <c r="A1001">
        <v>216</v>
      </c>
      <c r="B1001" t="s">
        <v>14</v>
      </c>
      <c r="C1001" t="s">
        <v>11</v>
      </c>
      <c r="D1001">
        <v>160.5</v>
      </c>
      <c r="E1001">
        <v>129.74</v>
      </c>
      <c r="F1001">
        <v>39840</v>
      </c>
      <c r="H1001">
        <f>_xlfn.LET(_xlpm.v, IFERROR(VLOOKUP($A1001, manifest!$A:$E, 3, FALSE), ""), IF(OR(_xlpm.v=0, _xlpm.v=""), "", _xlpm.v))</f>
        <v>70</v>
      </c>
      <c r="I1001" t="str">
        <f>_xlfn.LET(_xlpm.v, IFERROR(VLOOKUP($A1001, manifest!$A:$E, 5, FALSE), ""), IF(OR(_xlpm.v=0, _xlpm.v=""), "", _xlpm.v))</f>
        <v>female</v>
      </c>
    </row>
    <row r="1002" spans="1:9" x14ac:dyDescent="0.6">
      <c r="A1002">
        <v>216</v>
      </c>
      <c r="B1002" t="s">
        <v>14</v>
      </c>
      <c r="C1002" t="s">
        <v>12</v>
      </c>
      <c r="D1002">
        <v>166.42</v>
      </c>
      <c r="E1002">
        <v>134.68</v>
      </c>
      <c r="F1002">
        <v>51507</v>
      </c>
      <c r="H1002">
        <f>_xlfn.LET(_xlpm.v, IFERROR(VLOOKUP($A1002, manifest!$A:$E, 3, FALSE), ""), IF(OR(_xlpm.v=0, _xlpm.v=""), "", _xlpm.v))</f>
        <v>70</v>
      </c>
      <c r="I1002" t="str">
        <f>_xlfn.LET(_xlpm.v, IFERROR(VLOOKUP($A1002, manifest!$A:$E, 5, FALSE), ""), IF(OR(_xlpm.v=0, _xlpm.v=""), "", _xlpm.v))</f>
        <v>female</v>
      </c>
    </row>
    <row r="1003" spans="1:9" x14ac:dyDescent="0.6">
      <c r="A1003">
        <v>216</v>
      </c>
      <c r="B1003" t="s">
        <v>14</v>
      </c>
      <c r="C1003" t="s">
        <v>13</v>
      </c>
      <c r="D1003">
        <v>194.89</v>
      </c>
      <c r="E1003">
        <v>165.23</v>
      </c>
      <c r="F1003">
        <v>54367</v>
      </c>
      <c r="H1003">
        <f>_xlfn.LET(_xlpm.v, IFERROR(VLOOKUP($A1003, manifest!$A:$E, 3, FALSE), ""), IF(OR(_xlpm.v=0, _xlpm.v=""), "", _xlpm.v))</f>
        <v>70</v>
      </c>
      <c r="I1003" t="str">
        <f>_xlfn.LET(_xlpm.v, IFERROR(VLOOKUP($A1003, manifest!$A:$E, 5, FALSE), ""), IF(OR(_xlpm.v=0, _xlpm.v=""), "", _xlpm.v))</f>
        <v>female</v>
      </c>
    </row>
    <row r="1004" spans="1:9" x14ac:dyDescent="0.6">
      <c r="A1004">
        <v>225</v>
      </c>
      <c r="B1004" t="s">
        <v>14</v>
      </c>
      <c r="C1004" t="s">
        <v>8</v>
      </c>
      <c r="D1004">
        <v>157.88999999999999</v>
      </c>
      <c r="E1004">
        <v>116.31</v>
      </c>
      <c r="F1004">
        <v>36251</v>
      </c>
      <c r="G1004" t="s">
        <v>15</v>
      </c>
      <c r="H1004">
        <f>_xlfn.LET(_xlpm.v, IFERROR(VLOOKUP($A1004, manifest!$A:$E, 3, FALSE), ""), IF(OR(_xlpm.v=0, _xlpm.v=""), "", _xlpm.v))</f>
        <v>78</v>
      </c>
      <c r="I1004" t="str">
        <f>_xlfn.LET(_xlpm.v, IFERROR(VLOOKUP($A1004, manifest!$A:$E, 5, FALSE), ""), IF(OR(_xlpm.v=0, _xlpm.v=""), "", _xlpm.v))</f>
        <v>female</v>
      </c>
    </row>
    <row r="1005" spans="1:9" x14ac:dyDescent="0.6">
      <c r="A1005">
        <v>225</v>
      </c>
      <c r="B1005" t="s">
        <v>14</v>
      </c>
      <c r="C1005" t="s">
        <v>10</v>
      </c>
      <c r="D1005">
        <v>164.49</v>
      </c>
      <c r="E1005">
        <v>117.89</v>
      </c>
      <c r="F1005">
        <v>42757</v>
      </c>
      <c r="H1005">
        <f>_xlfn.LET(_xlpm.v, IFERROR(VLOOKUP($A1005, manifest!$A:$E, 3, FALSE), ""), IF(OR(_xlpm.v=0, _xlpm.v=""), "", _xlpm.v))</f>
        <v>78</v>
      </c>
      <c r="I1005" t="str">
        <f>_xlfn.LET(_xlpm.v, IFERROR(VLOOKUP($A1005, manifest!$A:$E, 5, FALSE), ""), IF(OR(_xlpm.v=0, _xlpm.v=""), "", _xlpm.v))</f>
        <v>female</v>
      </c>
    </row>
    <row r="1006" spans="1:9" x14ac:dyDescent="0.6">
      <c r="A1006">
        <v>225</v>
      </c>
      <c r="B1006" t="s">
        <v>14</v>
      </c>
      <c r="C1006" t="s">
        <v>11</v>
      </c>
      <c r="D1006">
        <v>166.53</v>
      </c>
      <c r="E1006">
        <v>155.91</v>
      </c>
      <c r="F1006">
        <v>49773</v>
      </c>
      <c r="H1006">
        <f>_xlfn.LET(_xlpm.v, IFERROR(VLOOKUP($A1006, manifest!$A:$E, 3, FALSE), ""), IF(OR(_xlpm.v=0, _xlpm.v=""), "", _xlpm.v))</f>
        <v>78</v>
      </c>
      <c r="I1006" t="str">
        <f>_xlfn.LET(_xlpm.v, IFERROR(VLOOKUP($A1006, manifest!$A:$E, 5, FALSE), ""), IF(OR(_xlpm.v=0, _xlpm.v=""), "", _xlpm.v))</f>
        <v>female</v>
      </c>
    </row>
    <row r="1007" spans="1:9" x14ac:dyDescent="0.6">
      <c r="A1007">
        <v>225</v>
      </c>
      <c r="B1007" t="s">
        <v>14</v>
      </c>
      <c r="C1007" t="s">
        <v>12</v>
      </c>
      <c r="D1007">
        <v>170.97</v>
      </c>
      <c r="E1007">
        <v>151.11000000000001</v>
      </c>
      <c r="F1007">
        <v>58225</v>
      </c>
      <c r="H1007">
        <f>_xlfn.LET(_xlpm.v, IFERROR(VLOOKUP($A1007, manifest!$A:$E, 3, FALSE), ""), IF(OR(_xlpm.v=0, _xlpm.v=""), "", _xlpm.v))</f>
        <v>78</v>
      </c>
      <c r="I1007" t="str">
        <f>_xlfn.LET(_xlpm.v, IFERROR(VLOOKUP($A1007, manifest!$A:$E, 5, FALSE), ""), IF(OR(_xlpm.v=0, _xlpm.v=""), "", _xlpm.v))</f>
        <v>female</v>
      </c>
    </row>
    <row r="1008" spans="1:9" x14ac:dyDescent="0.6">
      <c r="A1008">
        <v>225</v>
      </c>
      <c r="B1008" t="s">
        <v>14</v>
      </c>
      <c r="C1008" t="s">
        <v>13</v>
      </c>
      <c r="D1008">
        <v>194.42</v>
      </c>
      <c r="E1008">
        <v>172.01</v>
      </c>
      <c r="F1008">
        <v>58300</v>
      </c>
      <c r="H1008">
        <f>_xlfn.LET(_xlpm.v, IFERROR(VLOOKUP($A1008, manifest!$A:$E, 3, FALSE), ""), IF(OR(_xlpm.v=0, _xlpm.v=""), "", _xlpm.v))</f>
        <v>78</v>
      </c>
      <c r="I1008" t="str">
        <f>_xlfn.LET(_xlpm.v, IFERROR(VLOOKUP($A1008, manifest!$A:$E, 5, FALSE), ""), IF(OR(_xlpm.v=0, _xlpm.v=""), "", _xlpm.v))</f>
        <v>female</v>
      </c>
    </row>
    <row r="1009" spans="1:9" x14ac:dyDescent="0.6">
      <c r="A1009">
        <v>219</v>
      </c>
      <c r="B1009" t="s">
        <v>14</v>
      </c>
      <c r="C1009" t="s">
        <v>8</v>
      </c>
      <c r="D1009">
        <v>188.15</v>
      </c>
      <c r="E1009">
        <v>126.57</v>
      </c>
      <c r="F1009">
        <v>40247</v>
      </c>
      <c r="G1009" t="s">
        <v>9</v>
      </c>
      <c r="H1009" t="str">
        <f>_xlfn.LET(_xlpm.v, IFERROR(VLOOKUP($A1009, manifest!$A:$E, 3, FALSE), ""), IF(OR(_xlpm.v=0, _xlpm.v=""), "", _xlpm.v))</f>
        <v/>
      </c>
      <c r="I1009" t="str">
        <f>_xlfn.LET(_xlpm.v, IFERROR(VLOOKUP($A1009, manifest!$A:$E, 5, FALSE), ""), IF(OR(_xlpm.v=0, _xlpm.v=""), "", _xlpm.v))</f>
        <v>male</v>
      </c>
    </row>
    <row r="1010" spans="1:9" x14ac:dyDescent="0.6">
      <c r="A1010">
        <v>219</v>
      </c>
      <c r="B1010" t="s">
        <v>14</v>
      </c>
      <c r="C1010" t="s">
        <v>10</v>
      </c>
      <c r="D1010">
        <v>204.27</v>
      </c>
      <c r="E1010">
        <v>165.94</v>
      </c>
      <c r="F1010">
        <v>40790</v>
      </c>
      <c r="H1010" t="str">
        <f>_xlfn.LET(_xlpm.v, IFERROR(VLOOKUP($A1010, manifest!$A:$E, 3, FALSE), ""), IF(OR(_xlpm.v=0, _xlpm.v=""), "", _xlpm.v))</f>
        <v/>
      </c>
      <c r="I1010" t="str">
        <f>_xlfn.LET(_xlpm.v, IFERROR(VLOOKUP($A1010, manifest!$A:$E, 5, FALSE), ""), IF(OR(_xlpm.v=0, _xlpm.v=""), "", _xlpm.v))</f>
        <v>male</v>
      </c>
    </row>
    <row r="1011" spans="1:9" x14ac:dyDescent="0.6">
      <c r="A1011">
        <v>219</v>
      </c>
      <c r="B1011" t="s">
        <v>14</v>
      </c>
      <c r="C1011" t="s">
        <v>11</v>
      </c>
      <c r="D1011">
        <v>195.05</v>
      </c>
      <c r="E1011">
        <v>172.46</v>
      </c>
      <c r="F1011">
        <v>47826</v>
      </c>
      <c r="H1011" t="str">
        <f>_xlfn.LET(_xlpm.v, IFERROR(VLOOKUP($A1011, manifest!$A:$E, 3, FALSE), ""), IF(OR(_xlpm.v=0, _xlpm.v=""), "", _xlpm.v))</f>
        <v/>
      </c>
      <c r="I1011" t="str">
        <f>_xlfn.LET(_xlpm.v, IFERROR(VLOOKUP($A1011, manifest!$A:$E, 5, FALSE), ""), IF(OR(_xlpm.v=0, _xlpm.v=""), "", _xlpm.v))</f>
        <v>male</v>
      </c>
    </row>
    <row r="1012" spans="1:9" x14ac:dyDescent="0.6">
      <c r="A1012">
        <v>219</v>
      </c>
      <c r="B1012" t="s">
        <v>14</v>
      </c>
      <c r="C1012" t="s">
        <v>12</v>
      </c>
      <c r="D1012">
        <v>175.98</v>
      </c>
      <c r="E1012">
        <v>155.30000000000001</v>
      </c>
      <c r="F1012">
        <v>58089</v>
      </c>
      <c r="H1012" t="str">
        <f>_xlfn.LET(_xlpm.v, IFERROR(VLOOKUP($A1012, manifest!$A:$E, 3, FALSE), ""), IF(OR(_xlpm.v=0, _xlpm.v=""), "", _xlpm.v))</f>
        <v/>
      </c>
      <c r="I1012" t="str">
        <f>_xlfn.LET(_xlpm.v, IFERROR(VLOOKUP($A1012, manifest!$A:$E, 5, FALSE), ""), IF(OR(_xlpm.v=0, _xlpm.v=""), "", _xlpm.v))</f>
        <v>male</v>
      </c>
    </row>
    <row r="1013" spans="1:9" x14ac:dyDescent="0.6">
      <c r="A1013">
        <v>219</v>
      </c>
      <c r="B1013" t="s">
        <v>14</v>
      </c>
      <c r="C1013" t="s">
        <v>13</v>
      </c>
      <c r="D1013">
        <v>193.13</v>
      </c>
      <c r="E1013">
        <v>167.87</v>
      </c>
      <c r="F1013">
        <v>63983</v>
      </c>
      <c r="H1013" t="str">
        <f>_xlfn.LET(_xlpm.v, IFERROR(VLOOKUP($A1013, manifest!$A:$E, 3, FALSE), ""), IF(OR(_xlpm.v=0, _xlpm.v=""), "", _xlpm.v))</f>
        <v/>
      </c>
      <c r="I1013" t="str">
        <f>_xlfn.LET(_xlpm.v, IFERROR(VLOOKUP($A1013, manifest!$A:$E, 5, FALSE), ""), IF(OR(_xlpm.v=0, _xlpm.v=""), "", _xlpm.v))</f>
        <v>male</v>
      </c>
    </row>
    <row r="1014" spans="1:9" x14ac:dyDescent="0.6">
      <c r="A1014">
        <v>223</v>
      </c>
      <c r="B1014" t="s">
        <v>7</v>
      </c>
      <c r="C1014" t="s">
        <v>8</v>
      </c>
      <c r="D1014">
        <v>174.89</v>
      </c>
      <c r="E1014">
        <v>95.73</v>
      </c>
      <c r="F1014">
        <v>24175</v>
      </c>
      <c r="G1014" t="s">
        <v>9</v>
      </c>
      <c r="H1014">
        <f>_xlfn.LET(_xlpm.v, IFERROR(VLOOKUP($A1014, manifest!$A:$E, 3, FALSE), ""), IF(OR(_xlpm.v=0, _xlpm.v=""), "", _xlpm.v))</f>
        <v>56</v>
      </c>
      <c r="I1014" t="str">
        <f>_xlfn.LET(_xlpm.v, IFERROR(VLOOKUP($A1014, manifest!$A:$E, 5, FALSE), ""), IF(OR(_xlpm.v=0, _xlpm.v=""), "", _xlpm.v))</f>
        <v>male</v>
      </c>
    </row>
    <row r="1015" spans="1:9" x14ac:dyDescent="0.6">
      <c r="A1015">
        <v>223</v>
      </c>
      <c r="B1015" t="s">
        <v>7</v>
      </c>
      <c r="C1015" t="s">
        <v>10</v>
      </c>
      <c r="D1015">
        <v>191.87</v>
      </c>
      <c r="E1015">
        <v>105.21</v>
      </c>
      <c r="F1015">
        <v>25091</v>
      </c>
      <c r="H1015">
        <f>_xlfn.LET(_xlpm.v, IFERROR(VLOOKUP($A1015, manifest!$A:$E, 3, FALSE), ""), IF(OR(_xlpm.v=0, _xlpm.v=""), "", _xlpm.v))</f>
        <v>56</v>
      </c>
      <c r="I1015" t="str">
        <f>_xlfn.LET(_xlpm.v, IFERROR(VLOOKUP($A1015, manifest!$A:$E, 5, FALSE), ""), IF(OR(_xlpm.v=0, _xlpm.v=""), "", _xlpm.v))</f>
        <v>male</v>
      </c>
    </row>
    <row r="1016" spans="1:9" x14ac:dyDescent="0.6">
      <c r="A1016">
        <v>223</v>
      </c>
      <c r="B1016" t="s">
        <v>7</v>
      </c>
      <c r="C1016" t="s">
        <v>11</v>
      </c>
      <c r="D1016">
        <v>178.24</v>
      </c>
      <c r="E1016">
        <v>135.41999999999999</v>
      </c>
      <c r="F1016">
        <v>28416</v>
      </c>
      <c r="H1016">
        <f>_xlfn.LET(_xlpm.v, IFERROR(VLOOKUP($A1016, manifest!$A:$E, 3, FALSE), ""), IF(OR(_xlpm.v=0, _xlpm.v=""), "", _xlpm.v))</f>
        <v>56</v>
      </c>
      <c r="I1016" t="str">
        <f>_xlfn.LET(_xlpm.v, IFERROR(VLOOKUP($A1016, manifest!$A:$E, 5, FALSE), ""), IF(OR(_xlpm.v=0, _xlpm.v=""), "", _xlpm.v))</f>
        <v>male</v>
      </c>
    </row>
    <row r="1017" spans="1:9" x14ac:dyDescent="0.6">
      <c r="A1017">
        <v>223</v>
      </c>
      <c r="B1017" t="s">
        <v>7</v>
      </c>
      <c r="C1017" t="s">
        <v>12</v>
      </c>
      <c r="D1017">
        <v>191.62</v>
      </c>
      <c r="E1017">
        <v>115.36</v>
      </c>
      <c r="F1017">
        <v>33041</v>
      </c>
      <c r="H1017">
        <f>_xlfn.LET(_xlpm.v, IFERROR(VLOOKUP($A1017, manifest!$A:$E, 3, FALSE), ""), IF(OR(_xlpm.v=0, _xlpm.v=""), "", _xlpm.v))</f>
        <v>56</v>
      </c>
      <c r="I1017" t="str">
        <f>_xlfn.LET(_xlpm.v, IFERROR(VLOOKUP($A1017, manifest!$A:$E, 5, FALSE), ""), IF(OR(_xlpm.v=0, _xlpm.v=""), "", _xlpm.v))</f>
        <v>male</v>
      </c>
    </row>
    <row r="1018" spans="1:9" x14ac:dyDescent="0.6">
      <c r="A1018">
        <v>223</v>
      </c>
      <c r="B1018" t="s">
        <v>7</v>
      </c>
      <c r="C1018" t="s">
        <v>13</v>
      </c>
      <c r="D1018">
        <v>205.28</v>
      </c>
      <c r="E1018">
        <v>131.31</v>
      </c>
      <c r="F1018">
        <v>35884</v>
      </c>
      <c r="H1018">
        <f>_xlfn.LET(_xlpm.v, IFERROR(VLOOKUP($A1018, manifest!$A:$E, 3, FALSE), ""), IF(OR(_xlpm.v=0, _xlpm.v=""), "", _xlpm.v))</f>
        <v>56</v>
      </c>
      <c r="I1018" t="str">
        <f>_xlfn.LET(_xlpm.v, IFERROR(VLOOKUP($A1018, manifest!$A:$E, 5, FALSE), ""), IF(OR(_xlpm.v=0, _xlpm.v=""), "", _xlpm.v))</f>
        <v>male</v>
      </c>
    </row>
    <row r="1019" spans="1:9" x14ac:dyDescent="0.6">
      <c r="A1019">
        <v>215</v>
      </c>
      <c r="B1019" t="s">
        <v>14</v>
      </c>
      <c r="C1019" t="s">
        <v>8</v>
      </c>
      <c r="D1019">
        <v>280.27999999999997</v>
      </c>
      <c r="E1019">
        <v>148.86000000000001</v>
      </c>
      <c r="F1019">
        <v>38115</v>
      </c>
      <c r="G1019" t="s">
        <v>9</v>
      </c>
      <c r="H1019">
        <f>_xlfn.LET(_xlpm.v, IFERROR(VLOOKUP($A1019, manifest!$A:$E, 3, FALSE), ""), IF(OR(_xlpm.v=0, _xlpm.v=""), "", _xlpm.v))</f>
        <v>51</v>
      </c>
      <c r="I1019" t="str">
        <f>_xlfn.LET(_xlpm.v, IFERROR(VLOOKUP($A1019, manifest!$A:$E, 5, FALSE), ""), IF(OR(_xlpm.v=0, _xlpm.v=""), "", _xlpm.v))</f>
        <v>male</v>
      </c>
    </row>
    <row r="1020" spans="1:9" x14ac:dyDescent="0.6">
      <c r="A1020">
        <v>215</v>
      </c>
      <c r="B1020" t="s">
        <v>14</v>
      </c>
      <c r="C1020" t="s">
        <v>10</v>
      </c>
      <c r="D1020">
        <v>307.95999999999998</v>
      </c>
      <c r="E1020">
        <v>183.79</v>
      </c>
      <c r="F1020">
        <v>36127</v>
      </c>
      <c r="H1020">
        <f>_xlfn.LET(_xlpm.v, IFERROR(VLOOKUP($A1020, manifest!$A:$E, 3, FALSE), ""), IF(OR(_xlpm.v=0, _xlpm.v=""), "", _xlpm.v))</f>
        <v>51</v>
      </c>
      <c r="I1020" t="str">
        <f>_xlfn.LET(_xlpm.v, IFERROR(VLOOKUP($A1020, manifest!$A:$E, 5, FALSE), ""), IF(OR(_xlpm.v=0, _xlpm.v=""), "", _xlpm.v))</f>
        <v>male</v>
      </c>
    </row>
    <row r="1021" spans="1:9" x14ac:dyDescent="0.6">
      <c r="A1021">
        <v>215</v>
      </c>
      <c r="B1021" t="s">
        <v>14</v>
      </c>
      <c r="C1021" t="s">
        <v>11</v>
      </c>
      <c r="D1021">
        <v>291.24</v>
      </c>
      <c r="E1021">
        <v>177.81</v>
      </c>
      <c r="F1021">
        <v>41301</v>
      </c>
      <c r="H1021">
        <f>_xlfn.LET(_xlpm.v, IFERROR(VLOOKUP($A1021, manifest!$A:$E, 3, FALSE), ""), IF(OR(_xlpm.v=0, _xlpm.v=""), "", _xlpm.v))</f>
        <v>51</v>
      </c>
      <c r="I1021" t="str">
        <f>_xlfn.LET(_xlpm.v, IFERROR(VLOOKUP($A1021, manifest!$A:$E, 5, FALSE), ""), IF(OR(_xlpm.v=0, _xlpm.v=""), "", _xlpm.v))</f>
        <v>male</v>
      </c>
    </row>
    <row r="1022" spans="1:9" x14ac:dyDescent="0.6">
      <c r="A1022">
        <v>215</v>
      </c>
      <c r="B1022" t="s">
        <v>14</v>
      </c>
      <c r="C1022" t="s">
        <v>12</v>
      </c>
      <c r="D1022">
        <v>278.94</v>
      </c>
      <c r="E1022">
        <v>190.81</v>
      </c>
      <c r="F1022">
        <v>53750</v>
      </c>
      <c r="H1022">
        <f>_xlfn.LET(_xlpm.v, IFERROR(VLOOKUP($A1022, manifest!$A:$E, 3, FALSE), ""), IF(OR(_xlpm.v=0, _xlpm.v=""), "", _xlpm.v))</f>
        <v>51</v>
      </c>
      <c r="I1022" t="str">
        <f>_xlfn.LET(_xlpm.v, IFERROR(VLOOKUP($A1022, manifest!$A:$E, 5, FALSE), ""), IF(OR(_xlpm.v=0, _xlpm.v=""), "", _xlpm.v))</f>
        <v>male</v>
      </c>
    </row>
    <row r="1023" spans="1:9" x14ac:dyDescent="0.6">
      <c r="A1023">
        <v>215</v>
      </c>
      <c r="B1023" t="s">
        <v>14</v>
      </c>
      <c r="C1023" t="s">
        <v>13</v>
      </c>
      <c r="D1023">
        <v>263.49</v>
      </c>
      <c r="E1023">
        <v>152.51</v>
      </c>
      <c r="F1023">
        <v>73540</v>
      </c>
      <c r="H1023">
        <f>_xlfn.LET(_xlpm.v, IFERROR(VLOOKUP($A1023, manifest!$A:$E, 3, FALSE), ""), IF(OR(_xlpm.v=0, _xlpm.v=""), "", _xlpm.v))</f>
        <v>51</v>
      </c>
      <c r="I1023" t="str">
        <f>_xlfn.LET(_xlpm.v, IFERROR(VLOOKUP($A1023, manifest!$A:$E, 5, FALSE), ""), IF(OR(_xlpm.v=0, _xlpm.v=""), "", _xlpm.v))</f>
        <v>male</v>
      </c>
    </row>
    <row r="1024" spans="1:9" x14ac:dyDescent="0.6">
      <c r="A1024">
        <v>215</v>
      </c>
      <c r="B1024" t="s">
        <v>14</v>
      </c>
      <c r="C1024" t="s">
        <v>16</v>
      </c>
      <c r="D1024">
        <v>277.99</v>
      </c>
      <c r="E1024">
        <v>158.36000000000001</v>
      </c>
      <c r="F1024">
        <v>75935</v>
      </c>
      <c r="H1024">
        <f>_xlfn.LET(_xlpm.v, IFERROR(VLOOKUP($A1024, manifest!$A:$E, 3, FALSE), ""), IF(OR(_xlpm.v=0, _xlpm.v=""), "", _xlpm.v))</f>
        <v>51</v>
      </c>
      <c r="I1024" t="str">
        <f>_xlfn.LET(_xlpm.v, IFERROR(VLOOKUP($A1024, manifest!$A:$E, 5, FALSE), ""), IF(OR(_xlpm.v=0, _xlpm.v=""), "", _xlpm.v))</f>
        <v>male</v>
      </c>
    </row>
    <row r="1025" spans="1:9" x14ac:dyDescent="0.6">
      <c r="A1025">
        <v>221</v>
      </c>
      <c r="B1025" t="s">
        <v>14</v>
      </c>
      <c r="C1025" t="s">
        <v>8</v>
      </c>
      <c r="D1025">
        <v>161.43</v>
      </c>
      <c r="E1025">
        <v>146.11000000000001</v>
      </c>
      <c r="F1025">
        <v>34103</v>
      </c>
      <c r="G1025" t="s">
        <v>9</v>
      </c>
      <c r="H1025">
        <f>_xlfn.LET(_xlpm.v, IFERROR(VLOOKUP($A1025, manifest!$A:$E, 3, FALSE), ""), IF(OR(_xlpm.v=0, _xlpm.v=""), "", _xlpm.v))</f>
        <v>53</v>
      </c>
      <c r="I1025" t="str">
        <f>_xlfn.LET(_xlpm.v, IFERROR(VLOOKUP($A1025, manifest!$A:$E, 5, FALSE), ""), IF(OR(_xlpm.v=0, _xlpm.v=""), "", _xlpm.v))</f>
        <v>male</v>
      </c>
    </row>
    <row r="1026" spans="1:9" x14ac:dyDescent="0.6">
      <c r="A1026">
        <v>221</v>
      </c>
      <c r="B1026" t="s">
        <v>14</v>
      </c>
      <c r="C1026" t="s">
        <v>10</v>
      </c>
      <c r="D1026">
        <v>162.43</v>
      </c>
      <c r="E1026">
        <v>165.61</v>
      </c>
      <c r="F1026">
        <v>35050</v>
      </c>
      <c r="H1026">
        <f>_xlfn.LET(_xlpm.v, IFERROR(VLOOKUP($A1026, manifest!$A:$E, 3, FALSE), ""), IF(OR(_xlpm.v=0, _xlpm.v=""), "", _xlpm.v))</f>
        <v>53</v>
      </c>
      <c r="I1026" t="str">
        <f>_xlfn.LET(_xlpm.v, IFERROR(VLOOKUP($A1026, manifest!$A:$E, 5, FALSE), ""), IF(OR(_xlpm.v=0, _xlpm.v=""), "", _xlpm.v))</f>
        <v>male</v>
      </c>
    </row>
    <row r="1027" spans="1:9" x14ac:dyDescent="0.6">
      <c r="A1027">
        <v>221</v>
      </c>
      <c r="B1027" t="s">
        <v>14</v>
      </c>
      <c r="C1027" t="s">
        <v>11</v>
      </c>
      <c r="D1027">
        <v>169.62</v>
      </c>
      <c r="E1027">
        <v>165.76</v>
      </c>
      <c r="F1027">
        <v>36339</v>
      </c>
      <c r="H1027">
        <f>_xlfn.LET(_xlpm.v, IFERROR(VLOOKUP($A1027, manifest!$A:$E, 3, FALSE), ""), IF(OR(_xlpm.v=0, _xlpm.v=""), "", _xlpm.v))</f>
        <v>53</v>
      </c>
      <c r="I1027" t="str">
        <f>_xlfn.LET(_xlpm.v, IFERROR(VLOOKUP($A1027, manifest!$A:$E, 5, FALSE), ""), IF(OR(_xlpm.v=0, _xlpm.v=""), "", _xlpm.v))</f>
        <v>male</v>
      </c>
    </row>
    <row r="1028" spans="1:9" x14ac:dyDescent="0.6">
      <c r="A1028">
        <v>221</v>
      </c>
      <c r="B1028" t="s">
        <v>14</v>
      </c>
      <c r="C1028" t="s">
        <v>12</v>
      </c>
      <c r="D1028">
        <v>159.81</v>
      </c>
      <c r="E1028">
        <v>139.83000000000001</v>
      </c>
      <c r="F1028">
        <v>54474</v>
      </c>
      <c r="H1028">
        <f>_xlfn.LET(_xlpm.v, IFERROR(VLOOKUP($A1028, manifest!$A:$E, 3, FALSE), ""), IF(OR(_xlpm.v=0, _xlpm.v=""), "", _xlpm.v))</f>
        <v>53</v>
      </c>
      <c r="I1028" t="str">
        <f>_xlfn.LET(_xlpm.v, IFERROR(VLOOKUP($A1028, manifest!$A:$E, 5, FALSE), ""), IF(OR(_xlpm.v=0, _xlpm.v=""), "", _xlpm.v))</f>
        <v>male</v>
      </c>
    </row>
    <row r="1029" spans="1:9" x14ac:dyDescent="0.6">
      <c r="A1029">
        <v>221</v>
      </c>
      <c r="B1029" t="s">
        <v>14</v>
      </c>
      <c r="C1029" t="s">
        <v>13</v>
      </c>
      <c r="D1029">
        <v>193.78</v>
      </c>
      <c r="E1029">
        <v>150.72999999999999</v>
      </c>
      <c r="F1029">
        <v>51622</v>
      </c>
      <c r="H1029">
        <f>_xlfn.LET(_xlpm.v, IFERROR(VLOOKUP($A1029, manifest!$A:$E, 3, FALSE), ""), IF(OR(_xlpm.v=0, _xlpm.v=""), "", _xlpm.v))</f>
        <v>53</v>
      </c>
      <c r="I1029" t="str">
        <f>_xlfn.LET(_xlpm.v, IFERROR(VLOOKUP($A1029, manifest!$A:$E, 5, FALSE), ""), IF(OR(_xlpm.v=0, _xlpm.v=""), "", _xlpm.v))</f>
        <v>male</v>
      </c>
    </row>
    <row r="1030" spans="1:9" x14ac:dyDescent="0.6">
      <c r="A1030">
        <v>236</v>
      </c>
      <c r="B1030" t="s">
        <v>7</v>
      </c>
      <c r="C1030" t="s">
        <v>8</v>
      </c>
      <c r="D1030">
        <v>239.95</v>
      </c>
      <c r="E1030">
        <v>180.24</v>
      </c>
      <c r="F1030">
        <v>18102</v>
      </c>
      <c r="G1030" t="s">
        <v>9</v>
      </c>
      <c r="H1030">
        <f>_xlfn.LET(_xlpm.v, IFERROR(VLOOKUP($A1030, manifest!$A:$E, 3, FALSE), ""), IF(OR(_xlpm.v=0, _xlpm.v=""), "", _xlpm.v))</f>
        <v>55</v>
      </c>
      <c r="I1030" t="str">
        <f>_xlfn.LET(_xlpm.v, IFERROR(VLOOKUP($A1030, manifest!$A:$E, 5, FALSE), ""), IF(OR(_xlpm.v=0, _xlpm.v=""), "", _xlpm.v))</f>
        <v>female</v>
      </c>
    </row>
    <row r="1031" spans="1:9" x14ac:dyDescent="0.6">
      <c r="A1031">
        <v>236</v>
      </c>
      <c r="B1031" t="s">
        <v>7</v>
      </c>
      <c r="C1031" t="s">
        <v>10</v>
      </c>
      <c r="D1031">
        <v>238.89</v>
      </c>
      <c r="E1031">
        <v>197.59</v>
      </c>
      <c r="F1031">
        <v>20841</v>
      </c>
      <c r="H1031">
        <f>_xlfn.LET(_xlpm.v, IFERROR(VLOOKUP($A1031, manifest!$A:$E, 3, FALSE), ""), IF(OR(_xlpm.v=0, _xlpm.v=""), "", _xlpm.v))</f>
        <v>55</v>
      </c>
      <c r="I1031" t="str">
        <f>_xlfn.LET(_xlpm.v, IFERROR(VLOOKUP($A1031, manifest!$A:$E, 5, FALSE), ""), IF(OR(_xlpm.v=0, _xlpm.v=""), "", _xlpm.v))</f>
        <v>female</v>
      </c>
    </row>
    <row r="1032" spans="1:9" x14ac:dyDescent="0.6">
      <c r="A1032">
        <v>236</v>
      </c>
      <c r="B1032" t="s">
        <v>7</v>
      </c>
      <c r="C1032" t="s">
        <v>11</v>
      </c>
      <c r="D1032">
        <v>218.02</v>
      </c>
      <c r="E1032">
        <v>188.07</v>
      </c>
      <c r="F1032">
        <v>25435</v>
      </c>
      <c r="H1032">
        <f>_xlfn.LET(_xlpm.v, IFERROR(VLOOKUP($A1032, manifest!$A:$E, 3, FALSE), ""), IF(OR(_xlpm.v=0, _xlpm.v=""), "", _xlpm.v))</f>
        <v>55</v>
      </c>
      <c r="I1032" t="str">
        <f>_xlfn.LET(_xlpm.v, IFERROR(VLOOKUP($A1032, manifest!$A:$E, 5, FALSE), ""), IF(OR(_xlpm.v=0, _xlpm.v=""), "", _xlpm.v))</f>
        <v>female</v>
      </c>
    </row>
    <row r="1033" spans="1:9" x14ac:dyDescent="0.6">
      <c r="A1033">
        <v>236</v>
      </c>
      <c r="B1033" t="s">
        <v>7</v>
      </c>
      <c r="C1033" t="s">
        <v>12</v>
      </c>
      <c r="D1033">
        <v>219.72</v>
      </c>
      <c r="E1033">
        <v>187.65</v>
      </c>
      <c r="F1033">
        <v>23449</v>
      </c>
      <c r="H1033">
        <f>_xlfn.LET(_xlpm.v, IFERROR(VLOOKUP($A1033, manifest!$A:$E, 3, FALSE), ""), IF(OR(_xlpm.v=0, _xlpm.v=""), "", _xlpm.v))</f>
        <v>55</v>
      </c>
      <c r="I1033" t="str">
        <f>_xlfn.LET(_xlpm.v, IFERROR(VLOOKUP($A1033, manifest!$A:$E, 5, FALSE), ""), IF(OR(_xlpm.v=0, _xlpm.v=""), "", _xlpm.v))</f>
        <v>female</v>
      </c>
    </row>
    <row r="1034" spans="1:9" x14ac:dyDescent="0.6">
      <c r="A1034">
        <v>236</v>
      </c>
      <c r="B1034" t="s">
        <v>7</v>
      </c>
      <c r="C1034" t="s">
        <v>13</v>
      </c>
      <c r="D1034">
        <v>241.97</v>
      </c>
      <c r="E1034">
        <v>165.49</v>
      </c>
      <c r="F1034">
        <v>36151</v>
      </c>
      <c r="H1034">
        <f>_xlfn.LET(_xlpm.v, IFERROR(VLOOKUP($A1034, manifest!$A:$E, 3, FALSE), ""), IF(OR(_xlpm.v=0, _xlpm.v=""), "", _xlpm.v))</f>
        <v>55</v>
      </c>
      <c r="I1034" t="str">
        <f>_xlfn.LET(_xlpm.v, IFERROR(VLOOKUP($A1034, manifest!$A:$E, 5, FALSE), ""), IF(OR(_xlpm.v=0, _xlpm.v=""), "", _xlpm.v))</f>
        <v>female</v>
      </c>
    </row>
    <row r="1035" spans="1:9" x14ac:dyDescent="0.6">
      <c r="A1035">
        <v>243</v>
      </c>
      <c r="B1035" t="s">
        <v>14</v>
      </c>
      <c r="C1035" t="s">
        <v>8</v>
      </c>
      <c r="D1035">
        <v>181.98</v>
      </c>
      <c r="E1035">
        <v>141.61000000000001</v>
      </c>
      <c r="F1035">
        <v>32210</v>
      </c>
      <c r="G1035" t="s">
        <v>9</v>
      </c>
      <c r="H1035">
        <f>_xlfn.LET(_xlpm.v, IFERROR(VLOOKUP($A1035, manifest!$A:$E, 3, FALSE), ""), IF(OR(_xlpm.v=0, _xlpm.v=""), "", _xlpm.v))</f>
        <v>89</v>
      </c>
      <c r="I1035" t="str">
        <f>_xlfn.LET(_xlpm.v, IFERROR(VLOOKUP($A1035, manifest!$A:$E, 5, FALSE), ""), IF(OR(_xlpm.v=0, _xlpm.v=""), "", _xlpm.v))</f>
        <v>other</v>
      </c>
    </row>
    <row r="1036" spans="1:9" x14ac:dyDescent="0.6">
      <c r="A1036">
        <v>243</v>
      </c>
      <c r="B1036" t="s">
        <v>14</v>
      </c>
      <c r="C1036" t="s">
        <v>10</v>
      </c>
      <c r="D1036">
        <v>138.38999999999999</v>
      </c>
      <c r="E1036">
        <v>163.22</v>
      </c>
      <c r="F1036">
        <v>30127</v>
      </c>
      <c r="H1036">
        <f>_xlfn.LET(_xlpm.v, IFERROR(VLOOKUP($A1036, manifest!$A:$E, 3, FALSE), ""), IF(OR(_xlpm.v=0, _xlpm.v=""), "", _xlpm.v))</f>
        <v>89</v>
      </c>
      <c r="I1036" t="str">
        <f>_xlfn.LET(_xlpm.v, IFERROR(VLOOKUP($A1036, manifest!$A:$E, 5, FALSE), ""), IF(OR(_xlpm.v=0, _xlpm.v=""), "", _xlpm.v))</f>
        <v>other</v>
      </c>
    </row>
    <row r="1037" spans="1:9" x14ac:dyDescent="0.6">
      <c r="A1037">
        <v>243</v>
      </c>
      <c r="B1037" t="s">
        <v>14</v>
      </c>
      <c r="C1037" t="s">
        <v>11</v>
      </c>
      <c r="D1037">
        <v>161.6</v>
      </c>
      <c r="E1037">
        <v>171.83</v>
      </c>
      <c r="F1037">
        <v>34211</v>
      </c>
      <c r="H1037">
        <f>_xlfn.LET(_xlpm.v, IFERROR(VLOOKUP($A1037, manifest!$A:$E, 3, FALSE), ""), IF(OR(_xlpm.v=0, _xlpm.v=""), "", _xlpm.v))</f>
        <v>89</v>
      </c>
      <c r="I1037" t="str">
        <f>_xlfn.LET(_xlpm.v, IFERROR(VLOOKUP($A1037, manifest!$A:$E, 5, FALSE), ""), IF(OR(_xlpm.v=0, _xlpm.v=""), "", _xlpm.v))</f>
        <v>other</v>
      </c>
    </row>
    <row r="1038" spans="1:9" x14ac:dyDescent="0.6">
      <c r="A1038">
        <v>243</v>
      </c>
      <c r="B1038" t="s">
        <v>14</v>
      </c>
      <c r="C1038" t="s">
        <v>12</v>
      </c>
      <c r="D1038">
        <v>172.11</v>
      </c>
      <c r="E1038">
        <v>199.7</v>
      </c>
      <c r="F1038">
        <v>38727</v>
      </c>
      <c r="H1038">
        <f>_xlfn.LET(_xlpm.v, IFERROR(VLOOKUP($A1038, manifest!$A:$E, 3, FALSE), ""), IF(OR(_xlpm.v=0, _xlpm.v=""), "", _xlpm.v))</f>
        <v>89</v>
      </c>
      <c r="I1038" t="str">
        <f>_xlfn.LET(_xlpm.v, IFERROR(VLOOKUP($A1038, manifest!$A:$E, 5, FALSE), ""), IF(OR(_xlpm.v=0, _xlpm.v=""), "", _xlpm.v))</f>
        <v>other</v>
      </c>
    </row>
    <row r="1039" spans="1:9" x14ac:dyDescent="0.6">
      <c r="A1039">
        <v>243</v>
      </c>
      <c r="B1039" t="s">
        <v>14</v>
      </c>
      <c r="C1039" t="s">
        <v>13</v>
      </c>
      <c r="D1039">
        <v>184.9</v>
      </c>
      <c r="E1039">
        <v>170.25</v>
      </c>
      <c r="F1039">
        <v>44353</v>
      </c>
      <c r="H1039">
        <f>_xlfn.LET(_xlpm.v, IFERROR(VLOOKUP($A1039, manifest!$A:$E, 3, FALSE), ""), IF(OR(_xlpm.v=0, _xlpm.v=""), "", _xlpm.v))</f>
        <v>89</v>
      </c>
      <c r="I1039" t="str">
        <f>_xlfn.LET(_xlpm.v, IFERROR(VLOOKUP($A1039, manifest!$A:$E, 5, FALSE), ""), IF(OR(_xlpm.v=0, _xlpm.v=""), "", _xlpm.v))</f>
        <v>other</v>
      </c>
    </row>
    <row r="1040" spans="1:9" x14ac:dyDescent="0.6">
      <c r="A1040">
        <v>231</v>
      </c>
      <c r="B1040" t="s">
        <v>14</v>
      </c>
      <c r="C1040" t="s">
        <v>8</v>
      </c>
      <c r="D1040">
        <v>170.87</v>
      </c>
      <c r="E1040">
        <v>166.97</v>
      </c>
      <c r="F1040">
        <v>31066</v>
      </c>
      <c r="G1040" t="s">
        <v>9</v>
      </c>
      <c r="H1040">
        <f>_xlfn.LET(_xlpm.v, IFERROR(VLOOKUP($A1040, manifest!$A:$E, 3, FALSE), ""), IF(OR(_xlpm.v=0, _xlpm.v=""), "", _xlpm.v))</f>
        <v>89</v>
      </c>
      <c r="I1040" t="str">
        <f>_xlfn.LET(_xlpm.v, IFERROR(VLOOKUP($A1040, manifest!$A:$E, 5, FALSE), ""), IF(OR(_xlpm.v=0, _xlpm.v=""), "", _xlpm.v))</f>
        <v/>
      </c>
    </row>
    <row r="1041" spans="1:9" x14ac:dyDescent="0.6">
      <c r="A1041">
        <v>231</v>
      </c>
      <c r="B1041" t="s">
        <v>14</v>
      </c>
      <c r="C1041" t="s">
        <v>10</v>
      </c>
      <c r="D1041">
        <v>198.87</v>
      </c>
      <c r="E1041">
        <v>184.37</v>
      </c>
      <c r="F1041">
        <v>34814</v>
      </c>
      <c r="H1041">
        <f>_xlfn.LET(_xlpm.v, IFERROR(VLOOKUP($A1041, manifest!$A:$E, 3, FALSE), ""), IF(OR(_xlpm.v=0, _xlpm.v=""), "", _xlpm.v))</f>
        <v>89</v>
      </c>
      <c r="I1041" t="str">
        <f>_xlfn.LET(_xlpm.v, IFERROR(VLOOKUP($A1041, manifest!$A:$E, 5, FALSE), ""), IF(OR(_xlpm.v=0, _xlpm.v=""), "", _xlpm.v))</f>
        <v/>
      </c>
    </row>
    <row r="1042" spans="1:9" x14ac:dyDescent="0.6">
      <c r="A1042">
        <v>231</v>
      </c>
      <c r="B1042" t="s">
        <v>14</v>
      </c>
      <c r="C1042" t="s">
        <v>11</v>
      </c>
      <c r="D1042">
        <v>219.17</v>
      </c>
      <c r="E1042">
        <v>188.58</v>
      </c>
      <c r="F1042">
        <v>37164</v>
      </c>
      <c r="H1042">
        <f>_xlfn.LET(_xlpm.v, IFERROR(VLOOKUP($A1042, manifest!$A:$E, 3, FALSE), ""), IF(OR(_xlpm.v=0, _xlpm.v=""), "", _xlpm.v))</f>
        <v>89</v>
      </c>
      <c r="I1042" t="str">
        <f>_xlfn.LET(_xlpm.v, IFERROR(VLOOKUP($A1042, manifest!$A:$E, 5, FALSE), ""), IF(OR(_xlpm.v=0, _xlpm.v=""), "", _xlpm.v))</f>
        <v/>
      </c>
    </row>
    <row r="1043" spans="1:9" x14ac:dyDescent="0.6">
      <c r="A1043">
        <v>231</v>
      </c>
      <c r="B1043" t="s">
        <v>14</v>
      </c>
      <c r="C1043" t="s">
        <v>12</v>
      </c>
      <c r="D1043">
        <v>219.99</v>
      </c>
      <c r="E1043">
        <v>186.35</v>
      </c>
      <c r="F1043">
        <v>33372</v>
      </c>
      <c r="H1043">
        <f>_xlfn.LET(_xlpm.v, IFERROR(VLOOKUP($A1043, manifest!$A:$E, 3, FALSE), ""), IF(OR(_xlpm.v=0, _xlpm.v=""), "", _xlpm.v))</f>
        <v>89</v>
      </c>
      <c r="I1043" t="str">
        <f>_xlfn.LET(_xlpm.v, IFERROR(VLOOKUP($A1043, manifest!$A:$E, 5, FALSE), ""), IF(OR(_xlpm.v=0, _xlpm.v=""), "", _xlpm.v))</f>
        <v/>
      </c>
    </row>
    <row r="1044" spans="1:9" x14ac:dyDescent="0.6">
      <c r="A1044">
        <v>231</v>
      </c>
      <c r="B1044" t="s">
        <v>14</v>
      </c>
      <c r="C1044" t="s">
        <v>13</v>
      </c>
      <c r="D1044">
        <v>230.38</v>
      </c>
      <c r="E1044">
        <v>192.79</v>
      </c>
      <c r="F1044">
        <v>38831</v>
      </c>
      <c r="H1044">
        <f>_xlfn.LET(_xlpm.v, IFERROR(VLOOKUP($A1044, manifest!$A:$E, 3, FALSE), ""), IF(OR(_xlpm.v=0, _xlpm.v=""), "", _xlpm.v))</f>
        <v>89</v>
      </c>
      <c r="I1044" t="str">
        <f>_xlfn.LET(_xlpm.v, IFERROR(VLOOKUP($A1044, manifest!$A:$E, 5, FALSE), ""), IF(OR(_xlpm.v=0, _xlpm.v=""), "", _xlpm.v))</f>
        <v/>
      </c>
    </row>
    <row r="1045" spans="1:9" x14ac:dyDescent="0.6">
      <c r="A1045">
        <v>206</v>
      </c>
      <c r="B1045" t="s">
        <v>7</v>
      </c>
      <c r="C1045" t="s">
        <v>8</v>
      </c>
      <c r="D1045">
        <v>171.1</v>
      </c>
      <c r="E1045">
        <v>129.22</v>
      </c>
      <c r="F1045">
        <v>24475</v>
      </c>
      <c r="G1045" t="s">
        <v>9</v>
      </c>
      <c r="H1045">
        <f>_xlfn.LET(_xlpm.v, IFERROR(VLOOKUP($A1045, manifest!$A:$E, 3, FALSE), ""), IF(OR(_xlpm.v=0, _xlpm.v=""), "", _xlpm.v))</f>
        <v>63</v>
      </c>
      <c r="I1045" t="str">
        <f>_xlfn.LET(_xlpm.v, IFERROR(VLOOKUP($A1045, manifest!$A:$E, 5, FALSE), ""), IF(OR(_xlpm.v=0, _xlpm.v=""), "", _xlpm.v))</f>
        <v>male</v>
      </c>
    </row>
    <row r="1046" spans="1:9" x14ac:dyDescent="0.6">
      <c r="A1046">
        <v>206</v>
      </c>
      <c r="B1046" t="s">
        <v>7</v>
      </c>
      <c r="C1046" t="s">
        <v>10</v>
      </c>
      <c r="D1046">
        <v>191.48</v>
      </c>
      <c r="E1046">
        <v>157.28</v>
      </c>
      <c r="F1046">
        <v>25603</v>
      </c>
      <c r="H1046">
        <f>_xlfn.LET(_xlpm.v, IFERROR(VLOOKUP($A1046, manifest!$A:$E, 3, FALSE), ""), IF(OR(_xlpm.v=0, _xlpm.v=""), "", _xlpm.v))</f>
        <v>63</v>
      </c>
      <c r="I1046" t="str">
        <f>_xlfn.LET(_xlpm.v, IFERROR(VLOOKUP($A1046, manifest!$A:$E, 5, FALSE), ""), IF(OR(_xlpm.v=0, _xlpm.v=""), "", _xlpm.v))</f>
        <v>male</v>
      </c>
    </row>
    <row r="1047" spans="1:9" x14ac:dyDescent="0.6">
      <c r="A1047">
        <v>206</v>
      </c>
      <c r="B1047" t="s">
        <v>7</v>
      </c>
      <c r="C1047" t="s">
        <v>11</v>
      </c>
      <c r="D1047">
        <v>217.02</v>
      </c>
      <c r="E1047">
        <v>181.07</v>
      </c>
      <c r="F1047">
        <v>27939</v>
      </c>
      <c r="H1047">
        <f>_xlfn.LET(_xlpm.v, IFERROR(VLOOKUP($A1047, manifest!$A:$E, 3, FALSE), ""), IF(OR(_xlpm.v=0, _xlpm.v=""), "", _xlpm.v))</f>
        <v>63</v>
      </c>
      <c r="I1047" t="str">
        <f>_xlfn.LET(_xlpm.v, IFERROR(VLOOKUP($A1047, manifest!$A:$E, 5, FALSE), ""), IF(OR(_xlpm.v=0, _xlpm.v=""), "", _xlpm.v))</f>
        <v>male</v>
      </c>
    </row>
    <row r="1048" spans="1:9" x14ac:dyDescent="0.6">
      <c r="A1048">
        <v>206</v>
      </c>
      <c r="B1048" t="s">
        <v>7</v>
      </c>
      <c r="C1048" t="s">
        <v>12</v>
      </c>
      <c r="D1048">
        <v>224.12</v>
      </c>
      <c r="E1048">
        <v>212.64</v>
      </c>
      <c r="F1048">
        <v>31255</v>
      </c>
      <c r="H1048">
        <f>_xlfn.LET(_xlpm.v, IFERROR(VLOOKUP($A1048, manifest!$A:$E, 3, FALSE), ""), IF(OR(_xlpm.v=0, _xlpm.v=""), "", _xlpm.v))</f>
        <v>63</v>
      </c>
      <c r="I1048" t="str">
        <f>_xlfn.LET(_xlpm.v, IFERROR(VLOOKUP($A1048, manifest!$A:$E, 5, FALSE), ""), IF(OR(_xlpm.v=0, _xlpm.v=""), "", _xlpm.v))</f>
        <v>male</v>
      </c>
    </row>
    <row r="1049" spans="1:9" x14ac:dyDescent="0.6">
      <c r="A1049">
        <v>206</v>
      </c>
      <c r="B1049" t="s">
        <v>7</v>
      </c>
      <c r="C1049" t="s">
        <v>13</v>
      </c>
      <c r="D1049">
        <v>213.13</v>
      </c>
      <c r="E1049">
        <v>163.58000000000001</v>
      </c>
      <c r="F1049">
        <v>31865</v>
      </c>
      <c r="H1049">
        <f>_xlfn.LET(_xlpm.v, IFERROR(VLOOKUP($A1049, manifest!$A:$E, 3, FALSE), ""), IF(OR(_xlpm.v=0, _xlpm.v=""), "", _xlpm.v))</f>
        <v>63</v>
      </c>
      <c r="I1049" t="str">
        <f>_xlfn.LET(_xlpm.v, IFERROR(VLOOKUP($A1049, manifest!$A:$E, 5, FALSE), ""), IF(OR(_xlpm.v=0, _xlpm.v=""), "", _xlpm.v))</f>
        <v>male</v>
      </c>
    </row>
    <row r="1050" spans="1:9" x14ac:dyDescent="0.6">
      <c r="A1050">
        <v>211</v>
      </c>
      <c r="B1050" t="s">
        <v>7</v>
      </c>
      <c r="C1050" t="s">
        <v>8</v>
      </c>
      <c r="D1050">
        <v>165.19</v>
      </c>
      <c r="E1050">
        <v>161.65</v>
      </c>
      <c r="F1050">
        <v>33250</v>
      </c>
      <c r="G1050" t="s">
        <v>9</v>
      </c>
      <c r="H1050" t="str">
        <f>_xlfn.LET(_xlpm.v, IFERROR(VLOOKUP($A1050, manifest!$A:$E, 3, FALSE), ""), IF(OR(_xlpm.v=0, _xlpm.v=""), "", _xlpm.v))</f>
        <v/>
      </c>
      <c r="I1050" t="str">
        <f>_xlfn.LET(_xlpm.v, IFERROR(VLOOKUP($A1050, manifest!$A:$E, 5, FALSE), ""), IF(OR(_xlpm.v=0, _xlpm.v=""), "", _xlpm.v))</f>
        <v>female</v>
      </c>
    </row>
    <row r="1051" spans="1:9" x14ac:dyDescent="0.6">
      <c r="A1051">
        <v>211</v>
      </c>
      <c r="B1051" t="s">
        <v>7</v>
      </c>
      <c r="C1051" t="s">
        <v>10</v>
      </c>
      <c r="D1051">
        <v>199.68</v>
      </c>
      <c r="E1051">
        <v>218.02</v>
      </c>
      <c r="F1051">
        <v>32948</v>
      </c>
      <c r="H1051" t="str">
        <f>_xlfn.LET(_xlpm.v, IFERROR(VLOOKUP($A1051, manifest!$A:$E, 3, FALSE), ""), IF(OR(_xlpm.v=0, _xlpm.v=""), "", _xlpm.v))</f>
        <v/>
      </c>
      <c r="I1051" t="str">
        <f>_xlfn.LET(_xlpm.v, IFERROR(VLOOKUP($A1051, manifest!$A:$E, 5, FALSE), ""), IF(OR(_xlpm.v=0, _xlpm.v=""), "", _xlpm.v))</f>
        <v>female</v>
      </c>
    </row>
    <row r="1052" spans="1:9" x14ac:dyDescent="0.6">
      <c r="A1052">
        <v>211</v>
      </c>
      <c r="B1052" t="s">
        <v>7</v>
      </c>
      <c r="C1052" t="s">
        <v>11</v>
      </c>
      <c r="D1052">
        <v>200.67</v>
      </c>
      <c r="E1052">
        <v>219.23</v>
      </c>
      <c r="F1052">
        <v>41099</v>
      </c>
      <c r="H1052" t="str">
        <f>_xlfn.LET(_xlpm.v, IFERROR(VLOOKUP($A1052, manifest!$A:$E, 3, FALSE), ""), IF(OR(_xlpm.v=0, _xlpm.v=""), "", _xlpm.v))</f>
        <v/>
      </c>
      <c r="I1052" t="str">
        <f>_xlfn.LET(_xlpm.v, IFERROR(VLOOKUP($A1052, manifest!$A:$E, 5, FALSE), ""), IF(OR(_xlpm.v=0, _xlpm.v=""), "", _xlpm.v))</f>
        <v>female</v>
      </c>
    </row>
    <row r="1053" spans="1:9" x14ac:dyDescent="0.6">
      <c r="A1053">
        <v>211</v>
      </c>
      <c r="B1053" t="s">
        <v>7</v>
      </c>
      <c r="C1053" t="s">
        <v>12</v>
      </c>
      <c r="D1053">
        <v>190.3</v>
      </c>
      <c r="E1053">
        <v>189.02</v>
      </c>
      <c r="F1053">
        <v>49495</v>
      </c>
      <c r="H1053" t="str">
        <f>_xlfn.LET(_xlpm.v, IFERROR(VLOOKUP($A1053, manifest!$A:$E, 3, FALSE), ""), IF(OR(_xlpm.v=0, _xlpm.v=""), "", _xlpm.v))</f>
        <v/>
      </c>
      <c r="I1053" t="str">
        <f>_xlfn.LET(_xlpm.v, IFERROR(VLOOKUP($A1053, manifest!$A:$E, 5, FALSE), ""), IF(OR(_xlpm.v=0, _xlpm.v=""), "", _xlpm.v))</f>
        <v>female</v>
      </c>
    </row>
    <row r="1054" spans="1:9" x14ac:dyDescent="0.6">
      <c r="A1054">
        <v>211</v>
      </c>
      <c r="B1054" t="s">
        <v>7</v>
      </c>
      <c r="C1054" t="s">
        <v>13</v>
      </c>
      <c r="D1054">
        <v>172.09</v>
      </c>
      <c r="E1054">
        <v>159.04</v>
      </c>
      <c r="F1054">
        <v>58908</v>
      </c>
      <c r="H1054" t="str">
        <f>_xlfn.LET(_xlpm.v, IFERROR(VLOOKUP($A1054, manifest!$A:$E, 3, FALSE), ""), IF(OR(_xlpm.v=0, _xlpm.v=""), "", _xlpm.v))</f>
        <v/>
      </c>
      <c r="I1054" t="str">
        <f>_xlfn.LET(_xlpm.v, IFERROR(VLOOKUP($A1054, manifest!$A:$E, 5, FALSE), ""), IF(OR(_xlpm.v=0, _xlpm.v=""), "", _xlpm.v))</f>
        <v>female</v>
      </c>
    </row>
    <row r="1055" spans="1:9" x14ac:dyDescent="0.6">
      <c r="A1055">
        <v>224</v>
      </c>
      <c r="B1055" t="s">
        <v>14</v>
      </c>
      <c r="C1055" t="s">
        <v>8</v>
      </c>
      <c r="D1055">
        <v>175.47</v>
      </c>
      <c r="E1055">
        <v>80.040000000000006</v>
      </c>
      <c r="F1055">
        <v>26173</v>
      </c>
      <c r="G1055" t="s">
        <v>9</v>
      </c>
      <c r="H1055">
        <f>_xlfn.LET(_xlpm.v, IFERROR(VLOOKUP($A1055, manifest!$A:$E, 3, FALSE), ""), IF(OR(_xlpm.v=0, _xlpm.v=""), "", _xlpm.v))</f>
        <v>57</v>
      </c>
      <c r="I1055" t="str">
        <f>_xlfn.LET(_xlpm.v, IFERROR(VLOOKUP($A1055, manifest!$A:$E, 5, FALSE), ""), IF(OR(_xlpm.v=0, _xlpm.v=""), "", _xlpm.v))</f>
        <v>female</v>
      </c>
    </row>
    <row r="1056" spans="1:9" x14ac:dyDescent="0.6">
      <c r="A1056">
        <v>224</v>
      </c>
      <c r="B1056" t="s">
        <v>14</v>
      </c>
      <c r="C1056" t="s">
        <v>10</v>
      </c>
      <c r="D1056">
        <v>197.56</v>
      </c>
      <c r="E1056">
        <v>115.6</v>
      </c>
      <c r="F1056">
        <v>26271</v>
      </c>
      <c r="H1056">
        <f>_xlfn.LET(_xlpm.v, IFERROR(VLOOKUP($A1056, manifest!$A:$E, 3, FALSE), ""), IF(OR(_xlpm.v=0, _xlpm.v=""), "", _xlpm.v))</f>
        <v>57</v>
      </c>
      <c r="I1056" t="str">
        <f>_xlfn.LET(_xlpm.v, IFERROR(VLOOKUP($A1056, manifest!$A:$E, 5, FALSE), ""), IF(OR(_xlpm.v=0, _xlpm.v=""), "", _xlpm.v))</f>
        <v>female</v>
      </c>
    </row>
    <row r="1057" spans="1:9" x14ac:dyDescent="0.6">
      <c r="A1057">
        <v>224</v>
      </c>
      <c r="B1057" t="s">
        <v>14</v>
      </c>
      <c r="C1057" t="s">
        <v>11</v>
      </c>
      <c r="D1057">
        <v>202.28</v>
      </c>
      <c r="E1057">
        <v>143.03</v>
      </c>
      <c r="F1057">
        <v>27941</v>
      </c>
      <c r="H1057">
        <f>_xlfn.LET(_xlpm.v, IFERROR(VLOOKUP($A1057, manifest!$A:$E, 3, FALSE), ""), IF(OR(_xlpm.v=0, _xlpm.v=""), "", _xlpm.v))</f>
        <v>57</v>
      </c>
      <c r="I1057" t="str">
        <f>_xlfn.LET(_xlpm.v, IFERROR(VLOOKUP($A1057, manifest!$A:$E, 5, FALSE), ""), IF(OR(_xlpm.v=0, _xlpm.v=""), "", _xlpm.v))</f>
        <v>female</v>
      </c>
    </row>
    <row r="1058" spans="1:9" x14ac:dyDescent="0.6">
      <c r="A1058">
        <v>224</v>
      </c>
      <c r="B1058" t="s">
        <v>14</v>
      </c>
      <c r="C1058" t="s">
        <v>12</v>
      </c>
      <c r="D1058">
        <v>201.17</v>
      </c>
      <c r="E1058">
        <v>150.44</v>
      </c>
      <c r="F1058">
        <v>34346</v>
      </c>
      <c r="H1058">
        <f>_xlfn.LET(_xlpm.v, IFERROR(VLOOKUP($A1058, manifest!$A:$E, 3, FALSE), ""), IF(OR(_xlpm.v=0, _xlpm.v=""), "", _xlpm.v))</f>
        <v>57</v>
      </c>
      <c r="I1058" t="str">
        <f>_xlfn.LET(_xlpm.v, IFERROR(VLOOKUP($A1058, manifest!$A:$E, 5, FALSE), ""), IF(OR(_xlpm.v=0, _xlpm.v=""), "", _xlpm.v))</f>
        <v>female</v>
      </c>
    </row>
    <row r="1059" spans="1:9" x14ac:dyDescent="0.6">
      <c r="A1059">
        <v>224</v>
      </c>
      <c r="B1059" t="s">
        <v>14</v>
      </c>
      <c r="C1059" t="s">
        <v>13</v>
      </c>
      <c r="D1059">
        <v>204.52</v>
      </c>
      <c r="E1059">
        <v>135.86000000000001</v>
      </c>
      <c r="F1059">
        <v>40384</v>
      </c>
      <c r="H1059">
        <f>_xlfn.LET(_xlpm.v, IFERROR(VLOOKUP($A1059, manifest!$A:$E, 3, FALSE), ""), IF(OR(_xlpm.v=0, _xlpm.v=""), "", _xlpm.v))</f>
        <v>57</v>
      </c>
      <c r="I1059" t="str">
        <f>_xlfn.LET(_xlpm.v, IFERROR(VLOOKUP($A1059, manifest!$A:$E, 5, FALSE), ""), IF(OR(_xlpm.v=0, _xlpm.v=""), "", _xlpm.v))</f>
        <v>female</v>
      </c>
    </row>
    <row r="1060" spans="1:9" x14ac:dyDescent="0.6">
      <c r="A1060">
        <v>217</v>
      </c>
      <c r="B1060" t="s">
        <v>7</v>
      </c>
      <c r="C1060" t="s">
        <v>8</v>
      </c>
      <c r="D1060">
        <v>143.71</v>
      </c>
      <c r="E1060">
        <v>124.22</v>
      </c>
      <c r="F1060">
        <v>19709</v>
      </c>
      <c r="G1060" t="s">
        <v>15</v>
      </c>
      <c r="H1060">
        <f>_xlfn.LET(_xlpm.v, IFERROR(VLOOKUP($A1060, manifest!$A:$E, 3, FALSE), ""), IF(OR(_xlpm.v=0, _xlpm.v=""), "", _xlpm.v))</f>
        <v>58</v>
      </c>
      <c r="I1060" t="str">
        <f>_xlfn.LET(_xlpm.v, IFERROR(VLOOKUP($A1060, manifest!$A:$E, 5, FALSE), ""), IF(OR(_xlpm.v=0, _xlpm.v=""), "", _xlpm.v))</f>
        <v>female</v>
      </c>
    </row>
    <row r="1061" spans="1:9" x14ac:dyDescent="0.6">
      <c r="A1061">
        <v>217</v>
      </c>
      <c r="B1061" t="s">
        <v>7</v>
      </c>
      <c r="C1061" t="s">
        <v>10</v>
      </c>
      <c r="D1061">
        <v>151.05000000000001</v>
      </c>
      <c r="E1061">
        <v>157.88999999999999</v>
      </c>
      <c r="F1061">
        <v>22889</v>
      </c>
      <c r="H1061">
        <f>_xlfn.LET(_xlpm.v, IFERROR(VLOOKUP($A1061, manifest!$A:$E, 3, FALSE), ""), IF(OR(_xlpm.v=0, _xlpm.v=""), "", _xlpm.v))</f>
        <v>58</v>
      </c>
      <c r="I1061" t="str">
        <f>_xlfn.LET(_xlpm.v, IFERROR(VLOOKUP($A1061, manifest!$A:$E, 5, FALSE), ""), IF(OR(_xlpm.v=0, _xlpm.v=""), "", _xlpm.v))</f>
        <v>female</v>
      </c>
    </row>
    <row r="1062" spans="1:9" x14ac:dyDescent="0.6">
      <c r="A1062">
        <v>217</v>
      </c>
      <c r="B1062" t="s">
        <v>7</v>
      </c>
      <c r="C1062" t="s">
        <v>11</v>
      </c>
      <c r="D1062">
        <v>159.5</v>
      </c>
      <c r="E1062">
        <v>156.58000000000001</v>
      </c>
      <c r="F1062">
        <v>23745</v>
      </c>
      <c r="H1062">
        <f>_xlfn.LET(_xlpm.v, IFERROR(VLOOKUP($A1062, manifest!$A:$E, 3, FALSE), ""), IF(OR(_xlpm.v=0, _xlpm.v=""), "", _xlpm.v))</f>
        <v>58</v>
      </c>
      <c r="I1062" t="str">
        <f>_xlfn.LET(_xlpm.v, IFERROR(VLOOKUP($A1062, manifest!$A:$E, 5, FALSE), ""), IF(OR(_xlpm.v=0, _xlpm.v=""), "", _xlpm.v))</f>
        <v>female</v>
      </c>
    </row>
    <row r="1063" spans="1:9" x14ac:dyDescent="0.6">
      <c r="A1063">
        <v>217</v>
      </c>
      <c r="B1063" t="s">
        <v>7</v>
      </c>
      <c r="C1063" t="s">
        <v>12</v>
      </c>
      <c r="D1063">
        <v>166.11</v>
      </c>
      <c r="E1063">
        <v>181.89</v>
      </c>
      <c r="F1063">
        <v>26326</v>
      </c>
      <c r="H1063">
        <f>_xlfn.LET(_xlpm.v, IFERROR(VLOOKUP($A1063, manifest!$A:$E, 3, FALSE), ""), IF(OR(_xlpm.v=0, _xlpm.v=""), "", _xlpm.v))</f>
        <v>58</v>
      </c>
      <c r="I1063" t="str">
        <f>_xlfn.LET(_xlpm.v, IFERROR(VLOOKUP($A1063, manifest!$A:$E, 5, FALSE), ""), IF(OR(_xlpm.v=0, _xlpm.v=""), "", _xlpm.v))</f>
        <v>female</v>
      </c>
    </row>
    <row r="1064" spans="1:9" x14ac:dyDescent="0.6">
      <c r="A1064">
        <v>217</v>
      </c>
      <c r="B1064" t="s">
        <v>7</v>
      </c>
      <c r="C1064" t="s">
        <v>13</v>
      </c>
      <c r="D1064">
        <v>170.29</v>
      </c>
      <c r="E1064">
        <v>150.03</v>
      </c>
      <c r="F1064">
        <v>38867</v>
      </c>
      <c r="H1064">
        <f>_xlfn.LET(_xlpm.v, IFERROR(VLOOKUP($A1064, manifest!$A:$E, 3, FALSE), ""), IF(OR(_xlpm.v=0, _xlpm.v=""), "", _xlpm.v))</f>
        <v>58</v>
      </c>
      <c r="I1064" t="str">
        <f>_xlfn.LET(_xlpm.v, IFERROR(VLOOKUP($A1064, manifest!$A:$E, 5, FALSE), ""), IF(OR(_xlpm.v=0, _xlpm.v=""), "", _xlpm.v))</f>
        <v>female</v>
      </c>
    </row>
    <row r="1065" spans="1:9" x14ac:dyDescent="0.6">
      <c r="A1065">
        <v>232</v>
      </c>
      <c r="B1065" t="s">
        <v>14</v>
      </c>
      <c r="C1065" t="s">
        <v>8</v>
      </c>
      <c r="D1065">
        <v>242.67</v>
      </c>
      <c r="E1065">
        <v>210.49</v>
      </c>
      <c r="F1065">
        <v>29781</v>
      </c>
      <c r="G1065" t="s">
        <v>9</v>
      </c>
      <c r="H1065">
        <f>_xlfn.LET(_xlpm.v, IFERROR(VLOOKUP($A1065, manifest!$A:$E, 3, FALSE), ""), IF(OR(_xlpm.v=0, _xlpm.v=""), "", _xlpm.v))</f>
        <v>89</v>
      </c>
      <c r="I1065" t="str">
        <f>_xlfn.LET(_xlpm.v, IFERROR(VLOOKUP($A1065, manifest!$A:$E, 5, FALSE), ""), IF(OR(_xlpm.v=0, _xlpm.v=""), "", _xlpm.v))</f>
        <v>other</v>
      </c>
    </row>
    <row r="1066" spans="1:9" x14ac:dyDescent="0.6">
      <c r="A1066">
        <v>232</v>
      </c>
      <c r="B1066" t="s">
        <v>14</v>
      </c>
      <c r="C1066" t="s">
        <v>10</v>
      </c>
      <c r="D1066">
        <v>226.99</v>
      </c>
      <c r="E1066">
        <v>198.35</v>
      </c>
      <c r="F1066">
        <v>31404</v>
      </c>
      <c r="H1066">
        <f>_xlfn.LET(_xlpm.v, IFERROR(VLOOKUP($A1066, manifest!$A:$E, 3, FALSE), ""), IF(OR(_xlpm.v=0, _xlpm.v=""), "", _xlpm.v))</f>
        <v>89</v>
      </c>
      <c r="I1066" t="str">
        <f>_xlfn.LET(_xlpm.v, IFERROR(VLOOKUP($A1066, manifest!$A:$E, 5, FALSE), ""), IF(OR(_xlpm.v=0, _xlpm.v=""), "", _xlpm.v))</f>
        <v>other</v>
      </c>
    </row>
    <row r="1067" spans="1:9" x14ac:dyDescent="0.6">
      <c r="A1067">
        <v>232</v>
      </c>
      <c r="B1067" t="s">
        <v>14</v>
      </c>
      <c r="C1067" t="s">
        <v>11</v>
      </c>
      <c r="D1067">
        <v>193.19</v>
      </c>
      <c r="E1067">
        <v>157.97999999999999</v>
      </c>
      <c r="F1067">
        <v>44069</v>
      </c>
      <c r="H1067">
        <f>_xlfn.LET(_xlpm.v, IFERROR(VLOOKUP($A1067, manifest!$A:$E, 3, FALSE), ""), IF(OR(_xlpm.v=0, _xlpm.v=""), "", _xlpm.v))</f>
        <v>89</v>
      </c>
      <c r="I1067" t="str">
        <f>_xlfn.LET(_xlpm.v, IFERROR(VLOOKUP($A1067, manifest!$A:$E, 5, FALSE), ""), IF(OR(_xlpm.v=0, _xlpm.v=""), "", _xlpm.v))</f>
        <v>other</v>
      </c>
    </row>
    <row r="1068" spans="1:9" x14ac:dyDescent="0.6">
      <c r="A1068">
        <v>232</v>
      </c>
      <c r="B1068" t="s">
        <v>14</v>
      </c>
      <c r="C1068" t="s">
        <v>12</v>
      </c>
      <c r="D1068">
        <v>210.9</v>
      </c>
      <c r="E1068">
        <v>200.91</v>
      </c>
      <c r="F1068">
        <v>52465</v>
      </c>
      <c r="H1068">
        <f>_xlfn.LET(_xlpm.v, IFERROR(VLOOKUP($A1068, manifest!$A:$E, 3, FALSE), ""), IF(OR(_xlpm.v=0, _xlpm.v=""), "", _xlpm.v))</f>
        <v>89</v>
      </c>
      <c r="I1068" t="str">
        <f>_xlfn.LET(_xlpm.v, IFERROR(VLOOKUP($A1068, manifest!$A:$E, 5, FALSE), ""), IF(OR(_xlpm.v=0, _xlpm.v=""), "", _xlpm.v))</f>
        <v>other</v>
      </c>
    </row>
    <row r="1069" spans="1:9" x14ac:dyDescent="0.6">
      <c r="A1069">
        <v>232</v>
      </c>
      <c r="B1069" t="s">
        <v>14</v>
      </c>
      <c r="C1069" t="s">
        <v>13</v>
      </c>
      <c r="D1069">
        <v>220.4</v>
      </c>
      <c r="E1069">
        <v>215.3</v>
      </c>
      <c r="F1069">
        <v>53172</v>
      </c>
      <c r="H1069">
        <f>_xlfn.LET(_xlpm.v, IFERROR(VLOOKUP($A1069, manifest!$A:$E, 3, FALSE), ""), IF(OR(_xlpm.v=0, _xlpm.v=""), "", _xlpm.v))</f>
        <v>89</v>
      </c>
      <c r="I1069" t="str">
        <f>_xlfn.LET(_xlpm.v, IFERROR(VLOOKUP($A1069, manifest!$A:$E, 5, FALSE), ""), IF(OR(_xlpm.v=0, _xlpm.v=""), "", _xlpm.v))</f>
        <v>other</v>
      </c>
    </row>
    <row r="1070" spans="1:9" x14ac:dyDescent="0.6">
      <c r="A1070">
        <v>234</v>
      </c>
      <c r="B1070" t="s">
        <v>7</v>
      </c>
      <c r="C1070" t="s">
        <v>8</v>
      </c>
      <c r="D1070">
        <v>160.51</v>
      </c>
      <c r="E1070">
        <v>147.52000000000001</v>
      </c>
      <c r="F1070">
        <v>58122</v>
      </c>
      <c r="G1070" t="s">
        <v>9</v>
      </c>
      <c r="H1070">
        <f>_xlfn.LET(_xlpm.v, IFERROR(VLOOKUP($A1070, manifest!$A:$E, 3, FALSE), ""), IF(OR(_xlpm.v=0, _xlpm.v=""), "", _xlpm.v))</f>
        <v>59</v>
      </c>
      <c r="I1070" t="str">
        <f>_xlfn.LET(_xlpm.v, IFERROR(VLOOKUP($A1070, manifest!$A:$E, 5, FALSE), ""), IF(OR(_xlpm.v=0, _xlpm.v=""), "", _xlpm.v))</f>
        <v>male</v>
      </c>
    </row>
    <row r="1071" spans="1:9" x14ac:dyDescent="0.6">
      <c r="A1071">
        <v>234</v>
      </c>
      <c r="B1071" t="s">
        <v>7</v>
      </c>
      <c r="C1071" t="s">
        <v>10</v>
      </c>
      <c r="D1071">
        <v>182.11</v>
      </c>
      <c r="E1071">
        <v>171.95</v>
      </c>
      <c r="F1071">
        <v>57053</v>
      </c>
      <c r="H1071">
        <f>_xlfn.LET(_xlpm.v, IFERROR(VLOOKUP($A1071, manifest!$A:$E, 3, FALSE), ""), IF(OR(_xlpm.v=0, _xlpm.v=""), "", _xlpm.v))</f>
        <v>59</v>
      </c>
      <c r="I1071" t="str">
        <f>_xlfn.LET(_xlpm.v, IFERROR(VLOOKUP($A1071, manifest!$A:$E, 5, FALSE), ""), IF(OR(_xlpm.v=0, _xlpm.v=""), "", _xlpm.v))</f>
        <v>male</v>
      </c>
    </row>
    <row r="1072" spans="1:9" x14ac:dyDescent="0.6">
      <c r="A1072">
        <v>234</v>
      </c>
      <c r="B1072" t="s">
        <v>7</v>
      </c>
      <c r="C1072" t="s">
        <v>11</v>
      </c>
      <c r="D1072">
        <v>186.5</v>
      </c>
      <c r="E1072">
        <v>205.84</v>
      </c>
      <c r="F1072">
        <v>57772</v>
      </c>
      <c r="H1072">
        <f>_xlfn.LET(_xlpm.v, IFERROR(VLOOKUP($A1072, manifest!$A:$E, 3, FALSE), ""), IF(OR(_xlpm.v=0, _xlpm.v=""), "", _xlpm.v))</f>
        <v>59</v>
      </c>
      <c r="I1072" t="str">
        <f>_xlfn.LET(_xlpm.v, IFERROR(VLOOKUP($A1072, manifest!$A:$E, 5, FALSE), ""), IF(OR(_xlpm.v=0, _xlpm.v=""), "", _xlpm.v))</f>
        <v>male</v>
      </c>
    </row>
    <row r="1073" spans="1:9" x14ac:dyDescent="0.6">
      <c r="A1073">
        <v>234</v>
      </c>
      <c r="B1073" t="s">
        <v>7</v>
      </c>
      <c r="C1073" t="s">
        <v>12</v>
      </c>
      <c r="D1073">
        <v>166.6</v>
      </c>
      <c r="E1073">
        <v>195.73</v>
      </c>
      <c r="F1073">
        <v>72474</v>
      </c>
      <c r="H1073">
        <f>_xlfn.LET(_xlpm.v, IFERROR(VLOOKUP($A1073, manifest!$A:$E, 3, FALSE), ""), IF(OR(_xlpm.v=0, _xlpm.v=""), "", _xlpm.v))</f>
        <v>59</v>
      </c>
      <c r="I1073" t="str">
        <f>_xlfn.LET(_xlpm.v, IFERROR(VLOOKUP($A1073, manifest!$A:$E, 5, FALSE), ""), IF(OR(_xlpm.v=0, _xlpm.v=""), "", _xlpm.v))</f>
        <v>male</v>
      </c>
    </row>
    <row r="1074" spans="1:9" x14ac:dyDescent="0.6">
      <c r="A1074">
        <v>234</v>
      </c>
      <c r="B1074" t="s">
        <v>7</v>
      </c>
      <c r="C1074" t="s">
        <v>13</v>
      </c>
      <c r="D1074">
        <v>157.65</v>
      </c>
      <c r="E1074">
        <v>175.37</v>
      </c>
      <c r="F1074">
        <v>78179</v>
      </c>
      <c r="H1074">
        <f>_xlfn.LET(_xlpm.v, IFERROR(VLOOKUP($A1074, manifest!$A:$E, 3, FALSE), ""), IF(OR(_xlpm.v=0, _xlpm.v=""), "", _xlpm.v))</f>
        <v>59</v>
      </c>
      <c r="I1074" t="str">
        <f>_xlfn.LET(_xlpm.v, IFERROR(VLOOKUP($A1074, manifest!$A:$E, 5, FALSE), ""), IF(OR(_xlpm.v=0, _xlpm.v=""), "", _xlpm.v))</f>
        <v>male</v>
      </c>
    </row>
    <row r="1075" spans="1:9" x14ac:dyDescent="0.6">
      <c r="A1075">
        <v>241</v>
      </c>
      <c r="B1075" t="s">
        <v>14</v>
      </c>
      <c r="C1075" t="s">
        <v>8</v>
      </c>
      <c r="D1075">
        <v>179.82</v>
      </c>
      <c r="E1075">
        <v>126.54</v>
      </c>
      <c r="F1075">
        <v>21569</v>
      </c>
      <c r="G1075" t="s">
        <v>9</v>
      </c>
      <c r="H1075">
        <f>_xlfn.LET(_xlpm.v, IFERROR(VLOOKUP($A1075, manifest!$A:$E, 3, FALSE), ""), IF(OR(_xlpm.v=0, _xlpm.v=""), "", _xlpm.v))</f>
        <v>51</v>
      </c>
      <c r="I1075" t="str">
        <f>_xlfn.LET(_xlpm.v, IFERROR(VLOOKUP($A1075, manifest!$A:$E, 5, FALSE), ""), IF(OR(_xlpm.v=0, _xlpm.v=""), "", _xlpm.v))</f>
        <v>male</v>
      </c>
    </row>
    <row r="1076" spans="1:9" x14ac:dyDescent="0.6">
      <c r="A1076">
        <v>241</v>
      </c>
      <c r="B1076" t="s">
        <v>14</v>
      </c>
      <c r="C1076" t="s">
        <v>10</v>
      </c>
      <c r="D1076">
        <v>195.31</v>
      </c>
      <c r="E1076">
        <v>170.49</v>
      </c>
      <c r="F1076">
        <v>19166</v>
      </c>
      <c r="H1076">
        <f>_xlfn.LET(_xlpm.v, IFERROR(VLOOKUP($A1076, manifest!$A:$E, 3, FALSE), ""), IF(OR(_xlpm.v=0, _xlpm.v=""), "", _xlpm.v))</f>
        <v>51</v>
      </c>
      <c r="I1076" t="str">
        <f>_xlfn.LET(_xlpm.v, IFERROR(VLOOKUP($A1076, manifest!$A:$E, 5, FALSE), ""), IF(OR(_xlpm.v=0, _xlpm.v=""), "", _xlpm.v))</f>
        <v>male</v>
      </c>
    </row>
    <row r="1077" spans="1:9" x14ac:dyDescent="0.6">
      <c r="A1077">
        <v>241</v>
      </c>
      <c r="B1077" t="s">
        <v>14</v>
      </c>
      <c r="C1077" t="s">
        <v>11</v>
      </c>
      <c r="D1077">
        <v>204.62</v>
      </c>
      <c r="E1077">
        <v>177.3</v>
      </c>
      <c r="F1077">
        <v>20467</v>
      </c>
      <c r="H1077">
        <f>_xlfn.LET(_xlpm.v, IFERROR(VLOOKUP($A1077, manifest!$A:$E, 3, FALSE), ""), IF(OR(_xlpm.v=0, _xlpm.v=""), "", _xlpm.v))</f>
        <v>51</v>
      </c>
      <c r="I1077" t="str">
        <f>_xlfn.LET(_xlpm.v, IFERROR(VLOOKUP($A1077, manifest!$A:$E, 5, FALSE), ""), IF(OR(_xlpm.v=0, _xlpm.v=""), "", _xlpm.v))</f>
        <v>male</v>
      </c>
    </row>
    <row r="1078" spans="1:9" x14ac:dyDescent="0.6">
      <c r="A1078">
        <v>241</v>
      </c>
      <c r="B1078" t="s">
        <v>14</v>
      </c>
      <c r="C1078" t="s">
        <v>12</v>
      </c>
      <c r="D1078">
        <v>194.08</v>
      </c>
      <c r="E1078">
        <v>177.14</v>
      </c>
      <c r="F1078">
        <v>27091</v>
      </c>
      <c r="H1078">
        <f>_xlfn.LET(_xlpm.v, IFERROR(VLOOKUP($A1078, manifest!$A:$E, 3, FALSE), ""), IF(OR(_xlpm.v=0, _xlpm.v=""), "", _xlpm.v))</f>
        <v>51</v>
      </c>
      <c r="I1078" t="str">
        <f>_xlfn.LET(_xlpm.v, IFERROR(VLOOKUP($A1078, manifest!$A:$E, 5, FALSE), ""), IF(OR(_xlpm.v=0, _xlpm.v=""), "", _xlpm.v))</f>
        <v>male</v>
      </c>
    </row>
    <row r="1079" spans="1:9" x14ac:dyDescent="0.6">
      <c r="A1079">
        <v>241</v>
      </c>
      <c r="B1079" t="s">
        <v>14</v>
      </c>
      <c r="C1079" t="s">
        <v>13</v>
      </c>
      <c r="D1079">
        <v>215.67</v>
      </c>
      <c r="E1079">
        <v>187.19</v>
      </c>
      <c r="F1079">
        <v>25543</v>
      </c>
      <c r="H1079">
        <f>_xlfn.LET(_xlpm.v, IFERROR(VLOOKUP($A1079, manifest!$A:$E, 3, FALSE), ""), IF(OR(_xlpm.v=0, _xlpm.v=""), "", _xlpm.v))</f>
        <v>51</v>
      </c>
      <c r="I1079" t="str">
        <f>_xlfn.LET(_xlpm.v, IFERROR(VLOOKUP($A1079, manifest!$A:$E, 5, FALSE), ""), IF(OR(_xlpm.v=0, _xlpm.v=""), "", _xlpm.v))</f>
        <v>male</v>
      </c>
    </row>
    <row r="1080" spans="1:9" x14ac:dyDescent="0.6">
      <c r="A1080">
        <v>218</v>
      </c>
      <c r="B1080" t="s">
        <v>7</v>
      </c>
      <c r="C1080" t="s">
        <v>8</v>
      </c>
      <c r="D1080">
        <v>216.81</v>
      </c>
      <c r="E1080">
        <v>118.48</v>
      </c>
      <c r="F1080">
        <v>39087</v>
      </c>
      <c r="G1080" t="s">
        <v>9</v>
      </c>
      <c r="H1080">
        <f>_xlfn.LET(_xlpm.v, IFERROR(VLOOKUP($A1080, manifest!$A:$E, 3, FALSE), ""), IF(OR(_xlpm.v=0, _xlpm.v=""), "", _xlpm.v))</f>
        <v>54</v>
      </c>
      <c r="I1080" t="str">
        <f>_xlfn.LET(_xlpm.v, IFERROR(VLOOKUP($A1080, manifest!$A:$E, 5, FALSE), ""), IF(OR(_xlpm.v=0, _xlpm.v=""), "", _xlpm.v))</f>
        <v>female</v>
      </c>
    </row>
    <row r="1081" spans="1:9" x14ac:dyDescent="0.6">
      <c r="A1081">
        <v>218</v>
      </c>
      <c r="B1081" t="s">
        <v>7</v>
      </c>
      <c r="C1081" t="s">
        <v>10</v>
      </c>
      <c r="D1081">
        <v>226.62</v>
      </c>
      <c r="E1081">
        <v>145.58000000000001</v>
      </c>
      <c r="F1081">
        <v>34647</v>
      </c>
      <c r="H1081">
        <f>_xlfn.LET(_xlpm.v, IFERROR(VLOOKUP($A1081, manifest!$A:$E, 3, FALSE), ""), IF(OR(_xlpm.v=0, _xlpm.v=""), "", _xlpm.v))</f>
        <v>54</v>
      </c>
      <c r="I1081" t="str">
        <f>_xlfn.LET(_xlpm.v, IFERROR(VLOOKUP($A1081, manifest!$A:$E, 5, FALSE), ""), IF(OR(_xlpm.v=0, _xlpm.v=""), "", _xlpm.v))</f>
        <v>female</v>
      </c>
    </row>
    <row r="1082" spans="1:9" x14ac:dyDescent="0.6">
      <c r="A1082">
        <v>218</v>
      </c>
      <c r="B1082" t="s">
        <v>7</v>
      </c>
      <c r="C1082" t="s">
        <v>11</v>
      </c>
      <c r="D1082">
        <v>232.59</v>
      </c>
      <c r="E1082">
        <v>162.21</v>
      </c>
      <c r="F1082">
        <v>41078</v>
      </c>
      <c r="H1082">
        <f>_xlfn.LET(_xlpm.v, IFERROR(VLOOKUP($A1082, manifest!$A:$E, 3, FALSE), ""), IF(OR(_xlpm.v=0, _xlpm.v=""), "", _xlpm.v))</f>
        <v>54</v>
      </c>
      <c r="I1082" t="str">
        <f>_xlfn.LET(_xlpm.v, IFERROR(VLOOKUP($A1082, manifest!$A:$E, 5, FALSE), ""), IF(OR(_xlpm.v=0, _xlpm.v=""), "", _xlpm.v))</f>
        <v>female</v>
      </c>
    </row>
    <row r="1083" spans="1:9" x14ac:dyDescent="0.6">
      <c r="A1083">
        <v>218</v>
      </c>
      <c r="B1083" t="s">
        <v>7</v>
      </c>
      <c r="C1083" t="s">
        <v>12</v>
      </c>
      <c r="D1083">
        <v>219.43</v>
      </c>
      <c r="E1083">
        <v>157.43</v>
      </c>
      <c r="F1083">
        <v>56925</v>
      </c>
      <c r="H1083">
        <f>_xlfn.LET(_xlpm.v, IFERROR(VLOOKUP($A1083, manifest!$A:$E, 3, FALSE), ""), IF(OR(_xlpm.v=0, _xlpm.v=""), "", _xlpm.v))</f>
        <v>54</v>
      </c>
      <c r="I1083" t="str">
        <f>_xlfn.LET(_xlpm.v, IFERROR(VLOOKUP($A1083, manifest!$A:$E, 5, FALSE), ""), IF(OR(_xlpm.v=0, _xlpm.v=""), "", _xlpm.v))</f>
        <v>female</v>
      </c>
    </row>
    <row r="1084" spans="1:9" x14ac:dyDescent="0.6">
      <c r="A1084">
        <v>218</v>
      </c>
      <c r="B1084" t="s">
        <v>7</v>
      </c>
      <c r="C1084" t="s">
        <v>13</v>
      </c>
      <c r="D1084">
        <v>244.66</v>
      </c>
      <c r="E1084">
        <v>169.93</v>
      </c>
      <c r="F1084">
        <v>60526</v>
      </c>
      <c r="H1084">
        <f>_xlfn.LET(_xlpm.v, IFERROR(VLOOKUP($A1084, manifest!$A:$E, 3, FALSE), ""), IF(OR(_xlpm.v=0, _xlpm.v=""), "", _xlpm.v))</f>
        <v>54</v>
      </c>
      <c r="I1084" t="str">
        <f>_xlfn.LET(_xlpm.v, IFERROR(VLOOKUP($A1084, manifest!$A:$E, 5, FALSE), ""), IF(OR(_xlpm.v=0, _xlpm.v=""), "", _xlpm.v))</f>
        <v>female</v>
      </c>
    </row>
    <row r="1085" spans="1:9" x14ac:dyDescent="0.6">
      <c r="A1085">
        <v>220</v>
      </c>
      <c r="B1085" t="s">
        <v>14</v>
      </c>
      <c r="C1085" t="s">
        <v>8</v>
      </c>
      <c r="D1085">
        <v>181.86</v>
      </c>
      <c r="E1085">
        <v>104.78</v>
      </c>
      <c r="F1085">
        <v>30282</v>
      </c>
      <c r="G1085" t="s">
        <v>9</v>
      </c>
      <c r="H1085">
        <f>_xlfn.LET(_xlpm.v, IFERROR(VLOOKUP($A1085, manifest!$A:$E, 3, FALSE), ""), IF(OR(_xlpm.v=0, _xlpm.v=""), "", _xlpm.v))</f>
        <v>53</v>
      </c>
      <c r="I1085" t="str">
        <f>_xlfn.LET(_xlpm.v, IFERROR(VLOOKUP($A1085, manifest!$A:$E, 5, FALSE), ""), IF(OR(_xlpm.v=0, _xlpm.v=""), "", _xlpm.v))</f>
        <v>male</v>
      </c>
    </row>
    <row r="1086" spans="1:9" x14ac:dyDescent="0.6">
      <c r="A1086">
        <v>220</v>
      </c>
      <c r="B1086" t="s">
        <v>14</v>
      </c>
      <c r="C1086" t="s">
        <v>10</v>
      </c>
      <c r="D1086">
        <v>201.38</v>
      </c>
      <c r="E1086">
        <v>153.6</v>
      </c>
      <c r="F1086">
        <v>30432</v>
      </c>
      <c r="H1086">
        <f>_xlfn.LET(_xlpm.v, IFERROR(VLOOKUP($A1086, manifest!$A:$E, 3, FALSE), ""), IF(OR(_xlpm.v=0, _xlpm.v=""), "", _xlpm.v))</f>
        <v>53</v>
      </c>
      <c r="I1086" t="str">
        <f>_xlfn.LET(_xlpm.v, IFERROR(VLOOKUP($A1086, manifest!$A:$E, 5, FALSE), ""), IF(OR(_xlpm.v=0, _xlpm.v=""), "", _xlpm.v))</f>
        <v>male</v>
      </c>
    </row>
    <row r="1087" spans="1:9" x14ac:dyDescent="0.6">
      <c r="A1087">
        <v>220</v>
      </c>
      <c r="B1087" t="s">
        <v>14</v>
      </c>
      <c r="C1087" t="s">
        <v>11</v>
      </c>
      <c r="D1087">
        <v>187.67</v>
      </c>
      <c r="E1087">
        <v>128.84</v>
      </c>
      <c r="F1087">
        <v>33454</v>
      </c>
      <c r="H1087">
        <f>_xlfn.LET(_xlpm.v, IFERROR(VLOOKUP($A1087, manifest!$A:$E, 3, FALSE), ""), IF(OR(_xlpm.v=0, _xlpm.v=""), "", _xlpm.v))</f>
        <v>53</v>
      </c>
      <c r="I1087" t="str">
        <f>_xlfn.LET(_xlpm.v, IFERROR(VLOOKUP($A1087, manifest!$A:$E, 5, FALSE), ""), IF(OR(_xlpm.v=0, _xlpm.v=""), "", _xlpm.v))</f>
        <v>male</v>
      </c>
    </row>
    <row r="1088" spans="1:9" x14ac:dyDescent="0.6">
      <c r="A1088">
        <v>220</v>
      </c>
      <c r="B1088" t="s">
        <v>14</v>
      </c>
      <c r="C1088" t="s">
        <v>12</v>
      </c>
      <c r="D1088">
        <v>172.95</v>
      </c>
      <c r="E1088">
        <v>121.09</v>
      </c>
      <c r="F1088">
        <v>40717</v>
      </c>
      <c r="H1088">
        <f>_xlfn.LET(_xlpm.v, IFERROR(VLOOKUP($A1088, manifest!$A:$E, 3, FALSE), ""), IF(OR(_xlpm.v=0, _xlpm.v=""), "", _xlpm.v))</f>
        <v>53</v>
      </c>
      <c r="I1088" t="str">
        <f>_xlfn.LET(_xlpm.v, IFERROR(VLOOKUP($A1088, manifest!$A:$E, 5, FALSE), ""), IF(OR(_xlpm.v=0, _xlpm.v=""), "", _xlpm.v))</f>
        <v>male</v>
      </c>
    </row>
    <row r="1089" spans="1:9" x14ac:dyDescent="0.6">
      <c r="A1089">
        <v>220</v>
      </c>
      <c r="B1089" t="s">
        <v>14</v>
      </c>
      <c r="C1089" t="s">
        <v>13</v>
      </c>
      <c r="D1089">
        <v>205.28</v>
      </c>
      <c r="E1089">
        <v>153.62</v>
      </c>
      <c r="F1089">
        <v>42156</v>
      </c>
      <c r="H1089">
        <f>_xlfn.LET(_xlpm.v, IFERROR(VLOOKUP($A1089, manifest!$A:$E, 3, FALSE), ""), IF(OR(_xlpm.v=0, _xlpm.v=""), "", _xlpm.v))</f>
        <v>53</v>
      </c>
      <c r="I1089" t="str">
        <f>_xlfn.LET(_xlpm.v, IFERROR(VLOOKUP($A1089, manifest!$A:$E, 5, FALSE), ""), IF(OR(_xlpm.v=0, _xlpm.v=""), "", _xlpm.v))</f>
        <v>male</v>
      </c>
    </row>
    <row r="1090" spans="1:9" x14ac:dyDescent="0.6">
      <c r="A1090">
        <v>222</v>
      </c>
      <c r="B1090" t="s">
        <v>7</v>
      </c>
      <c r="C1090" t="s">
        <v>8</v>
      </c>
      <c r="D1090">
        <v>158.97</v>
      </c>
      <c r="E1090">
        <v>100.46</v>
      </c>
      <c r="F1090">
        <v>22887</v>
      </c>
      <c r="G1090" t="s">
        <v>15</v>
      </c>
      <c r="H1090">
        <f>_xlfn.LET(_xlpm.v, IFERROR(VLOOKUP($A1090, manifest!$A:$E, 3, FALSE), ""), IF(OR(_xlpm.v=0, _xlpm.v=""), "", _xlpm.v))</f>
        <v>67</v>
      </c>
      <c r="I1090" t="str">
        <f>_xlfn.LET(_xlpm.v, IFERROR(VLOOKUP($A1090, manifest!$A:$E, 5, FALSE), ""), IF(OR(_xlpm.v=0, _xlpm.v=""), "", _xlpm.v))</f>
        <v>male</v>
      </c>
    </row>
    <row r="1091" spans="1:9" x14ac:dyDescent="0.6">
      <c r="A1091">
        <v>222</v>
      </c>
      <c r="B1091" t="s">
        <v>7</v>
      </c>
      <c r="C1091" t="s">
        <v>10</v>
      </c>
      <c r="D1091">
        <v>181.76</v>
      </c>
      <c r="E1091">
        <v>149.9</v>
      </c>
      <c r="F1091">
        <v>23651</v>
      </c>
      <c r="H1091">
        <f>_xlfn.LET(_xlpm.v, IFERROR(VLOOKUP($A1091, manifest!$A:$E, 3, FALSE), ""), IF(OR(_xlpm.v=0, _xlpm.v=""), "", _xlpm.v))</f>
        <v>67</v>
      </c>
      <c r="I1091" t="str">
        <f>_xlfn.LET(_xlpm.v, IFERROR(VLOOKUP($A1091, manifest!$A:$E, 5, FALSE), ""), IF(OR(_xlpm.v=0, _xlpm.v=""), "", _xlpm.v))</f>
        <v>male</v>
      </c>
    </row>
    <row r="1092" spans="1:9" x14ac:dyDescent="0.6">
      <c r="A1092">
        <v>222</v>
      </c>
      <c r="B1092" t="s">
        <v>7</v>
      </c>
      <c r="C1092" t="s">
        <v>11</v>
      </c>
      <c r="D1092">
        <v>178.27</v>
      </c>
      <c r="E1092">
        <v>148.16999999999999</v>
      </c>
      <c r="F1092">
        <v>25508</v>
      </c>
      <c r="H1092">
        <f>_xlfn.LET(_xlpm.v, IFERROR(VLOOKUP($A1092, manifest!$A:$E, 3, FALSE), ""), IF(OR(_xlpm.v=0, _xlpm.v=""), "", _xlpm.v))</f>
        <v>67</v>
      </c>
      <c r="I1092" t="str">
        <f>_xlfn.LET(_xlpm.v, IFERROR(VLOOKUP($A1092, manifest!$A:$E, 5, FALSE), ""), IF(OR(_xlpm.v=0, _xlpm.v=""), "", _xlpm.v))</f>
        <v>male</v>
      </c>
    </row>
    <row r="1093" spans="1:9" x14ac:dyDescent="0.6">
      <c r="A1093">
        <v>222</v>
      </c>
      <c r="B1093" t="s">
        <v>7</v>
      </c>
      <c r="C1093" t="s">
        <v>12</v>
      </c>
      <c r="D1093">
        <v>212.27</v>
      </c>
      <c r="E1093">
        <v>175.98</v>
      </c>
      <c r="F1093">
        <v>27180</v>
      </c>
      <c r="H1093">
        <f>_xlfn.LET(_xlpm.v, IFERROR(VLOOKUP($A1093, manifest!$A:$E, 3, FALSE), ""), IF(OR(_xlpm.v=0, _xlpm.v=""), "", _xlpm.v))</f>
        <v>67</v>
      </c>
      <c r="I1093" t="str">
        <f>_xlfn.LET(_xlpm.v, IFERROR(VLOOKUP($A1093, manifest!$A:$E, 5, FALSE), ""), IF(OR(_xlpm.v=0, _xlpm.v=""), "", _xlpm.v))</f>
        <v>male</v>
      </c>
    </row>
    <row r="1094" spans="1:9" x14ac:dyDescent="0.6">
      <c r="A1094">
        <v>222</v>
      </c>
      <c r="B1094" t="s">
        <v>7</v>
      </c>
      <c r="C1094" t="s">
        <v>13</v>
      </c>
      <c r="D1094">
        <v>223.28</v>
      </c>
      <c r="E1094">
        <v>146.85</v>
      </c>
      <c r="F1094">
        <v>36601</v>
      </c>
      <c r="H1094">
        <f>_xlfn.LET(_xlpm.v, IFERROR(VLOOKUP($A1094, manifest!$A:$E, 3, FALSE), ""), IF(OR(_xlpm.v=0, _xlpm.v=""), "", _xlpm.v))</f>
        <v>67</v>
      </c>
      <c r="I1094" t="str">
        <f>_xlfn.LET(_xlpm.v, IFERROR(VLOOKUP($A1094, manifest!$A:$E, 5, FALSE), ""), IF(OR(_xlpm.v=0, _xlpm.v=""), "", _xlpm.v))</f>
        <v>male</v>
      </c>
    </row>
    <row r="1095" spans="1:9" x14ac:dyDescent="0.6">
      <c r="A1095">
        <v>240</v>
      </c>
      <c r="B1095" t="s">
        <v>7</v>
      </c>
      <c r="C1095" t="s">
        <v>8</v>
      </c>
      <c r="D1095">
        <v>253.87</v>
      </c>
      <c r="E1095">
        <v>111.79</v>
      </c>
      <c r="F1095">
        <v>17227</v>
      </c>
      <c r="G1095" t="s">
        <v>9</v>
      </c>
      <c r="H1095">
        <f>_xlfn.LET(_xlpm.v, IFERROR(VLOOKUP($A1095, manifest!$A:$E, 3, FALSE), ""), IF(OR(_xlpm.v=0, _xlpm.v=""), "", _xlpm.v))</f>
        <v>51</v>
      </c>
      <c r="I1095" t="str">
        <f>_xlfn.LET(_xlpm.v, IFERROR(VLOOKUP($A1095, manifest!$A:$E, 5, FALSE), ""), IF(OR(_xlpm.v=0, _xlpm.v=""), "", _xlpm.v))</f>
        <v>female</v>
      </c>
    </row>
    <row r="1096" spans="1:9" x14ac:dyDescent="0.6">
      <c r="A1096">
        <v>240</v>
      </c>
      <c r="B1096" t="s">
        <v>7</v>
      </c>
      <c r="C1096" t="s">
        <v>10</v>
      </c>
      <c r="D1096">
        <v>278.66000000000003</v>
      </c>
      <c r="E1096">
        <v>146.27000000000001</v>
      </c>
      <c r="F1096">
        <v>21492</v>
      </c>
      <c r="H1096">
        <f>_xlfn.LET(_xlpm.v, IFERROR(VLOOKUP($A1096, manifest!$A:$E, 3, FALSE), ""), IF(OR(_xlpm.v=0, _xlpm.v=""), "", _xlpm.v))</f>
        <v>51</v>
      </c>
      <c r="I1096" t="str">
        <f>_xlfn.LET(_xlpm.v, IFERROR(VLOOKUP($A1096, manifest!$A:$E, 5, FALSE), ""), IF(OR(_xlpm.v=0, _xlpm.v=""), "", _xlpm.v))</f>
        <v>female</v>
      </c>
    </row>
    <row r="1097" spans="1:9" x14ac:dyDescent="0.6">
      <c r="A1097">
        <v>240</v>
      </c>
      <c r="B1097" t="s">
        <v>7</v>
      </c>
      <c r="C1097" t="s">
        <v>11</v>
      </c>
      <c r="D1097">
        <v>289.93</v>
      </c>
      <c r="E1097">
        <v>166.97</v>
      </c>
      <c r="F1097">
        <v>25739</v>
      </c>
      <c r="H1097">
        <f>_xlfn.LET(_xlpm.v, IFERROR(VLOOKUP($A1097, manifest!$A:$E, 3, FALSE), ""), IF(OR(_xlpm.v=0, _xlpm.v=""), "", _xlpm.v))</f>
        <v>51</v>
      </c>
      <c r="I1097" t="str">
        <f>_xlfn.LET(_xlpm.v, IFERROR(VLOOKUP($A1097, manifest!$A:$E, 5, FALSE), ""), IF(OR(_xlpm.v=0, _xlpm.v=""), "", _xlpm.v))</f>
        <v>female</v>
      </c>
    </row>
    <row r="1098" spans="1:9" x14ac:dyDescent="0.6">
      <c r="A1098">
        <v>240</v>
      </c>
      <c r="B1098" t="s">
        <v>7</v>
      </c>
      <c r="C1098" t="s">
        <v>12</v>
      </c>
      <c r="D1098">
        <v>319.75</v>
      </c>
      <c r="E1098">
        <v>231.72</v>
      </c>
      <c r="F1098">
        <v>30761</v>
      </c>
      <c r="H1098">
        <f>_xlfn.LET(_xlpm.v, IFERROR(VLOOKUP($A1098, manifest!$A:$E, 3, FALSE), ""), IF(OR(_xlpm.v=0, _xlpm.v=""), "", _xlpm.v))</f>
        <v>51</v>
      </c>
      <c r="I1098" t="str">
        <f>_xlfn.LET(_xlpm.v, IFERROR(VLOOKUP($A1098, manifest!$A:$E, 5, FALSE), ""), IF(OR(_xlpm.v=0, _xlpm.v=""), "", _xlpm.v))</f>
        <v>female</v>
      </c>
    </row>
    <row r="1099" spans="1:9" x14ac:dyDescent="0.6">
      <c r="A1099">
        <v>240</v>
      </c>
      <c r="B1099" t="s">
        <v>7</v>
      </c>
      <c r="C1099" t="s">
        <v>13</v>
      </c>
      <c r="D1099">
        <v>278.32</v>
      </c>
      <c r="E1099">
        <v>156.22</v>
      </c>
      <c r="F1099">
        <v>40569</v>
      </c>
      <c r="H1099">
        <f>_xlfn.LET(_xlpm.v, IFERROR(VLOOKUP($A1099, manifest!$A:$E, 3, FALSE), ""), IF(OR(_xlpm.v=0, _xlpm.v=""), "", _xlpm.v))</f>
        <v>51</v>
      </c>
      <c r="I1099" t="str">
        <f>_xlfn.LET(_xlpm.v, IFERROR(VLOOKUP($A1099, manifest!$A:$E, 5, FALSE), ""), IF(OR(_xlpm.v=0, _xlpm.v=""), "", _xlpm.v))</f>
        <v>female</v>
      </c>
    </row>
    <row r="1100" spans="1:9" x14ac:dyDescent="0.6">
      <c r="A1100">
        <v>233</v>
      </c>
      <c r="B1100" t="s">
        <v>7</v>
      </c>
      <c r="C1100" t="s">
        <v>8</v>
      </c>
      <c r="D1100">
        <v>232.21</v>
      </c>
      <c r="E1100">
        <v>134.18</v>
      </c>
      <c r="F1100">
        <v>36544</v>
      </c>
      <c r="G1100" t="s">
        <v>9</v>
      </c>
      <c r="H1100">
        <f>_xlfn.LET(_xlpm.v, IFERROR(VLOOKUP($A1100, manifest!$A:$E, 3, FALSE), ""), IF(OR(_xlpm.v=0, _xlpm.v=""), "", _xlpm.v))</f>
        <v>51</v>
      </c>
      <c r="I1100" t="str">
        <f>_xlfn.LET(_xlpm.v, IFERROR(VLOOKUP($A1100, manifest!$A:$E, 5, FALSE), ""), IF(OR(_xlpm.v=0, _xlpm.v=""), "", _xlpm.v))</f>
        <v>female</v>
      </c>
    </row>
    <row r="1101" spans="1:9" x14ac:dyDescent="0.6">
      <c r="A1101">
        <v>233</v>
      </c>
      <c r="B1101" t="s">
        <v>7</v>
      </c>
      <c r="C1101" t="s">
        <v>10</v>
      </c>
      <c r="D1101">
        <v>237.11</v>
      </c>
      <c r="E1101">
        <v>144.80000000000001</v>
      </c>
      <c r="F1101">
        <v>37892</v>
      </c>
      <c r="H1101">
        <f>_xlfn.LET(_xlpm.v, IFERROR(VLOOKUP($A1101, manifest!$A:$E, 3, FALSE), ""), IF(OR(_xlpm.v=0, _xlpm.v=""), "", _xlpm.v))</f>
        <v>51</v>
      </c>
      <c r="I1101" t="str">
        <f>_xlfn.LET(_xlpm.v, IFERROR(VLOOKUP($A1101, manifest!$A:$E, 5, FALSE), ""), IF(OR(_xlpm.v=0, _xlpm.v=""), "", _xlpm.v))</f>
        <v>female</v>
      </c>
    </row>
    <row r="1102" spans="1:9" x14ac:dyDescent="0.6">
      <c r="A1102">
        <v>233</v>
      </c>
      <c r="B1102" t="s">
        <v>7</v>
      </c>
      <c r="C1102" t="s">
        <v>11</v>
      </c>
      <c r="D1102">
        <v>246.34</v>
      </c>
      <c r="E1102">
        <v>173.57</v>
      </c>
      <c r="F1102">
        <v>54221</v>
      </c>
      <c r="H1102">
        <f>_xlfn.LET(_xlpm.v, IFERROR(VLOOKUP($A1102, manifest!$A:$E, 3, FALSE), ""), IF(OR(_xlpm.v=0, _xlpm.v=""), "", _xlpm.v))</f>
        <v>51</v>
      </c>
      <c r="I1102" t="str">
        <f>_xlfn.LET(_xlpm.v, IFERROR(VLOOKUP($A1102, manifest!$A:$E, 5, FALSE), ""), IF(OR(_xlpm.v=0, _xlpm.v=""), "", _xlpm.v))</f>
        <v>female</v>
      </c>
    </row>
    <row r="1103" spans="1:9" x14ac:dyDescent="0.6">
      <c r="A1103">
        <v>233</v>
      </c>
      <c r="B1103" t="s">
        <v>7</v>
      </c>
      <c r="C1103" t="s">
        <v>12</v>
      </c>
      <c r="D1103">
        <v>269.20999999999998</v>
      </c>
      <c r="E1103">
        <v>229.3</v>
      </c>
      <c r="F1103">
        <v>63186</v>
      </c>
      <c r="H1103">
        <f>_xlfn.LET(_xlpm.v, IFERROR(VLOOKUP($A1103, manifest!$A:$E, 3, FALSE), ""), IF(OR(_xlpm.v=0, _xlpm.v=""), "", _xlpm.v))</f>
        <v>51</v>
      </c>
      <c r="I1103" t="str">
        <f>_xlfn.LET(_xlpm.v, IFERROR(VLOOKUP($A1103, manifest!$A:$E, 5, FALSE), ""), IF(OR(_xlpm.v=0, _xlpm.v=""), "", _xlpm.v))</f>
        <v>female</v>
      </c>
    </row>
    <row r="1104" spans="1:9" x14ac:dyDescent="0.6">
      <c r="A1104">
        <v>233</v>
      </c>
      <c r="B1104" t="s">
        <v>7</v>
      </c>
      <c r="C1104" t="s">
        <v>13</v>
      </c>
      <c r="D1104">
        <v>281.45999999999998</v>
      </c>
      <c r="E1104">
        <v>223.68</v>
      </c>
      <c r="F1104">
        <v>70775</v>
      </c>
      <c r="H1104">
        <f>_xlfn.LET(_xlpm.v, IFERROR(VLOOKUP($A1104, manifest!$A:$E, 3, FALSE), ""), IF(OR(_xlpm.v=0, _xlpm.v=""), "", _xlpm.v))</f>
        <v>51</v>
      </c>
      <c r="I1104" t="str">
        <f>_xlfn.LET(_xlpm.v, IFERROR(VLOOKUP($A1104, manifest!$A:$E, 5, FALSE), ""), IF(OR(_xlpm.v=0, _xlpm.v=""), "", _xlpm.v))</f>
        <v>female</v>
      </c>
    </row>
    <row r="1105" spans="1:9" x14ac:dyDescent="0.6">
      <c r="A1105">
        <v>238</v>
      </c>
      <c r="B1105" t="s">
        <v>14</v>
      </c>
      <c r="C1105" t="s">
        <v>8</v>
      </c>
      <c r="D1105">
        <v>291.22000000000003</v>
      </c>
      <c r="E1105">
        <v>222.9</v>
      </c>
      <c r="F1105">
        <v>23442</v>
      </c>
      <c r="G1105" t="s">
        <v>9</v>
      </c>
      <c r="H1105">
        <f>_xlfn.LET(_xlpm.v, IFERROR(VLOOKUP($A1105, manifest!$A:$E, 3, FALSE), ""), IF(OR(_xlpm.v=0, _xlpm.v=""), "", _xlpm.v))</f>
        <v>57</v>
      </c>
      <c r="I1105" t="str">
        <f>_xlfn.LET(_xlpm.v, IFERROR(VLOOKUP($A1105, manifest!$A:$E, 5, FALSE), ""), IF(OR(_xlpm.v=0, _xlpm.v=""), "", _xlpm.v))</f>
        <v>male</v>
      </c>
    </row>
    <row r="1106" spans="1:9" x14ac:dyDescent="0.6">
      <c r="A1106">
        <v>238</v>
      </c>
      <c r="B1106" t="s">
        <v>14</v>
      </c>
      <c r="C1106" t="s">
        <v>10</v>
      </c>
      <c r="D1106">
        <v>291.69</v>
      </c>
      <c r="E1106">
        <v>227.06</v>
      </c>
      <c r="F1106">
        <v>23858</v>
      </c>
      <c r="H1106">
        <f>_xlfn.LET(_xlpm.v, IFERROR(VLOOKUP($A1106, manifest!$A:$E, 3, FALSE), ""), IF(OR(_xlpm.v=0, _xlpm.v=""), "", _xlpm.v))</f>
        <v>57</v>
      </c>
      <c r="I1106" t="str">
        <f>_xlfn.LET(_xlpm.v, IFERROR(VLOOKUP($A1106, manifest!$A:$E, 5, FALSE), ""), IF(OR(_xlpm.v=0, _xlpm.v=""), "", _xlpm.v))</f>
        <v>male</v>
      </c>
    </row>
    <row r="1107" spans="1:9" x14ac:dyDescent="0.6">
      <c r="A1107">
        <v>238</v>
      </c>
      <c r="B1107" t="s">
        <v>14</v>
      </c>
      <c r="C1107" t="s">
        <v>11</v>
      </c>
      <c r="D1107">
        <v>282.54000000000002</v>
      </c>
      <c r="E1107">
        <v>200.56</v>
      </c>
      <c r="F1107">
        <v>26860</v>
      </c>
      <c r="H1107">
        <f>_xlfn.LET(_xlpm.v, IFERROR(VLOOKUP($A1107, manifest!$A:$E, 3, FALSE), ""), IF(OR(_xlpm.v=0, _xlpm.v=""), "", _xlpm.v))</f>
        <v>57</v>
      </c>
      <c r="I1107" t="str">
        <f>_xlfn.LET(_xlpm.v, IFERROR(VLOOKUP($A1107, manifest!$A:$E, 5, FALSE), ""), IF(OR(_xlpm.v=0, _xlpm.v=""), "", _xlpm.v))</f>
        <v>male</v>
      </c>
    </row>
    <row r="1108" spans="1:9" x14ac:dyDescent="0.6">
      <c r="A1108">
        <v>238</v>
      </c>
      <c r="B1108" t="s">
        <v>14</v>
      </c>
      <c r="C1108" t="s">
        <v>12</v>
      </c>
      <c r="D1108">
        <v>277.8</v>
      </c>
      <c r="E1108">
        <v>193.34</v>
      </c>
      <c r="F1108">
        <v>37591</v>
      </c>
      <c r="H1108">
        <f>_xlfn.LET(_xlpm.v, IFERROR(VLOOKUP($A1108, manifest!$A:$E, 3, FALSE), ""), IF(OR(_xlpm.v=0, _xlpm.v=""), "", _xlpm.v))</f>
        <v>57</v>
      </c>
      <c r="I1108" t="str">
        <f>_xlfn.LET(_xlpm.v, IFERROR(VLOOKUP($A1108, manifest!$A:$E, 5, FALSE), ""), IF(OR(_xlpm.v=0, _xlpm.v=""), "", _xlpm.v))</f>
        <v>male</v>
      </c>
    </row>
    <row r="1109" spans="1:9" x14ac:dyDescent="0.6">
      <c r="A1109">
        <v>238</v>
      </c>
      <c r="B1109" t="s">
        <v>14</v>
      </c>
      <c r="C1109" t="s">
        <v>13</v>
      </c>
      <c r="D1109">
        <v>332.69</v>
      </c>
      <c r="E1109">
        <v>220.19</v>
      </c>
      <c r="F1109">
        <v>38594</v>
      </c>
      <c r="H1109">
        <f>_xlfn.LET(_xlpm.v, IFERROR(VLOOKUP($A1109, manifest!$A:$E, 3, FALSE), ""), IF(OR(_xlpm.v=0, _xlpm.v=""), "", _xlpm.v))</f>
        <v>57</v>
      </c>
      <c r="I1109" t="str">
        <f>_xlfn.LET(_xlpm.v, IFERROR(VLOOKUP($A1109, manifest!$A:$E, 5, FALSE), ""), IF(OR(_xlpm.v=0, _xlpm.v=""), "", _xlpm.v))</f>
        <v>male</v>
      </c>
    </row>
    <row r="1110" spans="1:9" x14ac:dyDescent="0.6">
      <c r="A1110">
        <v>229</v>
      </c>
      <c r="B1110" t="s">
        <v>7</v>
      </c>
      <c r="C1110" t="s">
        <v>8</v>
      </c>
      <c r="D1110">
        <v>167.65</v>
      </c>
      <c r="E1110">
        <v>115.93</v>
      </c>
      <c r="F1110">
        <v>34705</v>
      </c>
      <c r="G1110" t="s">
        <v>9</v>
      </c>
      <c r="H1110">
        <f>_xlfn.LET(_xlpm.v, IFERROR(VLOOKUP($A1110, manifest!$A:$E, 3, FALSE), ""), IF(OR(_xlpm.v=0, _xlpm.v=""), "", _xlpm.v))</f>
        <v>89</v>
      </c>
      <c r="I1110" t="str">
        <f>_xlfn.LET(_xlpm.v, IFERROR(VLOOKUP($A1110, manifest!$A:$E, 5, FALSE), ""), IF(OR(_xlpm.v=0, _xlpm.v=""), "", _xlpm.v))</f>
        <v/>
      </c>
    </row>
    <row r="1111" spans="1:9" x14ac:dyDescent="0.6">
      <c r="A1111">
        <v>229</v>
      </c>
      <c r="B1111" t="s">
        <v>7</v>
      </c>
      <c r="C1111" t="s">
        <v>10</v>
      </c>
      <c r="D1111">
        <v>181.26</v>
      </c>
      <c r="E1111">
        <v>149.16</v>
      </c>
      <c r="F1111">
        <v>38073</v>
      </c>
      <c r="H1111">
        <f>_xlfn.LET(_xlpm.v, IFERROR(VLOOKUP($A1111, manifest!$A:$E, 3, FALSE), ""), IF(OR(_xlpm.v=0, _xlpm.v=""), "", _xlpm.v))</f>
        <v>89</v>
      </c>
      <c r="I1111" t="str">
        <f>_xlfn.LET(_xlpm.v, IFERROR(VLOOKUP($A1111, manifest!$A:$E, 5, FALSE), ""), IF(OR(_xlpm.v=0, _xlpm.v=""), "", _xlpm.v))</f>
        <v/>
      </c>
    </row>
    <row r="1112" spans="1:9" x14ac:dyDescent="0.6">
      <c r="A1112">
        <v>229</v>
      </c>
      <c r="B1112" t="s">
        <v>7</v>
      </c>
      <c r="C1112" t="s">
        <v>11</v>
      </c>
      <c r="D1112">
        <v>199.87</v>
      </c>
      <c r="E1112">
        <v>190.1</v>
      </c>
      <c r="F1112">
        <v>40067</v>
      </c>
      <c r="H1112">
        <f>_xlfn.LET(_xlpm.v, IFERROR(VLOOKUP($A1112, manifest!$A:$E, 3, FALSE), ""), IF(OR(_xlpm.v=0, _xlpm.v=""), "", _xlpm.v))</f>
        <v>89</v>
      </c>
      <c r="I1112" t="str">
        <f>_xlfn.LET(_xlpm.v, IFERROR(VLOOKUP($A1112, manifest!$A:$E, 5, FALSE), ""), IF(OR(_xlpm.v=0, _xlpm.v=""), "", _xlpm.v))</f>
        <v/>
      </c>
    </row>
    <row r="1113" spans="1:9" x14ac:dyDescent="0.6">
      <c r="A1113">
        <v>229</v>
      </c>
      <c r="B1113" t="s">
        <v>7</v>
      </c>
      <c r="C1113" t="s">
        <v>12</v>
      </c>
      <c r="D1113">
        <v>192.82</v>
      </c>
      <c r="E1113">
        <v>167.32</v>
      </c>
      <c r="F1113">
        <v>39791</v>
      </c>
      <c r="H1113">
        <f>_xlfn.LET(_xlpm.v, IFERROR(VLOOKUP($A1113, manifest!$A:$E, 3, FALSE), ""), IF(OR(_xlpm.v=0, _xlpm.v=""), "", _xlpm.v))</f>
        <v>89</v>
      </c>
      <c r="I1113" t="str">
        <f>_xlfn.LET(_xlpm.v, IFERROR(VLOOKUP($A1113, manifest!$A:$E, 5, FALSE), ""), IF(OR(_xlpm.v=0, _xlpm.v=""), "", _xlpm.v))</f>
        <v/>
      </c>
    </row>
    <row r="1114" spans="1:9" x14ac:dyDescent="0.6">
      <c r="A1114">
        <v>229</v>
      </c>
      <c r="B1114" t="s">
        <v>7</v>
      </c>
      <c r="C1114" t="s">
        <v>13</v>
      </c>
      <c r="D1114">
        <v>186.06</v>
      </c>
      <c r="E1114">
        <v>166.46</v>
      </c>
      <c r="F1114">
        <v>61507</v>
      </c>
      <c r="H1114">
        <f>_xlfn.LET(_xlpm.v, IFERROR(VLOOKUP($A1114, manifest!$A:$E, 3, FALSE), ""), IF(OR(_xlpm.v=0, _xlpm.v=""), "", _xlpm.v))</f>
        <v>89</v>
      </c>
      <c r="I1114" t="str">
        <f>_xlfn.LET(_xlpm.v, IFERROR(VLOOKUP($A1114, manifest!$A:$E, 5, FALSE), ""), IF(OR(_xlpm.v=0, _xlpm.v=""), "", _xlpm.v))</f>
        <v/>
      </c>
    </row>
    <row r="1115" spans="1:9" x14ac:dyDescent="0.6">
      <c r="A1115">
        <v>242</v>
      </c>
      <c r="B1115" t="s">
        <v>7</v>
      </c>
      <c r="C1115" t="s">
        <v>8</v>
      </c>
      <c r="D1115">
        <v>170.6</v>
      </c>
      <c r="E1115">
        <v>153.51</v>
      </c>
      <c r="F1115">
        <v>34311</v>
      </c>
      <c r="G1115" t="s">
        <v>9</v>
      </c>
      <c r="H1115" t="str">
        <f>_xlfn.LET(_xlpm.v, IFERROR(VLOOKUP($A1115, manifest!$A:$E, 3, FALSE), ""), IF(OR(_xlpm.v=0, _xlpm.v=""), "", _xlpm.v))</f>
        <v/>
      </c>
      <c r="I1115" t="str">
        <f>_xlfn.LET(_xlpm.v, IFERROR(VLOOKUP($A1115, manifest!$A:$E, 5, FALSE), ""), IF(OR(_xlpm.v=0, _xlpm.v=""), "", _xlpm.v))</f>
        <v>female</v>
      </c>
    </row>
    <row r="1116" spans="1:9" x14ac:dyDescent="0.6">
      <c r="A1116">
        <v>242</v>
      </c>
      <c r="B1116" t="s">
        <v>7</v>
      </c>
      <c r="C1116" t="s">
        <v>10</v>
      </c>
      <c r="D1116">
        <v>167.01</v>
      </c>
      <c r="E1116">
        <v>163.97</v>
      </c>
      <c r="F1116">
        <v>45396</v>
      </c>
      <c r="H1116" t="str">
        <f>_xlfn.LET(_xlpm.v, IFERROR(VLOOKUP($A1116, manifest!$A:$E, 3, FALSE), ""), IF(OR(_xlpm.v=0, _xlpm.v=""), "", _xlpm.v))</f>
        <v/>
      </c>
      <c r="I1116" t="str">
        <f>_xlfn.LET(_xlpm.v, IFERROR(VLOOKUP($A1116, manifest!$A:$E, 5, FALSE), ""), IF(OR(_xlpm.v=0, _xlpm.v=""), "", _xlpm.v))</f>
        <v>female</v>
      </c>
    </row>
    <row r="1117" spans="1:9" x14ac:dyDescent="0.6">
      <c r="A1117">
        <v>242</v>
      </c>
      <c r="B1117" t="s">
        <v>7</v>
      </c>
      <c r="C1117" t="s">
        <v>11</v>
      </c>
      <c r="D1117">
        <v>181.77</v>
      </c>
      <c r="E1117">
        <v>183.34</v>
      </c>
      <c r="F1117">
        <v>45250</v>
      </c>
      <c r="H1117" t="str">
        <f>_xlfn.LET(_xlpm.v, IFERROR(VLOOKUP($A1117, manifest!$A:$E, 3, FALSE), ""), IF(OR(_xlpm.v=0, _xlpm.v=""), "", _xlpm.v))</f>
        <v/>
      </c>
      <c r="I1117" t="str">
        <f>_xlfn.LET(_xlpm.v, IFERROR(VLOOKUP($A1117, manifest!$A:$E, 5, FALSE), ""), IF(OR(_xlpm.v=0, _xlpm.v=""), "", _xlpm.v))</f>
        <v>female</v>
      </c>
    </row>
    <row r="1118" spans="1:9" x14ac:dyDescent="0.6">
      <c r="A1118">
        <v>242</v>
      </c>
      <c r="B1118" t="s">
        <v>7</v>
      </c>
      <c r="C1118" t="s">
        <v>12</v>
      </c>
      <c r="D1118">
        <v>204.33</v>
      </c>
      <c r="E1118">
        <v>204.46</v>
      </c>
      <c r="F1118">
        <v>64378</v>
      </c>
      <c r="H1118" t="str">
        <f>_xlfn.LET(_xlpm.v, IFERROR(VLOOKUP($A1118, manifest!$A:$E, 3, FALSE), ""), IF(OR(_xlpm.v=0, _xlpm.v=""), "", _xlpm.v))</f>
        <v/>
      </c>
      <c r="I1118" t="str">
        <f>_xlfn.LET(_xlpm.v, IFERROR(VLOOKUP($A1118, manifest!$A:$E, 5, FALSE), ""), IF(OR(_xlpm.v=0, _xlpm.v=""), "", _xlpm.v))</f>
        <v>female</v>
      </c>
    </row>
    <row r="1119" spans="1:9" x14ac:dyDescent="0.6">
      <c r="A1119">
        <v>242</v>
      </c>
      <c r="B1119" t="s">
        <v>7</v>
      </c>
      <c r="C1119" t="s">
        <v>13</v>
      </c>
      <c r="D1119">
        <v>207.67</v>
      </c>
      <c r="E1119">
        <v>196.99</v>
      </c>
      <c r="F1119">
        <v>71781</v>
      </c>
      <c r="H1119" t="str">
        <f>_xlfn.LET(_xlpm.v, IFERROR(VLOOKUP($A1119, manifest!$A:$E, 3, FALSE), ""), IF(OR(_xlpm.v=0, _xlpm.v=""), "", _xlpm.v))</f>
        <v/>
      </c>
      <c r="I1119" t="str">
        <f>_xlfn.LET(_xlpm.v, IFERROR(VLOOKUP($A1119, manifest!$A:$E, 5, FALSE), ""), IF(OR(_xlpm.v=0, _xlpm.v=""), "", _xlpm.v))</f>
        <v>female</v>
      </c>
    </row>
    <row r="1120" spans="1:9" x14ac:dyDescent="0.6">
      <c r="A1120">
        <v>239</v>
      </c>
      <c r="B1120" t="s">
        <v>14</v>
      </c>
      <c r="C1120" t="s">
        <v>8</v>
      </c>
      <c r="D1120">
        <v>252.84</v>
      </c>
      <c r="E1120">
        <v>150.88999999999999</v>
      </c>
      <c r="F1120">
        <v>19398</v>
      </c>
      <c r="G1120" t="s">
        <v>9</v>
      </c>
      <c r="H1120">
        <f>_xlfn.LET(_xlpm.v, IFERROR(VLOOKUP($A1120, manifest!$A:$E, 3, FALSE), ""), IF(OR(_xlpm.v=0, _xlpm.v=""), "", _xlpm.v))</f>
        <v>53</v>
      </c>
      <c r="I1120" t="str">
        <f>_xlfn.LET(_xlpm.v, IFERROR(VLOOKUP($A1120, manifest!$A:$E, 5, FALSE), ""), IF(OR(_xlpm.v=0, _xlpm.v=""), "", _xlpm.v))</f>
        <v>female</v>
      </c>
    </row>
    <row r="1121" spans="1:9" x14ac:dyDescent="0.6">
      <c r="A1121">
        <v>239</v>
      </c>
      <c r="B1121" t="s">
        <v>14</v>
      </c>
      <c r="C1121" t="s">
        <v>10</v>
      </c>
      <c r="D1121">
        <v>281.73</v>
      </c>
      <c r="E1121">
        <v>208.2</v>
      </c>
      <c r="F1121">
        <v>18042</v>
      </c>
      <c r="H1121">
        <f>_xlfn.LET(_xlpm.v, IFERROR(VLOOKUP($A1121, manifest!$A:$E, 3, FALSE), ""), IF(OR(_xlpm.v=0, _xlpm.v=""), "", _xlpm.v))</f>
        <v>53</v>
      </c>
      <c r="I1121" t="str">
        <f>_xlfn.LET(_xlpm.v, IFERROR(VLOOKUP($A1121, manifest!$A:$E, 5, FALSE), ""), IF(OR(_xlpm.v=0, _xlpm.v=""), "", _xlpm.v))</f>
        <v>female</v>
      </c>
    </row>
    <row r="1122" spans="1:9" x14ac:dyDescent="0.6">
      <c r="A1122">
        <v>239</v>
      </c>
      <c r="B1122" t="s">
        <v>14</v>
      </c>
      <c r="C1122" t="s">
        <v>11</v>
      </c>
      <c r="D1122">
        <v>280.27999999999997</v>
      </c>
      <c r="E1122">
        <v>215.5</v>
      </c>
      <c r="F1122">
        <v>18198</v>
      </c>
      <c r="H1122">
        <f>_xlfn.LET(_xlpm.v, IFERROR(VLOOKUP($A1122, manifest!$A:$E, 3, FALSE), ""), IF(OR(_xlpm.v=0, _xlpm.v=""), "", _xlpm.v))</f>
        <v>53</v>
      </c>
      <c r="I1122" t="str">
        <f>_xlfn.LET(_xlpm.v, IFERROR(VLOOKUP($A1122, manifest!$A:$E, 5, FALSE), ""), IF(OR(_xlpm.v=0, _xlpm.v=""), "", _xlpm.v))</f>
        <v>female</v>
      </c>
    </row>
    <row r="1123" spans="1:9" x14ac:dyDescent="0.6">
      <c r="A1123">
        <v>239</v>
      </c>
      <c r="B1123" t="s">
        <v>14</v>
      </c>
      <c r="C1123" t="s">
        <v>12</v>
      </c>
      <c r="D1123">
        <v>267.10000000000002</v>
      </c>
      <c r="E1123">
        <v>202.11</v>
      </c>
      <c r="F1123">
        <v>20879</v>
      </c>
      <c r="H1123">
        <f>_xlfn.LET(_xlpm.v, IFERROR(VLOOKUP($A1123, manifest!$A:$E, 3, FALSE), ""), IF(OR(_xlpm.v=0, _xlpm.v=""), "", _xlpm.v))</f>
        <v>53</v>
      </c>
      <c r="I1123" t="str">
        <f>_xlfn.LET(_xlpm.v, IFERROR(VLOOKUP($A1123, manifest!$A:$E, 5, FALSE), ""), IF(OR(_xlpm.v=0, _xlpm.v=""), "", _xlpm.v))</f>
        <v>female</v>
      </c>
    </row>
    <row r="1124" spans="1:9" x14ac:dyDescent="0.6">
      <c r="A1124">
        <v>239</v>
      </c>
      <c r="B1124" t="s">
        <v>14</v>
      </c>
      <c r="C1124" t="s">
        <v>13</v>
      </c>
      <c r="D1124">
        <v>276.89999999999998</v>
      </c>
      <c r="E1124">
        <v>201</v>
      </c>
      <c r="F1124">
        <v>24631</v>
      </c>
      <c r="H1124">
        <f>_xlfn.LET(_xlpm.v, IFERROR(VLOOKUP($A1124, manifest!$A:$E, 3, FALSE), ""), IF(OR(_xlpm.v=0, _xlpm.v=""), "", _xlpm.v))</f>
        <v>53</v>
      </c>
      <c r="I1124" t="str">
        <f>_xlfn.LET(_xlpm.v, IFERROR(VLOOKUP($A1124, manifest!$A:$E, 5, FALSE), ""), IF(OR(_xlpm.v=0, _xlpm.v=""), "", _xlpm.v))</f>
        <v>female</v>
      </c>
    </row>
    <row r="1125" spans="1:9" x14ac:dyDescent="0.6">
      <c r="A1125">
        <v>227</v>
      </c>
      <c r="B1125" t="s">
        <v>7</v>
      </c>
      <c r="C1125" t="s">
        <v>8</v>
      </c>
      <c r="D1125">
        <v>261.52999999999997</v>
      </c>
      <c r="E1125">
        <v>206.99</v>
      </c>
      <c r="F1125">
        <v>32988</v>
      </c>
      <c r="G1125" t="s">
        <v>9</v>
      </c>
      <c r="H1125">
        <f>_xlfn.LET(_xlpm.v, IFERROR(VLOOKUP($A1125, manifest!$A:$E, 3, FALSE), ""), IF(OR(_xlpm.v=0, _xlpm.v=""), "", _xlpm.v))</f>
        <v>56</v>
      </c>
      <c r="I1125" t="str">
        <f>_xlfn.LET(_xlpm.v, IFERROR(VLOOKUP($A1125, manifest!$A:$E, 5, FALSE), ""), IF(OR(_xlpm.v=0, _xlpm.v=""), "", _xlpm.v))</f>
        <v>male</v>
      </c>
    </row>
    <row r="1126" spans="1:9" x14ac:dyDescent="0.6">
      <c r="A1126">
        <v>227</v>
      </c>
      <c r="B1126" t="s">
        <v>7</v>
      </c>
      <c r="C1126" t="s">
        <v>10</v>
      </c>
      <c r="D1126">
        <v>278.83</v>
      </c>
      <c r="E1126">
        <v>238.73</v>
      </c>
      <c r="F1126">
        <v>37901</v>
      </c>
      <c r="H1126">
        <f>_xlfn.LET(_xlpm.v, IFERROR(VLOOKUP($A1126, manifest!$A:$E, 3, FALSE), ""), IF(OR(_xlpm.v=0, _xlpm.v=""), "", _xlpm.v))</f>
        <v>56</v>
      </c>
      <c r="I1126" t="str">
        <f>_xlfn.LET(_xlpm.v, IFERROR(VLOOKUP($A1126, manifest!$A:$E, 5, FALSE), ""), IF(OR(_xlpm.v=0, _xlpm.v=""), "", _xlpm.v))</f>
        <v>male</v>
      </c>
    </row>
    <row r="1127" spans="1:9" x14ac:dyDescent="0.6">
      <c r="A1127">
        <v>227</v>
      </c>
      <c r="B1127" t="s">
        <v>7</v>
      </c>
      <c r="C1127" t="s">
        <v>11</v>
      </c>
      <c r="D1127">
        <v>265.87</v>
      </c>
      <c r="E1127">
        <v>205.97</v>
      </c>
      <c r="F1127">
        <v>44795</v>
      </c>
      <c r="H1127">
        <f>_xlfn.LET(_xlpm.v, IFERROR(VLOOKUP($A1127, manifest!$A:$E, 3, FALSE), ""), IF(OR(_xlpm.v=0, _xlpm.v=""), "", _xlpm.v))</f>
        <v>56</v>
      </c>
      <c r="I1127" t="str">
        <f>_xlfn.LET(_xlpm.v, IFERROR(VLOOKUP($A1127, manifest!$A:$E, 5, FALSE), ""), IF(OR(_xlpm.v=0, _xlpm.v=""), "", _xlpm.v))</f>
        <v>male</v>
      </c>
    </row>
    <row r="1128" spans="1:9" x14ac:dyDescent="0.6">
      <c r="A1128">
        <v>227</v>
      </c>
      <c r="B1128" t="s">
        <v>7</v>
      </c>
      <c r="C1128" t="s">
        <v>12</v>
      </c>
      <c r="D1128">
        <v>263.45</v>
      </c>
      <c r="E1128">
        <v>216.16</v>
      </c>
      <c r="F1128">
        <v>55621</v>
      </c>
      <c r="H1128">
        <f>_xlfn.LET(_xlpm.v, IFERROR(VLOOKUP($A1128, manifest!$A:$E, 3, FALSE), ""), IF(OR(_xlpm.v=0, _xlpm.v=""), "", _xlpm.v))</f>
        <v>56</v>
      </c>
      <c r="I1128" t="str">
        <f>_xlfn.LET(_xlpm.v, IFERROR(VLOOKUP($A1128, manifest!$A:$E, 5, FALSE), ""), IF(OR(_xlpm.v=0, _xlpm.v=""), "", _xlpm.v))</f>
        <v>male</v>
      </c>
    </row>
    <row r="1129" spans="1:9" x14ac:dyDescent="0.6">
      <c r="A1129">
        <v>227</v>
      </c>
      <c r="B1129" t="s">
        <v>7</v>
      </c>
      <c r="C1129" t="s">
        <v>13</v>
      </c>
      <c r="D1129">
        <v>268.27</v>
      </c>
      <c r="E1129">
        <v>198.47</v>
      </c>
      <c r="F1129">
        <v>62080</v>
      </c>
      <c r="H1129">
        <f>_xlfn.LET(_xlpm.v, IFERROR(VLOOKUP($A1129, manifest!$A:$E, 3, FALSE), ""), IF(OR(_xlpm.v=0, _xlpm.v=""), "", _xlpm.v))</f>
        <v>56</v>
      </c>
      <c r="I1129" t="str">
        <f>_xlfn.LET(_xlpm.v, IFERROR(VLOOKUP($A1129, manifest!$A:$E, 5, FALSE), ""), IF(OR(_xlpm.v=0, _xlpm.v=""), "", _xlpm.v))</f>
        <v>male</v>
      </c>
    </row>
    <row r="1130" spans="1:9" x14ac:dyDescent="0.6">
      <c r="A1130">
        <v>237</v>
      </c>
      <c r="B1130" t="s">
        <v>14</v>
      </c>
      <c r="C1130" t="s">
        <v>8</v>
      </c>
      <c r="D1130">
        <v>183.18</v>
      </c>
      <c r="E1130">
        <v>176.83</v>
      </c>
      <c r="F1130">
        <v>37840</v>
      </c>
      <c r="G1130" t="s">
        <v>9</v>
      </c>
      <c r="H1130">
        <f>_xlfn.LET(_xlpm.v, IFERROR(VLOOKUP($A1130, manifest!$A:$E, 3, FALSE), ""), IF(OR(_xlpm.v=0, _xlpm.v=""), "", _xlpm.v))</f>
        <v>50</v>
      </c>
      <c r="I1130" t="str">
        <f>_xlfn.LET(_xlpm.v, IFERROR(VLOOKUP($A1130, manifest!$A:$E, 5, FALSE), ""), IF(OR(_xlpm.v=0, _xlpm.v=""), "", _xlpm.v))</f>
        <v>female</v>
      </c>
    </row>
    <row r="1131" spans="1:9" x14ac:dyDescent="0.6">
      <c r="A1131">
        <v>237</v>
      </c>
      <c r="B1131" t="s">
        <v>14</v>
      </c>
      <c r="C1131" t="s">
        <v>10</v>
      </c>
      <c r="D1131">
        <v>154.18</v>
      </c>
      <c r="E1131">
        <v>154.66</v>
      </c>
      <c r="F1131">
        <v>37493</v>
      </c>
      <c r="H1131">
        <f>_xlfn.LET(_xlpm.v, IFERROR(VLOOKUP($A1131, manifest!$A:$E, 3, FALSE), ""), IF(OR(_xlpm.v=0, _xlpm.v=""), "", _xlpm.v))</f>
        <v>50</v>
      </c>
      <c r="I1131" t="str">
        <f>_xlfn.LET(_xlpm.v, IFERROR(VLOOKUP($A1131, manifest!$A:$E, 5, FALSE), ""), IF(OR(_xlpm.v=0, _xlpm.v=""), "", _xlpm.v))</f>
        <v>female</v>
      </c>
    </row>
    <row r="1132" spans="1:9" x14ac:dyDescent="0.6">
      <c r="A1132">
        <v>237</v>
      </c>
      <c r="B1132" t="s">
        <v>14</v>
      </c>
      <c r="C1132" t="s">
        <v>11</v>
      </c>
      <c r="D1132">
        <v>201.37</v>
      </c>
      <c r="E1132">
        <v>193.57</v>
      </c>
      <c r="F1132">
        <v>50038</v>
      </c>
      <c r="H1132">
        <f>_xlfn.LET(_xlpm.v, IFERROR(VLOOKUP($A1132, manifest!$A:$E, 3, FALSE), ""), IF(OR(_xlpm.v=0, _xlpm.v=""), "", _xlpm.v))</f>
        <v>50</v>
      </c>
      <c r="I1132" t="str">
        <f>_xlfn.LET(_xlpm.v, IFERROR(VLOOKUP($A1132, manifest!$A:$E, 5, FALSE), ""), IF(OR(_xlpm.v=0, _xlpm.v=""), "", _xlpm.v))</f>
        <v>female</v>
      </c>
    </row>
    <row r="1133" spans="1:9" x14ac:dyDescent="0.6">
      <c r="A1133">
        <v>237</v>
      </c>
      <c r="B1133" t="s">
        <v>14</v>
      </c>
      <c r="C1133" t="s">
        <v>12</v>
      </c>
      <c r="D1133">
        <v>194.44</v>
      </c>
      <c r="E1133">
        <v>175.2</v>
      </c>
      <c r="F1133">
        <v>75462</v>
      </c>
      <c r="H1133">
        <f>_xlfn.LET(_xlpm.v, IFERROR(VLOOKUP($A1133, manifest!$A:$E, 3, FALSE), ""), IF(OR(_xlpm.v=0, _xlpm.v=""), "", _xlpm.v))</f>
        <v>50</v>
      </c>
      <c r="I1133" t="str">
        <f>_xlfn.LET(_xlpm.v, IFERROR(VLOOKUP($A1133, manifest!$A:$E, 5, FALSE), ""), IF(OR(_xlpm.v=0, _xlpm.v=""), "", _xlpm.v))</f>
        <v>female</v>
      </c>
    </row>
    <row r="1134" spans="1:9" x14ac:dyDescent="0.6">
      <c r="A1134">
        <v>237</v>
      </c>
      <c r="B1134" t="s">
        <v>14</v>
      </c>
      <c r="C1134" t="s">
        <v>13</v>
      </c>
      <c r="D1134">
        <v>203.44</v>
      </c>
      <c r="E1134">
        <v>202.31</v>
      </c>
      <c r="F1134">
        <v>81512</v>
      </c>
      <c r="H1134">
        <f>_xlfn.LET(_xlpm.v, IFERROR(VLOOKUP($A1134, manifest!$A:$E, 3, FALSE), ""), IF(OR(_xlpm.v=0, _xlpm.v=""), "", _xlpm.v))</f>
        <v>50</v>
      </c>
      <c r="I1134" t="str">
        <f>_xlfn.LET(_xlpm.v, IFERROR(VLOOKUP($A1134, manifest!$A:$E, 5, FALSE), ""), IF(OR(_xlpm.v=0, _xlpm.v=""), "", _xlpm.v))</f>
        <v>female</v>
      </c>
    </row>
    <row r="1135" spans="1:9" x14ac:dyDescent="0.6">
      <c r="A1135">
        <v>247</v>
      </c>
      <c r="B1135" t="s">
        <v>14</v>
      </c>
      <c r="C1135" t="s">
        <v>8</v>
      </c>
      <c r="D1135">
        <v>241.84</v>
      </c>
      <c r="E1135">
        <v>162.08000000000001</v>
      </c>
      <c r="F1135">
        <v>29793</v>
      </c>
      <c r="G1135" t="s">
        <v>9</v>
      </c>
      <c r="H1135">
        <f>_xlfn.LET(_xlpm.v, IFERROR(VLOOKUP($A1135, manifest!$A:$E, 3, FALSE), ""), IF(OR(_xlpm.v=0, _xlpm.v=""), "", _xlpm.v))</f>
        <v>56</v>
      </c>
      <c r="I1135" t="str">
        <f>_xlfn.LET(_xlpm.v, IFERROR(VLOOKUP($A1135, manifest!$A:$E, 5, FALSE), ""), IF(OR(_xlpm.v=0, _xlpm.v=""), "", _xlpm.v))</f>
        <v>female</v>
      </c>
    </row>
    <row r="1136" spans="1:9" x14ac:dyDescent="0.6">
      <c r="A1136">
        <v>247</v>
      </c>
      <c r="B1136" t="s">
        <v>14</v>
      </c>
      <c r="C1136" t="s">
        <v>10</v>
      </c>
      <c r="D1136">
        <v>242.28</v>
      </c>
      <c r="E1136">
        <v>181.2</v>
      </c>
      <c r="F1136">
        <v>33979</v>
      </c>
      <c r="H1136">
        <f>_xlfn.LET(_xlpm.v, IFERROR(VLOOKUP($A1136, manifest!$A:$E, 3, FALSE), ""), IF(OR(_xlpm.v=0, _xlpm.v=""), "", _xlpm.v))</f>
        <v>56</v>
      </c>
      <c r="I1136" t="str">
        <f>_xlfn.LET(_xlpm.v, IFERROR(VLOOKUP($A1136, manifest!$A:$E, 5, FALSE), ""), IF(OR(_xlpm.v=0, _xlpm.v=""), "", _xlpm.v))</f>
        <v>female</v>
      </c>
    </row>
    <row r="1137" spans="1:9" x14ac:dyDescent="0.6">
      <c r="A1137">
        <v>247</v>
      </c>
      <c r="B1137" t="s">
        <v>14</v>
      </c>
      <c r="C1137" t="s">
        <v>11</v>
      </c>
      <c r="D1137">
        <v>238.56</v>
      </c>
      <c r="E1137">
        <v>201.55</v>
      </c>
      <c r="F1137">
        <v>37949</v>
      </c>
      <c r="H1137">
        <f>_xlfn.LET(_xlpm.v, IFERROR(VLOOKUP($A1137, manifest!$A:$E, 3, FALSE), ""), IF(OR(_xlpm.v=0, _xlpm.v=""), "", _xlpm.v))</f>
        <v>56</v>
      </c>
      <c r="I1137" t="str">
        <f>_xlfn.LET(_xlpm.v, IFERROR(VLOOKUP($A1137, manifest!$A:$E, 5, FALSE), ""), IF(OR(_xlpm.v=0, _xlpm.v=""), "", _xlpm.v))</f>
        <v>female</v>
      </c>
    </row>
    <row r="1138" spans="1:9" x14ac:dyDescent="0.6">
      <c r="A1138">
        <v>247</v>
      </c>
      <c r="B1138" t="s">
        <v>14</v>
      </c>
      <c r="C1138" t="s">
        <v>12</v>
      </c>
      <c r="D1138">
        <v>224.01</v>
      </c>
      <c r="E1138">
        <v>192.16</v>
      </c>
      <c r="F1138">
        <v>50042</v>
      </c>
      <c r="H1138">
        <f>_xlfn.LET(_xlpm.v, IFERROR(VLOOKUP($A1138, manifest!$A:$E, 3, FALSE), ""), IF(OR(_xlpm.v=0, _xlpm.v=""), "", _xlpm.v))</f>
        <v>56</v>
      </c>
      <c r="I1138" t="str">
        <f>_xlfn.LET(_xlpm.v, IFERROR(VLOOKUP($A1138, manifest!$A:$E, 5, FALSE), ""), IF(OR(_xlpm.v=0, _xlpm.v=""), "", _xlpm.v))</f>
        <v>female</v>
      </c>
    </row>
    <row r="1139" spans="1:9" x14ac:dyDescent="0.6">
      <c r="A1139">
        <v>247</v>
      </c>
      <c r="B1139" t="s">
        <v>14</v>
      </c>
      <c r="C1139" t="s">
        <v>13</v>
      </c>
      <c r="D1139">
        <v>205.41</v>
      </c>
      <c r="E1139">
        <v>168.91</v>
      </c>
      <c r="F1139">
        <v>50499</v>
      </c>
      <c r="H1139">
        <f>_xlfn.LET(_xlpm.v, IFERROR(VLOOKUP($A1139, manifest!$A:$E, 3, FALSE), ""), IF(OR(_xlpm.v=0, _xlpm.v=""), "", _xlpm.v))</f>
        <v>56</v>
      </c>
      <c r="I1139" t="str">
        <f>_xlfn.LET(_xlpm.v, IFERROR(VLOOKUP($A1139, manifest!$A:$E, 5, FALSE), ""), IF(OR(_xlpm.v=0, _xlpm.v=""), "", _xlpm.v))</f>
        <v>female</v>
      </c>
    </row>
    <row r="1140" spans="1:9" x14ac:dyDescent="0.6">
      <c r="A1140">
        <v>249</v>
      </c>
      <c r="B1140" t="s">
        <v>14</v>
      </c>
      <c r="C1140" t="s">
        <v>8</v>
      </c>
      <c r="D1140">
        <v>138.9</v>
      </c>
      <c r="E1140">
        <v>101.94</v>
      </c>
      <c r="F1140">
        <v>27375</v>
      </c>
      <c r="G1140" t="s">
        <v>15</v>
      </c>
      <c r="H1140" t="str">
        <f>_xlfn.LET(_xlpm.v, IFERROR(VLOOKUP($A1140, manifest!$A:$E, 3, FALSE), ""), IF(OR(_xlpm.v=0, _xlpm.v=""), "", _xlpm.v))</f>
        <v/>
      </c>
      <c r="I1140" t="str">
        <f>_xlfn.LET(_xlpm.v, IFERROR(VLOOKUP($A1140, manifest!$A:$E, 5, FALSE), ""), IF(OR(_xlpm.v=0, _xlpm.v=""), "", _xlpm.v))</f>
        <v>female</v>
      </c>
    </row>
    <row r="1141" spans="1:9" x14ac:dyDescent="0.6">
      <c r="A1141">
        <v>249</v>
      </c>
      <c r="B1141" t="s">
        <v>14</v>
      </c>
      <c r="C1141" t="s">
        <v>10</v>
      </c>
      <c r="D1141">
        <v>149.55000000000001</v>
      </c>
      <c r="E1141">
        <v>121.57</v>
      </c>
      <c r="F1141">
        <v>28983</v>
      </c>
      <c r="H1141" t="str">
        <f>_xlfn.LET(_xlpm.v, IFERROR(VLOOKUP($A1141, manifest!$A:$E, 3, FALSE), ""), IF(OR(_xlpm.v=0, _xlpm.v=""), "", _xlpm.v))</f>
        <v/>
      </c>
      <c r="I1141" t="str">
        <f>_xlfn.LET(_xlpm.v, IFERROR(VLOOKUP($A1141, manifest!$A:$E, 5, FALSE), ""), IF(OR(_xlpm.v=0, _xlpm.v=""), "", _xlpm.v))</f>
        <v>female</v>
      </c>
    </row>
    <row r="1142" spans="1:9" x14ac:dyDescent="0.6">
      <c r="A1142">
        <v>249</v>
      </c>
      <c r="B1142" t="s">
        <v>14</v>
      </c>
      <c r="C1142" t="s">
        <v>11</v>
      </c>
      <c r="D1142">
        <v>151.85</v>
      </c>
      <c r="E1142">
        <v>124.18</v>
      </c>
      <c r="F1142">
        <v>45111</v>
      </c>
      <c r="H1142" t="str">
        <f>_xlfn.LET(_xlpm.v, IFERROR(VLOOKUP($A1142, manifest!$A:$E, 3, FALSE), ""), IF(OR(_xlpm.v=0, _xlpm.v=""), "", _xlpm.v))</f>
        <v/>
      </c>
      <c r="I1142" t="str">
        <f>_xlfn.LET(_xlpm.v, IFERROR(VLOOKUP($A1142, manifest!$A:$E, 5, FALSE), ""), IF(OR(_xlpm.v=0, _xlpm.v=""), "", _xlpm.v))</f>
        <v>female</v>
      </c>
    </row>
    <row r="1143" spans="1:9" x14ac:dyDescent="0.6">
      <c r="A1143">
        <v>249</v>
      </c>
      <c r="B1143" t="s">
        <v>14</v>
      </c>
      <c r="C1143" t="s">
        <v>12</v>
      </c>
      <c r="D1143">
        <v>165.62</v>
      </c>
      <c r="E1143">
        <v>143.12</v>
      </c>
      <c r="F1143">
        <v>51316</v>
      </c>
      <c r="H1143" t="str">
        <f>_xlfn.LET(_xlpm.v, IFERROR(VLOOKUP($A1143, manifest!$A:$E, 3, FALSE), ""), IF(OR(_xlpm.v=0, _xlpm.v=""), "", _xlpm.v))</f>
        <v/>
      </c>
      <c r="I1143" t="str">
        <f>_xlfn.LET(_xlpm.v, IFERROR(VLOOKUP($A1143, manifest!$A:$E, 5, FALSE), ""), IF(OR(_xlpm.v=0, _xlpm.v=""), "", _xlpm.v))</f>
        <v>female</v>
      </c>
    </row>
    <row r="1144" spans="1:9" x14ac:dyDescent="0.6">
      <c r="A1144">
        <v>249</v>
      </c>
      <c r="B1144" t="s">
        <v>14</v>
      </c>
      <c r="C1144" t="s">
        <v>13</v>
      </c>
      <c r="D1144">
        <v>157.27000000000001</v>
      </c>
      <c r="E1144">
        <v>127.96</v>
      </c>
      <c r="F1144">
        <v>52976</v>
      </c>
      <c r="H1144" t="str">
        <f>_xlfn.LET(_xlpm.v, IFERROR(VLOOKUP($A1144, manifest!$A:$E, 3, FALSE), ""), IF(OR(_xlpm.v=0, _xlpm.v=""), "", _xlpm.v))</f>
        <v/>
      </c>
      <c r="I1144" t="str">
        <f>_xlfn.LET(_xlpm.v, IFERROR(VLOOKUP($A1144, manifest!$A:$E, 5, FALSE), ""), IF(OR(_xlpm.v=0, _xlpm.v=""), "", _xlpm.v))</f>
        <v>female</v>
      </c>
    </row>
    <row r="1145" spans="1:9" x14ac:dyDescent="0.6">
      <c r="A1145">
        <v>228</v>
      </c>
      <c r="B1145" t="s">
        <v>7</v>
      </c>
      <c r="C1145" t="s">
        <v>8</v>
      </c>
      <c r="D1145">
        <v>156.63</v>
      </c>
      <c r="E1145">
        <v>122.01</v>
      </c>
      <c r="F1145">
        <v>37875</v>
      </c>
      <c r="G1145" t="s">
        <v>15</v>
      </c>
      <c r="H1145">
        <f>_xlfn.LET(_xlpm.v, IFERROR(VLOOKUP($A1145, manifest!$A:$E, 3, FALSE), ""), IF(OR(_xlpm.v=0, _xlpm.v=""), "", _xlpm.v))</f>
        <v>89</v>
      </c>
      <c r="I1145" t="str">
        <f>_xlfn.LET(_xlpm.v, IFERROR(VLOOKUP($A1145, manifest!$A:$E, 5, FALSE), ""), IF(OR(_xlpm.v=0, _xlpm.v=""), "", _xlpm.v))</f>
        <v/>
      </c>
    </row>
    <row r="1146" spans="1:9" x14ac:dyDescent="0.6">
      <c r="A1146">
        <v>228</v>
      </c>
      <c r="B1146" t="s">
        <v>7</v>
      </c>
      <c r="C1146" t="s">
        <v>10</v>
      </c>
      <c r="D1146">
        <v>159</v>
      </c>
      <c r="E1146">
        <v>152.09</v>
      </c>
      <c r="F1146">
        <v>42452</v>
      </c>
      <c r="H1146">
        <f>_xlfn.LET(_xlpm.v, IFERROR(VLOOKUP($A1146, manifest!$A:$E, 3, FALSE), ""), IF(OR(_xlpm.v=0, _xlpm.v=""), "", _xlpm.v))</f>
        <v>89</v>
      </c>
      <c r="I1146" t="str">
        <f>_xlfn.LET(_xlpm.v, IFERROR(VLOOKUP($A1146, manifest!$A:$E, 5, FALSE), ""), IF(OR(_xlpm.v=0, _xlpm.v=""), "", _xlpm.v))</f>
        <v/>
      </c>
    </row>
    <row r="1147" spans="1:9" x14ac:dyDescent="0.6">
      <c r="A1147">
        <v>228</v>
      </c>
      <c r="B1147" t="s">
        <v>7</v>
      </c>
      <c r="C1147" t="s">
        <v>11</v>
      </c>
      <c r="D1147">
        <v>155.93</v>
      </c>
      <c r="E1147">
        <v>150.96</v>
      </c>
      <c r="F1147">
        <v>40334</v>
      </c>
      <c r="H1147">
        <f>_xlfn.LET(_xlpm.v, IFERROR(VLOOKUP($A1147, manifest!$A:$E, 3, FALSE), ""), IF(OR(_xlpm.v=0, _xlpm.v=""), "", _xlpm.v))</f>
        <v>89</v>
      </c>
      <c r="I1147" t="str">
        <f>_xlfn.LET(_xlpm.v, IFERROR(VLOOKUP($A1147, manifest!$A:$E, 5, FALSE), ""), IF(OR(_xlpm.v=0, _xlpm.v=""), "", _xlpm.v))</f>
        <v/>
      </c>
    </row>
    <row r="1148" spans="1:9" x14ac:dyDescent="0.6">
      <c r="A1148">
        <v>228</v>
      </c>
      <c r="B1148" t="s">
        <v>7</v>
      </c>
      <c r="C1148" t="s">
        <v>12</v>
      </c>
      <c r="D1148">
        <v>165</v>
      </c>
      <c r="E1148">
        <v>161.58000000000001</v>
      </c>
      <c r="F1148">
        <v>51434</v>
      </c>
      <c r="H1148">
        <f>_xlfn.LET(_xlpm.v, IFERROR(VLOOKUP($A1148, manifest!$A:$E, 3, FALSE), ""), IF(OR(_xlpm.v=0, _xlpm.v=""), "", _xlpm.v))</f>
        <v>89</v>
      </c>
      <c r="I1148" t="str">
        <f>_xlfn.LET(_xlpm.v, IFERROR(VLOOKUP($A1148, manifest!$A:$E, 5, FALSE), ""), IF(OR(_xlpm.v=0, _xlpm.v=""), "", _xlpm.v))</f>
        <v/>
      </c>
    </row>
    <row r="1149" spans="1:9" x14ac:dyDescent="0.6">
      <c r="A1149">
        <v>228</v>
      </c>
      <c r="B1149" t="s">
        <v>7</v>
      </c>
      <c r="C1149" t="s">
        <v>13</v>
      </c>
      <c r="D1149">
        <v>215.35</v>
      </c>
      <c r="E1149">
        <v>215.47</v>
      </c>
      <c r="F1149">
        <v>55491</v>
      </c>
      <c r="H1149">
        <f>_xlfn.LET(_xlpm.v, IFERROR(VLOOKUP($A1149, manifest!$A:$E, 3, FALSE), ""), IF(OR(_xlpm.v=0, _xlpm.v=""), "", _xlpm.v))</f>
        <v>89</v>
      </c>
      <c r="I1149" t="str">
        <f>_xlfn.LET(_xlpm.v, IFERROR(VLOOKUP($A1149, manifest!$A:$E, 5, FALSE), ""), IF(OR(_xlpm.v=0, _xlpm.v=""), "", _xlpm.v))</f>
        <v/>
      </c>
    </row>
    <row r="1150" spans="1:9" x14ac:dyDescent="0.6">
      <c r="A1150">
        <v>251</v>
      </c>
      <c r="B1150" t="s">
        <v>7</v>
      </c>
      <c r="C1150" t="s">
        <v>8</v>
      </c>
      <c r="D1150">
        <v>221.12</v>
      </c>
      <c r="E1150">
        <v>125.82</v>
      </c>
      <c r="F1150">
        <v>17937</v>
      </c>
      <c r="G1150" t="s">
        <v>9</v>
      </c>
      <c r="H1150">
        <f>_xlfn.LET(_xlpm.v, IFERROR(VLOOKUP($A1150, manifest!$A:$E, 3, FALSE), ""), IF(OR(_xlpm.v=0, _xlpm.v=""), "", _xlpm.v))</f>
        <v>55</v>
      </c>
      <c r="I1150" t="str">
        <f>_xlfn.LET(_xlpm.v, IFERROR(VLOOKUP($A1150, manifest!$A:$E, 5, FALSE), ""), IF(OR(_xlpm.v=0, _xlpm.v=""), "", _xlpm.v))</f>
        <v>female</v>
      </c>
    </row>
    <row r="1151" spans="1:9" x14ac:dyDescent="0.6">
      <c r="A1151">
        <v>251</v>
      </c>
      <c r="B1151" t="s">
        <v>7</v>
      </c>
      <c r="C1151" t="s">
        <v>10</v>
      </c>
      <c r="D1151">
        <v>231.23</v>
      </c>
      <c r="E1151">
        <v>162.34</v>
      </c>
      <c r="F1151">
        <v>18820</v>
      </c>
      <c r="H1151">
        <f>_xlfn.LET(_xlpm.v, IFERROR(VLOOKUP($A1151, manifest!$A:$E, 3, FALSE), ""), IF(OR(_xlpm.v=0, _xlpm.v=""), "", _xlpm.v))</f>
        <v>55</v>
      </c>
      <c r="I1151" t="str">
        <f>_xlfn.LET(_xlpm.v, IFERROR(VLOOKUP($A1151, manifest!$A:$E, 5, FALSE), ""), IF(OR(_xlpm.v=0, _xlpm.v=""), "", _xlpm.v))</f>
        <v>female</v>
      </c>
    </row>
    <row r="1152" spans="1:9" x14ac:dyDescent="0.6">
      <c r="A1152">
        <v>251</v>
      </c>
      <c r="B1152" t="s">
        <v>7</v>
      </c>
      <c r="C1152" t="s">
        <v>11</v>
      </c>
      <c r="D1152">
        <v>242.42</v>
      </c>
      <c r="E1152">
        <v>211.84</v>
      </c>
      <c r="F1152">
        <v>26174</v>
      </c>
      <c r="H1152">
        <f>_xlfn.LET(_xlpm.v, IFERROR(VLOOKUP($A1152, manifest!$A:$E, 3, FALSE), ""), IF(OR(_xlpm.v=0, _xlpm.v=""), "", _xlpm.v))</f>
        <v>55</v>
      </c>
      <c r="I1152" t="str">
        <f>_xlfn.LET(_xlpm.v, IFERROR(VLOOKUP($A1152, manifest!$A:$E, 5, FALSE), ""), IF(OR(_xlpm.v=0, _xlpm.v=""), "", _xlpm.v))</f>
        <v>female</v>
      </c>
    </row>
    <row r="1153" spans="1:9" x14ac:dyDescent="0.6">
      <c r="A1153">
        <v>251</v>
      </c>
      <c r="B1153" t="s">
        <v>7</v>
      </c>
      <c r="C1153" t="s">
        <v>12</v>
      </c>
      <c r="D1153">
        <v>245.64</v>
      </c>
      <c r="E1153">
        <v>210.95</v>
      </c>
      <c r="F1153">
        <v>30082</v>
      </c>
      <c r="H1153">
        <f>_xlfn.LET(_xlpm.v, IFERROR(VLOOKUP($A1153, manifest!$A:$E, 3, FALSE), ""), IF(OR(_xlpm.v=0, _xlpm.v=""), "", _xlpm.v))</f>
        <v>55</v>
      </c>
      <c r="I1153" t="str">
        <f>_xlfn.LET(_xlpm.v, IFERROR(VLOOKUP($A1153, manifest!$A:$E, 5, FALSE), ""), IF(OR(_xlpm.v=0, _xlpm.v=""), "", _xlpm.v))</f>
        <v>female</v>
      </c>
    </row>
    <row r="1154" spans="1:9" x14ac:dyDescent="0.6">
      <c r="A1154">
        <v>251</v>
      </c>
      <c r="B1154" t="s">
        <v>7</v>
      </c>
      <c r="C1154" t="s">
        <v>13</v>
      </c>
      <c r="D1154">
        <v>251.84</v>
      </c>
      <c r="E1154">
        <v>218.82</v>
      </c>
      <c r="F1154">
        <v>36442</v>
      </c>
      <c r="H1154">
        <f>_xlfn.LET(_xlpm.v, IFERROR(VLOOKUP($A1154, manifest!$A:$E, 3, FALSE), ""), IF(OR(_xlpm.v=0, _xlpm.v=""), "", _xlpm.v))</f>
        <v>55</v>
      </c>
      <c r="I1154" t="str">
        <f>_xlfn.LET(_xlpm.v, IFERROR(VLOOKUP($A1154, manifest!$A:$E, 5, FALSE), ""), IF(OR(_xlpm.v=0, _xlpm.v=""), "", _xlpm.v))</f>
        <v>female</v>
      </c>
    </row>
    <row r="1155" spans="1:9" x14ac:dyDescent="0.6">
      <c r="A1155">
        <v>252</v>
      </c>
      <c r="B1155" t="s">
        <v>7</v>
      </c>
      <c r="C1155" t="s">
        <v>8</v>
      </c>
      <c r="D1155">
        <v>116.18</v>
      </c>
      <c r="E1155">
        <v>96.74</v>
      </c>
      <c r="F1155">
        <v>42097</v>
      </c>
      <c r="G1155" t="s">
        <v>15</v>
      </c>
      <c r="H1155">
        <f>_xlfn.LET(_xlpm.v, IFERROR(VLOOKUP($A1155, manifest!$A:$E, 3, FALSE), ""), IF(OR(_xlpm.v=0, _xlpm.v=""), "", _xlpm.v))</f>
        <v>50</v>
      </c>
      <c r="I1155" t="str">
        <f>_xlfn.LET(_xlpm.v, IFERROR(VLOOKUP($A1155, manifest!$A:$E, 5, FALSE), ""), IF(OR(_xlpm.v=0, _xlpm.v=""), "", _xlpm.v))</f>
        <v>male</v>
      </c>
    </row>
    <row r="1156" spans="1:9" x14ac:dyDescent="0.6">
      <c r="A1156">
        <v>252</v>
      </c>
      <c r="B1156" t="s">
        <v>7</v>
      </c>
      <c r="C1156" t="s">
        <v>10</v>
      </c>
      <c r="D1156">
        <v>127.06</v>
      </c>
      <c r="E1156">
        <v>114.23</v>
      </c>
      <c r="F1156">
        <v>43740</v>
      </c>
      <c r="H1156">
        <f>_xlfn.LET(_xlpm.v, IFERROR(VLOOKUP($A1156, manifest!$A:$E, 3, FALSE), ""), IF(OR(_xlpm.v=0, _xlpm.v=""), "", _xlpm.v))</f>
        <v>50</v>
      </c>
      <c r="I1156" t="str">
        <f>_xlfn.LET(_xlpm.v, IFERROR(VLOOKUP($A1156, manifest!$A:$E, 5, FALSE), ""), IF(OR(_xlpm.v=0, _xlpm.v=""), "", _xlpm.v))</f>
        <v>male</v>
      </c>
    </row>
    <row r="1157" spans="1:9" x14ac:dyDescent="0.6">
      <c r="A1157">
        <v>252</v>
      </c>
      <c r="B1157" t="s">
        <v>7</v>
      </c>
      <c r="C1157" t="s">
        <v>11</v>
      </c>
      <c r="D1157">
        <v>127.87</v>
      </c>
      <c r="E1157">
        <v>112.25</v>
      </c>
      <c r="F1157">
        <v>49677</v>
      </c>
      <c r="H1157">
        <f>_xlfn.LET(_xlpm.v, IFERROR(VLOOKUP($A1157, manifest!$A:$E, 3, FALSE), ""), IF(OR(_xlpm.v=0, _xlpm.v=""), "", _xlpm.v))</f>
        <v>50</v>
      </c>
      <c r="I1157" t="str">
        <f>_xlfn.LET(_xlpm.v, IFERROR(VLOOKUP($A1157, manifest!$A:$E, 5, FALSE), ""), IF(OR(_xlpm.v=0, _xlpm.v=""), "", _xlpm.v))</f>
        <v>male</v>
      </c>
    </row>
    <row r="1158" spans="1:9" x14ac:dyDescent="0.6">
      <c r="A1158">
        <v>252</v>
      </c>
      <c r="B1158" t="s">
        <v>7</v>
      </c>
      <c r="C1158" t="s">
        <v>12</v>
      </c>
      <c r="D1158">
        <v>126.93</v>
      </c>
      <c r="E1158">
        <v>114.44</v>
      </c>
      <c r="F1158">
        <v>54445</v>
      </c>
      <c r="H1158">
        <f>_xlfn.LET(_xlpm.v, IFERROR(VLOOKUP($A1158, manifest!$A:$E, 3, FALSE), ""), IF(OR(_xlpm.v=0, _xlpm.v=""), "", _xlpm.v))</f>
        <v>50</v>
      </c>
      <c r="I1158" t="str">
        <f>_xlfn.LET(_xlpm.v, IFERROR(VLOOKUP($A1158, manifest!$A:$E, 5, FALSE), ""), IF(OR(_xlpm.v=0, _xlpm.v=""), "", _xlpm.v))</f>
        <v>male</v>
      </c>
    </row>
    <row r="1159" spans="1:9" x14ac:dyDescent="0.6">
      <c r="A1159">
        <v>252</v>
      </c>
      <c r="B1159" t="s">
        <v>7</v>
      </c>
      <c r="C1159" t="s">
        <v>13</v>
      </c>
      <c r="D1159">
        <v>119.09</v>
      </c>
      <c r="E1159">
        <v>97.75</v>
      </c>
      <c r="F1159">
        <v>59905</v>
      </c>
      <c r="H1159">
        <f>_xlfn.LET(_xlpm.v, IFERROR(VLOOKUP($A1159, manifest!$A:$E, 3, FALSE), ""), IF(OR(_xlpm.v=0, _xlpm.v=""), "", _xlpm.v))</f>
        <v>50</v>
      </c>
      <c r="I1159" t="str">
        <f>_xlfn.LET(_xlpm.v, IFERROR(VLOOKUP($A1159, manifest!$A:$E, 5, FALSE), ""), IF(OR(_xlpm.v=0, _xlpm.v=""), "", _xlpm.v))</f>
        <v>male</v>
      </c>
    </row>
    <row r="1160" spans="1:9" x14ac:dyDescent="0.6">
      <c r="A1160">
        <v>226</v>
      </c>
      <c r="B1160" t="s">
        <v>14</v>
      </c>
      <c r="C1160" t="s">
        <v>8</v>
      </c>
      <c r="D1160">
        <v>206.74</v>
      </c>
      <c r="E1160">
        <v>149.96</v>
      </c>
      <c r="F1160">
        <v>26242</v>
      </c>
      <c r="G1160" t="s">
        <v>9</v>
      </c>
      <c r="H1160">
        <f>_xlfn.LET(_xlpm.v, IFERROR(VLOOKUP($A1160, manifest!$A:$E, 3, FALSE), ""), IF(OR(_xlpm.v=0, _xlpm.v=""), "", _xlpm.v))</f>
        <v>55</v>
      </c>
      <c r="I1160" t="str">
        <f>_xlfn.LET(_xlpm.v, IFERROR(VLOOKUP($A1160, manifest!$A:$E, 5, FALSE), ""), IF(OR(_xlpm.v=0, _xlpm.v=""), "", _xlpm.v))</f>
        <v>female</v>
      </c>
    </row>
    <row r="1161" spans="1:9" x14ac:dyDescent="0.6">
      <c r="A1161">
        <v>226</v>
      </c>
      <c r="B1161" t="s">
        <v>14</v>
      </c>
      <c r="C1161" t="s">
        <v>10</v>
      </c>
      <c r="D1161">
        <v>245.35</v>
      </c>
      <c r="E1161">
        <v>228.99</v>
      </c>
      <c r="F1161">
        <v>25902</v>
      </c>
      <c r="H1161">
        <f>_xlfn.LET(_xlpm.v, IFERROR(VLOOKUP($A1161, manifest!$A:$E, 3, FALSE), ""), IF(OR(_xlpm.v=0, _xlpm.v=""), "", _xlpm.v))</f>
        <v>55</v>
      </c>
      <c r="I1161" t="str">
        <f>_xlfn.LET(_xlpm.v, IFERROR(VLOOKUP($A1161, manifest!$A:$E, 5, FALSE), ""), IF(OR(_xlpm.v=0, _xlpm.v=""), "", _xlpm.v))</f>
        <v>female</v>
      </c>
    </row>
    <row r="1162" spans="1:9" x14ac:dyDescent="0.6">
      <c r="A1162">
        <v>226</v>
      </c>
      <c r="B1162" t="s">
        <v>14</v>
      </c>
      <c r="C1162" t="s">
        <v>11</v>
      </c>
      <c r="D1162">
        <v>237.8</v>
      </c>
      <c r="E1162">
        <v>206.05</v>
      </c>
      <c r="F1162">
        <v>31872</v>
      </c>
      <c r="H1162">
        <f>_xlfn.LET(_xlpm.v, IFERROR(VLOOKUP($A1162, manifest!$A:$E, 3, FALSE), ""), IF(OR(_xlpm.v=0, _xlpm.v=""), "", _xlpm.v))</f>
        <v>55</v>
      </c>
      <c r="I1162" t="str">
        <f>_xlfn.LET(_xlpm.v, IFERROR(VLOOKUP($A1162, manifest!$A:$E, 5, FALSE), ""), IF(OR(_xlpm.v=0, _xlpm.v=""), "", _xlpm.v))</f>
        <v>female</v>
      </c>
    </row>
    <row r="1163" spans="1:9" x14ac:dyDescent="0.6">
      <c r="A1163">
        <v>226</v>
      </c>
      <c r="B1163" t="s">
        <v>14</v>
      </c>
      <c r="C1163" t="s">
        <v>12</v>
      </c>
      <c r="D1163">
        <v>212.37</v>
      </c>
      <c r="E1163">
        <v>169.61</v>
      </c>
      <c r="F1163">
        <v>33960</v>
      </c>
      <c r="H1163">
        <f>_xlfn.LET(_xlpm.v, IFERROR(VLOOKUP($A1163, manifest!$A:$E, 3, FALSE), ""), IF(OR(_xlpm.v=0, _xlpm.v=""), "", _xlpm.v))</f>
        <v>55</v>
      </c>
      <c r="I1163" t="str">
        <f>_xlfn.LET(_xlpm.v, IFERROR(VLOOKUP($A1163, manifest!$A:$E, 5, FALSE), ""), IF(OR(_xlpm.v=0, _xlpm.v=""), "", _xlpm.v))</f>
        <v>female</v>
      </c>
    </row>
    <row r="1164" spans="1:9" x14ac:dyDescent="0.6">
      <c r="A1164">
        <v>226</v>
      </c>
      <c r="B1164" t="s">
        <v>14</v>
      </c>
      <c r="C1164" t="s">
        <v>13</v>
      </c>
      <c r="D1164">
        <v>203.67</v>
      </c>
      <c r="E1164">
        <v>150.85</v>
      </c>
      <c r="F1164">
        <v>42924</v>
      </c>
      <c r="H1164">
        <f>_xlfn.LET(_xlpm.v, IFERROR(VLOOKUP($A1164, manifest!$A:$E, 3, FALSE), ""), IF(OR(_xlpm.v=0, _xlpm.v=""), "", _xlpm.v))</f>
        <v>55</v>
      </c>
      <c r="I1164" t="str">
        <f>_xlfn.LET(_xlpm.v, IFERROR(VLOOKUP($A1164, manifest!$A:$E, 5, FALSE), ""), IF(OR(_xlpm.v=0, _xlpm.v=""), "", _xlpm.v))</f>
        <v>female</v>
      </c>
    </row>
    <row r="1165" spans="1:9" x14ac:dyDescent="0.6">
      <c r="A1165">
        <v>256</v>
      </c>
      <c r="B1165" t="s">
        <v>14</v>
      </c>
      <c r="C1165" t="s">
        <v>8</v>
      </c>
      <c r="D1165">
        <v>170.49</v>
      </c>
      <c r="E1165">
        <v>116.46</v>
      </c>
      <c r="F1165">
        <v>13898</v>
      </c>
      <c r="G1165" t="s">
        <v>9</v>
      </c>
      <c r="H1165">
        <f>_xlfn.LET(_xlpm.v, IFERROR(VLOOKUP($A1165, manifest!$A:$E, 3, FALSE), ""), IF(OR(_xlpm.v=0, _xlpm.v=""), "", _xlpm.v))</f>
        <v>65</v>
      </c>
      <c r="I1165" t="str">
        <f>_xlfn.LET(_xlpm.v, IFERROR(VLOOKUP($A1165, manifest!$A:$E, 5, FALSE), ""), IF(OR(_xlpm.v=0, _xlpm.v=""), "", _xlpm.v))</f>
        <v>female</v>
      </c>
    </row>
    <row r="1166" spans="1:9" x14ac:dyDescent="0.6">
      <c r="A1166">
        <v>256</v>
      </c>
      <c r="B1166" t="s">
        <v>14</v>
      </c>
      <c r="C1166" t="s">
        <v>10</v>
      </c>
      <c r="D1166">
        <v>175.1</v>
      </c>
      <c r="E1166">
        <v>141.1</v>
      </c>
      <c r="F1166">
        <v>17727</v>
      </c>
      <c r="H1166">
        <f>_xlfn.LET(_xlpm.v, IFERROR(VLOOKUP($A1166, manifest!$A:$E, 3, FALSE), ""), IF(OR(_xlpm.v=0, _xlpm.v=""), "", _xlpm.v))</f>
        <v>65</v>
      </c>
      <c r="I1166" t="str">
        <f>_xlfn.LET(_xlpm.v, IFERROR(VLOOKUP($A1166, manifest!$A:$E, 5, FALSE), ""), IF(OR(_xlpm.v=0, _xlpm.v=""), "", _xlpm.v))</f>
        <v>female</v>
      </c>
    </row>
    <row r="1167" spans="1:9" x14ac:dyDescent="0.6">
      <c r="A1167">
        <v>256</v>
      </c>
      <c r="B1167" t="s">
        <v>14</v>
      </c>
      <c r="C1167" t="s">
        <v>11</v>
      </c>
      <c r="D1167">
        <v>158.05000000000001</v>
      </c>
      <c r="E1167">
        <v>146.72</v>
      </c>
      <c r="F1167">
        <v>23436</v>
      </c>
      <c r="H1167">
        <f>_xlfn.LET(_xlpm.v, IFERROR(VLOOKUP($A1167, manifest!$A:$E, 3, FALSE), ""), IF(OR(_xlpm.v=0, _xlpm.v=""), "", _xlpm.v))</f>
        <v>65</v>
      </c>
      <c r="I1167" t="str">
        <f>_xlfn.LET(_xlpm.v, IFERROR(VLOOKUP($A1167, manifest!$A:$E, 5, FALSE), ""), IF(OR(_xlpm.v=0, _xlpm.v=""), "", _xlpm.v))</f>
        <v>female</v>
      </c>
    </row>
    <row r="1168" spans="1:9" x14ac:dyDescent="0.6">
      <c r="A1168">
        <v>256</v>
      </c>
      <c r="B1168" t="s">
        <v>14</v>
      </c>
      <c r="C1168" t="s">
        <v>12</v>
      </c>
      <c r="D1168">
        <v>178.46</v>
      </c>
      <c r="E1168">
        <v>183.82</v>
      </c>
      <c r="F1168">
        <v>29272</v>
      </c>
      <c r="H1168">
        <f>_xlfn.LET(_xlpm.v, IFERROR(VLOOKUP($A1168, manifest!$A:$E, 3, FALSE), ""), IF(OR(_xlpm.v=0, _xlpm.v=""), "", _xlpm.v))</f>
        <v>65</v>
      </c>
      <c r="I1168" t="str">
        <f>_xlfn.LET(_xlpm.v, IFERROR(VLOOKUP($A1168, manifest!$A:$E, 5, FALSE), ""), IF(OR(_xlpm.v=0, _xlpm.v=""), "", _xlpm.v))</f>
        <v>female</v>
      </c>
    </row>
    <row r="1169" spans="1:9" x14ac:dyDescent="0.6">
      <c r="A1169">
        <v>256</v>
      </c>
      <c r="B1169" t="s">
        <v>14</v>
      </c>
      <c r="C1169" t="s">
        <v>13</v>
      </c>
      <c r="D1169">
        <v>178.82</v>
      </c>
      <c r="E1169">
        <v>154.06</v>
      </c>
      <c r="F1169">
        <v>31983</v>
      </c>
      <c r="H1169">
        <f>_xlfn.LET(_xlpm.v, IFERROR(VLOOKUP($A1169, manifest!$A:$E, 3, FALSE), ""), IF(OR(_xlpm.v=0, _xlpm.v=""), "", _xlpm.v))</f>
        <v>65</v>
      </c>
      <c r="I1169" t="str">
        <f>_xlfn.LET(_xlpm.v, IFERROR(VLOOKUP($A1169, manifest!$A:$E, 5, FALSE), ""), IF(OR(_xlpm.v=0, _xlpm.v=""), "", _xlpm.v))</f>
        <v>female</v>
      </c>
    </row>
    <row r="1170" spans="1:9" x14ac:dyDescent="0.6">
      <c r="A1170">
        <v>248</v>
      </c>
      <c r="B1170" t="s">
        <v>7</v>
      </c>
      <c r="C1170" t="s">
        <v>8</v>
      </c>
      <c r="D1170">
        <v>180.55</v>
      </c>
      <c r="E1170">
        <v>130.03</v>
      </c>
      <c r="F1170">
        <v>51286</v>
      </c>
      <c r="G1170" t="s">
        <v>9</v>
      </c>
      <c r="H1170" t="str">
        <f>_xlfn.LET(_xlpm.v, IFERROR(VLOOKUP($A1170, manifest!$A:$E, 3, FALSE), ""), IF(OR(_xlpm.v=0, _xlpm.v=""), "", _xlpm.v))</f>
        <v/>
      </c>
      <c r="I1170" t="str">
        <f>_xlfn.LET(_xlpm.v, IFERROR(VLOOKUP($A1170, manifest!$A:$E, 5, FALSE), ""), IF(OR(_xlpm.v=0, _xlpm.v=""), "", _xlpm.v))</f>
        <v>male</v>
      </c>
    </row>
    <row r="1171" spans="1:9" x14ac:dyDescent="0.6">
      <c r="A1171">
        <v>248</v>
      </c>
      <c r="B1171" t="s">
        <v>7</v>
      </c>
      <c r="C1171" t="s">
        <v>10</v>
      </c>
      <c r="D1171">
        <v>187.01</v>
      </c>
      <c r="E1171">
        <v>162.19999999999999</v>
      </c>
      <c r="F1171">
        <v>60524</v>
      </c>
      <c r="H1171" t="str">
        <f>_xlfn.LET(_xlpm.v, IFERROR(VLOOKUP($A1171, manifest!$A:$E, 3, FALSE), ""), IF(OR(_xlpm.v=0, _xlpm.v=""), "", _xlpm.v))</f>
        <v/>
      </c>
      <c r="I1171" t="str">
        <f>_xlfn.LET(_xlpm.v, IFERROR(VLOOKUP($A1171, manifest!$A:$E, 5, FALSE), ""), IF(OR(_xlpm.v=0, _xlpm.v=""), "", _xlpm.v))</f>
        <v>male</v>
      </c>
    </row>
    <row r="1172" spans="1:9" x14ac:dyDescent="0.6">
      <c r="A1172">
        <v>248</v>
      </c>
      <c r="B1172" t="s">
        <v>7</v>
      </c>
      <c r="C1172" t="s">
        <v>11</v>
      </c>
      <c r="D1172">
        <v>192.46</v>
      </c>
      <c r="E1172">
        <v>174.39</v>
      </c>
      <c r="F1172">
        <v>67098</v>
      </c>
      <c r="H1172" t="str">
        <f>_xlfn.LET(_xlpm.v, IFERROR(VLOOKUP($A1172, manifest!$A:$E, 3, FALSE), ""), IF(OR(_xlpm.v=0, _xlpm.v=""), "", _xlpm.v))</f>
        <v/>
      </c>
      <c r="I1172" t="str">
        <f>_xlfn.LET(_xlpm.v, IFERROR(VLOOKUP($A1172, manifest!$A:$E, 5, FALSE), ""), IF(OR(_xlpm.v=0, _xlpm.v=""), "", _xlpm.v))</f>
        <v>male</v>
      </c>
    </row>
    <row r="1173" spans="1:9" x14ac:dyDescent="0.6">
      <c r="A1173">
        <v>248</v>
      </c>
      <c r="B1173" t="s">
        <v>7</v>
      </c>
      <c r="C1173" t="s">
        <v>12</v>
      </c>
      <c r="D1173">
        <v>203.59</v>
      </c>
      <c r="E1173">
        <v>175.85</v>
      </c>
      <c r="F1173">
        <v>72873</v>
      </c>
      <c r="H1173" t="str">
        <f>_xlfn.LET(_xlpm.v, IFERROR(VLOOKUP($A1173, manifest!$A:$E, 3, FALSE), ""), IF(OR(_xlpm.v=0, _xlpm.v=""), "", _xlpm.v))</f>
        <v/>
      </c>
      <c r="I1173" t="str">
        <f>_xlfn.LET(_xlpm.v, IFERROR(VLOOKUP($A1173, manifest!$A:$E, 5, FALSE), ""), IF(OR(_xlpm.v=0, _xlpm.v=""), "", _xlpm.v))</f>
        <v>male</v>
      </c>
    </row>
    <row r="1174" spans="1:9" x14ac:dyDescent="0.6">
      <c r="A1174">
        <v>248</v>
      </c>
      <c r="B1174" t="s">
        <v>7</v>
      </c>
      <c r="C1174" t="s">
        <v>13</v>
      </c>
      <c r="D1174">
        <v>163.68</v>
      </c>
      <c r="E1174">
        <v>110.41</v>
      </c>
      <c r="F1174">
        <v>65912</v>
      </c>
      <c r="H1174" t="str">
        <f>_xlfn.LET(_xlpm.v, IFERROR(VLOOKUP($A1174, manifest!$A:$E, 3, FALSE), ""), IF(OR(_xlpm.v=0, _xlpm.v=""), "", _xlpm.v))</f>
        <v/>
      </c>
      <c r="I1174" t="str">
        <f>_xlfn.LET(_xlpm.v, IFERROR(VLOOKUP($A1174, manifest!$A:$E, 5, FALSE), ""), IF(OR(_xlpm.v=0, _xlpm.v=""), "", _xlpm.v))</f>
        <v>male</v>
      </c>
    </row>
    <row r="1175" spans="1:9" x14ac:dyDescent="0.6">
      <c r="A1175">
        <v>230</v>
      </c>
      <c r="B1175" t="s">
        <v>14</v>
      </c>
      <c r="C1175" t="s">
        <v>8</v>
      </c>
      <c r="D1175">
        <v>176.19</v>
      </c>
      <c r="E1175">
        <v>156.58000000000001</v>
      </c>
      <c r="F1175">
        <v>43183</v>
      </c>
      <c r="G1175" t="s">
        <v>9</v>
      </c>
      <c r="H1175">
        <f>_xlfn.LET(_xlpm.v, IFERROR(VLOOKUP($A1175, manifest!$A:$E, 3, FALSE), ""), IF(OR(_xlpm.v=0, _xlpm.v=""), "", _xlpm.v))</f>
        <v>89</v>
      </c>
      <c r="I1175" t="str">
        <f>_xlfn.LET(_xlpm.v, IFERROR(VLOOKUP($A1175, manifest!$A:$E, 5, FALSE), ""), IF(OR(_xlpm.v=0, _xlpm.v=""), "", _xlpm.v))</f>
        <v/>
      </c>
    </row>
    <row r="1176" spans="1:9" x14ac:dyDescent="0.6">
      <c r="A1176">
        <v>230</v>
      </c>
      <c r="B1176" t="s">
        <v>14</v>
      </c>
      <c r="C1176" t="s">
        <v>10</v>
      </c>
      <c r="D1176">
        <v>292.13</v>
      </c>
      <c r="E1176">
        <v>217.34</v>
      </c>
      <c r="F1176">
        <v>38972</v>
      </c>
      <c r="H1176">
        <f>_xlfn.LET(_xlpm.v, IFERROR(VLOOKUP($A1176, manifest!$A:$E, 3, FALSE), ""), IF(OR(_xlpm.v=0, _xlpm.v=""), "", _xlpm.v))</f>
        <v>89</v>
      </c>
      <c r="I1176" t="str">
        <f>_xlfn.LET(_xlpm.v, IFERROR(VLOOKUP($A1176, manifest!$A:$E, 5, FALSE), ""), IF(OR(_xlpm.v=0, _xlpm.v=""), "", _xlpm.v))</f>
        <v/>
      </c>
    </row>
    <row r="1177" spans="1:9" x14ac:dyDescent="0.6">
      <c r="A1177">
        <v>230</v>
      </c>
      <c r="B1177" t="s">
        <v>14</v>
      </c>
      <c r="C1177" t="s">
        <v>11</v>
      </c>
      <c r="D1177">
        <v>218.24</v>
      </c>
      <c r="E1177">
        <v>215.32</v>
      </c>
      <c r="F1177">
        <v>49263</v>
      </c>
      <c r="H1177">
        <f>_xlfn.LET(_xlpm.v, IFERROR(VLOOKUP($A1177, manifest!$A:$E, 3, FALSE), ""), IF(OR(_xlpm.v=0, _xlpm.v=""), "", _xlpm.v))</f>
        <v>89</v>
      </c>
      <c r="I1177" t="str">
        <f>_xlfn.LET(_xlpm.v, IFERROR(VLOOKUP($A1177, manifest!$A:$E, 5, FALSE), ""), IF(OR(_xlpm.v=0, _xlpm.v=""), "", _xlpm.v))</f>
        <v/>
      </c>
    </row>
    <row r="1178" spans="1:9" x14ac:dyDescent="0.6">
      <c r="A1178">
        <v>230</v>
      </c>
      <c r="B1178" t="s">
        <v>14</v>
      </c>
      <c r="C1178" t="s">
        <v>12</v>
      </c>
      <c r="D1178">
        <v>194.83</v>
      </c>
      <c r="E1178">
        <v>196.03</v>
      </c>
      <c r="F1178">
        <v>64036</v>
      </c>
      <c r="H1178">
        <f>_xlfn.LET(_xlpm.v, IFERROR(VLOOKUP($A1178, manifest!$A:$E, 3, FALSE), ""), IF(OR(_xlpm.v=0, _xlpm.v=""), "", _xlpm.v))</f>
        <v>89</v>
      </c>
      <c r="I1178" t="str">
        <f>_xlfn.LET(_xlpm.v, IFERROR(VLOOKUP($A1178, manifest!$A:$E, 5, FALSE), ""), IF(OR(_xlpm.v=0, _xlpm.v=""), "", _xlpm.v))</f>
        <v/>
      </c>
    </row>
    <row r="1179" spans="1:9" x14ac:dyDescent="0.6">
      <c r="A1179">
        <v>230</v>
      </c>
      <c r="B1179" t="s">
        <v>14</v>
      </c>
      <c r="C1179" t="s">
        <v>13</v>
      </c>
      <c r="D1179">
        <v>241</v>
      </c>
      <c r="E1179">
        <v>206.69</v>
      </c>
      <c r="F1179">
        <v>61631</v>
      </c>
      <c r="H1179">
        <f>_xlfn.LET(_xlpm.v, IFERROR(VLOOKUP($A1179, manifest!$A:$E, 3, FALSE), ""), IF(OR(_xlpm.v=0, _xlpm.v=""), "", _xlpm.v))</f>
        <v>89</v>
      </c>
      <c r="I1179" t="str">
        <f>_xlfn.LET(_xlpm.v, IFERROR(VLOOKUP($A1179, manifest!$A:$E, 5, FALSE), ""), IF(OR(_xlpm.v=0, _xlpm.v=""), "", _xlpm.v))</f>
        <v/>
      </c>
    </row>
    <row r="1180" spans="1:9" x14ac:dyDescent="0.6">
      <c r="A1180">
        <v>260</v>
      </c>
      <c r="B1180" t="s">
        <v>14</v>
      </c>
      <c r="C1180" t="s">
        <v>8</v>
      </c>
      <c r="D1180">
        <v>300.93</v>
      </c>
      <c r="E1180">
        <v>202.21</v>
      </c>
      <c r="F1180">
        <v>49889</v>
      </c>
      <c r="G1180" t="s">
        <v>9</v>
      </c>
      <c r="H1180">
        <f>_xlfn.LET(_xlpm.v, IFERROR(VLOOKUP($A1180, manifest!$A:$E, 3, FALSE), ""), IF(OR(_xlpm.v=0, _xlpm.v=""), "", _xlpm.v))</f>
        <v>55</v>
      </c>
      <c r="I1180" t="str">
        <f>_xlfn.LET(_xlpm.v, IFERROR(VLOOKUP($A1180, manifest!$A:$E, 5, FALSE), ""), IF(OR(_xlpm.v=0, _xlpm.v=""), "", _xlpm.v))</f>
        <v>male</v>
      </c>
    </row>
    <row r="1181" spans="1:9" x14ac:dyDescent="0.6">
      <c r="A1181">
        <v>260</v>
      </c>
      <c r="B1181" t="s">
        <v>14</v>
      </c>
      <c r="C1181" t="s">
        <v>10</v>
      </c>
      <c r="D1181">
        <v>304.08999999999997</v>
      </c>
      <c r="E1181">
        <v>209.4</v>
      </c>
      <c r="F1181">
        <v>56822</v>
      </c>
      <c r="H1181">
        <f>_xlfn.LET(_xlpm.v, IFERROR(VLOOKUP($A1181, manifest!$A:$E, 3, FALSE), ""), IF(OR(_xlpm.v=0, _xlpm.v=""), "", _xlpm.v))</f>
        <v>55</v>
      </c>
      <c r="I1181" t="str">
        <f>_xlfn.LET(_xlpm.v, IFERROR(VLOOKUP($A1181, manifest!$A:$E, 5, FALSE), ""), IF(OR(_xlpm.v=0, _xlpm.v=""), "", _xlpm.v))</f>
        <v>male</v>
      </c>
    </row>
    <row r="1182" spans="1:9" x14ac:dyDescent="0.6">
      <c r="A1182">
        <v>260</v>
      </c>
      <c r="B1182" t="s">
        <v>14</v>
      </c>
      <c r="C1182" t="s">
        <v>11</v>
      </c>
      <c r="D1182">
        <v>309.57</v>
      </c>
      <c r="E1182">
        <v>219.18</v>
      </c>
      <c r="F1182">
        <v>69082</v>
      </c>
      <c r="H1182">
        <f>_xlfn.LET(_xlpm.v, IFERROR(VLOOKUP($A1182, manifest!$A:$E, 3, FALSE), ""), IF(OR(_xlpm.v=0, _xlpm.v=""), "", _xlpm.v))</f>
        <v>55</v>
      </c>
      <c r="I1182" t="str">
        <f>_xlfn.LET(_xlpm.v, IFERROR(VLOOKUP($A1182, manifest!$A:$E, 5, FALSE), ""), IF(OR(_xlpm.v=0, _xlpm.v=""), "", _xlpm.v))</f>
        <v>male</v>
      </c>
    </row>
    <row r="1183" spans="1:9" x14ac:dyDescent="0.6">
      <c r="A1183">
        <v>260</v>
      </c>
      <c r="B1183" t="s">
        <v>14</v>
      </c>
      <c r="C1183" t="s">
        <v>12</v>
      </c>
      <c r="D1183">
        <v>346.65</v>
      </c>
      <c r="E1183">
        <v>254.51</v>
      </c>
      <c r="F1183">
        <v>70077</v>
      </c>
      <c r="H1183">
        <f>_xlfn.LET(_xlpm.v, IFERROR(VLOOKUP($A1183, manifest!$A:$E, 3, FALSE), ""), IF(OR(_xlpm.v=0, _xlpm.v=""), "", _xlpm.v))</f>
        <v>55</v>
      </c>
      <c r="I1183" t="str">
        <f>_xlfn.LET(_xlpm.v, IFERROR(VLOOKUP($A1183, manifest!$A:$E, 5, FALSE), ""), IF(OR(_xlpm.v=0, _xlpm.v=""), "", _xlpm.v))</f>
        <v>male</v>
      </c>
    </row>
    <row r="1184" spans="1:9" x14ac:dyDescent="0.6">
      <c r="A1184">
        <v>260</v>
      </c>
      <c r="B1184" t="s">
        <v>14</v>
      </c>
      <c r="C1184" t="s">
        <v>13</v>
      </c>
      <c r="D1184">
        <v>355.56</v>
      </c>
      <c r="E1184">
        <v>228.99</v>
      </c>
      <c r="F1184">
        <v>64939</v>
      </c>
      <c r="H1184">
        <f>_xlfn.LET(_xlpm.v, IFERROR(VLOOKUP($A1184, manifest!$A:$E, 3, FALSE), ""), IF(OR(_xlpm.v=0, _xlpm.v=""), "", _xlpm.v))</f>
        <v>55</v>
      </c>
      <c r="I1184" t="str">
        <f>_xlfn.LET(_xlpm.v, IFERROR(VLOOKUP($A1184, manifest!$A:$E, 5, FALSE), ""), IF(OR(_xlpm.v=0, _xlpm.v=""), "", _xlpm.v))</f>
        <v>male</v>
      </c>
    </row>
    <row r="1185" spans="1:9" x14ac:dyDescent="0.6">
      <c r="A1185">
        <v>277</v>
      </c>
      <c r="B1185" t="s">
        <v>7</v>
      </c>
      <c r="C1185" t="s">
        <v>8</v>
      </c>
      <c r="D1185">
        <v>164.57</v>
      </c>
      <c r="E1185">
        <v>176.35</v>
      </c>
      <c r="F1185">
        <v>25199</v>
      </c>
      <c r="G1185" t="s">
        <v>9</v>
      </c>
      <c r="H1185">
        <f>_xlfn.LET(_xlpm.v, IFERROR(VLOOKUP($A1185, manifest!$A:$E, 3, FALSE), ""), IF(OR(_xlpm.v=0, _xlpm.v=""), "", _xlpm.v))</f>
        <v>67</v>
      </c>
      <c r="I1185" t="str">
        <f>_xlfn.LET(_xlpm.v, IFERROR(VLOOKUP($A1185, manifest!$A:$E, 5, FALSE), ""), IF(OR(_xlpm.v=0, _xlpm.v=""), "", _xlpm.v))</f>
        <v>female</v>
      </c>
    </row>
    <row r="1186" spans="1:9" x14ac:dyDescent="0.6">
      <c r="A1186">
        <v>277</v>
      </c>
      <c r="B1186" t="s">
        <v>7</v>
      </c>
      <c r="C1186" t="s">
        <v>10</v>
      </c>
      <c r="D1186">
        <v>181.97</v>
      </c>
      <c r="E1186">
        <v>220.7</v>
      </c>
      <c r="F1186">
        <v>25230</v>
      </c>
      <c r="H1186">
        <f>_xlfn.LET(_xlpm.v, IFERROR(VLOOKUP($A1186, manifest!$A:$E, 3, FALSE), ""), IF(OR(_xlpm.v=0, _xlpm.v=""), "", _xlpm.v))</f>
        <v>67</v>
      </c>
      <c r="I1186" t="str">
        <f>_xlfn.LET(_xlpm.v, IFERROR(VLOOKUP($A1186, manifest!$A:$E, 5, FALSE), ""), IF(OR(_xlpm.v=0, _xlpm.v=""), "", _xlpm.v))</f>
        <v>female</v>
      </c>
    </row>
    <row r="1187" spans="1:9" x14ac:dyDescent="0.6">
      <c r="A1187">
        <v>277</v>
      </c>
      <c r="B1187" t="s">
        <v>7</v>
      </c>
      <c r="C1187" t="s">
        <v>11</v>
      </c>
      <c r="D1187">
        <v>187.11</v>
      </c>
      <c r="E1187">
        <v>242.82</v>
      </c>
      <c r="F1187">
        <v>31157</v>
      </c>
      <c r="H1187">
        <f>_xlfn.LET(_xlpm.v, IFERROR(VLOOKUP($A1187, manifest!$A:$E, 3, FALSE), ""), IF(OR(_xlpm.v=0, _xlpm.v=""), "", _xlpm.v))</f>
        <v>67</v>
      </c>
      <c r="I1187" t="str">
        <f>_xlfn.LET(_xlpm.v, IFERROR(VLOOKUP($A1187, manifest!$A:$E, 5, FALSE), ""), IF(OR(_xlpm.v=0, _xlpm.v=""), "", _xlpm.v))</f>
        <v>female</v>
      </c>
    </row>
    <row r="1188" spans="1:9" x14ac:dyDescent="0.6">
      <c r="A1188">
        <v>277</v>
      </c>
      <c r="B1188" t="s">
        <v>7</v>
      </c>
      <c r="C1188" t="s">
        <v>12</v>
      </c>
      <c r="D1188">
        <v>193.56</v>
      </c>
      <c r="E1188">
        <v>242.36</v>
      </c>
      <c r="F1188">
        <v>32458</v>
      </c>
      <c r="H1188">
        <f>_xlfn.LET(_xlpm.v, IFERROR(VLOOKUP($A1188, manifest!$A:$E, 3, FALSE), ""), IF(OR(_xlpm.v=0, _xlpm.v=""), "", _xlpm.v))</f>
        <v>67</v>
      </c>
      <c r="I1188" t="str">
        <f>_xlfn.LET(_xlpm.v, IFERROR(VLOOKUP($A1188, manifest!$A:$E, 5, FALSE), ""), IF(OR(_xlpm.v=0, _xlpm.v=""), "", _xlpm.v))</f>
        <v>female</v>
      </c>
    </row>
    <row r="1189" spans="1:9" x14ac:dyDescent="0.6">
      <c r="A1189">
        <v>277</v>
      </c>
      <c r="B1189" t="s">
        <v>7</v>
      </c>
      <c r="C1189" t="s">
        <v>13</v>
      </c>
      <c r="D1189">
        <v>171.79</v>
      </c>
      <c r="E1189">
        <v>226.07</v>
      </c>
      <c r="F1189">
        <v>48364</v>
      </c>
      <c r="H1189">
        <f>_xlfn.LET(_xlpm.v, IFERROR(VLOOKUP($A1189, manifest!$A:$E, 3, FALSE), ""), IF(OR(_xlpm.v=0, _xlpm.v=""), "", _xlpm.v))</f>
        <v>67</v>
      </c>
      <c r="I1189" t="str">
        <f>_xlfn.LET(_xlpm.v, IFERROR(VLOOKUP($A1189, manifest!$A:$E, 5, FALSE), ""), IF(OR(_xlpm.v=0, _xlpm.v=""), "", _xlpm.v))</f>
        <v>female</v>
      </c>
    </row>
    <row r="1190" spans="1:9" x14ac:dyDescent="0.6">
      <c r="A1190">
        <v>268</v>
      </c>
      <c r="B1190" t="s">
        <v>7</v>
      </c>
      <c r="C1190" t="s">
        <v>8</v>
      </c>
      <c r="D1190">
        <v>243.94</v>
      </c>
      <c r="E1190">
        <v>102</v>
      </c>
      <c r="F1190">
        <v>24198</v>
      </c>
      <c r="G1190" t="s">
        <v>9</v>
      </c>
      <c r="H1190">
        <f>_xlfn.LET(_xlpm.v, IFERROR(VLOOKUP($A1190, manifest!$A:$E, 3, FALSE), ""), IF(OR(_xlpm.v=0, _xlpm.v=""), "", _xlpm.v))</f>
        <v>52</v>
      </c>
      <c r="I1190" t="str">
        <f>_xlfn.LET(_xlpm.v, IFERROR(VLOOKUP($A1190, manifest!$A:$E, 5, FALSE), ""), IF(OR(_xlpm.v=0, _xlpm.v=""), "", _xlpm.v))</f>
        <v>female</v>
      </c>
    </row>
    <row r="1191" spans="1:9" x14ac:dyDescent="0.6">
      <c r="A1191">
        <v>268</v>
      </c>
      <c r="B1191" t="s">
        <v>7</v>
      </c>
      <c r="C1191" t="s">
        <v>10</v>
      </c>
      <c r="D1191">
        <v>253.58</v>
      </c>
      <c r="E1191">
        <v>151.16</v>
      </c>
      <c r="F1191">
        <v>25893</v>
      </c>
      <c r="H1191">
        <f>_xlfn.LET(_xlpm.v, IFERROR(VLOOKUP($A1191, manifest!$A:$E, 3, FALSE), ""), IF(OR(_xlpm.v=0, _xlpm.v=""), "", _xlpm.v))</f>
        <v>52</v>
      </c>
      <c r="I1191" t="str">
        <f>_xlfn.LET(_xlpm.v, IFERROR(VLOOKUP($A1191, manifest!$A:$E, 5, FALSE), ""), IF(OR(_xlpm.v=0, _xlpm.v=""), "", _xlpm.v))</f>
        <v>female</v>
      </c>
    </row>
    <row r="1192" spans="1:9" x14ac:dyDescent="0.6">
      <c r="A1192">
        <v>268</v>
      </c>
      <c r="B1192" t="s">
        <v>7</v>
      </c>
      <c r="C1192" t="s">
        <v>11</v>
      </c>
      <c r="D1192">
        <v>258.42</v>
      </c>
      <c r="E1192">
        <v>164.47</v>
      </c>
      <c r="F1192">
        <v>29907</v>
      </c>
      <c r="H1192">
        <f>_xlfn.LET(_xlpm.v, IFERROR(VLOOKUP($A1192, manifest!$A:$E, 3, FALSE), ""), IF(OR(_xlpm.v=0, _xlpm.v=""), "", _xlpm.v))</f>
        <v>52</v>
      </c>
      <c r="I1192" t="str">
        <f>_xlfn.LET(_xlpm.v, IFERROR(VLOOKUP($A1192, manifest!$A:$E, 5, FALSE), ""), IF(OR(_xlpm.v=0, _xlpm.v=""), "", _xlpm.v))</f>
        <v>female</v>
      </c>
    </row>
    <row r="1193" spans="1:9" x14ac:dyDescent="0.6">
      <c r="A1193">
        <v>268</v>
      </c>
      <c r="B1193" t="s">
        <v>7</v>
      </c>
      <c r="C1193" t="s">
        <v>12</v>
      </c>
      <c r="D1193">
        <v>265.64999999999998</v>
      </c>
      <c r="E1193">
        <v>174.28</v>
      </c>
      <c r="F1193">
        <v>29076</v>
      </c>
      <c r="H1193">
        <f>_xlfn.LET(_xlpm.v, IFERROR(VLOOKUP($A1193, manifest!$A:$E, 3, FALSE), ""), IF(OR(_xlpm.v=0, _xlpm.v=""), "", _xlpm.v))</f>
        <v>52</v>
      </c>
      <c r="I1193" t="str">
        <f>_xlfn.LET(_xlpm.v, IFERROR(VLOOKUP($A1193, manifest!$A:$E, 5, FALSE), ""), IF(OR(_xlpm.v=0, _xlpm.v=""), "", _xlpm.v))</f>
        <v>female</v>
      </c>
    </row>
    <row r="1194" spans="1:9" x14ac:dyDescent="0.6">
      <c r="A1194">
        <v>268</v>
      </c>
      <c r="B1194" t="s">
        <v>7</v>
      </c>
      <c r="C1194" t="s">
        <v>13</v>
      </c>
      <c r="D1194">
        <v>240.14</v>
      </c>
      <c r="E1194">
        <v>178.18</v>
      </c>
      <c r="F1194">
        <v>38135</v>
      </c>
      <c r="H1194">
        <f>_xlfn.LET(_xlpm.v, IFERROR(VLOOKUP($A1194, manifest!$A:$E, 3, FALSE), ""), IF(OR(_xlpm.v=0, _xlpm.v=""), "", _xlpm.v))</f>
        <v>52</v>
      </c>
      <c r="I1194" t="str">
        <f>_xlfn.LET(_xlpm.v, IFERROR(VLOOKUP($A1194, manifest!$A:$E, 5, FALSE), ""), IF(OR(_xlpm.v=0, _xlpm.v=""), "", _xlpm.v))</f>
        <v>female</v>
      </c>
    </row>
    <row r="1195" spans="1:9" x14ac:dyDescent="0.6">
      <c r="A1195">
        <v>267</v>
      </c>
      <c r="B1195" t="s">
        <v>14</v>
      </c>
      <c r="C1195" t="s">
        <v>8</v>
      </c>
      <c r="D1195">
        <v>120.8</v>
      </c>
      <c r="E1195">
        <v>85.11</v>
      </c>
      <c r="F1195">
        <v>24385</v>
      </c>
      <c r="G1195" t="s">
        <v>15</v>
      </c>
      <c r="H1195">
        <f>_xlfn.LET(_xlpm.v, IFERROR(VLOOKUP($A1195, manifest!$A:$E, 3, FALSE), ""), IF(OR(_xlpm.v=0, _xlpm.v=""), "", _xlpm.v))</f>
        <v>63</v>
      </c>
      <c r="I1195" t="str">
        <f>_xlfn.LET(_xlpm.v, IFERROR(VLOOKUP($A1195, manifest!$A:$E, 5, FALSE), ""), IF(OR(_xlpm.v=0, _xlpm.v=""), "", _xlpm.v))</f>
        <v>female</v>
      </c>
    </row>
    <row r="1196" spans="1:9" x14ac:dyDescent="0.6">
      <c r="A1196">
        <v>267</v>
      </c>
      <c r="B1196" t="s">
        <v>14</v>
      </c>
      <c r="C1196" t="s">
        <v>10</v>
      </c>
      <c r="D1196">
        <v>130.03</v>
      </c>
      <c r="E1196">
        <v>108.34</v>
      </c>
      <c r="F1196">
        <v>29226</v>
      </c>
      <c r="H1196">
        <f>_xlfn.LET(_xlpm.v, IFERROR(VLOOKUP($A1196, manifest!$A:$E, 3, FALSE), ""), IF(OR(_xlpm.v=0, _xlpm.v=""), "", _xlpm.v))</f>
        <v>63</v>
      </c>
      <c r="I1196" t="str">
        <f>_xlfn.LET(_xlpm.v, IFERROR(VLOOKUP($A1196, manifest!$A:$E, 5, FALSE), ""), IF(OR(_xlpm.v=0, _xlpm.v=""), "", _xlpm.v))</f>
        <v>female</v>
      </c>
    </row>
    <row r="1197" spans="1:9" x14ac:dyDescent="0.6">
      <c r="A1197">
        <v>267</v>
      </c>
      <c r="B1197" t="s">
        <v>14</v>
      </c>
      <c r="C1197" t="s">
        <v>11</v>
      </c>
      <c r="D1197">
        <v>150.33000000000001</v>
      </c>
      <c r="E1197">
        <v>97.98</v>
      </c>
      <c r="F1197">
        <v>31525</v>
      </c>
      <c r="H1197">
        <f>_xlfn.LET(_xlpm.v, IFERROR(VLOOKUP($A1197, manifest!$A:$E, 3, FALSE), ""), IF(OR(_xlpm.v=0, _xlpm.v=""), "", _xlpm.v))</f>
        <v>63</v>
      </c>
      <c r="I1197" t="str">
        <f>_xlfn.LET(_xlpm.v, IFERROR(VLOOKUP($A1197, manifest!$A:$E, 5, FALSE), ""), IF(OR(_xlpm.v=0, _xlpm.v=""), "", _xlpm.v))</f>
        <v>female</v>
      </c>
    </row>
    <row r="1198" spans="1:9" x14ac:dyDescent="0.6">
      <c r="A1198">
        <v>267</v>
      </c>
      <c r="B1198" t="s">
        <v>14</v>
      </c>
      <c r="C1198" t="s">
        <v>12</v>
      </c>
      <c r="D1198">
        <v>163.77000000000001</v>
      </c>
      <c r="E1198">
        <v>103.69</v>
      </c>
      <c r="F1198">
        <v>34937</v>
      </c>
      <c r="H1198">
        <f>_xlfn.LET(_xlpm.v, IFERROR(VLOOKUP($A1198, manifest!$A:$E, 3, FALSE), ""), IF(OR(_xlpm.v=0, _xlpm.v=""), "", _xlpm.v))</f>
        <v>63</v>
      </c>
      <c r="I1198" t="str">
        <f>_xlfn.LET(_xlpm.v, IFERROR(VLOOKUP($A1198, manifest!$A:$E, 5, FALSE), ""), IF(OR(_xlpm.v=0, _xlpm.v=""), "", _xlpm.v))</f>
        <v>female</v>
      </c>
    </row>
    <row r="1199" spans="1:9" x14ac:dyDescent="0.6">
      <c r="A1199">
        <v>267</v>
      </c>
      <c r="B1199" t="s">
        <v>14</v>
      </c>
      <c r="C1199" t="s">
        <v>13</v>
      </c>
      <c r="D1199">
        <v>128.72999999999999</v>
      </c>
      <c r="E1199">
        <v>132.83000000000001</v>
      </c>
      <c r="F1199">
        <v>44722</v>
      </c>
      <c r="H1199">
        <f>_xlfn.LET(_xlpm.v, IFERROR(VLOOKUP($A1199, manifest!$A:$E, 3, FALSE), ""), IF(OR(_xlpm.v=0, _xlpm.v=""), "", _xlpm.v))</f>
        <v>63</v>
      </c>
      <c r="I1199" t="str">
        <f>_xlfn.LET(_xlpm.v, IFERROR(VLOOKUP($A1199, manifest!$A:$E, 5, FALSE), ""), IF(OR(_xlpm.v=0, _xlpm.v=""), "", _xlpm.v))</f>
        <v>female</v>
      </c>
    </row>
    <row r="1200" spans="1:9" x14ac:dyDescent="0.6">
      <c r="A1200">
        <v>267</v>
      </c>
      <c r="B1200" t="s">
        <v>14</v>
      </c>
      <c r="C1200" t="s">
        <v>16</v>
      </c>
      <c r="D1200">
        <v>109.99</v>
      </c>
      <c r="E1200">
        <v>139.41999999999999</v>
      </c>
      <c r="F1200">
        <v>54841</v>
      </c>
      <c r="H1200">
        <f>_xlfn.LET(_xlpm.v, IFERROR(VLOOKUP($A1200, manifest!$A:$E, 3, FALSE), ""), IF(OR(_xlpm.v=0, _xlpm.v=""), "", _xlpm.v))</f>
        <v>63</v>
      </c>
      <c r="I1200" t="str">
        <f>_xlfn.LET(_xlpm.v, IFERROR(VLOOKUP($A1200, manifest!$A:$E, 5, FALSE), ""), IF(OR(_xlpm.v=0, _xlpm.v=""), "", _xlpm.v))</f>
        <v>female</v>
      </c>
    </row>
    <row r="1201" spans="1:9" x14ac:dyDescent="0.6">
      <c r="A1201">
        <v>259</v>
      </c>
      <c r="B1201" t="s">
        <v>14</v>
      </c>
      <c r="C1201" t="s">
        <v>8</v>
      </c>
      <c r="D1201">
        <v>117.51</v>
      </c>
      <c r="E1201">
        <v>116.51</v>
      </c>
      <c r="F1201">
        <v>41544</v>
      </c>
      <c r="G1201" t="s">
        <v>15</v>
      </c>
      <c r="H1201">
        <f>_xlfn.LET(_xlpm.v, IFERROR(VLOOKUP($A1201, manifest!$A:$E, 3, FALSE), ""), IF(OR(_xlpm.v=0, _xlpm.v=""), "", _xlpm.v))</f>
        <v>84</v>
      </c>
      <c r="I1201" t="str">
        <f>_xlfn.LET(_xlpm.v, IFERROR(VLOOKUP($A1201, manifest!$A:$E, 5, FALSE), ""), IF(OR(_xlpm.v=0, _xlpm.v=""), "", _xlpm.v))</f>
        <v>male</v>
      </c>
    </row>
    <row r="1202" spans="1:9" x14ac:dyDescent="0.6">
      <c r="A1202">
        <v>259</v>
      </c>
      <c r="B1202" t="s">
        <v>14</v>
      </c>
      <c r="C1202" t="s">
        <v>10</v>
      </c>
      <c r="D1202">
        <v>113.03</v>
      </c>
      <c r="E1202">
        <v>132.59</v>
      </c>
      <c r="F1202">
        <v>45239</v>
      </c>
      <c r="H1202">
        <f>_xlfn.LET(_xlpm.v, IFERROR(VLOOKUP($A1202, manifest!$A:$E, 3, FALSE), ""), IF(OR(_xlpm.v=0, _xlpm.v=""), "", _xlpm.v))</f>
        <v>84</v>
      </c>
      <c r="I1202" t="str">
        <f>_xlfn.LET(_xlpm.v, IFERROR(VLOOKUP($A1202, manifest!$A:$E, 5, FALSE), ""), IF(OR(_xlpm.v=0, _xlpm.v=""), "", _xlpm.v))</f>
        <v>male</v>
      </c>
    </row>
    <row r="1203" spans="1:9" x14ac:dyDescent="0.6">
      <c r="A1203">
        <v>259</v>
      </c>
      <c r="B1203" t="s">
        <v>14</v>
      </c>
      <c r="C1203" t="s">
        <v>11</v>
      </c>
      <c r="D1203">
        <v>144.24</v>
      </c>
      <c r="E1203">
        <v>190.98</v>
      </c>
      <c r="F1203">
        <v>53196</v>
      </c>
      <c r="H1203">
        <f>_xlfn.LET(_xlpm.v, IFERROR(VLOOKUP($A1203, manifest!$A:$E, 3, FALSE), ""), IF(OR(_xlpm.v=0, _xlpm.v=""), "", _xlpm.v))</f>
        <v>84</v>
      </c>
      <c r="I1203" t="str">
        <f>_xlfn.LET(_xlpm.v, IFERROR(VLOOKUP($A1203, manifest!$A:$E, 5, FALSE), ""), IF(OR(_xlpm.v=0, _xlpm.v=""), "", _xlpm.v))</f>
        <v>male</v>
      </c>
    </row>
    <row r="1204" spans="1:9" x14ac:dyDescent="0.6">
      <c r="A1204">
        <v>259</v>
      </c>
      <c r="B1204" t="s">
        <v>14</v>
      </c>
      <c r="C1204" t="s">
        <v>12</v>
      </c>
      <c r="D1204">
        <v>120.99</v>
      </c>
      <c r="E1204">
        <v>212.03</v>
      </c>
      <c r="F1204">
        <v>42965</v>
      </c>
      <c r="H1204">
        <f>_xlfn.LET(_xlpm.v, IFERROR(VLOOKUP($A1204, manifest!$A:$E, 3, FALSE), ""), IF(OR(_xlpm.v=0, _xlpm.v=""), "", _xlpm.v))</f>
        <v>84</v>
      </c>
      <c r="I1204" t="str">
        <f>_xlfn.LET(_xlpm.v, IFERROR(VLOOKUP($A1204, manifest!$A:$E, 5, FALSE), ""), IF(OR(_xlpm.v=0, _xlpm.v=""), "", _xlpm.v))</f>
        <v>male</v>
      </c>
    </row>
    <row r="1205" spans="1:9" x14ac:dyDescent="0.6">
      <c r="A1205">
        <v>259</v>
      </c>
      <c r="B1205" t="s">
        <v>14</v>
      </c>
      <c r="C1205" t="s">
        <v>13</v>
      </c>
      <c r="D1205">
        <v>137.29</v>
      </c>
      <c r="E1205">
        <v>186.08</v>
      </c>
      <c r="F1205">
        <v>51931</v>
      </c>
      <c r="H1205">
        <f>_xlfn.LET(_xlpm.v, IFERROR(VLOOKUP($A1205, manifest!$A:$E, 3, FALSE), ""), IF(OR(_xlpm.v=0, _xlpm.v=""), "", _xlpm.v))</f>
        <v>84</v>
      </c>
      <c r="I1205" t="str">
        <f>_xlfn.LET(_xlpm.v, IFERROR(VLOOKUP($A1205, manifest!$A:$E, 5, FALSE), ""), IF(OR(_xlpm.v=0, _xlpm.v=""), "", _xlpm.v))</f>
        <v>male</v>
      </c>
    </row>
    <row r="1206" spans="1:9" x14ac:dyDescent="0.6">
      <c r="A1206">
        <v>253</v>
      </c>
      <c r="B1206" t="s">
        <v>14</v>
      </c>
      <c r="C1206" t="s">
        <v>8</v>
      </c>
      <c r="D1206">
        <v>233.07</v>
      </c>
      <c r="E1206">
        <v>208.55</v>
      </c>
      <c r="F1206">
        <v>34682</v>
      </c>
      <c r="G1206" t="s">
        <v>9</v>
      </c>
      <c r="H1206">
        <f>_xlfn.LET(_xlpm.v, IFERROR(VLOOKUP($A1206, manifest!$A:$E, 3, FALSE), ""), IF(OR(_xlpm.v=0, _xlpm.v=""), "", _xlpm.v))</f>
        <v>58</v>
      </c>
      <c r="I1206" t="str">
        <f>_xlfn.LET(_xlpm.v, IFERROR(VLOOKUP($A1206, manifest!$A:$E, 5, FALSE), ""), IF(OR(_xlpm.v=0, _xlpm.v=""), "", _xlpm.v))</f>
        <v>male</v>
      </c>
    </row>
    <row r="1207" spans="1:9" x14ac:dyDescent="0.6">
      <c r="A1207">
        <v>253</v>
      </c>
      <c r="B1207" t="s">
        <v>14</v>
      </c>
      <c r="C1207" t="s">
        <v>10</v>
      </c>
      <c r="D1207">
        <v>248.57</v>
      </c>
      <c r="E1207">
        <v>226.99</v>
      </c>
      <c r="F1207">
        <v>36438</v>
      </c>
      <c r="H1207">
        <f>_xlfn.LET(_xlpm.v, IFERROR(VLOOKUP($A1207, manifest!$A:$E, 3, FALSE), ""), IF(OR(_xlpm.v=0, _xlpm.v=""), "", _xlpm.v))</f>
        <v>58</v>
      </c>
      <c r="I1207" t="str">
        <f>_xlfn.LET(_xlpm.v, IFERROR(VLOOKUP($A1207, manifest!$A:$E, 5, FALSE), ""), IF(OR(_xlpm.v=0, _xlpm.v=""), "", _xlpm.v))</f>
        <v>male</v>
      </c>
    </row>
    <row r="1208" spans="1:9" x14ac:dyDescent="0.6">
      <c r="A1208">
        <v>253</v>
      </c>
      <c r="B1208" t="s">
        <v>14</v>
      </c>
      <c r="C1208" t="s">
        <v>11</v>
      </c>
      <c r="D1208">
        <v>232.32</v>
      </c>
      <c r="E1208">
        <v>216.68</v>
      </c>
      <c r="F1208">
        <v>48457</v>
      </c>
      <c r="H1208">
        <f>_xlfn.LET(_xlpm.v, IFERROR(VLOOKUP($A1208, manifest!$A:$E, 3, FALSE), ""), IF(OR(_xlpm.v=0, _xlpm.v=""), "", _xlpm.v))</f>
        <v>58</v>
      </c>
      <c r="I1208" t="str">
        <f>_xlfn.LET(_xlpm.v, IFERROR(VLOOKUP($A1208, manifest!$A:$E, 5, FALSE), ""), IF(OR(_xlpm.v=0, _xlpm.v=""), "", _xlpm.v))</f>
        <v>male</v>
      </c>
    </row>
    <row r="1209" spans="1:9" x14ac:dyDescent="0.6">
      <c r="A1209">
        <v>253</v>
      </c>
      <c r="B1209" t="s">
        <v>14</v>
      </c>
      <c r="C1209" t="s">
        <v>12</v>
      </c>
      <c r="D1209">
        <v>234.5</v>
      </c>
      <c r="E1209">
        <v>221.61</v>
      </c>
      <c r="F1209">
        <v>46075</v>
      </c>
      <c r="H1209">
        <f>_xlfn.LET(_xlpm.v, IFERROR(VLOOKUP($A1209, manifest!$A:$E, 3, FALSE), ""), IF(OR(_xlpm.v=0, _xlpm.v=""), "", _xlpm.v))</f>
        <v>58</v>
      </c>
      <c r="I1209" t="str">
        <f>_xlfn.LET(_xlpm.v, IFERROR(VLOOKUP($A1209, manifest!$A:$E, 5, FALSE), ""), IF(OR(_xlpm.v=0, _xlpm.v=""), "", _xlpm.v))</f>
        <v>male</v>
      </c>
    </row>
    <row r="1210" spans="1:9" x14ac:dyDescent="0.6">
      <c r="A1210">
        <v>253</v>
      </c>
      <c r="B1210" t="s">
        <v>14</v>
      </c>
      <c r="C1210" t="s">
        <v>13</v>
      </c>
      <c r="D1210">
        <v>242.42</v>
      </c>
      <c r="E1210">
        <v>215.02</v>
      </c>
      <c r="F1210">
        <v>55685</v>
      </c>
      <c r="H1210">
        <f>_xlfn.LET(_xlpm.v, IFERROR(VLOOKUP($A1210, manifest!$A:$E, 3, FALSE), ""), IF(OR(_xlpm.v=0, _xlpm.v=""), "", _xlpm.v))</f>
        <v>58</v>
      </c>
      <c r="I1210" t="str">
        <f>_xlfn.LET(_xlpm.v, IFERROR(VLOOKUP($A1210, manifest!$A:$E, 5, FALSE), ""), IF(OR(_xlpm.v=0, _xlpm.v=""), "", _xlpm.v))</f>
        <v>male</v>
      </c>
    </row>
    <row r="1211" spans="1:9" x14ac:dyDescent="0.6">
      <c r="A1211">
        <v>263</v>
      </c>
      <c r="B1211" t="s">
        <v>14</v>
      </c>
      <c r="C1211" t="s">
        <v>8</v>
      </c>
      <c r="D1211">
        <v>214.52</v>
      </c>
      <c r="E1211">
        <v>151.01</v>
      </c>
      <c r="F1211">
        <v>31379</v>
      </c>
      <c r="G1211" t="s">
        <v>9</v>
      </c>
      <c r="H1211">
        <f>_xlfn.LET(_xlpm.v, IFERROR(VLOOKUP($A1211, manifest!$A:$E, 3, FALSE), ""), IF(OR(_xlpm.v=0, _xlpm.v=""), "", _xlpm.v))</f>
        <v>89</v>
      </c>
      <c r="I1211" t="str">
        <f>_xlfn.LET(_xlpm.v, IFERROR(VLOOKUP($A1211, manifest!$A:$E, 5, FALSE), ""), IF(OR(_xlpm.v=0, _xlpm.v=""), "", _xlpm.v))</f>
        <v/>
      </c>
    </row>
    <row r="1212" spans="1:9" x14ac:dyDescent="0.6">
      <c r="A1212">
        <v>263</v>
      </c>
      <c r="B1212" t="s">
        <v>14</v>
      </c>
      <c r="C1212" t="s">
        <v>10</v>
      </c>
      <c r="D1212">
        <v>209.6</v>
      </c>
      <c r="E1212">
        <v>180.41</v>
      </c>
      <c r="F1212">
        <v>42899</v>
      </c>
      <c r="H1212">
        <f>_xlfn.LET(_xlpm.v, IFERROR(VLOOKUP($A1212, manifest!$A:$E, 3, FALSE), ""), IF(OR(_xlpm.v=0, _xlpm.v=""), "", _xlpm.v))</f>
        <v>89</v>
      </c>
      <c r="I1212" t="str">
        <f>_xlfn.LET(_xlpm.v, IFERROR(VLOOKUP($A1212, manifest!$A:$E, 5, FALSE), ""), IF(OR(_xlpm.v=0, _xlpm.v=""), "", _xlpm.v))</f>
        <v/>
      </c>
    </row>
    <row r="1213" spans="1:9" x14ac:dyDescent="0.6">
      <c r="A1213">
        <v>263</v>
      </c>
      <c r="B1213" t="s">
        <v>14</v>
      </c>
      <c r="C1213" t="s">
        <v>11</v>
      </c>
      <c r="D1213">
        <v>217.98</v>
      </c>
      <c r="E1213">
        <v>198.37</v>
      </c>
      <c r="F1213">
        <v>44539</v>
      </c>
      <c r="H1213">
        <f>_xlfn.LET(_xlpm.v, IFERROR(VLOOKUP($A1213, manifest!$A:$E, 3, FALSE), ""), IF(OR(_xlpm.v=0, _xlpm.v=""), "", _xlpm.v))</f>
        <v>89</v>
      </c>
      <c r="I1213" t="str">
        <f>_xlfn.LET(_xlpm.v, IFERROR(VLOOKUP($A1213, manifest!$A:$E, 5, FALSE), ""), IF(OR(_xlpm.v=0, _xlpm.v=""), "", _xlpm.v))</f>
        <v/>
      </c>
    </row>
    <row r="1214" spans="1:9" x14ac:dyDescent="0.6">
      <c r="A1214">
        <v>263</v>
      </c>
      <c r="B1214" t="s">
        <v>14</v>
      </c>
      <c r="C1214" t="s">
        <v>12</v>
      </c>
      <c r="D1214">
        <v>218.66</v>
      </c>
      <c r="E1214">
        <v>211.61</v>
      </c>
      <c r="F1214">
        <v>47637</v>
      </c>
      <c r="H1214">
        <f>_xlfn.LET(_xlpm.v, IFERROR(VLOOKUP($A1214, manifest!$A:$E, 3, FALSE), ""), IF(OR(_xlpm.v=0, _xlpm.v=""), "", _xlpm.v))</f>
        <v>89</v>
      </c>
      <c r="I1214" t="str">
        <f>_xlfn.LET(_xlpm.v, IFERROR(VLOOKUP($A1214, manifest!$A:$E, 5, FALSE), ""), IF(OR(_xlpm.v=0, _xlpm.v=""), "", _xlpm.v))</f>
        <v/>
      </c>
    </row>
    <row r="1215" spans="1:9" x14ac:dyDescent="0.6">
      <c r="A1215">
        <v>263</v>
      </c>
      <c r="B1215" t="s">
        <v>14</v>
      </c>
      <c r="C1215" t="s">
        <v>13</v>
      </c>
      <c r="D1215">
        <v>202.33</v>
      </c>
      <c r="E1215">
        <v>178.87</v>
      </c>
      <c r="F1215">
        <v>58072</v>
      </c>
      <c r="H1215">
        <f>_xlfn.LET(_xlpm.v, IFERROR(VLOOKUP($A1215, manifest!$A:$E, 3, FALSE), ""), IF(OR(_xlpm.v=0, _xlpm.v=""), "", _xlpm.v))</f>
        <v>89</v>
      </c>
      <c r="I1215" t="str">
        <f>_xlfn.LET(_xlpm.v, IFERROR(VLOOKUP($A1215, manifest!$A:$E, 5, FALSE), ""), IF(OR(_xlpm.v=0, _xlpm.v=""), "", _xlpm.v))</f>
        <v/>
      </c>
    </row>
    <row r="1216" spans="1:9" x14ac:dyDescent="0.6">
      <c r="A1216">
        <v>275</v>
      </c>
      <c r="B1216" t="s">
        <v>14</v>
      </c>
      <c r="C1216" t="s">
        <v>8</v>
      </c>
      <c r="D1216">
        <v>175.12</v>
      </c>
      <c r="E1216">
        <v>148.52000000000001</v>
      </c>
      <c r="F1216">
        <v>42455</v>
      </c>
      <c r="G1216" t="s">
        <v>9</v>
      </c>
      <c r="H1216">
        <f>_xlfn.LET(_xlpm.v, IFERROR(VLOOKUP($A1216, manifest!$A:$E, 3, FALSE), ""), IF(OR(_xlpm.v=0, _xlpm.v=""), "", _xlpm.v))</f>
        <v>56</v>
      </c>
      <c r="I1216" t="str">
        <f>_xlfn.LET(_xlpm.v, IFERROR(VLOOKUP($A1216, manifest!$A:$E, 5, FALSE), ""), IF(OR(_xlpm.v=0, _xlpm.v=""), "", _xlpm.v))</f>
        <v>female</v>
      </c>
    </row>
    <row r="1217" spans="1:9" x14ac:dyDescent="0.6">
      <c r="A1217">
        <v>275</v>
      </c>
      <c r="B1217" t="s">
        <v>14</v>
      </c>
      <c r="C1217" t="s">
        <v>10</v>
      </c>
      <c r="D1217">
        <v>196.74</v>
      </c>
      <c r="E1217">
        <v>204.74</v>
      </c>
      <c r="F1217">
        <v>41289</v>
      </c>
      <c r="H1217">
        <f>_xlfn.LET(_xlpm.v, IFERROR(VLOOKUP($A1217, manifest!$A:$E, 3, FALSE), ""), IF(OR(_xlpm.v=0, _xlpm.v=""), "", _xlpm.v))</f>
        <v>56</v>
      </c>
      <c r="I1217" t="str">
        <f>_xlfn.LET(_xlpm.v, IFERROR(VLOOKUP($A1217, manifest!$A:$E, 5, FALSE), ""), IF(OR(_xlpm.v=0, _xlpm.v=""), "", _xlpm.v))</f>
        <v>female</v>
      </c>
    </row>
    <row r="1218" spans="1:9" x14ac:dyDescent="0.6">
      <c r="A1218">
        <v>275</v>
      </c>
      <c r="B1218" t="s">
        <v>14</v>
      </c>
      <c r="C1218" t="s">
        <v>11</v>
      </c>
      <c r="D1218">
        <v>244.52</v>
      </c>
      <c r="E1218">
        <v>230.91</v>
      </c>
      <c r="F1218">
        <v>51841</v>
      </c>
      <c r="H1218">
        <f>_xlfn.LET(_xlpm.v, IFERROR(VLOOKUP($A1218, manifest!$A:$E, 3, FALSE), ""), IF(OR(_xlpm.v=0, _xlpm.v=""), "", _xlpm.v))</f>
        <v>56</v>
      </c>
      <c r="I1218" t="str">
        <f>_xlfn.LET(_xlpm.v, IFERROR(VLOOKUP($A1218, manifest!$A:$E, 5, FALSE), ""), IF(OR(_xlpm.v=0, _xlpm.v=""), "", _xlpm.v))</f>
        <v>female</v>
      </c>
    </row>
    <row r="1219" spans="1:9" x14ac:dyDescent="0.6">
      <c r="A1219">
        <v>275</v>
      </c>
      <c r="B1219" t="s">
        <v>14</v>
      </c>
      <c r="C1219" t="s">
        <v>12</v>
      </c>
      <c r="D1219">
        <v>250.96</v>
      </c>
      <c r="E1219">
        <v>268.33</v>
      </c>
      <c r="F1219">
        <v>49977</v>
      </c>
      <c r="H1219">
        <f>_xlfn.LET(_xlpm.v, IFERROR(VLOOKUP($A1219, manifest!$A:$E, 3, FALSE), ""), IF(OR(_xlpm.v=0, _xlpm.v=""), "", _xlpm.v))</f>
        <v>56</v>
      </c>
      <c r="I1219" t="str">
        <f>_xlfn.LET(_xlpm.v, IFERROR(VLOOKUP($A1219, manifest!$A:$E, 5, FALSE), ""), IF(OR(_xlpm.v=0, _xlpm.v=""), "", _xlpm.v))</f>
        <v>female</v>
      </c>
    </row>
    <row r="1220" spans="1:9" x14ac:dyDescent="0.6">
      <c r="A1220">
        <v>275</v>
      </c>
      <c r="B1220" t="s">
        <v>14</v>
      </c>
      <c r="C1220" t="s">
        <v>13</v>
      </c>
      <c r="D1220">
        <v>261.63</v>
      </c>
      <c r="E1220">
        <v>265.41000000000003</v>
      </c>
      <c r="F1220">
        <v>46809</v>
      </c>
      <c r="H1220">
        <f>_xlfn.LET(_xlpm.v, IFERROR(VLOOKUP($A1220, manifest!$A:$E, 3, FALSE), ""), IF(OR(_xlpm.v=0, _xlpm.v=""), "", _xlpm.v))</f>
        <v>56</v>
      </c>
      <c r="I1220" t="str">
        <f>_xlfn.LET(_xlpm.v, IFERROR(VLOOKUP($A1220, manifest!$A:$E, 5, FALSE), ""), IF(OR(_xlpm.v=0, _xlpm.v=""), "", _xlpm.v))</f>
        <v>female</v>
      </c>
    </row>
    <row r="1221" spans="1:9" x14ac:dyDescent="0.6">
      <c r="A1221">
        <v>264</v>
      </c>
      <c r="B1221" t="s">
        <v>14</v>
      </c>
      <c r="C1221" t="s">
        <v>8</v>
      </c>
      <c r="D1221">
        <v>198.66</v>
      </c>
      <c r="E1221">
        <v>128.13999999999999</v>
      </c>
      <c r="F1221">
        <v>29847</v>
      </c>
      <c r="G1221" t="s">
        <v>9</v>
      </c>
      <c r="H1221">
        <f>_xlfn.LET(_xlpm.v, IFERROR(VLOOKUP($A1221, manifest!$A:$E, 3, FALSE), ""), IF(OR(_xlpm.v=0, _xlpm.v=""), "", _xlpm.v))</f>
        <v>58</v>
      </c>
      <c r="I1221" t="str">
        <f>_xlfn.LET(_xlpm.v, IFERROR(VLOOKUP($A1221, manifest!$A:$E, 5, FALSE), ""), IF(OR(_xlpm.v=0, _xlpm.v=""), "", _xlpm.v))</f>
        <v>male</v>
      </c>
    </row>
    <row r="1222" spans="1:9" x14ac:dyDescent="0.6">
      <c r="A1222">
        <v>264</v>
      </c>
      <c r="B1222" t="s">
        <v>14</v>
      </c>
      <c r="C1222" t="s">
        <v>10</v>
      </c>
      <c r="D1222">
        <v>223.26</v>
      </c>
      <c r="E1222">
        <v>158.19999999999999</v>
      </c>
      <c r="F1222">
        <v>30783</v>
      </c>
      <c r="H1222">
        <f>_xlfn.LET(_xlpm.v, IFERROR(VLOOKUP($A1222, manifest!$A:$E, 3, FALSE), ""), IF(OR(_xlpm.v=0, _xlpm.v=""), "", _xlpm.v))</f>
        <v>58</v>
      </c>
      <c r="I1222" t="str">
        <f>_xlfn.LET(_xlpm.v, IFERROR(VLOOKUP($A1222, manifest!$A:$E, 5, FALSE), ""), IF(OR(_xlpm.v=0, _xlpm.v=""), "", _xlpm.v))</f>
        <v>male</v>
      </c>
    </row>
    <row r="1223" spans="1:9" x14ac:dyDescent="0.6">
      <c r="A1223">
        <v>264</v>
      </c>
      <c r="B1223" t="s">
        <v>14</v>
      </c>
      <c r="C1223" t="s">
        <v>11</v>
      </c>
      <c r="D1223">
        <v>248.08</v>
      </c>
      <c r="E1223">
        <v>201.18</v>
      </c>
      <c r="F1223">
        <v>29819</v>
      </c>
      <c r="H1223">
        <f>_xlfn.LET(_xlpm.v, IFERROR(VLOOKUP($A1223, manifest!$A:$E, 3, FALSE), ""), IF(OR(_xlpm.v=0, _xlpm.v=""), "", _xlpm.v))</f>
        <v>58</v>
      </c>
      <c r="I1223" t="str">
        <f>_xlfn.LET(_xlpm.v, IFERROR(VLOOKUP($A1223, manifest!$A:$E, 5, FALSE), ""), IF(OR(_xlpm.v=0, _xlpm.v=""), "", _xlpm.v))</f>
        <v>male</v>
      </c>
    </row>
    <row r="1224" spans="1:9" x14ac:dyDescent="0.6">
      <c r="A1224">
        <v>264</v>
      </c>
      <c r="B1224" t="s">
        <v>14</v>
      </c>
      <c r="C1224" t="s">
        <v>12</v>
      </c>
      <c r="D1224">
        <v>242.86</v>
      </c>
      <c r="E1224">
        <v>184.61</v>
      </c>
      <c r="F1224">
        <v>26145</v>
      </c>
      <c r="H1224">
        <f>_xlfn.LET(_xlpm.v, IFERROR(VLOOKUP($A1224, manifest!$A:$E, 3, FALSE), ""), IF(OR(_xlpm.v=0, _xlpm.v=""), "", _xlpm.v))</f>
        <v>58</v>
      </c>
      <c r="I1224" t="str">
        <f>_xlfn.LET(_xlpm.v, IFERROR(VLOOKUP($A1224, manifest!$A:$E, 5, FALSE), ""), IF(OR(_xlpm.v=0, _xlpm.v=""), "", _xlpm.v))</f>
        <v>male</v>
      </c>
    </row>
    <row r="1225" spans="1:9" x14ac:dyDescent="0.6">
      <c r="A1225">
        <v>264</v>
      </c>
      <c r="B1225" t="s">
        <v>14</v>
      </c>
      <c r="C1225" t="s">
        <v>13</v>
      </c>
      <c r="D1225">
        <v>256.01</v>
      </c>
      <c r="E1225">
        <v>185.15</v>
      </c>
      <c r="F1225">
        <v>35565</v>
      </c>
      <c r="H1225">
        <f>_xlfn.LET(_xlpm.v, IFERROR(VLOOKUP($A1225, manifest!$A:$E, 3, FALSE), ""), IF(OR(_xlpm.v=0, _xlpm.v=""), "", _xlpm.v))</f>
        <v>58</v>
      </c>
      <c r="I1225" t="str">
        <f>_xlfn.LET(_xlpm.v, IFERROR(VLOOKUP($A1225, manifest!$A:$E, 5, FALSE), ""), IF(OR(_xlpm.v=0, _xlpm.v=""), "", _xlpm.v))</f>
        <v>male</v>
      </c>
    </row>
    <row r="1226" spans="1:9" x14ac:dyDescent="0.6">
      <c r="A1226">
        <v>261</v>
      </c>
      <c r="B1226" t="s">
        <v>14</v>
      </c>
      <c r="C1226" t="s">
        <v>8</v>
      </c>
      <c r="D1226">
        <v>180.64</v>
      </c>
      <c r="E1226">
        <v>108.73</v>
      </c>
      <c r="F1226">
        <v>37965</v>
      </c>
      <c r="G1226" t="s">
        <v>9</v>
      </c>
      <c r="H1226">
        <f>_xlfn.LET(_xlpm.v, IFERROR(VLOOKUP($A1226, manifest!$A:$E, 3, FALSE), ""), IF(OR(_xlpm.v=0, _xlpm.v=""), "", _xlpm.v))</f>
        <v>67</v>
      </c>
      <c r="I1226" t="str">
        <f>_xlfn.LET(_xlpm.v, IFERROR(VLOOKUP($A1226, manifest!$A:$E, 5, FALSE), ""), IF(OR(_xlpm.v=0, _xlpm.v=""), "", _xlpm.v))</f>
        <v>male</v>
      </c>
    </row>
    <row r="1227" spans="1:9" x14ac:dyDescent="0.6">
      <c r="A1227">
        <v>261</v>
      </c>
      <c r="B1227" t="s">
        <v>14</v>
      </c>
      <c r="C1227" t="s">
        <v>10</v>
      </c>
      <c r="D1227">
        <v>191.01</v>
      </c>
      <c r="E1227">
        <v>122.48</v>
      </c>
      <c r="F1227">
        <v>46900</v>
      </c>
      <c r="H1227">
        <f>_xlfn.LET(_xlpm.v, IFERROR(VLOOKUP($A1227, manifest!$A:$E, 3, FALSE), ""), IF(OR(_xlpm.v=0, _xlpm.v=""), "", _xlpm.v))</f>
        <v>67</v>
      </c>
      <c r="I1227" t="str">
        <f>_xlfn.LET(_xlpm.v, IFERROR(VLOOKUP($A1227, manifest!$A:$E, 5, FALSE), ""), IF(OR(_xlpm.v=0, _xlpm.v=""), "", _xlpm.v))</f>
        <v>male</v>
      </c>
    </row>
    <row r="1228" spans="1:9" x14ac:dyDescent="0.6">
      <c r="A1228">
        <v>261</v>
      </c>
      <c r="B1228" t="s">
        <v>14</v>
      </c>
      <c r="C1228" t="s">
        <v>11</v>
      </c>
      <c r="D1228">
        <v>228.37</v>
      </c>
      <c r="E1228">
        <v>152.47999999999999</v>
      </c>
      <c r="F1228">
        <v>47233</v>
      </c>
      <c r="H1228">
        <f>_xlfn.LET(_xlpm.v, IFERROR(VLOOKUP($A1228, manifest!$A:$E, 3, FALSE), ""), IF(OR(_xlpm.v=0, _xlpm.v=""), "", _xlpm.v))</f>
        <v>67</v>
      </c>
      <c r="I1228" t="str">
        <f>_xlfn.LET(_xlpm.v, IFERROR(VLOOKUP($A1228, manifest!$A:$E, 5, FALSE), ""), IF(OR(_xlpm.v=0, _xlpm.v=""), "", _xlpm.v))</f>
        <v>male</v>
      </c>
    </row>
    <row r="1229" spans="1:9" x14ac:dyDescent="0.6">
      <c r="A1229">
        <v>261</v>
      </c>
      <c r="B1229" t="s">
        <v>14</v>
      </c>
      <c r="C1229" t="s">
        <v>12</v>
      </c>
      <c r="D1229">
        <v>200.68</v>
      </c>
      <c r="E1229">
        <v>140.54</v>
      </c>
      <c r="F1229">
        <v>51088</v>
      </c>
      <c r="H1229">
        <f>_xlfn.LET(_xlpm.v, IFERROR(VLOOKUP($A1229, manifest!$A:$E, 3, FALSE), ""), IF(OR(_xlpm.v=0, _xlpm.v=""), "", _xlpm.v))</f>
        <v>67</v>
      </c>
      <c r="I1229" t="str">
        <f>_xlfn.LET(_xlpm.v, IFERROR(VLOOKUP($A1229, manifest!$A:$E, 5, FALSE), ""), IF(OR(_xlpm.v=0, _xlpm.v=""), "", _xlpm.v))</f>
        <v>male</v>
      </c>
    </row>
    <row r="1230" spans="1:9" x14ac:dyDescent="0.6">
      <c r="A1230">
        <v>261</v>
      </c>
      <c r="B1230" t="s">
        <v>14</v>
      </c>
      <c r="C1230" t="s">
        <v>13</v>
      </c>
      <c r="D1230">
        <v>228.22</v>
      </c>
      <c r="E1230">
        <v>160.94999999999999</v>
      </c>
      <c r="F1230">
        <v>54886</v>
      </c>
      <c r="H1230">
        <f>_xlfn.LET(_xlpm.v, IFERROR(VLOOKUP($A1230, manifest!$A:$E, 3, FALSE), ""), IF(OR(_xlpm.v=0, _xlpm.v=""), "", _xlpm.v))</f>
        <v>67</v>
      </c>
      <c r="I1230" t="str">
        <f>_xlfn.LET(_xlpm.v, IFERROR(VLOOKUP($A1230, manifest!$A:$E, 5, FALSE), ""), IF(OR(_xlpm.v=0, _xlpm.v=""), "", _xlpm.v))</f>
        <v>male</v>
      </c>
    </row>
    <row r="1231" spans="1:9" x14ac:dyDescent="0.6">
      <c r="A1231">
        <v>261</v>
      </c>
      <c r="B1231" t="s">
        <v>14</v>
      </c>
      <c r="C1231" t="s">
        <v>16</v>
      </c>
      <c r="D1231">
        <v>263.08999999999997</v>
      </c>
      <c r="E1231">
        <v>177.68</v>
      </c>
      <c r="F1231">
        <v>59685</v>
      </c>
      <c r="H1231">
        <f>_xlfn.LET(_xlpm.v, IFERROR(VLOOKUP($A1231, manifest!$A:$E, 3, FALSE), ""), IF(OR(_xlpm.v=0, _xlpm.v=""), "", _xlpm.v))</f>
        <v>67</v>
      </c>
      <c r="I1231" t="str">
        <f>_xlfn.LET(_xlpm.v, IFERROR(VLOOKUP($A1231, manifest!$A:$E, 5, FALSE), ""), IF(OR(_xlpm.v=0, _xlpm.v=""), "", _xlpm.v))</f>
        <v>male</v>
      </c>
    </row>
    <row r="1232" spans="1:9" x14ac:dyDescent="0.6">
      <c r="A1232">
        <v>262</v>
      </c>
      <c r="B1232" t="s">
        <v>7</v>
      </c>
      <c r="C1232" t="s">
        <v>8</v>
      </c>
      <c r="D1232">
        <v>372.19</v>
      </c>
      <c r="E1232">
        <v>277.61</v>
      </c>
      <c r="F1232">
        <v>43806</v>
      </c>
      <c r="G1232" t="s">
        <v>9</v>
      </c>
      <c r="H1232">
        <f>_xlfn.LET(_xlpm.v, IFERROR(VLOOKUP($A1232, manifest!$A:$E, 3, FALSE), ""), IF(OR(_xlpm.v=0, _xlpm.v=""), "", _xlpm.v))</f>
        <v>77</v>
      </c>
      <c r="I1232" t="str">
        <f>_xlfn.LET(_xlpm.v, IFERROR(VLOOKUP($A1232, manifest!$A:$E, 5, FALSE), ""), IF(OR(_xlpm.v=0, _xlpm.v=""), "", _xlpm.v))</f>
        <v>male</v>
      </c>
    </row>
    <row r="1233" spans="1:9" x14ac:dyDescent="0.6">
      <c r="A1233">
        <v>262</v>
      </c>
      <c r="B1233" t="s">
        <v>7</v>
      </c>
      <c r="C1233" t="s">
        <v>10</v>
      </c>
      <c r="D1233">
        <v>390.05</v>
      </c>
      <c r="E1233">
        <v>328.94</v>
      </c>
      <c r="F1233">
        <v>48152</v>
      </c>
      <c r="H1233">
        <f>_xlfn.LET(_xlpm.v, IFERROR(VLOOKUP($A1233, manifest!$A:$E, 3, FALSE), ""), IF(OR(_xlpm.v=0, _xlpm.v=""), "", _xlpm.v))</f>
        <v>77</v>
      </c>
      <c r="I1233" t="str">
        <f>_xlfn.LET(_xlpm.v, IFERROR(VLOOKUP($A1233, manifest!$A:$E, 5, FALSE), ""), IF(OR(_xlpm.v=0, _xlpm.v=""), "", _xlpm.v))</f>
        <v>male</v>
      </c>
    </row>
    <row r="1234" spans="1:9" x14ac:dyDescent="0.6">
      <c r="A1234">
        <v>262</v>
      </c>
      <c r="B1234" t="s">
        <v>7</v>
      </c>
      <c r="C1234" t="s">
        <v>11</v>
      </c>
      <c r="D1234">
        <v>386.45</v>
      </c>
      <c r="E1234">
        <v>337.82</v>
      </c>
      <c r="F1234">
        <v>44196</v>
      </c>
      <c r="H1234">
        <f>_xlfn.LET(_xlpm.v, IFERROR(VLOOKUP($A1234, manifest!$A:$E, 3, FALSE), ""), IF(OR(_xlpm.v=0, _xlpm.v=""), "", _xlpm.v))</f>
        <v>77</v>
      </c>
      <c r="I1234" t="str">
        <f>_xlfn.LET(_xlpm.v, IFERROR(VLOOKUP($A1234, manifest!$A:$E, 5, FALSE), ""), IF(OR(_xlpm.v=0, _xlpm.v=""), "", _xlpm.v))</f>
        <v>male</v>
      </c>
    </row>
    <row r="1235" spans="1:9" x14ac:dyDescent="0.6">
      <c r="A1235">
        <v>262</v>
      </c>
      <c r="B1235" t="s">
        <v>7</v>
      </c>
      <c r="C1235" t="s">
        <v>12</v>
      </c>
      <c r="D1235">
        <v>371.6</v>
      </c>
      <c r="E1235">
        <v>310.33</v>
      </c>
      <c r="F1235">
        <v>51817</v>
      </c>
      <c r="H1235">
        <f>_xlfn.LET(_xlpm.v, IFERROR(VLOOKUP($A1235, manifest!$A:$E, 3, FALSE), ""), IF(OR(_xlpm.v=0, _xlpm.v=""), "", _xlpm.v))</f>
        <v>77</v>
      </c>
      <c r="I1235" t="str">
        <f>_xlfn.LET(_xlpm.v, IFERROR(VLOOKUP($A1235, manifest!$A:$E, 5, FALSE), ""), IF(OR(_xlpm.v=0, _xlpm.v=""), "", _xlpm.v))</f>
        <v>male</v>
      </c>
    </row>
    <row r="1236" spans="1:9" x14ac:dyDescent="0.6">
      <c r="A1236">
        <v>262</v>
      </c>
      <c r="B1236" t="s">
        <v>7</v>
      </c>
      <c r="C1236" t="s">
        <v>13</v>
      </c>
      <c r="D1236">
        <v>343.89</v>
      </c>
      <c r="E1236">
        <v>282.72000000000003</v>
      </c>
      <c r="F1236">
        <v>60601</v>
      </c>
      <c r="H1236">
        <f>_xlfn.LET(_xlpm.v, IFERROR(VLOOKUP($A1236, manifest!$A:$E, 3, FALSE), ""), IF(OR(_xlpm.v=0, _xlpm.v=""), "", _xlpm.v))</f>
        <v>77</v>
      </c>
      <c r="I1236" t="str">
        <f>_xlfn.LET(_xlpm.v, IFERROR(VLOOKUP($A1236, manifest!$A:$E, 5, FALSE), ""), IF(OR(_xlpm.v=0, _xlpm.v=""), "", _xlpm.v))</f>
        <v>male</v>
      </c>
    </row>
    <row r="1237" spans="1:9" x14ac:dyDescent="0.6">
      <c r="A1237">
        <v>246</v>
      </c>
      <c r="B1237" t="s">
        <v>7</v>
      </c>
      <c r="C1237" t="s">
        <v>8</v>
      </c>
      <c r="D1237">
        <v>226.5</v>
      </c>
      <c r="E1237">
        <v>172.45</v>
      </c>
      <c r="F1237">
        <v>50005</v>
      </c>
      <c r="G1237" t="s">
        <v>9</v>
      </c>
      <c r="H1237">
        <f>_xlfn.LET(_xlpm.v, IFERROR(VLOOKUP($A1237, manifest!$A:$E, 3, FALSE), ""), IF(OR(_xlpm.v=0, _xlpm.v=""), "", _xlpm.v))</f>
        <v>50</v>
      </c>
      <c r="I1237" t="str">
        <f>_xlfn.LET(_xlpm.v, IFERROR(VLOOKUP($A1237, manifest!$A:$E, 5, FALSE), ""), IF(OR(_xlpm.v=0, _xlpm.v=""), "", _xlpm.v))</f>
        <v>male</v>
      </c>
    </row>
    <row r="1238" spans="1:9" x14ac:dyDescent="0.6">
      <c r="A1238">
        <v>246</v>
      </c>
      <c r="B1238" t="s">
        <v>7</v>
      </c>
      <c r="C1238" t="s">
        <v>10</v>
      </c>
      <c r="D1238">
        <v>242.65</v>
      </c>
      <c r="E1238">
        <v>201.66</v>
      </c>
      <c r="F1238">
        <v>51421</v>
      </c>
      <c r="H1238">
        <f>_xlfn.LET(_xlpm.v, IFERROR(VLOOKUP($A1238, manifest!$A:$E, 3, FALSE), ""), IF(OR(_xlpm.v=0, _xlpm.v=""), "", _xlpm.v))</f>
        <v>50</v>
      </c>
      <c r="I1238" t="str">
        <f>_xlfn.LET(_xlpm.v, IFERROR(VLOOKUP($A1238, manifest!$A:$E, 5, FALSE), ""), IF(OR(_xlpm.v=0, _xlpm.v=""), "", _xlpm.v))</f>
        <v>male</v>
      </c>
    </row>
    <row r="1239" spans="1:9" x14ac:dyDescent="0.6">
      <c r="A1239">
        <v>246</v>
      </c>
      <c r="B1239" t="s">
        <v>7</v>
      </c>
      <c r="C1239" t="s">
        <v>11</v>
      </c>
      <c r="D1239">
        <v>229.87</v>
      </c>
      <c r="E1239">
        <v>189.98</v>
      </c>
      <c r="F1239">
        <v>63170</v>
      </c>
      <c r="H1239">
        <f>_xlfn.LET(_xlpm.v, IFERROR(VLOOKUP($A1239, manifest!$A:$E, 3, FALSE), ""), IF(OR(_xlpm.v=0, _xlpm.v=""), "", _xlpm.v))</f>
        <v>50</v>
      </c>
      <c r="I1239" t="str">
        <f>_xlfn.LET(_xlpm.v, IFERROR(VLOOKUP($A1239, manifest!$A:$E, 5, FALSE), ""), IF(OR(_xlpm.v=0, _xlpm.v=""), "", _xlpm.v))</f>
        <v>male</v>
      </c>
    </row>
    <row r="1240" spans="1:9" x14ac:dyDescent="0.6">
      <c r="A1240">
        <v>246</v>
      </c>
      <c r="B1240" t="s">
        <v>7</v>
      </c>
      <c r="C1240" t="s">
        <v>12</v>
      </c>
      <c r="D1240">
        <v>215.34</v>
      </c>
      <c r="E1240">
        <v>175.13</v>
      </c>
      <c r="F1240">
        <v>67220</v>
      </c>
      <c r="H1240">
        <f>_xlfn.LET(_xlpm.v, IFERROR(VLOOKUP($A1240, manifest!$A:$E, 3, FALSE), ""), IF(OR(_xlpm.v=0, _xlpm.v=""), "", _xlpm.v))</f>
        <v>50</v>
      </c>
      <c r="I1240" t="str">
        <f>_xlfn.LET(_xlpm.v, IFERROR(VLOOKUP($A1240, manifest!$A:$E, 5, FALSE), ""), IF(OR(_xlpm.v=0, _xlpm.v=""), "", _xlpm.v))</f>
        <v>male</v>
      </c>
    </row>
    <row r="1241" spans="1:9" x14ac:dyDescent="0.6">
      <c r="A1241">
        <v>246</v>
      </c>
      <c r="B1241" t="s">
        <v>7</v>
      </c>
      <c r="C1241" t="s">
        <v>13</v>
      </c>
      <c r="D1241">
        <v>218.69</v>
      </c>
      <c r="E1241">
        <v>188.16</v>
      </c>
      <c r="F1241">
        <v>85177</v>
      </c>
      <c r="H1241">
        <f>_xlfn.LET(_xlpm.v, IFERROR(VLOOKUP($A1241, manifest!$A:$E, 3, FALSE), ""), IF(OR(_xlpm.v=0, _xlpm.v=""), "", _xlpm.v))</f>
        <v>50</v>
      </c>
      <c r="I1241" t="str">
        <f>_xlfn.LET(_xlpm.v, IFERROR(VLOOKUP($A1241, manifest!$A:$E, 5, FALSE), ""), IF(OR(_xlpm.v=0, _xlpm.v=""), "", _xlpm.v))</f>
        <v>male</v>
      </c>
    </row>
    <row r="1242" spans="1:9" x14ac:dyDescent="0.6">
      <c r="A1242">
        <v>282</v>
      </c>
      <c r="B1242" t="s">
        <v>14</v>
      </c>
      <c r="C1242" t="s">
        <v>8</v>
      </c>
      <c r="D1242">
        <v>143.31</v>
      </c>
      <c r="E1242">
        <v>104.16</v>
      </c>
      <c r="F1242">
        <v>26122</v>
      </c>
      <c r="G1242" t="s">
        <v>15</v>
      </c>
      <c r="H1242">
        <f>_xlfn.LET(_xlpm.v, IFERROR(VLOOKUP($A1242, manifest!$A:$E, 3, FALSE), ""), IF(OR(_xlpm.v=0, _xlpm.v=""), "", _xlpm.v))</f>
        <v>54</v>
      </c>
      <c r="I1242" t="str">
        <f>_xlfn.LET(_xlpm.v, IFERROR(VLOOKUP($A1242, manifest!$A:$E, 5, FALSE), ""), IF(OR(_xlpm.v=0, _xlpm.v=""), "", _xlpm.v))</f>
        <v>female</v>
      </c>
    </row>
    <row r="1243" spans="1:9" x14ac:dyDescent="0.6">
      <c r="A1243">
        <v>282</v>
      </c>
      <c r="B1243" t="s">
        <v>14</v>
      </c>
      <c r="C1243" t="s">
        <v>10</v>
      </c>
      <c r="D1243">
        <v>139.63</v>
      </c>
      <c r="E1243">
        <v>112.36</v>
      </c>
      <c r="F1243">
        <v>28031</v>
      </c>
      <c r="H1243">
        <f>_xlfn.LET(_xlpm.v, IFERROR(VLOOKUP($A1243, manifest!$A:$E, 3, FALSE), ""), IF(OR(_xlpm.v=0, _xlpm.v=""), "", _xlpm.v))</f>
        <v>54</v>
      </c>
      <c r="I1243" t="str">
        <f>_xlfn.LET(_xlpm.v, IFERROR(VLOOKUP($A1243, manifest!$A:$E, 5, FALSE), ""), IF(OR(_xlpm.v=0, _xlpm.v=""), "", _xlpm.v))</f>
        <v>female</v>
      </c>
    </row>
    <row r="1244" spans="1:9" x14ac:dyDescent="0.6">
      <c r="A1244">
        <v>282</v>
      </c>
      <c r="B1244" t="s">
        <v>14</v>
      </c>
      <c r="C1244" t="s">
        <v>11</v>
      </c>
      <c r="D1244">
        <v>134.16</v>
      </c>
      <c r="E1244">
        <v>121.94</v>
      </c>
      <c r="F1244">
        <v>39615</v>
      </c>
      <c r="H1244">
        <f>_xlfn.LET(_xlpm.v, IFERROR(VLOOKUP($A1244, manifest!$A:$E, 3, FALSE), ""), IF(OR(_xlpm.v=0, _xlpm.v=""), "", _xlpm.v))</f>
        <v>54</v>
      </c>
      <c r="I1244" t="str">
        <f>_xlfn.LET(_xlpm.v, IFERROR(VLOOKUP($A1244, manifest!$A:$E, 5, FALSE), ""), IF(OR(_xlpm.v=0, _xlpm.v=""), "", _xlpm.v))</f>
        <v>female</v>
      </c>
    </row>
    <row r="1245" spans="1:9" x14ac:dyDescent="0.6">
      <c r="A1245">
        <v>282</v>
      </c>
      <c r="B1245" t="s">
        <v>14</v>
      </c>
      <c r="C1245" t="s">
        <v>12</v>
      </c>
      <c r="D1245">
        <v>143.80000000000001</v>
      </c>
      <c r="E1245">
        <v>149.38999999999999</v>
      </c>
      <c r="F1245">
        <v>48419</v>
      </c>
      <c r="H1245">
        <f>_xlfn.LET(_xlpm.v, IFERROR(VLOOKUP($A1245, manifest!$A:$E, 3, FALSE), ""), IF(OR(_xlpm.v=0, _xlpm.v=""), "", _xlpm.v))</f>
        <v>54</v>
      </c>
      <c r="I1245" t="str">
        <f>_xlfn.LET(_xlpm.v, IFERROR(VLOOKUP($A1245, manifest!$A:$E, 5, FALSE), ""), IF(OR(_xlpm.v=0, _xlpm.v=""), "", _xlpm.v))</f>
        <v>female</v>
      </c>
    </row>
    <row r="1246" spans="1:9" x14ac:dyDescent="0.6">
      <c r="A1246">
        <v>282</v>
      </c>
      <c r="B1246" t="s">
        <v>14</v>
      </c>
      <c r="C1246" t="s">
        <v>13</v>
      </c>
      <c r="D1246">
        <v>140.54</v>
      </c>
      <c r="E1246">
        <v>165.81</v>
      </c>
      <c r="F1246">
        <v>56818</v>
      </c>
      <c r="H1246">
        <f>_xlfn.LET(_xlpm.v, IFERROR(VLOOKUP($A1246, manifest!$A:$E, 3, FALSE), ""), IF(OR(_xlpm.v=0, _xlpm.v=""), "", _xlpm.v))</f>
        <v>54</v>
      </c>
      <c r="I1246" t="str">
        <f>_xlfn.LET(_xlpm.v, IFERROR(VLOOKUP($A1246, manifest!$A:$E, 5, FALSE), ""), IF(OR(_xlpm.v=0, _xlpm.v=""), "", _xlpm.v))</f>
        <v>female</v>
      </c>
    </row>
    <row r="1247" spans="1:9" x14ac:dyDescent="0.6">
      <c r="A1247">
        <v>245</v>
      </c>
      <c r="B1247" t="s">
        <v>7</v>
      </c>
      <c r="C1247" t="s">
        <v>8</v>
      </c>
      <c r="D1247">
        <v>137.99</v>
      </c>
      <c r="E1247">
        <v>96.7</v>
      </c>
      <c r="F1247">
        <v>21967</v>
      </c>
      <c r="G1247" t="s">
        <v>15</v>
      </c>
      <c r="H1247">
        <f>_xlfn.LET(_xlpm.v, IFERROR(VLOOKUP($A1247, manifest!$A:$E, 3, FALSE), ""), IF(OR(_xlpm.v=0, _xlpm.v=""), "", _xlpm.v))</f>
        <v>89</v>
      </c>
      <c r="I1247" t="str">
        <f>_xlfn.LET(_xlpm.v, IFERROR(VLOOKUP($A1247, manifest!$A:$E, 5, FALSE), ""), IF(OR(_xlpm.v=0, _xlpm.v=""), "", _xlpm.v))</f>
        <v/>
      </c>
    </row>
    <row r="1248" spans="1:9" x14ac:dyDescent="0.6">
      <c r="A1248">
        <v>245</v>
      </c>
      <c r="B1248" t="s">
        <v>7</v>
      </c>
      <c r="C1248" t="s">
        <v>10</v>
      </c>
      <c r="D1248">
        <v>143.56</v>
      </c>
      <c r="E1248">
        <v>104.66</v>
      </c>
      <c r="F1248">
        <v>27860</v>
      </c>
      <c r="H1248">
        <f>_xlfn.LET(_xlpm.v, IFERROR(VLOOKUP($A1248, manifest!$A:$E, 3, FALSE), ""), IF(OR(_xlpm.v=0, _xlpm.v=""), "", _xlpm.v))</f>
        <v>89</v>
      </c>
      <c r="I1248" t="str">
        <f>_xlfn.LET(_xlpm.v, IFERROR(VLOOKUP($A1248, manifest!$A:$E, 5, FALSE), ""), IF(OR(_xlpm.v=0, _xlpm.v=""), "", _xlpm.v))</f>
        <v/>
      </c>
    </row>
    <row r="1249" spans="1:9" x14ac:dyDescent="0.6">
      <c r="A1249">
        <v>245</v>
      </c>
      <c r="B1249" t="s">
        <v>7</v>
      </c>
      <c r="C1249" t="s">
        <v>11</v>
      </c>
      <c r="D1249">
        <v>131.35</v>
      </c>
      <c r="E1249">
        <v>109.74</v>
      </c>
      <c r="F1249">
        <v>33470</v>
      </c>
      <c r="H1249">
        <f>_xlfn.LET(_xlpm.v, IFERROR(VLOOKUP($A1249, manifest!$A:$E, 3, FALSE), ""), IF(OR(_xlpm.v=0, _xlpm.v=""), "", _xlpm.v))</f>
        <v>89</v>
      </c>
      <c r="I1249" t="str">
        <f>_xlfn.LET(_xlpm.v, IFERROR(VLOOKUP($A1249, manifest!$A:$E, 5, FALSE), ""), IF(OR(_xlpm.v=0, _xlpm.v=""), "", _xlpm.v))</f>
        <v/>
      </c>
    </row>
    <row r="1250" spans="1:9" x14ac:dyDescent="0.6">
      <c r="A1250">
        <v>245</v>
      </c>
      <c r="B1250" t="s">
        <v>7</v>
      </c>
      <c r="C1250" t="s">
        <v>12</v>
      </c>
      <c r="D1250">
        <v>133.53</v>
      </c>
      <c r="E1250">
        <v>112.46</v>
      </c>
      <c r="F1250">
        <v>39821</v>
      </c>
      <c r="H1250">
        <f>_xlfn.LET(_xlpm.v, IFERROR(VLOOKUP($A1250, manifest!$A:$E, 3, FALSE), ""), IF(OR(_xlpm.v=0, _xlpm.v=""), "", _xlpm.v))</f>
        <v>89</v>
      </c>
      <c r="I1250" t="str">
        <f>_xlfn.LET(_xlpm.v, IFERROR(VLOOKUP($A1250, manifest!$A:$E, 5, FALSE), ""), IF(OR(_xlpm.v=0, _xlpm.v=""), "", _xlpm.v))</f>
        <v/>
      </c>
    </row>
    <row r="1251" spans="1:9" x14ac:dyDescent="0.6">
      <c r="A1251">
        <v>245</v>
      </c>
      <c r="B1251" t="s">
        <v>7</v>
      </c>
      <c r="C1251" t="s">
        <v>13</v>
      </c>
      <c r="D1251">
        <v>164.35</v>
      </c>
      <c r="E1251">
        <v>107.34</v>
      </c>
      <c r="F1251">
        <v>37245</v>
      </c>
      <c r="H1251">
        <f>_xlfn.LET(_xlpm.v, IFERROR(VLOOKUP($A1251, manifest!$A:$E, 3, FALSE), ""), IF(OR(_xlpm.v=0, _xlpm.v=""), "", _xlpm.v))</f>
        <v>89</v>
      </c>
      <c r="I1251" t="str">
        <f>_xlfn.LET(_xlpm.v, IFERROR(VLOOKUP($A1251, manifest!$A:$E, 5, FALSE), ""), IF(OR(_xlpm.v=0, _xlpm.v=""), "", _xlpm.v))</f>
        <v/>
      </c>
    </row>
    <row r="1252" spans="1:9" x14ac:dyDescent="0.6">
      <c r="A1252">
        <v>250</v>
      </c>
      <c r="B1252" t="s">
        <v>7</v>
      </c>
      <c r="C1252" t="s">
        <v>8</v>
      </c>
      <c r="D1252">
        <v>158.06</v>
      </c>
      <c r="E1252">
        <v>141.94999999999999</v>
      </c>
      <c r="F1252">
        <v>28234</v>
      </c>
      <c r="G1252" t="s">
        <v>15</v>
      </c>
      <c r="H1252">
        <f>_xlfn.LET(_xlpm.v, IFERROR(VLOOKUP($A1252, manifest!$A:$E, 3, FALSE), ""), IF(OR(_xlpm.v=0, _xlpm.v=""), "", _xlpm.v))</f>
        <v>71</v>
      </c>
      <c r="I1252" t="str">
        <f>_xlfn.LET(_xlpm.v, IFERROR(VLOOKUP($A1252, manifest!$A:$E, 5, FALSE), ""), IF(OR(_xlpm.v=0, _xlpm.v=""), "", _xlpm.v))</f>
        <v>male</v>
      </c>
    </row>
    <row r="1253" spans="1:9" x14ac:dyDescent="0.6">
      <c r="A1253">
        <v>250</v>
      </c>
      <c r="B1253" t="s">
        <v>7</v>
      </c>
      <c r="C1253" t="s">
        <v>10</v>
      </c>
      <c r="D1253">
        <v>175.87</v>
      </c>
      <c r="E1253">
        <v>171.99</v>
      </c>
      <c r="F1253">
        <v>30068</v>
      </c>
      <c r="H1253">
        <f>_xlfn.LET(_xlpm.v, IFERROR(VLOOKUP($A1253, manifest!$A:$E, 3, FALSE), ""), IF(OR(_xlpm.v=0, _xlpm.v=""), "", _xlpm.v))</f>
        <v>71</v>
      </c>
      <c r="I1253" t="str">
        <f>_xlfn.LET(_xlpm.v, IFERROR(VLOOKUP($A1253, manifest!$A:$E, 5, FALSE), ""), IF(OR(_xlpm.v=0, _xlpm.v=""), "", _xlpm.v))</f>
        <v>male</v>
      </c>
    </row>
    <row r="1254" spans="1:9" x14ac:dyDescent="0.6">
      <c r="A1254">
        <v>250</v>
      </c>
      <c r="B1254" t="s">
        <v>7</v>
      </c>
      <c r="C1254" t="s">
        <v>11</v>
      </c>
      <c r="D1254">
        <v>182.8</v>
      </c>
      <c r="E1254">
        <v>146.87</v>
      </c>
      <c r="F1254">
        <v>34614</v>
      </c>
      <c r="H1254">
        <f>_xlfn.LET(_xlpm.v, IFERROR(VLOOKUP($A1254, manifest!$A:$E, 3, FALSE), ""), IF(OR(_xlpm.v=0, _xlpm.v=""), "", _xlpm.v))</f>
        <v>71</v>
      </c>
      <c r="I1254" t="str">
        <f>_xlfn.LET(_xlpm.v, IFERROR(VLOOKUP($A1254, manifest!$A:$E, 5, FALSE), ""), IF(OR(_xlpm.v=0, _xlpm.v=""), "", _xlpm.v))</f>
        <v>male</v>
      </c>
    </row>
    <row r="1255" spans="1:9" x14ac:dyDescent="0.6">
      <c r="A1255">
        <v>250</v>
      </c>
      <c r="B1255" t="s">
        <v>7</v>
      </c>
      <c r="C1255" t="s">
        <v>12</v>
      </c>
      <c r="D1255">
        <v>189.31</v>
      </c>
      <c r="E1255">
        <v>154.34</v>
      </c>
      <c r="F1255">
        <v>45266</v>
      </c>
      <c r="H1255">
        <f>_xlfn.LET(_xlpm.v, IFERROR(VLOOKUP($A1255, manifest!$A:$E, 3, FALSE), ""), IF(OR(_xlpm.v=0, _xlpm.v=""), "", _xlpm.v))</f>
        <v>71</v>
      </c>
      <c r="I1255" t="str">
        <f>_xlfn.LET(_xlpm.v, IFERROR(VLOOKUP($A1255, manifest!$A:$E, 5, FALSE), ""), IF(OR(_xlpm.v=0, _xlpm.v=""), "", _xlpm.v))</f>
        <v>male</v>
      </c>
    </row>
    <row r="1256" spans="1:9" x14ac:dyDescent="0.6">
      <c r="A1256">
        <v>250</v>
      </c>
      <c r="B1256" t="s">
        <v>7</v>
      </c>
      <c r="C1256" t="s">
        <v>13</v>
      </c>
      <c r="D1256">
        <v>193.46</v>
      </c>
      <c r="E1256">
        <v>172.31</v>
      </c>
      <c r="F1256">
        <v>45637</v>
      </c>
      <c r="H1256">
        <f>_xlfn.LET(_xlpm.v, IFERROR(VLOOKUP($A1256, manifest!$A:$E, 3, FALSE), ""), IF(OR(_xlpm.v=0, _xlpm.v=""), "", _xlpm.v))</f>
        <v>71</v>
      </c>
      <c r="I1256" t="str">
        <f>_xlfn.LET(_xlpm.v, IFERROR(VLOOKUP($A1256, manifest!$A:$E, 5, FALSE), ""), IF(OR(_xlpm.v=0, _xlpm.v=""), "", _xlpm.v))</f>
        <v>male</v>
      </c>
    </row>
    <row r="1257" spans="1:9" x14ac:dyDescent="0.6">
      <c r="A1257">
        <v>266</v>
      </c>
      <c r="B1257" t="s">
        <v>7</v>
      </c>
      <c r="C1257" t="s">
        <v>8</v>
      </c>
      <c r="D1257">
        <v>174.6</v>
      </c>
      <c r="E1257">
        <v>109.82</v>
      </c>
      <c r="F1257">
        <v>33721</v>
      </c>
      <c r="G1257" t="s">
        <v>9</v>
      </c>
      <c r="H1257">
        <f>_xlfn.LET(_xlpm.v, IFERROR(VLOOKUP($A1257, manifest!$A:$E, 3, FALSE), ""), IF(OR(_xlpm.v=0, _xlpm.v=""), "", _xlpm.v))</f>
        <v>53</v>
      </c>
      <c r="I1257" t="str">
        <f>_xlfn.LET(_xlpm.v, IFERROR(VLOOKUP($A1257, manifest!$A:$E, 5, FALSE), ""), IF(OR(_xlpm.v=0, _xlpm.v=""), "", _xlpm.v))</f>
        <v>female</v>
      </c>
    </row>
    <row r="1258" spans="1:9" x14ac:dyDescent="0.6">
      <c r="A1258">
        <v>266</v>
      </c>
      <c r="B1258" t="s">
        <v>7</v>
      </c>
      <c r="C1258" t="s">
        <v>10</v>
      </c>
      <c r="D1258">
        <v>204.01</v>
      </c>
      <c r="E1258">
        <v>165.83</v>
      </c>
      <c r="F1258">
        <v>34006</v>
      </c>
      <c r="H1258">
        <f>_xlfn.LET(_xlpm.v, IFERROR(VLOOKUP($A1258, manifest!$A:$E, 3, FALSE), ""), IF(OR(_xlpm.v=0, _xlpm.v=""), "", _xlpm.v))</f>
        <v>53</v>
      </c>
      <c r="I1258" t="str">
        <f>_xlfn.LET(_xlpm.v, IFERROR(VLOOKUP($A1258, manifest!$A:$E, 5, FALSE), ""), IF(OR(_xlpm.v=0, _xlpm.v=""), "", _xlpm.v))</f>
        <v>female</v>
      </c>
    </row>
    <row r="1259" spans="1:9" x14ac:dyDescent="0.6">
      <c r="A1259">
        <v>266</v>
      </c>
      <c r="B1259" t="s">
        <v>7</v>
      </c>
      <c r="C1259" t="s">
        <v>11</v>
      </c>
      <c r="D1259">
        <v>202.8</v>
      </c>
      <c r="E1259">
        <v>172.94</v>
      </c>
      <c r="F1259">
        <v>45195</v>
      </c>
      <c r="H1259">
        <f>_xlfn.LET(_xlpm.v, IFERROR(VLOOKUP($A1259, manifest!$A:$E, 3, FALSE), ""), IF(OR(_xlpm.v=0, _xlpm.v=""), "", _xlpm.v))</f>
        <v>53</v>
      </c>
      <c r="I1259" t="str">
        <f>_xlfn.LET(_xlpm.v, IFERROR(VLOOKUP($A1259, manifest!$A:$E, 5, FALSE), ""), IF(OR(_xlpm.v=0, _xlpm.v=""), "", _xlpm.v))</f>
        <v>female</v>
      </c>
    </row>
    <row r="1260" spans="1:9" x14ac:dyDescent="0.6">
      <c r="A1260">
        <v>266</v>
      </c>
      <c r="B1260" t="s">
        <v>7</v>
      </c>
      <c r="C1260" t="s">
        <v>12</v>
      </c>
      <c r="D1260">
        <v>182.91</v>
      </c>
      <c r="E1260">
        <v>156.37</v>
      </c>
      <c r="F1260">
        <v>54409</v>
      </c>
      <c r="H1260">
        <f>_xlfn.LET(_xlpm.v, IFERROR(VLOOKUP($A1260, manifest!$A:$E, 3, FALSE), ""), IF(OR(_xlpm.v=0, _xlpm.v=""), "", _xlpm.v))</f>
        <v>53</v>
      </c>
      <c r="I1260" t="str">
        <f>_xlfn.LET(_xlpm.v, IFERROR(VLOOKUP($A1260, manifest!$A:$E, 5, FALSE), ""), IF(OR(_xlpm.v=0, _xlpm.v=""), "", _xlpm.v))</f>
        <v>female</v>
      </c>
    </row>
    <row r="1261" spans="1:9" x14ac:dyDescent="0.6">
      <c r="A1261">
        <v>266</v>
      </c>
      <c r="B1261" t="s">
        <v>7</v>
      </c>
      <c r="C1261" t="s">
        <v>13</v>
      </c>
      <c r="D1261">
        <v>261.37</v>
      </c>
      <c r="E1261">
        <v>205.9</v>
      </c>
      <c r="F1261">
        <v>53870</v>
      </c>
      <c r="H1261">
        <f>_xlfn.LET(_xlpm.v, IFERROR(VLOOKUP($A1261, manifest!$A:$E, 3, FALSE), ""), IF(OR(_xlpm.v=0, _xlpm.v=""), "", _xlpm.v))</f>
        <v>53</v>
      </c>
      <c r="I1261" t="str">
        <f>_xlfn.LET(_xlpm.v, IFERROR(VLOOKUP($A1261, manifest!$A:$E, 5, FALSE), ""), IF(OR(_xlpm.v=0, _xlpm.v=""), "", _xlpm.v))</f>
        <v>female</v>
      </c>
    </row>
    <row r="1262" spans="1:9" x14ac:dyDescent="0.6">
      <c r="A1262">
        <v>269</v>
      </c>
      <c r="B1262" t="s">
        <v>14</v>
      </c>
      <c r="C1262" t="s">
        <v>8</v>
      </c>
      <c r="D1262">
        <v>104.79</v>
      </c>
      <c r="E1262">
        <v>126.64</v>
      </c>
      <c r="F1262">
        <v>59959</v>
      </c>
      <c r="G1262" t="s">
        <v>17</v>
      </c>
      <c r="H1262">
        <f>_xlfn.LET(_xlpm.v, IFERROR(VLOOKUP($A1262, manifest!$A:$E, 3, FALSE), ""), IF(OR(_xlpm.v=0, _xlpm.v=""), "", _xlpm.v))</f>
        <v>62</v>
      </c>
      <c r="I1262" t="str">
        <f>_xlfn.LET(_xlpm.v, IFERROR(VLOOKUP($A1262, manifest!$A:$E, 5, FALSE), ""), IF(OR(_xlpm.v=0, _xlpm.v=""), "", _xlpm.v))</f>
        <v>male</v>
      </c>
    </row>
    <row r="1263" spans="1:9" x14ac:dyDescent="0.6">
      <c r="A1263">
        <v>269</v>
      </c>
      <c r="B1263" t="s">
        <v>14</v>
      </c>
      <c r="C1263" t="s">
        <v>10</v>
      </c>
      <c r="D1263">
        <v>124.75</v>
      </c>
      <c r="E1263">
        <v>135.16</v>
      </c>
      <c r="F1263">
        <v>72002</v>
      </c>
      <c r="H1263">
        <f>_xlfn.LET(_xlpm.v, IFERROR(VLOOKUP($A1263, manifest!$A:$E, 3, FALSE), ""), IF(OR(_xlpm.v=0, _xlpm.v=""), "", _xlpm.v))</f>
        <v>62</v>
      </c>
      <c r="I1263" t="str">
        <f>_xlfn.LET(_xlpm.v, IFERROR(VLOOKUP($A1263, manifest!$A:$E, 5, FALSE), ""), IF(OR(_xlpm.v=0, _xlpm.v=""), "", _xlpm.v))</f>
        <v>male</v>
      </c>
    </row>
    <row r="1264" spans="1:9" x14ac:dyDescent="0.6">
      <c r="A1264">
        <v>269</v>
      </c>
      <c r="B1264" t="s">
        <v>14</v>
      </c>
      <c r="C1264" t="s">
        <v>11</v>
      </c>
      <c r="D1264">
        <v>118.79</v>
      </c>
      <c r="E1264">
        <v>149.41</v>
      </c>
      <c r="F1264">
        <v>73859</v>
      </c>
      <c r="H1264">
        <f>_xlfn.LET(_xlpm.v, IFERROR(VLOOKUP($A1264, manifest!$A:$E, 3, FALSE), ""), IF(OR(_xlpm.v=0, _xlpm.v=""), "", _xlpm.v))</f>
        <v>62</v>
      </c>
      <c r="I1264" t="str">
        <f>_xlfn.LET(_xlpm.v, IFERROR(VLOOKUP($A1264, manifest!$A:$E, 5, FALSE), ""), IF(OR(_xlpm.v=0, _xlpm.v=""), "", _xlpm.v))</f>
        <v>male</v>
      </c>
    </row>
    <row r="1265" spans="1:9" x14ac:dyDescent="0.6">
      <c r="A1265">
        <v>269</v>
      </c>
      <c r="B1265" t="s">
        <v>14</v>
      </c>
      <c r="C1265" t="s">
        <v>12</v>
      </c>
      <c r="D1265">
        <v>107.36</v>
      </c>
      <c r="E1265">
        <v>123.7</v>
      </c>
      <c r="F1265">
        <v>88530</v>
      </c>
      <c r="H1265">
        <f>_xlfn.LET(_xlpm.v, IFERROR(VLOOKUP($A1265, manifest!$A:$E, 3, FALSE), ""), IF(OR(_xlpm.v=0, _xlpm.v=""), "", _xlpm.v))</f>
        <v>62</v>
      </c>
      <c r="I1265" t="str">
        <f>_xlfn.LET(_xlpm.v, IFERROR(VLOOKUP($A1265, manifest!$A:$E, 5, FALSE), ""), IF(OR(_xlpm.v=0, _xlpm.v=""), "", _xlpm.v))</f>
        <v>male</v>
      </c>
    </row>
    <row r="1266" spans="1:9" x14ac:dyDescent="0.6">
      <c r="A1266">
        <v>269</v>
      </c>
      <c r="B1266" t="s">
        <v>14</v>
      </c>
      <c r="C1266" t="s">
        <v>13</v>
      </c>
      <c r="D1266">
        <v>131.27000000000001</v>
      </c>
      <c r="E1266">
        <v>150.68</v>
      </c>
      <c r="F1266">
        <v>70013</v>
      </c>
      <c r="H1266">
        <f>_xlfn.LET(_xlpm.v, IFERROR(VLOOKUP($A1266, manifest!$A:$E, 3, FALSE), ""), IF(OR(_xlpm.v=0, _xlpm.v=""), "", _xlpm.v))</f>
        <v>62</v>
      </c>
      <c r="I1266" t="str">
        <f>_xlfn.LET(_xlpm.v, IFERROR(VLOOKUP($A1266, manifest!$A:$E, 5, FALSE), ""), IF(OR(_xlpm.v=0, _xlpm.v=""), "", _xlpm.v))</f>
        <v>male</v>
      </c>
    </row>
    <row r="1267" spans="1:9" x14ac:dyDescent="0.6">
      <c r="A1267">
        <v>285</v>
      </c>
      <c r="B1267" t="s">
        <v>14</v>
      </c>
      <c r="C1267" t="s">
        <v>8</v>
      </c>
      <c r="D1267">
        <v>115.26</v>
      </c>
      <c r="E1267">
        <v>113.56</v>
      </c>
      <c r="F1267">
        <v>38602</v>
      </c>
      <c r="G1267" t="s">
        <v>15</v>
      </c>
      <c r="H1267">
        <f>_xlfn.LET(_xlpm.v, IFERROR(VLOOKUP($A1267, manifest!$A:$E, 3, FALSE), ""), IF(OR(_xlpm.v=0, _xlpm.v=""), "", _xlpm.v))</f>
        <v>70</v>
      </c>
      <c r="I1267" t="str">
        <f>_xlfn.LET(_xlpm.v, IFERROR(VLOOKUP($A1267, manifest!$A:$E, 5, FALSE), ""), IF(OR(_xlpm.v=0, _xlpm.v=""), "", _xlpm.v))</f>
        <v>male</v>
      </c>
    </row>
    <row r="1268" spans="1:9" x14ac:dyDescent="0.6">
      <c r="A1268">
        <v>285</v>
      </c>
      <c r="B1268" t="s">
        <v>14</v>
      </c>
      <c r="C1268" t="s">
        <v>10</v>
      </c>
      <c r="D1268">
        <v>110.53</v>
      </c>
      <c r="E1268">
        <v>110.07</v>
      </c>
      <c r="F1268">
        <v>45087</v>
      </c>
      <c r="H1268">
        <f>_xlfn.LET(_xlpm.v, IFERROR(VLOOKUP($A1268, manifest!$A:$E, 3, FALSE), ""), IF(OR(_xlpm.v=0, _xlpm.v=""), "", _xlpm.v))</f>
        <v>70</v>
      </c>
      <c r="I1268" t="str">
        <f>_xlfn.LET(_xlpm.v, IFERROR(VLOOKUP($A1268, manifest!$A:$E, 5, FALSE), ""), IF(OR(_xlpm.v=0, _xlpm.v=""), "", _xlpm.v))</f>
        <v>male</v>
      </c>
    </row>
    <row r="1269" spans="1:9" x14ac:dyDescent="0.6">
      <c r="A1269">
        <v>285</v>
      </c>
      <c r="B1269" t="s">
        <v>14</v>
      </c>
      <c r="C1269" t="s">
        <v>11</v>
      </c>
      <c r="D1269">
        <v>117.6</v>
      </c>
      <c r="E1269">
        <v>114.8</v>
      </c>
      <c r="F1269">
        <v>48525</v>
      </c>
      <c r="H1269">
        <f>_xlfn.LET(_xlpm.v, IFERROR(VLOOKUP($A1269, manifest!$A:$E, 3, FALSE), ""), IF(OR(_xlpm.v=0, _xlpm.v=""), "", _xlpm.v))</f>
        <v>70</v>
      </c>
      <c r="I1269" t="str">
        <f>_xlfn.LET(_xlpm.v, IFERROR(VLOOKUP($A1269, manifest!$A:$E, 5, FALSE), ""), IF(OR(_xlpm.v=0, _xlpm.v=""), "", _xlpm.v))</f>
        <v>male</v>
      </c>
    </row>
    <row r="1270" spans="1:9" x14ac:dyDescent="0.6">
      <c r="A1270">
        <v>285</v>
      </c>
      <c r="B1270" t="s">
        <v>14</v>
      </c>
      <c r="C1270" t="s">
        <v>12</v>
      </c>
      <c r="D1270">
        <v>118.48</v>
      </c>
      <c r="E1270">
        <v>138.27000000000001</v>
      </c>
      <c r="F1270">
        <v>60490</v>
      </c>
      <c r="H1270">
        <f>_xlfn.LET(_xlpm.v, IFERROR(VLOOKUP($A1270, manifest!$A:$E, 3, FALSE), ""), IF(OR(_xlpm.v=0, _xlpm.v=""), "", _xlpm.v))</f>
        <v>70</v>
      </c>
      <c r="I1270" t="str">
        <f>_xlfn.LET(_xlpm.v, IFERROR(VLOOKUP($A1270, manifest!$A:$E, 5, FALSE), ""), IF(OR(_xlpm.v=0, _xlpm.v=""), "", _xlpm.v))</f>
        <v>male</v>
      </c>
    </row>
    <row r="1271" spans="1:9" x14ac:dyDescent="0.6">
      <c r="A1271">
        <v>285</v>
      </c>
      <c r="B1271" t="s">
        <v>14</v>
      </c>
      <c r="C1271" t="s">
        <v>13</v>
      </c>
      <c r="D1271">
        <v>131.01</v>
      </c>
      <c r="E1271">
        <v>142.55000000000001</v>
      </c>
      <c r="F1271">
        <v>52954</v>
      </c>
      <c r="H1271">
        <f>_xlfn.LET(_xlpm.v, IFERROR(VLOOKUP($A1271, manifest!$A:$E, 3, FALSE), ""), IF(OR(_xlpm.v=0, _xlpm.v=""), "", _xlpm.v))</f>
        <v>70</v>
      </c>
      <c r="I1271" t="str">
        <f>_xlfn.LET(_xlpm.v, IFERROR(VLOOKUP($A1271, manifest!$A:$E, 5, FALSE), ""), IF(OR(_xlpm.v=0, _xlpm.v=""), "", _xlpm.v))</f>
        <v>male</v>
      </c>
    </row>
    <row r="1272" spans="1:9" x14ac:dyDescent="0.6">
      <c r="A1272">
        <v>307</v>
      </c>
      <c r="B1272" t="s">
        <v>14</v>
      </c>
      <c r="C1272" t="s">
        <v>8</v>
      </c>
      <c r="D1272">
        <v>253.93</v>
      </c>
      <c r="E1272">
        <v>200.54</v>
      </c>
      <c r="F1272">
        <v>35544</v>
      </c>
      <c r="G1272" t="s">
        <v>9</v>
      </c>
      <c r="H1272">
        <f>_xlfn.LET(_xlpm.v, IFERROR(VLOOKUP($A1272, manifest!$A:$E, 3, FALSE), ""), IF(OR(_xlpm.v=0, _xlpm.v=""), "", _xlpm.v))</f>
        <v>54</v>
      </c>
      <c r="I1272" t="str">
        <f>_xlfn.LET(_xlpm.v, IFERROR(VLOOKUP($A1272, manifest!$A:$E, 5, FALSE), ""), IF(OR(_xlpm.v=0, _xlpm.v=""), "", _xlpm.v))</f>
        <v>male</v>
      </c>
    </row>
    <row r="1273" spans="1:9" x14ac:dyDescent="0.6">
      <c r="A1273">
        <v>307</v>
      </c>
      <c r="B1273" t="s">
        <v>14</v>
      </c>
      <c r="C1273" t="s">
        <v>10</v>
      </c>
      <c r="D1273">
        <v>254.01</v>
      </c>
      <c r="E1273">
        <v>227.48</v>
      </c>
      <c r="F1273">
        <v>37473</v>
      </c>
      <c r="H1273">
        <f>_xlfn.LET(_xlpm.v, IFERROR(VLOOKUP($A1273, manifest!$A:$E, 3, FALSE), ""), IF(OR(_xlpm.v=0, _xlpm.v=""), "", _xlpm.v))</f>
        <v>54</v>
      </c>
      <c r="I1273" t="str">
        <f>_xlfn.LET(_xlpm.v, IFERROR(VLOOKUP($A1273, manifest!$A:$E, 5, FALSE), ""), IF(OR(_xlpm.v=0, _xlpm.v=""), "", _xlpm.v))</f>
        <v>male</v>
      </c>
    </row>
    <row r="1274" spans="1:9" x14ac:dyDescent="0.6">
      <c r="A1274">
        <v>307</v>
      </c>
      <c r="B1274" t="s">
        <v>14</v>
      </c>
      <c r="C1274" t="s">
        <v>11</v>
      </c>
      <c r="D1274">
        <v>241.29</v>
      </c>
      <c r="E1274">
        <v>199.77</v>
      </c>
      <c r="F1274">
        <v>46624</v>
      </c>
      <c r="H1274">
        <f>_xlfn.LET(_xlpm.v, IFERROR(VLOOKUP($A1274, manifest!$A:$E, 3, FALSE), ""), IF(OR(_xlpm.v=0, _xlpm.v=""), "", _xlpm.v))</f>
        <v>54</v>
      </c>
      <c r="I1274" t="str">
        <f>_xlfn.LET(_xlpm.v, IFERROR(VLOOKUP($A1274, manifest!$A:$E, 5, FALSE), ""), IF(OR(_xlpm.v=0, _xlpm.v=""), "", _xlpm.v))</f>
        <v>male</v>
      </c>
    </row>
    <row r="1275" spans="1:9" x14ac:dyDescent="0.6">
      <c r="A1275">
        <v>307</v>
      </c>
      <c r="B1275" t="s">
        <v>14</v>
      </c>
      <c r="C1275" t="s">
        <v>12</v>
      </c>
      <c r="D1275">
        <v>242.72</v>
      </c>
      <c r="E1275">
        <v>208.85</v>
      </c>
      <c r="F1275">
        <v>56581</v>
      </c>
      <c r="H1275">
        <f>_xlfn.LET(_xlpm.v, IFERROR(VLOOKUP($A1275, manifest!$A:$E, 3, FALSE), ""), IF(OR(_xlpm.v=0, _xlpm.v=""), "", _xlpm.v))</f>
        <v>54</v>
      </c>
      <c r="I1275" t="str">
        <f>_xlfn.LET(_xlpm.v, IFERROR(VLOOKUP($A1275, manifest!$A:$E, 5, FALSE), ""), IF(OR(_xlpm.v=0, _xlpm.v=""), "", _xlpm.v))</f>
        <v>male</v>
      </c>
    </row>
    <row r="1276" spans="1:9" x14ac:dyDescent="0.6">
      <c r="A1276">
        <v>307</v>
      </c>
      <c r="B1276" t="s">
        <v>14</v>
      </c>
      <c r="C1276" t="s">
        <v>13</v>
      </c>
      <c r="D1276">
        <v>247.81</v>
      </c>
      <c r="E1276">
        <v>191.81</v>
      </c>
      <c r="F1276">
        <v>50717</v>
      </c>
      <c r="H1276">
        <f>_xlfn.LET(_xlpm.v, IFERROR(VLOOKUP($A1276, manifest!$A:$E, 3, FALSE), ""), IF(OR(_xlpm.v=0, _xlpm.v=""), "", _xlpm.v))</f>
        <v>54</v>
      </c>
      <c r="I1276" t="str">
        <f>_xlfn.LET(_xlpm.v, IFERROR(VLOOKUP($A1276, manifest!$A:$E, 5, FALSE), ""), IF(OR(_xlpm.v=0, _xlpm.v=""), "", _xlpm.v))</f>
        <v>male</v>
      </c>
    </row>
    <row r="1277" spans="1:9" x14ac:dyDescent="0.6">
      <c r="A1277">
        <v>312</v>
      </c>
      <c r="B1277" t="s">
        <v>7</v>
      </c>
      <c r="C1277" t="s">
        <v>8</v>
      </c>
      <c r="D1277">
        <v>165.23</v>
      </c>
      <c r="E1277">
        <v>76.010000000000005</v>
      </c>
      <c r="F1277">
        <v>34406</v>
      </c>
      <c r="G1277" t="s">
        <v>9</v>
      </c>
      <c r="H1277">
        <f>_xlfn.LET(_xlpm.v, IFERROR(VLOOKUP($A1277, manifest!$A:$E, 3, FALSE), ""), IF(OR(_xlpm.v=0, _xlpm.v=""), "", _xlpm.v))</f>
        <v>67</v>
      </c>
      <c r="I1277" t="str">
        <f>_xlfn.LET(_xlpm.v, IFERROR(VLOOKUP($A1277, manifest!$A:$E, 5, FALSE), ""), IF(OR(_xlpm.v=0, _xlpm.v=""), "", _xlpm.v))</f>
        <v>female</v>
      </c>
    </row>
    <row r="1278" spans="1:9" x14ac:dyDescent="0.6">
      <c r="A1278">
        <v>312</v>
      </c>
      <c r="B1278" t="s">
        <v>7</v>
      </c>
      <c r="C1278" t="s">
        <v>10</v>
      </c>
      <c r="D1278">
        <v>175.9</v>
      </c>
      <c r="E1278">
        <v>101.44</v>
      </c>
      <c r="F1278">
        <v>36836</v>
      </c>
      <c r="H1278">
        <f>_xlfn.LET(_xlpm.v, IFERROR(VLOOKUP($A1278, manifest!$A:$E, 3, FALSE), ""), IF(OR(_xlpm.v=0, _xlpm.v=""), "", _xlpm.v))</f>
        <v>67</v>
      </c>
      <c r="I1278" t="str">
        <f>_xlfn.LET(_xlpm.v, IFERROR(VLOOKUP($A1278, manifest!$A:$E, 5, FALSE), ""), IF(OR(_xlpm.v=0, _xlpm.v=""), "", _xlpm.v))</f>
        <v>female</v>
      </c>
    </row>
    <row r="1279" spans="1:9" x14ac:dyDescent="0.6">
      <c r="A1279">
        <v>312</v>
      </c>
      <c r="B1279" t="s">
        <v>7</v>
      </c>
      <c r="C1279" t="s">
        <v>11</v>
      </c>
      <c r="D1279">
        <v>189.58</v>
      </c>
      <c r="E1279">
        <v>105.24</v>
      </c>
      <c r="F1279">
        <v>38885</v>
      </c>
      <c r="H1279">
        <f>_xlfn.LET(_xlpm.v, IFERROR(VLOOKUP($A1279, manifest!$A:$E, 3, FALSE), ""), IF(OR(_xlpm.v=0, _xlpm.v=""), "", _xlpm.v))</f>
        <v>67</v>
      </c>
      <c r="I1279" t="str">
        <f>_xlfn.LET(_xlpm.v, IFERROR(VLOOKUP($A1279, manifest!$A:$E, 5, FALSE), ""), IF(OR(_xlpm.v=0, _xlpm.v=""), "", _xlpm.v))</f>
        <v>female</v>
      </c>
    </row>
    <row r="1280" spans="1:9" x14ac:dyDescent="0.6">
      <c r="A1280">
        <v>312</v>
      </c>
      <c r="B1280" t="s">
        <v>7</v>
      </c>
      <c r="C1280" t="s">
        <v>12</v>
      </c>
      <c r="D1280">
        <v>260.08999999999997</v>
      </c>
      <c r="E1280">
        <v>197.54</v>
      </c>
      <c r="F1280">
        <v>50092</v>
      </c>
      <c r="H1280">
        <f>_xlfn.LET(_xlpm.v, IFERROR(VLOOKUP($A1280, manifest!$A:$E, 3, FALSE), ""), IF(OR(_xlpm.v=0, _xlpm.v=""), "", _xlpm.v))</f>
        <v>67</v>
      </c>
      <c r="I1280" t="str">
        <f>_xlfn.LET(_xlpm.v, IFERROR(VLOOKUP($A1280, manifest!$A:$E, 5, FALSE), ""), IF(OR(_xlpm.v=0, _xlpm.v=""), "", _xlpm.v))</f>
        <v>female</v>
      </c>
    </row>
    <row r="1281" spans="1:9" x14ac:dyDescent="0.6">
      <c r="A1281">
        <v>312</v>
      </c>
      <c r="B1281" t="s">
        <v>7</v>
      </c>
      <c r="C1281" t="s">
        <v>13</v>
      </c>
      <c r="D1281">
        <v>216.22</v>
      </c>
      <c r="E1281">
        <v>136.74</v>
      </c>
      <c r="F1281">
        <v>46122</v>
      </c>
      <c r="H1281">
        <f>_xlfn.LET(_xlpm.v, IFERROR(VLOOKUP($A1281, manifest!$A:$E, 3, FALSE), ""), IF(OR(_xlpm.v=0, _xlpm.v=""), "", _xlpm.v))</f>
        <v>67</v>
      </c>
      <c r="I1281" t="str">
        <f>_xlfn.LET(_xlpm.v, IFERROR(VLOOKUP($A1281, manifest!$A:$E, 5, FALSE), ""), IF(OR(_xlpm.v=0, _xlpm.v=""), "", _xlpm.v))</f>
        <v>female</v>
      </c>
    </row>
    <row r="1282" spans="1:9" x14ac:dyDescent="0.6">
      <c r="A1282">
        <v>257</v>
      </c>
      <c r="B1282" t="s">
        <v>14</v>
      </c>
      <c r="C1282" t="s">
        <v>8</v>
      </c>
      <c r="D1282">
        <v>239.26</v>
      </c>
      <c r="E1282">
        <v>174.21</v>
      </c>
      <c r="F1282">
        <v>26799</v>
      </c>
      <c r="G1282" t="s">
        <v>9</v>
      </c>
      <c r="H1282">
        <f>_xlfn.LET(_xlpm.v, IFERROR(VLOOKUP($A1282, manifest!$A:$E, 3, FALSE), ""), IF(OR(_xlpm.v=0, _xlpm.v=""), "", _xlpm.v))</f>
        <v>55</v>
      </c>
      <c r="I1282" t="str">
        <f>_xlfn.LET(_xlpm.v, IFERROR(VLOOKUP($A1282, manifest!$A:$E, 5, FALSE), ""), IF(OR(_xlpm.v=0, _xlpm.v=""), "", _xlpm.v))</f>
        <v>female</v>
      </c>
    </row>
    <row r="1283" spans="1:9" x14ac:dyDescent="0.6">
      <c r="A1283">
        <v>257</v>
      </c>
      <c r="B1283" t="s">
        <v>14</v>
      </c>
      <c r="C1283" t="s">
        <v>10</v>
      </c>
      <c r="D1283">
        <v>223.54</v>
      </c>
      <c r="E1283">
        <v>156.31</v>
      </c>
      <c r="F1283">
        <v>29811</v>
      </c>
      <c r="H1283">
        <f>_xlfn.LET(_xlpm.v, IFERROR(VLOOKUP($A1283, manifest!$A:$E, 3, FALSE), ""), IF(OR(_xlpm.v=0, _xlpm.v=""), "", _xlpm.v))</f>
        <v>55</v>
      </c>
      <c r="I1283" t="str">
        <f>_xlfn.LET(_xlpm.v, IFERROR(VLOOKUP($A1283, manifest!$A:$E, 5, FALSE), ""), IF(OR(_xlpm.v=0, _xlpm.v=""), "", _xlpm.v))</f>
        <v>female</v>
      </c>
    </row>
    <row r="1284" spans="1:9" x14ac:dyDescent="0.6">
      <c r="A1284">
        <v>257</v>
      </c>
      <c r="B1284" t="s">
        <v>14</v>
      </c>
      <c r="C1284" t="s">
        <v>11</v>
      </c>
      <c r="D1284">
        <v>203.32</v>
      </c>
      <c r="E1284">
        <v>154.43</v>
      </c>
      <c r="F1284">
        <v>41334</v>
      </c>
      <c r="H1284">
        <f>_xlfn.LET(_xlpm.v, IFERROR(VLOOKUP($A1284, manifest!$A:$E, 3, FALSE), ""), IF(OR(_xlpm.v=0, _xlpm.v=""), "", _xlpm.v))</f>
        <v>55</v>
      </c>
      <c r="I1284" t="str">
        <f>_xlfn.LET(_xlpm.v, IFERROR(VLOOKUP($A1284, manifest!$A:$E, 5, FALSE), ""), IF(OR(_xlpm.v=0, _xlpm.v=""), "", _xlpm.v))</f>
        <v>female</v>
      </c>
    </row>
    <row r="1285" spans="1:9" x14ac:dyDescent="0.6">
      <c r="A1285">
        <v>257</v>
      </c>
      <c r="B1285" t="s">
        <v>14</v>
      </c>
      <c r="C1285" t="s">
        <v>12</v>
      </c>
      <c r="D1285">
        <v>201.17</v>
      </c>
      <c r="E1285">
        <v>173.52</v>
      </c>
      <c r="F1285">
        <v>41594</v>
      </c>
      <c r="H1285">
        <f>_xlfn.LET(_xlpm.v, IFERROR(VLOOKUP($A1285, manifest!$A:$E, 3, FALSE), ""), IF(OR(_xlpm.v=0, _xlpm.v=""), "", _xlpm.v))</f>
        <v>55</v>
      </c>
      <c r="I1285" t="str">
        <f>_xlfn.LET(_xlpm.v, IFERROR(VLOOKUP($A1285, manifest!$A:$E, 5, FALSE), ""), IF(OR(_xlpm.v=0, _xlpm.v=""), "", _xlpm.v))</f>
        <v>female</v>
      </c>
    </row>
    <row r="1286" spans="1:9" x14ac:dyDescent="0.6">
      <c r="A1286">
        <v>257</v>
      </c>
      <c r="B1286" t="s">
        <v>14</v>
      </c>
      <c r="C1286" t="s">
        <v>13</v>
      </c>
      <c r="D1286">
        <v>210.39</v>
      </c>
      <c r="E1286">
        <v>209.99</v>
      </c>
      <c r="F1286">
        <v>46185</v>
      </c>
      <c r="H1286">
        <f>_xlfn.LET(_xlpm.v, IFERROR(VLOOKUP($A1286, manifest!$A:$E, 3, FALSE), ""), IF(OR(_xlpm.v=0, _xlpm.v=""), "", _xlpm.v))</f>
        <v>55</v>
      </c>
      <c r="I1286" t="str">
        <f>_xlfn.LET(_xlpm.v, IFERROR(VLOOKUP($A1286, manifest!$A:$E, 5, FALSE), ""), IF(OR(_xlpm.v=0, _xlpm.v=""), "", _xlpm.v))</f>
        <v>female</v>
      </c>
    </row>
    <row r="1287" spans="1:9" x14ac:dyDescent="0.6">
      <c r="A1287">
        <v>271</v>
      </c>
      <c r="B1287" t="s">
        <v>7</v>
      </c>
      <c r="C1287" t="s">
        <v>8</v>
      </c>
      <c r="D1287">
        <v>213.3</v>
      </c>
      <c r="E1287">
        <v>186.9</v>
      </c>
      <c r="F1287">
        <v>34561</v>
      </c>
      <c r="G1287" t="s">
        <v>9</v>
      </c>
      <c r="H1287">
        <f>_xlfn.LET(_xlpm.v, IFERROR(VLOOKUP($A1287, manifest!$A:$E, 3, FALSE), ""), IF(OR(_xlpm.v=0, _xlpm.v=""), "", _xlpm.v))</f>
        <v>58</v>
      </c>
      <c r="I1287" t="str">
        <f>_xlfn.LET(_xlpm.v, IFERROR(VLOOKUP($A1287, manifest!$A:$E, 5, FALSE), ""), IF(OR(_xlpm.v=0, _xlpm.v=""), "", _xlpm.v))</f>
        <v>female</v>
      </c>
    </row>
    <row r="1288" spans="1:9" x14ac:dyDescent="0.6">
      <c r="A1288">
        <v>271</v>
      </c>
      <c r="B1288" t="s">
        <v>7</v>
      </c>
      <c r="C1288" t="s">
        <v>10</v>
      </c>
      <c r="D1288">
        <v>226.94</v>
      </c>
      <c r="E1288">
        <v>200.94</v>
      </c>
      <c r="F1288">
        <v>33367</v>
      </c>
      <c r="H1288">
        <f>_xlfn.LET(_xlpm.v, IFERROR(VLOOKUP($A1288, manifest!$A:$E, 3, FALSE), ""), IF(OR(_xlpm.v=0, _xlpm.v=""), "", _xlpm.v))</f>
        <v>58</v>
      </c>
      <c r="I1288" t="str">
        <f>_xlfn.LET(_xlpm.v, IFERROR(VLOOKUP($A1288, manifest!$A:$E, 5, FALSE), ""), IF(OR(_xlpm.v=0, _xlpm.v=""), "", _xlpm.v))</f>
        <v>female</v>
      </c>
    </row>
    <row r="1289" spans="1:9" x14ac:dyDescent="0.6">
      <c r="A1289">
        <v>271</v>
      </c>
      <c r="B1289" t="s">
        <v>7</v>
      </c>
      <c r="C1289" t="s">
        <v>11</v>
      </c>
      <c r="D1289">
        <v>199.71</v>
      </c>
      <c r="E1289">
        <v>171.09</v>
      </c>
      <c r="F1289">
        <v>49001</v>
      </c>
      <c r="H1289">
        <f>_xlfn.LET(_xlpm.v, IFERROR(VLOOKUP($A1289, manifest!$A:$E, 3, FALSE), ""), IF(OR(_xlpm.v=0, _xlpm.v=""), "", _xlpm.v))</f>
        <v>58</v>
      </c>
      <c r="I1289" t="str">
        <f>_xlfn.LET(_xlpm.v, IFERROR(VLOOKUP($A1289, manifest!$A:$E, 5, FALSE), ""), IF(OR(_xlpm.v=0, _xlpm.v=""), "", _xlpm.v))</f>
        <v>female</v>
      </c>
    </row>
    <row r="1290" spans="1:9" x14ac:dyDescent="0.6">
      <c r="A1290">
        <v>271</v>
      </c>
      <c r="B1290" t="s">
        <v>7</v>
      </c>
      <c r="C1290" t="s">
        <v>12</v>
      </c>
      <c r="D1290">
        <v>201.32</v>
      </c>
      <c r="E1290">
        <v>176.64</v>
      </c>
      <c r="F1290">
        <v>57334</v>
      </c>
      <c r="H1290">
        <f>_xlfn.LET(_xlpm.v, IFERROR(VLOOKUP($A1290, manifest!$A:$E, 3, FALSE), ""), IF(OR(_xlpm.v=0, _xlpm.v=""), "", _xlpm.v))</f>
        <v>58</v>
      </c>
      <c r="I1290" t="str">
        <f>_xlfn.LET(_xlpm.v, IFERROR(VLOOKUP($A1290, manifest!$A:$E, 5, FALSE), ""), IF(OR(_xlpm.v=0, _xlpm.v=""), "", _xlpm.v))</f>
        <v>female</v>
      </c>
    </row>
    <row r="1291" spans="1:9" x14ac:dyDescent="0.6">
      <c r="A1291">
        <v>271</v>
      </c>
      <c r="B1291" t="s">
        <v>7</v>
      </c>
      <c r="C1291" t="s">
        <v>13</v>
      </c>
      <c r="D1291">
        <v>228.72</v>
      </c>
      <c r="E1291">
        <v>198.41</v>
      </c>
      <c r="F1291">
        <v>61076</v>
      </c>
      <c r="H1291">
        <f>_xlfn.LET(_xlpm.v, IFERROR(VLOOKUP($A1291, manifest!$A:$E, 3, FALSE), ""), IF(OR(_xlpm.v=0, _xlpm.v=""), "", _xlpm.v))</f>
        <v>58</v>
      </c>
      <c r="I1291" t="str">
        <f>_xlfn.LET(_xlpm.v, IFERROR(VLOOKUP($A1291, manifest!$A:$E, 5, FALSE), ""), IF(OR(_xlpm.v=0, _xlpm.v=""), "", _xlpm.v))</f>
        <v>female</v>
      </c>
    </row>
    <row r="1292" spans="1:9" x14ac:dyDescent="0.6">
      <c r="A1292">
        <v>281</v>
      </c>
      <c r="B1292" t="s">
        <v>7</v>
      </c>
      <c r="C1292" t="s">
        <v>8</v>
      </c>
      <c r="D1292">
        <v>147.69</v>
      </c>
      <c r="E1292">
        <v>63.41</v>
      </c>
      <c r="F1292">
        <v>28647</v>
      </c>
      <c r="G1292" t="s">
        <v>15</v>
      </c>
      <c r="H1292">
        <f>_xlfn.LET(_xlpm.v, IFERROR(VLOOKUP($A1292, manifest!$A:$E, 3, FALSE), ""), IF(OR(_xlpm.v=0, _xlpm.v=""), "", _xlpm.v))</f>
        <v>52</v>
      </c>
      <c r="I1292" t="str">
        <f>_xlfn.LET(_xlpm.v, IFERROR(VLOOKUP($A1292, manifest!$A:$E, 5, FALSE), ""), IF(OR(_xlpm.v=0, _xlpm.v=""), "", _xlpm.v))</f>
        <v>female</v>
      </c>
    </row>
    <row r="1293" spans="1:9" x14ac:dyDescent="0.6">
      <c r="A1293">
        <v>281</v>
      </c>
      <c r="B1293" t="s">
        <v>7</v>
      </c>
      <c r="C1293" t="s">
        <v>10</v>
      </c>
      <c r="D1293">
        <v>151.37</v>
      </c>
      <c r="E1293">
        <v>87.34</v>
      </c>
      <c r="F1293">
        <v>33641</v>
      </c>
      <c r="H1293">
        <f>_xlfn.LET(_xlpm.v, IFERROR(VLOOKUP($A1293, manifest!$A:$E, 3, FALSE), ""), IF(OR(_xlpm.v=0, _xlpm.v=""), "", _xlpm.v))</f>
        <v>52</v>
      </c>
      <c r="I1293" t="str">
        <f>_xlfn.LET(_xlpm.v, IFERROR(VLOOKUP($A1293, manifest!$A:$E, 5, FALSE), ""), IF(OR(_xlpm.v=0, _xlpm.v=""), "", _xlpm.v))</f>
        <v>female</v>
      </c>
    </row>
    <row r="1294" spans="1:9" x14ac:dyDescent="0.6">
      <c r="A1294">
        <v>281</v>
      </c>
      <c r="B1294" t="s">
        <v>7</v>
      </c>
      <c r="C1294" t="s">
        <v>11</v>
      </c>
      <c r="D1294">
        <v>151.08000000000001</v>
      </c>
      <c r="E1294">
        <v>78.06</v>
      </c>
      <c r="F1294">
        <v>43047</v>
      </c>
      <c r="H1294">
        <f>_xlfn.LET(_xlpm.v, IFERROR(VLOOKUP($A1294, manifest!$A:$E, 3, FALSE), ""), IF(OR(_xlpm.v=0, _xlpm.v=""), "", _xlpm.v))</f>
        <v>52</v>
      </c>
      <c r="I1294" t="str">
        <f>_xlfn.LET(_xlpm.v, IFERROR(VLOOKUP($A1294, manifest!$A:$E, 5, FALSE), ""), IF(OR(_xlpm.v=0, _xlpm.v=""), "", _xlpm.v))</f>
        <v>female</v>
      </c>
    </row>
    <row r="1295" spans="1:9" x14ac:dyDescent="0.6">
      <c r="A1295">
        <v>281</v>
      </c>
      <c r="B1295" t="s">
        <v>7</v>
      </c>
      <c r="C1295" t="s">
        <v>12</v>
      </c>
      <c r="D1295">
        <v>165.21</v>
      </c>
      <c r="E1295">
        <v>105.33</v>
      </c>
      <c r="F1295">
        <v>43938</v>
      </c>
      <c r="H1295">
        <f>_xlfn.LET(_xlpm.v, IFERROR(VLOOKUP($A1295, manifest!$A:$E, 3, FALSE), ""), IF(OR(_xlpm.v=0, _xlpm.v=""), "", _xlpm.v))</f>
        <v>52</v>
      </c>
      <c r="I1295" t="str">
        <f>_xlfn.LET(_xlpm.v, IFERROR(VLOOKUP($A1295, manifest!$A:$E, 5, FALSE), ""), IF(OR(_xlpm.v=0, _xlpm.v=""), "", _xlpm.v))</f>
        <v>female</v>
      </c>
    </row>
    <row r="1296" spans="1:9" x14ac:dyDescent="0.6">
      <c r="A1296">
        <v>281</v>
      </c>
      <c r="B1296" t="s">
        <v>7</v>
      </c>
      <c r="C1296" t="s">
        <v>13</v>
      </c>
      <c r="D1296">
        <v>173.2</v>
      </c>
      <c r="E1296">
        <v>105.88</v>
      </c>
      <c r="F1296">
        <v>47856</v>
      </c>
      <c r="H1296">
        <f>_xlfn.LET(_xlpm.v, IFERROR(VLOOKUP($A1296, manifest!$A:$E, 3, FALSE), ""), IF(OR(_xlpm.v=0, _xlpm.v=""), "", _xlpm.v))</f>
        <v>52</v>
      </c>
      <c r="I1296" t="str">
        <f>_xlfn.LET(_xlpm.v, IFERROR(VLOOKUP($A1296, manifest!$A:$E, 5, FALSE), ""), IF(OR(_xlpm.v=0, _xlpm.v=""), "", _xlpm.v))</f>
        <v>female</v>
      </c>
    </row>
    <row r="1297" spans="1:9" x14ac:dyDescent="0.6">
      <c r="A1297">
        <v>274</v>
      </c>
      <c r="B1297" t="s">
        <v>14</v>
      </c>
      <c r="C1297" t="s">
        <v>8</v>
      </c>
      <c r="D1297">
        <v>232.11</v>
      </c>
      <c r="E1297">
        <v>148.80000000000001</v>
      </c>
      <c r="F1297">
        <v>31634</v>
      </c>
      <c r="G1297" t="s">
        <v>9</v>
      </c>
      <c r="H1297">
        <f>_xlfn.LET(_xlpm.v, IFERROR(VLOOKUP($A1297, manifest!$A:$E, 3, FALSE), ""), IF(OR(_xlpm.v=0, _xlpm.v=""), "", _xlpm.v))</f>
        <v>54</v>
      </c>
      <c r="I1297" t="str">
        <f>_xlfn.LET(_xlpm.v, IFERROR(VLOOKUP($A1297, manifest!$A:$E, 5, FALSE), ""), IF(OR(_xlpm.v=0, _xlpm.v=""), "", _xlpm.v))</f>
        <v>male</v>
      </c>
    </row>
    <row r="1298" spans="1:9" x14ac:dyDescent="0.6">
      <c r="A1298">
        <v>274</v>
      </c>
      <c r="B1298" t="s">
        <v>14</v>
      </c>
      <c r="C1298" t="s">
        <v>10</v>
      </c>
      <c r="D1298">
        <v>235.44</v>
      </c>
      <c r="E1298">
        <v>142.94</v>
      </c>
      <c r="F1298">
        <v>31489</v>
      </c>
      <c r="H1298">
        <f>_xlfn.LET(_xlpm.v, IFERROR(VLOOKUP($A1298, manifest!$A:$E, 3, FALSE), ""), IF(OR(_xlpm.v=0, _xlpm.v=""), "", _xlpm.v))</f>
        <v>54</v>
      </c>
      <c r="I1298" t="str">
        <f>_xlfn.LET(_xlpm.v, IFERROR(VLOOKUP($A1298, manifest!$A:$E, 5, FALSE), ""), IF(OR(_xlpm.v=0, _xlpm.v=""), "", _xlpm.v))</f>
        <v>male</v>
      </c>
    </row>
    <row r="1299" spans="1:9" x14ac:dyDescent="0.6">
      <c r="A1299">
        <v>274</v>
      </c>
      <c r="B1299" t="s">
        <v>14</v>
      </c>
      <c r="C1299" t="s">
        <v>11</v>
      </c>
      <c r="D1299">
        <v>230.29</v>
      </c>
      <c r="E1299">
        <v>147.19</v>
      </c>
      <c r="F1299">
        <v>31504</v>
      </c>
      <c r="H1299">
        <f>_xlfn.LET(_xlpm.v, IFERROR(VLOOKUP($A1299, manifest!$A:$E, 3, FALSE), ""), IF(OR(_xlpm.v=0, _xlpm.v=""), "", _xlpm.v))</f>
        <v>54</v>
      </c>
      <c r="I1299" t="str">
        <f>_xlfn.LET(_xlpm.v, IFERROR(VLOOKUP($A1299, manifest!$A:$E, 5, FALSE), ""), IF(OR(_xlpm.v=0, _xlpm.v=""), "", _xlpm.v))</f>
        <v>male</v>
      </c>
    </row>
    <row r="1300" spans="1:9" x14ac:dyDescent="0.6">
      <c r="A1300">
        <v>274</v>
      </c>
      <c r="B1300" t="s">
        <v>14</v>
      </c>
      <c r="C1300" t="s">
        <v>12</v>
      </c>
      <c r="D1300">
        <v>223.39</v>
      </c>
      <c r="E1300">
        <v>181.34</v>
      </c>
      <c r="F1300">
        <v>53959</v>
      </c>
      <c r="H1300">
        <f>_xlfn.LET(_xlpm.v, IFERROR(VLOOKUP($A1300, manifest!$A:$E, 3, FALSE), ""), IF(OR(_xlpm.v=0, _xlpm.v=""), "", _xlpm.v))</f>
        <v>54</v>
      </c>
      <c r="I1300" t="str">
        <f>_xlfn.LET(_xlpm.v, IFERROR(VLOOKUP($A1300, manifest!$A:$E, 5, FALSE), ""), IF(OR(_xlpm.v=0, _xlpm.v=""), "", _xlpm.v))</f>
        <v>male</v>
      </c>
    </row>
    <row r="1301" spans="1:9" x14ac:dyDescent="0.6">
      <c r="A1301">
        <v>274</v>
      </c>
      <c r="B1301" t="s">
        <v>14</v>
      </c>
      <c r="C1301" t="s">
        <v>13</v>
      </c>
      <c r="D1301">
        <v>248.48</v>
      </c>
      <c r="E1301">
        <v>197.06</v>
      </c>
      <c r="F1301">
        <v>53037</v>
      </c>
      <c r="H1301">
        <f>_xlfn.LET(_xlpm.v, IFERROR(VLOOKUP($A1301, manifest!$A:$E, 3, FALSE), ""), IF(OR(_xlpm.v=0, _xlpm.v=""), "", _xlpm.v))</f>
        <v>54</v>
      </c>
      <c r="I1301" t="str">
        <f>_xlfn.LET(_xlpm.v, IFERROR(VLOOKUP($A1301, manifest!$A:$E, 5, FALSE), ""), IF(OR(_xlpm.v=0, _xlpm.v=""), "", _xlpm.v))</f>
        <v>male</v>
      </c>
    </row>
    <row r="1302" spans="1:9" x14ac:dyDescent="0.6">
      <c r="A1302">
        <v>291</v>
      </c>
      <c r="B1302" t="s">
        <v>14</v>
      </c>
      <c r="C1302" t="s">
        <v>8</v>
      </c>
      <c r="D1302">
        <v>199.3</v>
      </c>
      <c r="E1302">
        <v>99.65</v>
      </c>
      <c r="F1302">
        <v>25810</v>
      </c>
      <c r="G1302" t="s">
        <v>9</v>
      </c>
      <c r="H1302">
        <f>_xlfn.LET(_xlpm.v, IFERROR(VLOOKUP($A1302, manifest!$A:$E, 3, FALSE), ""), IF(OR(_xlpm.v=0, _xlpm.v=""), "", _xlpm.v))</f>
        <v>59</v>
      </c>
      <c r="I1302" t="str">
        <f>_xlfn.LET(_xlpm.v, IFERROR(VLOOKUP($A1302, manifest!$A:$E, 5, FALSE), ""), IF(OR(_xlpm.v=0, _xlpm.v=""), "", _xlpm.v))</f>
        <v>male</v>
      </c>
    </row>
    <row r="1303" spans="1:9" x14ac:dyDescent="0.6">
      <c r="A1303">
        <v>291</v>
      </c>
      <c r="B1303" t="s">
        <v>14</v>
      </c>
      <c r="C1303" t="s">
        <v>10</v>
      </c>
      <c r="D1303">
        <v>220.9</v>
      </c>
      <c r="E1303">
        <v>137.19999999999999</v>
      </c>
      <c r="F1303">
        <v>24083</v>
      </c>
      <c r="H1303">
        <f>_xlfn.LET(_xlpm.v, IFERROR(VLOOKUP($A1303, manifest!$A:$E, 3, FALSE), ""), IF(OR(_xlpm.v=0, _xlpm.v=""), "", _xlpm.v))</f>
        <v>59</v>
      </c>
      <c r="I1303" t="str">
        <f>_xlfn.LET(_xlpm.v, IFERROR(VLOOKUP($A1303, manifest!$A:$E, 5, FALSE), ""), IF(OR(_xlpm.v=0, _xlpm.v=""), "", _xlpm.v))</f>
        <v>male</v>
      </c>
    </row>
    <row r="1304" spans="1:9" x14ac:dyDescent="0.6">
      <c r="A1304">
        <v>291</v>
      </c>
      <c r="B1304" t="s">
        <v>14</v>
      </c>
      <c r="C1304" t="s">
        <v>11</v>
      </c>
      <c r="D1304">
        <v>214.46</v>
      </c>
      <c r="E1304">
        <v>138.37</v>
      </c>
      <c r="F1304">
        <v>30869</v>
      </c>
      <c r="H1304">
        <f>_xlfn.LET(_xlpm.v, IFERROR(VLOOKUP($A1304, manifest!$A:$E, 3, FALSE), ""), IF(OR(_xlpm.v=0, _xlpm.v=""), "", _xlpm.v))</f>
        <v>59</v>
      </c>
      <c r="I1304" t="str">
        <f>_xlfn.LET(_xlpm.v, IFERROR(VLOOKUP($A1304, manifest!$A:$E, 5, FALSE), ""), IF(OR(_xlpm.v=0, _xlpm.v=""), "", _xlpm.v))</f>
        <v>male</v>
      </c>
    </row>
    <row r="1305" spans="1:9" x14ac:dyDescent="0.6">
      <c r="A1305">
        <v>291</v>
      </c>
      <c r="B1305" t="s">
        <v>14</v>
      </c>
      <c r="C1305" t="s">
        <v>12</v>
      </c>
      <c r="D1305">
        <v>214.42</v>
      </c>
      <c r="E1305">
        <v>123.42</v>
      </c>
      <c r="F1305">
        <v>37109</v>
      </c>
      <c r="H1305">
        <f>_xlfn.LET(_xlpm.v, IFERROR(VLOOKUP($A1305, manifest!$A:$E, 3, FALSE), ""), IF(OR(_xlpm.v=0, _xlpm.v=""), "", _xlpm.v))</f>
        <v>59</v>
      </c>
      <c r="I1305" t="str">
        <f>_xlfn.LET(_xlpm.v, IFERROR(VLOOKUP($A1305, manifest!$A:$E, 5, FALSE), ""), IF(OR(_xlpm.v=0, _xlpm.v=""), "", _xlpm.v))</f>
        <v>male</v>
      </c>
    </row>
    <row r="1306" spans="1:9" x14ac:dyDescent="0.6">
      <c r="A1306">
        <v>291</v>
      </c>
      <c r="B1306" t="s">
        <v>14</v>
      </c>
      <c r="C1306" t="s">
        <v>13</v>
      </c>
      <c r="D1306">
        <v>217.74</v>
      </c>
      <c r="E1306">
        <v>116.79</v>
      </c>
      <c r="F1306">
        <v>40729</v>
      </c>
      <c r="H1306">
        <f>_xlfn.LET(_xlpm.v, IFERROR(VLOOKUP($A1306, manifest!$A:$E, 3, FALSE), ""), IF(OR(_xlpm.v=0, _xlpm.v=""), "", _xlpm.v))</f>
        <v>59</v>
      </c>
      <c r="I1306" t="str">
        <f>_xlfn.LET(_xlpm.v, IFERROR(VLOOKUP($A1306, manifest!$A:$E, 5, FALSE), ""), IF(OR(_xlpm.v=0, _xlpm.v=""), "", _xlpm.v))</f>
        <v>male</v>
      </c>
    </row>
    <row r="1307" spans="1:9" x14ac:dyDescent="0.6">
      <c r="A1307">
        <v>278</v>
      </c>
      <c r="B1307" t="s">
        <v>7</v>
      </c>
      <c r="C1307" t="s">
        <v>8</v>
      </c>
      <c r="D1307">
        <v>143.6</v>
      </c>
      <c r="E1307">
        <v>103.04</v>
      </c>
      <c r="F1307">
        <v>32511</v>
      </c>
      <c r="G1307" t="s">
        <v>15</v>
      </c>
      <c r="H1307">
        <f>_xlfn.LET(_xlpm.v, IFERROR(VLOOKUP($A1307, manifest!$A:$E, 3, FALSE), ""), IF(OR(_xlpm.v=0, _xlpm.v=""), "", _xlpm.v))</f>
        <v>55</v>
      </c>
      <c r="I1307" t="str">
        <f>_xlfn.LET(_xlpm.v, IFERROR(VLOOKUP($A1307, manifest!$A:$E, 5, FALSE), ""), IF(OR(_xlpm.v=0, _xlpm.v=""), "", _xlpm.v))</f>
        <v>female</v>
      </c>
    </row>
    <row r="1308" spans="1:9" x14ac:dyDescent="0.6">
      <c r="A1308">
        <v>278</v>
      </c>
      <c r="B1308" t="s">
        <v>7</v>
      </c>
      <c r="C1308" t="s">
        <v>10</v>
      </c>
      <c r="D1308">
        <v>151.83000000000001</v>
      </c>
      <c r="E1308">
        <v>123.98</v>
      </c>
      <c r="F1308">
        <v>40021</v>
      </c>
      <c r="H1308">
        <f>_xlfn.LET(_xlpm.v, IFERROR(VLOOKUP($A1308, manifest!$A:$E, 3, FALSE), ""), IF(OR(_xlpm.v=0, _xlpm.v=""), "", _xlpm.v))</f>
        <v>55</v>
      </c>
      <c r="I1308" t="str">
        <f>_xlfn.LET(_xlpm.v, IFERROR(VLOOKUP($A1308, manifest!$A:$E, 5, FALSE), ""), IF(OR(_xlpm.v=0, _xlpm.v=""), "", _xlpm.v))</f>
        <v>female</v>
      </c>
    </row>
    <row r="1309" spans="1:9" x14ac:dyDescent="0.6">
      <c r="A1309">
        <v>278</v>
      </c>
      <c r="B1309" t="s">
        <v>7</v>
      </c>
      <c r="C1309" t="s">
        <v>11</v>
      </c>
      <c r="D1309">
        <v>154.41999999999999</v>
      </c>
      <c r="E1309">
        <v>132.18</v>
      </c>
      <c r="F1309">
        <v>51252</v>
      </c>
      <c r="H1309">
        <f>_xlfn.LET(_xlpm.v, IFERROR(VLOOKUP($A1309, manifest!$A:$E, 3, FALSE), ""), IF(OR(_xlpm.v=0, _xlpm.v=""), "", _xlpm.v))</f>
        <v>55</v>
      </c>
      <c r="I1309" t="str">
        <f>_xlfn.LET(_xlpm.v, IFERROR(VLOOKUP($A1309, manifest!$A:$E, 5, FALSE), ""), IF(OR(_xlpm.v=0, _xlpm.v=""), "", _xlpm.v))</f>
        <v>female</v>
      </c>
    </row>
    <row r="1310" spans="1:9" x14ac:dyDescent="0.6">
      <c r="A1310">
        <v>278</v>
      </c>
      <c r="B1310" t="s">
        <v>7</v>
      </c>
      <c r="C1310" t="s">
        <v>12</v>
      </c>
      <c r="D1310">
        <v>167.61</v>
      </c>
      <c r="E1310">
        <v>152.4</v>
      </c>
      <c r="F1310">
        <v>62766</v>
      </c>
      <c r="H1310">
        <f>_xlfn.LET(_xlpm.v, IFERROR(VLOOKUP($A1310, manifest!$A:$E, 3, FALSE), ""), IF(OR(_xlpm.v=0, _xlpm.v=""), "", _xlpm.v))</f>
        <v>55</v>
      </c>
      <c r="I1310" t="str">
        <f>_xlfn.LET(_xlpm.v, IFERROR(VLOOKUP($A1310, manifest!$A:$E, 5, FALSE), ""), IF(OR(_xlpm.v=0, _xlpm.v=""), "", _xlpm.v))</f>
        <v>female</v>
      </c>
    </row>
    <row r="1311" spans="1:9" x14ac:dyDescent="0.6">
      <c r="A1311">
        <v>278</v>
      </c>
      <c r="B1311" t="s">
        <v>7</v>
      </c>
      <c r="C1311" t="s">
        <v>13</v>
      </c>
      <c r="D1311">
        <v>157.75</v>
      </c>
      <c r="E1311">
        <v>148.22</v>
      </c>
      <c r="F1311">
        <v>60223</v>
      </c>
      <c r="H1311">
        <f>_xlfn.LET(_xlpm.v, IFERROR(VLOOKUP($A1311, manifest!$A:$E, 3, FALSE), ""), IF(OR(_xlpm.v=0, _xlpm.v=""), "", _xlpm.v))</f>
        <v>55</v>
      </c>
      <c r="I1311" t="str">
        <f>_xlfn.LET(_xlpm.v, IFERROR(VLOOKUP($A1311, manifest!$A:$E, 5, FALSE), ""), IF(OR(_xlpm.v=0, _xlpm.v=""), "", _xlpm.v))</f>
        <v>female</v>
      </c>
    </row>
    <row r="1312" spans="1:9" x14ac:dyDescent="0.6">
      <c r="A1312">
        <v>284</v>
      </c>
      <c r="B1312" t="s">
        <v>14</v>
      </c>
      <c r="C1312" t="s">
        <v>8</v>
      </c>
      <c r="D1312">
        <v>175.75</v>
      </c>
      <c r="E1312">
        <v>137.69</v>
      </c>
      <c r="F1312">
        <v>30683</v>
      </c>
      <c r="G1312" t="s">
        <v>9</v>
      </c>
      <c r="H1312">
        <f>_xlfn.LET(_xlpm.v, IFERROR(VLOOKUP($A1312, manifest!$A:$E, 3, FALSE), ""), IF(OR(_xlpm.v=0, _xlpm.v=""), "", _xlpm.v))</f>
        <v>56</v>
      </c>
      <c r="I1312" t="str">
        <f>_xlfn.LET(_xlpm.v, IFERROR(VLOOKUP($A1312, manifest!$A:$E, 5, FALSE), ""), IF(OR(_xlpm.v=0, _xlpm.v=""), "", _xlpm.v))</f>
        <v>female</v>
      </c>
    </row>
    <row r="1313" spans="1:9" x14ac:dyDescent="0.6">
      <c r="A1313">
        <v>284</v>
      </c>
      <c r="B1313" t="s">
        <v>14</v>
      </c>
      <c r="C1313" t="s">
        <v>10</v>
      </c>
      <c r="D1313">
        <v>188.47</v>
      </c>
      <c r="E1313">
        <v>164.73</v>
      </c>
      <c r="F1313">
        <v>34206</v>
      </c>
      <c r="H1313">
        <f>_xlfn.LET(_xlpm.v, IFERROR(VLOOKUP($A1313, manifest!$A:$E, 3, FALSE), ""), IF(OR(_xlpm.v=0, _xlpm.v=""), "", _xlpm.v))</f>
        <v>56</v>
      </c>
      <c r="I1313" t="str">
        <f>_xlfn.LET(_xlpm.v, IFERROR(VLOOKUP($A1313, manifest!$A:$E, 5, FALSE), ""), IF(OR(_xlpm.v=0, _xlpm.v=""), "", _xlpm.v))</f>
        <v>female</v>
      </c>
    </row>
    <row r="1314" spans="1:9" x14ac:dyDescent="0.6">
      <c r="A1314">
        <v>284</v>
      </c>
      <c r="B1314" t="s">
        <v>14</v>
      </c>
      <c r="C1314" t="s">
        <v>11</v>
      </c>
      <c r="D1314">
        <v>186.28</v>
      </c>
      <c r="E1314">
        <v>156.30000000000001</v>
      </c>
      <c r="F1314">
        <v>39765</v>
      </c>
      <c r="H1314">
        <f>_xlfn.LET(_xlpm.v, IFERROR(VLOOKUP($A1314, manifest!$A:$E, 3, FALSE), ""), IF(OR(_xlpm.v=0, _xlpm.v=""), "", _xlpm.v))</f>
        <v>56</v>
      </c>
      <c r="I1314" t="str">
        <f>_xlfn.LET(_xlpm.v, IFERROR(VLOOKUP($A1314, manifest!$A:$E, 5, FALSE), ""), IF(OR(_xlpm.v=0, _xlpm.v=""), "", _xlpm.v))</f>
        <v>female</v>
      </c>
    </row>
    <row r="1315" spans="1:9" x14ac:dyDescent="0.6">
      <c r="A1315">
        <v>284</v>
      </c>
      <c r="B1315" t="s">
        <v>14</v>
      </c>
      <c r="C1315" t="s">
        <v>12</v>
      </c>
      <c r="D1315">
        <v>187.61</v>
      </c>
      <c r="E1315">
        <v>172.67</v>
      </c>
      <c r="F1315">
        <v>40355</v>
      </c>
      <c r="H1315">
        <f>_xlfn.LET(_xlpm.v, IFERROR(VLOOKUP($A1315, manifest!$A:$E, 3, FALSE), ""), IF(OR(_xlpm.v=0, _xlpm.v=""), "", _xlpm.v))</f>
        <v>56</v>
      </c>
      <c r="I1315" t="str">
        <f>_xlfn.LET(_xlpm.v, IFERROR(VLOOKUP($A1315, manifest!$A:$E, 5, FALSE), ""), IF(OR(_xlpm.v=0, _xlpm.v=""), "", _xlpm.v))</f>
        <v>female</v>
      </c>
    </row>
    <row r="1316" spans="1:9" x14ac:dyDescent="0.6">
      <c r="A1316">
        <v>284</v>
      </c>
      <c r="B1316" t="s">
        <v>14</v>
      </c>
      <c r="C1316" t="s">
        <v>13</v>
      </c>
      <c r="D1316">
        <v>185.08</v>
      </c>
      <c r="E1316">
        <v>178.15</v>
      </c>
      <c r="F1316">
        <v>42643</v>
      </c>
      <c r="H1316">
        <f>_xlfn.LET(_xlpm.v, IFERROR(VLOOKUP($A1316, manifest!$A:$E, 3, FALSE), ""), IF(OR(_xlpm.v=0, _xlpm.v=""), "", _xlpm.v))</f>
        <v>56</v>
      </c>
      <c r="I1316" t="str">
        <f>_xlfn.LET(_xlpm.v, IFERROR(VLOOKUP($A1316, manifest!$A:$E, 5, FALSE), ""), IF(OR(_xlpm.v=0, _xlpm.v=""), "", _xlpm.v))</f>
        <v>female</v>
      </c>
    </row>
    <row r="1317" spans="1:9" x14ac:dyDescent="0.6">
      <c r="A1317">
        <v>280</v>
      </c>
      <c r="B1317" t="s">
        <v>7</v>
      </c>
      <c r="C1317" t="s">
        <v>8</v>
      </c>
      <c r="D1317">
        <v>251.34</v>
      </c>
      <c r="E1317">
        <v>192.92</v>
      </c>
      <c r="F1317">
        <v>42941</v>
      </c>
      <c r="G1317" t="s">
        <v>9</v>
      </c>
      <c r="H1317">
        <f>_xlfn.LET(_xlpm.v, IFERROR(VLOOKUP($A1317, manifest!$A:$E, 3, FALSE), ""), IF(OR(_xlpm.v=0, _xlpm.v=""), "", _xlpm.v))</f>
        <v>55</v>
      </c>
      <c r="I1317" t="str">
        <f>_xlfn.LET(_xlpm.v, IFERROR(VLOOKUP($A1317, manifest!$A:$E, 5, FALSE), ""), IF(OR(_xlpm.v=0, _xlpm.v=""), "", _xlpm.v))</f>
        <v>other</v>
      </c>
    </row>
    <row r="1318" spans="1:9" x14ac:dyDescent="0.6">
      <c r="A1318">
        <v>280</v>
      </c>
      <c r="B1318" t="s">
        <v>7</v>
      </c>
      <c r="C1318" t="s">
        <v>10</v>
      </c>
      <c r="D1318">
        <v>253.55</v>
      </c>
      <c r="E1318">
        <v>206.73</v>
      </c>
      <c r="F1318">
        <v>46537</v>
      </c>
      <c r="H1318">
        <f>_xlfn.LET(_xlpm.v, IFERROR(VLOOKUP($A1318, manifest!$A:$E, 3, FALSE), ""), IF(OR(_xlpm.v=0, _xlpm.v=""), "", _xlpm.v))</f>
        <v>55</v>
      </c>
      <c r="I1318" t="str">
        <f>_xlfn.LET(_xlpm.v, IFERROR(VLOOKUP($A1318, manifest!$A:$E, 5, FALSE), ""), IF(OR(_xlpm.v=0, _xlpm.v=""), "", _xlpm.v))</f>
        <v>other</v>
      </c>
    </row>
    <row r="1319" spans="1:9" x14ac:dyDescent="0.6">
      <c r="A1319">
        <v>280</v>
      </c>
      <c r="B1319" t="s">
        <v>7</v>
      </c>
      <c r="C1319" t="s">
        <v>11</v>
      </c>
      <c r="D1319">
        <v>260.02999999999997</v>
      </c>
      <c r="E1319">
        <v>198.09</v>
      </c>
      <c r="F1319">
        <v>66772</v>
      </c>
      <c r="H1319">
        <f>_xlfn.LET(_xlpm.v, IFERROR(VLOOKUP($A1319, manifest!$A:$E, 3, FALSE), ""), IF(OR(_xlpm.v=0, _xlpm.v=""), "", _xlpm.v))</f>
        <v>55</v>
      </c>
      <c r="I1319" t="str">
        <f>_xlfn.LET(_xlpm.v, IFERROR(VLOOKUP($A1319, manifest!$A:$E, 5, FALSE), ""), IF(OR(_xlpm.v=0, _xlpm.v=""), "", _xlpm.v))</f>
        <v>other</v>
      </c>
    </row>
    <row r="1320" spans="1:9" x14ac:dyDescent="0.6">
      <c r="A1320">
        <v>280</v>
      </c>
      <c r="B1320" t="s">
        <v>7</v>
      </c>
      <c r="C1320" t="s">
        <v>12</v>
      </c>
      <c r="D1320">
        <v>272.13</v>
      </c>
      <c r="E1320">
        <v>212.48</v>
      </c>
      <c r="F1320">
        <v>55104</v>
      </c>
      <c r="H1320">
        <f>_xlfn.LET(_xlpm.v, IFERROR(VLOOKUP($A1320, manifest!$A:$E, 3, FALSE), ""), IF(OR(_xlpm.v=0, _xlpm.v=""), "", _xlpm.v))</f>
        <v>55</v>
      </c>
      <c r="I1320" t="str">
        <f>_xlfn.LET(_xlpm.v, IFERROR(VLOOKUP($A1320, manifest!$A:$E, 5, FALSE), ""), IF(OR(_xlpm.v=0, _xlpm.v=""), "", _xlpm.v))</f>
        <v>other</v>
      </c>
    </row>
    <row r="1321" spans="1:9" x14ac:dyDescent="0.6">
      <c r="A1321">
        <v>280</v>
      </c>
      <c r="B1321" t="s">
        <v>7</v>
      </c>
      <c r="C1321" t="s">
        <v>13</v>
      </c>
      <c r="D1321">
        <v>250.2</v>
      </c>
      <c r="E1321">
        <v>182.51</v>
      </c>
      <c r="F1321">
        <v>61605</v>
      </c>
      <c r="H1321">
        <f>_xlfn.LET(_xlpm.v, IFERROR(VLOOKUP($A1321, manifest!$A:$E, 3, FALSE), ""), IF(OR(_xlpm.v=0, _xlpm.v=""), "", _xlpm.v))</f>
        <v>55</v>
      </c>
      <c r="I1321" t="str">
        <f>_xlfn.LET(_xlpm.v, IFERROR(VLOOKUP($A1321, manifest!$A:$E, 5, FALSE), ""), IF(OR(_xlpm.v=0, _xlpm.v=""), "", _xlpm.v))</f>
        <v>other</v>
      </c>
    </row>
    <row r="1322" spans="1:9" x14ac:dyDescent="0.6">
      <c r="A1322">
        <v>270</v>
      </c>
      <c r="B1322" t="s">
        <v>7</v>
      </c>
      <c r="C1322" t="s">
        <v>8</v>
      </c>
      <c r="D1322">
        <v>242.53</v>
      </c>
      <c r="E1322">
        <v>148.52000000000001</v>
      </c>
      <c r="F1322">
        <v>31271</v>
      </c>
      <c r="G1322" t="s">
        <v>9</v>
      </c>
      <c r="H1322">
        <f>_xlfn.LET(_xlpm.v, IFERROR(VLOOKUP($A1322, manifest!$A:$E, 3, FALSE), ""), IF(OR(_xlpm.v=0, _xlpm.v=""), "", _xlpm.v))</f>
        <v>64</v>
      </c>
      <c r="I1322" t="str">
        <f>_xlfn.LET(_xlpm.v, IFERROR(VLOOKUP($A1322, manifest!$A:$E, 5, FALSE), ""), IF(OR(_xlpm.v=0, _xlpm.v=""), "", _xlpm.v))</f>
        <v>female</v>
      </c>
    </row>
    <row r="1323" spans="1:9" x14ac:dyDescent="0.6">
      <c r="A1323">
        <v>270</v>
      </c>
      <c r="B1323" t="s">
        <v>7</v>
      </c>
      <c r="C1323" t="s">
        <v>10</v>
      </c>
      <c r="D1323">
        <v>260.62</v>
      </c>
      <c r="E1323">
        <v>236.66</v>
      </c>
      <c r="F1323">
        <v>33067</v>
      </c>
      <c r="H1323">
        <f>_xlfn.LET(_xlpm.v, IFERROR(VLOOKUP($A1323, manifest!$A:$E, 3, FALSE), ""), IF(OR(_xlpm.v=0, _xlpm.v=""), "", _xlpm.v))</f>
        <v>64</v>
      </c>
      <c r="I1323" t="str">
        <f>_xlfn.LET(_xlpm.v, IFERROR(VLOOKUP($A1323, manifest!$A:$E, 5, FALSE), ""), IF(OR(_xlpm.v=0, _xlpm.v=""), "", _xlpm.v))</f>
        <v>female</v>
      </c>
    </row>
    <row r="1324" spans="1:9" x14ac:dyDescent="0.6">
      <c r="A1324">
        <v>270</v>
      </c>
      <c r="B1324" t="s">
        <v>7</v>
      </c>
      <c r="C1324" t="s">
        <v>11</v>
      </c>
      <c r="D1324">
        <v>234.65</v>
      </c>
      <c r="E1324">
        <v>207.9</v>
      </c>
      <c r="F1324">
        <v>44084</v>
      </c>
      <c r="H1324">
        <f>_xlfn.LET(_xlpm.v, IFERROR(VLOOKUP($A1324, manifest!$A:$E, 3, FALSE), ""), IF(OR(_xlpm.v=0, _xlpm.v=""), "", _xlpm.v))</f>
        <v>64</v>
      </c>
      <c r="I1324" t="str">
        <f>_xlfn.LET(_xlpm.v, IFERROR(VLOOKUP($A1324, manifest!$A:$E, 5, FALSE), ""), IF(OR(_xlpm.v=0, _xlpm.v=""), "", _xlpm.v))</f>
        <v>female</v>
      </c>
    </row>
    <row r="1325" spans="1:9" x14ac:dyDescent="0.6">
      <c r="A1325">
        <v>270</v>
      </c>
      <c r="B1325" t="s">
        <v>7</v>
      </c>
      <c r="C1325" t="s">
        <v>12</v>
      </c>
      <c r="D1325">
        <v>284.32</v>
      </c>
      <c r="E1325">
        <v>225.33</v>
      </c>
      <c r="F1325">
        <v>58365</v>
      </c>
      <c r="H1325">
        <f>_xlfn.LET(_xlpm.v, IFERROR(VLOOKUP($A1325, manifest!$A:$E, 3, FALSE), ""), IF(OR(_xlpm.v=0, _xlpm.v=""), "", _xlpm.v))</f>
        <v>64</v>
      </c>
      <c r="I1325" t="str">
        <f>_xlfn.LET(_xlpm.v, IFERROR(VLOOKUP($A1325, manifest!$A:$E, 5, FALSE), ""), IF(OR(_xlpm.v=0, _xlpm.v=""), "", _xlpm.v))</f>
        <v>female</v>
      </c>
    </row>
    <row r="1326" spans="1:9" x14ac:dyDescent="0.6">
      <c r="A1326">
        <v>270</v>
      </c>
      <c r="B1326" t="s">
        <v>7</v>
      </c>
      <c r="C1326" t="s">
        <v>13</v>
      </c>
      <c r="D1326">
        <v>361.84</v>
      </c>
      <c r="E1326">
        <v>263.79000000000002</v>
      </c>
      <c r="F1326">
        <v>61309</v>
      </c>
      <c r="H1326">
        <f>_xlfn.LET(_xlpm.v, IFERROR(VLOOKUP($A1326, manifest!$A:$E, 3, FALSE), ""), IF(OR(_xlpm.v=0, _xlpm.v=""), "", _xlpm.v))</f>
        <v>64</v>
      </c>
      <c r="I1326" t="str">
        <f>_xlfn.LET(_xlpm.v, IFERROR(VLOOKUP($A1326, manifest!$A:$E, 5, FALSE), ""), IF(OR(_xlpm.v=0, _xlpm.v=""), "", _xlpm.v))</f>
        <v>female</v>
      </c>
    </row>
    <row r="1327" spans="1:9" x14ac:dyDescent="0.6">
      <c r="A1327">
        <v>306</v>
      </c>
      <c r="B1327" t="s">
        <v>14</v>
      </c>
      <c r="C1327" t="s">
        <v>8</v>
      </c>
      <c r="D1327">
        <v>157.13</v>
      </c>
      <c r="E1327">
        <v>116.22</v>
      </c>
      <c r="F1327">
        <v>46036</v>
      </c>
      <c r="G1327" t="s">
        <v>15</v>
      </c>
      <c r="H1327">
        <f>_xlfn.LET(_xlpm.v, IFERROR(VLOOKUP($A1327, manifest!$A:$E, 3, FALSE), ""), IF(OR(_xlpm.v=0, _xlpm.v=""), "", _xlpm.v))</f>
        <v>55</v>
      </c>
      <c r="I1327" t="str">
        <f>_xlfn.LET(_xlpm.v, IFERROR(VLOOKUP($A1327, manifest!$A:$E, 5, FALSE), ""), IF(OR(_xlpm.v=0, _xlpm.v=""), "", _xlpm.v))</f>
        <v>male</v>
      </c>
    </row>
    <row r="1328" spans="1:9" x14ac:dyDescent="0.6">
      <c r="A1328">
        <v>306</v>
      </c>
      <c r="B1328" t="s">
        <v>14</v>
      </c>
      <c r="C1328" t="s">
        <v>10</v>
      </c>
      <c r="D1328">
        <v>177.8</v>
      </c>
      <c r="E1328">
        <v>157.03</v>
      </c>
      <c r="F1328">
        <v>51478</v>
      </c>
      <c r="H1328">
        <f>_xlfn.LET(_xlpm.v, IFERROR(VLOOKUP($A1328, manifest!$A:$E, 3, FALSE), ""), IF(OR(_xlpm.v=0, _xlpm.v=""), "", _xlpm.v))</f>
        <v>55</v>
      </c>
      <c r="I1328" t="str">
        <f>_xlfn.LET(_xlpm.v, IFERROR(VLOOKUP($A1328, manifest!$A:$E, 5, FALSE), ""), IF(OR(_xlpm.v=0, _xlpm.v=""), "", _xlpm.v))</f>
        <v>male</v>
      </c>
    </row>
    <row r="1329" spans="1:9" x14ac:dyDescent="0.6">
      <c r="A1329">
        <v>306</v>
      </c>
      <c r="B1329" t="s">
        <v>14</v>
      </c>
      <c r="C1329" t="s">
        <v>11</v>
      </c>
      <c r="D1329">
        <v>176.99</v>
      </c>
      <c r="E1329">
        <v>139.84</v>
      </c>
      <c r="F1329">
        <v>50904</v>
      </c>
      <c r="H1329">
        <f>_xlfn.LET(_xlpm.v, IFERROR(VLOOKUP($A1329, manifest!$A:$E, 3, FALSE), ""), IF(OR(_xlpm.v=0, _xlpm.v=""), "", _xlpm.v))</f>
        <v>55</v>
      </c>
      <c r="I1329" t="str">
        <f>_xlfn.LET(_xlpm.v, IFERROR(VLOOKUP($A1329, manifest!$A:$E, 5, FALSE), ""), IF(OR(_xlpm.v=0, _xlpm.v=""), "", _xlpm.v))</f>
        <v>male</v>
      </c>
    </row>
    <row r="1330" spans="1:9" x14ac:dyDescent="0.6">
      <c r="A1330">
        <v>306</v>
      </c>
      <c r="B1330" t="s">
        <v>14</v>
      </c>
      <c r="C1330" t="s">
        <v>12</v>
      </c>
      <c r="D1330">
        <v>177.95</v>
      </c>
      <c r="E1330">
        <v>147.5</v>
      </c>
      <c r="F1330">
        <v>54680</v>
      </c>
      <c r="H1330">
        <f>_xlfn.LET(_xlpm.v, IFERROR(VLOOKUP($A1330, manifest!$A:$E, 3, FALSE), ""), IF(OR(_xlpm.v=0, _xlpm.v=""), "", _xlpm.v))</f>
        <v>55</v>
      </c>
      <c r="I1330" t="str">
        <f>_xlfn.LET(_xlpm.v, IFERROR(VLOOKUP($A1330, manifest!$A:$E, 5, FALSE), ""), IF(OR(_xlpm.v=0, _xlpm.v=""), "", _xlpm.v))</f>
        <v>male</v>
      </c>
    </row>
    <row r="1331" spans="1:9" x14ac:dyDescent="0.6">
      <c r="A1331">
        <v>306</v>
      </c>
      <c r="B1331" t="s">
        <v>14</v>
      </c>
      <c r="C1331" t="s">
        <v>13</v>
      </c>
      <c r="D1331">
        <v>204.52</v>
      </c>
      <c r="E1331">
        <v>158.69999999999999</v>
      </c>
      <c r="F1331">
        <v>67482</v>
      </c>
      <c r="H1331">
        <f>_xlfn.LET(_xlpm.v, IFERROR(VLOOKUP($A1331, manifest!$A:$E, 3, FALSE), ""), IF(OR(_xlpm.v=0, _xlpm.v=""), "", _xlpm.v))</f>
        <v>55</v>
      </c>
      <c r="I1331" t="str">
        <f>_xlfn.LET(_xlpm.v, IFERROR(VLOOKUP($A1331, manifest!$A:$E, 5, FALSE), ""), IF(OR(_xlpm.v=0, _xlpm.v=""), "", _xlpm.v))</f>
        <v>male</v>
      </c>
    </row>
    <row r="1332" spans="1:9" x14ac:dyDescent="0.6">
      <c r="A1332">
        <v>287</v>
      </c>
      <c r="B1332" t="s">
        <v>14</v>
      </c>
      <c r="C1332" t="s">
        <v>8</v>
      </c>
      <c r="D1332">
        <v>183.66</v>
      </c>
      <c r="E1332">
        <v>132.88999999999999</v>
      </c>
      <c r="F1332">
        <v>30261</v>
      </c>
      <c r="G1332" t="s">
        <v>9</v>
      </c>
      <c r="H1332">
        <f>_xlfn.LET(_xlpm.v, IFERROR(VLOOKUP($A1332, manifest!$A:$E, 3, FALSE), ""), IF(OR(_xlpm.v=0, _xlpm.v=""), "", _xlpm.v))</f>
        <v>54</v>
      </c>
      <c r="I1332" t="str">
        <f>_xlfn.LET(_xlpm.v, IFERROR(VLOOKUP($A1332, manifest!$A:$E, 5, FALSE), ""), IF(OR(_xlpm.v=0, _xlpm.v=""), "", _xlpm.v))</f>
        <v>female</v>
      </c>
    </row>
    <row r="1333" spans="1:9" x14ac:dyDescent="0.6">
      <c r="A1333">
        <v>287</v>
      </c>
      <c r="B1333" t="s">
        <v>14</v>
      </c>
      <c r="C1333" t="s">
        <v>10</v>
      </c>
      <c r="D1333">
        <v>184.16</v>
      </c>
      <c r="E1333">
        <v>172.17</v>
      </c>
      <c r="F1333">
        <v>39383</v>
      </c>
      <c r="H1333">
        <f>_xlfn.LET(_xlpm.v, IFERROR(VLOOKUP($A1333, manifest!$A:$E, 3, FALSE), ""), IF(OR(_xlpm.v=0, _xlpm.v=""), "", _xlpm.v))</f>
        <v>54</v>
      </c>
      <c r="I1333" t="str">
        <f>_xlfn.LET(_xlpm.v, IFERROR(VLOOKUP($A1333, manifest!$A:$E, 5, FALSE), ""), IF(OR(_xlpm.v=0, _xlpm.v=""), "", _xlpm.v))</f>
        <v>female</v>
      </c>
    </row>
    <row r="1334" spans="1:9" x14ac:dyDescent="0.6">
      <c r="A1334">
        <v>287</v>
      </c>
      <c r="B1334" t="s">
        <v>14</v>
      </c>
      <c r="C1334" t="s">
        <v>11</v>
      </c>
      <c r="D1334">
        <v>169.34</v>
      </c>
      <c r="E1334">
        <v>164.95</v>
      </c>
      <c r="F1334">
        <v>47006</v>
      </c>
      <c r="H1334">
        <f>_xlfn.LET(_xlpm.v, IFERROR(VLOOKUP($A1334, manifest!$A:$E, 3, FALSE), ""), IF(OR(_xlpm.v=0, _xlpm.v=""), "", _xlpm.v))</f>
        <v>54</v>
      </c>
      <c r="I1334" t="str">
        <f>_xlfn.LET(_xlpm.v, IFERROR(VLOOKUP($A1334, manifest!$A:$E, 5, FALSE), ""), IF(OR(_xlpm.v=0, _xlpm.v=""), "", _xlpm.v))</f>
        <v>female</v>
      </c>
    </row>
    <row r="1335" spans="1:9" x14ac:dyDescent="0.6">
      <c r="A1335">
        <v>287</v>
      </c>
      <c r="B1335" t="s">
        <v>14</v>
      </c>
      <c r="C1335" t="s">
        <v>12</v>
      </c>
      <c r="D1335">
        <v>176.15</v>
      </c>
      <c r="E1335">
        <v>187.56</v>
      </c>
      <c r="F1335">
        <v>49284</v>
      </c>
      <c r="H1335">
        <f>_xlfn.LET(_xlpm.v, IFERROR(VLOOKUP($A1335, manifest!$A:$E, 3, FALSE), ""), IF(OR(_xlpm.v=0, _xlpm.v=""), "", _xlpm.v))</f>
        <v>54</v>
      </c>
      <c r="I1335" t="str">
        <f>_xlfn.LET(_xlpm.v, IFERROR(VLOOKUP($A1335, manifest!$A:$E, 5, FALSE), ""), IF(OR(_xlpm.v=0, _xlpm.v=""), "", _xlpm.v))</f>
        <v>female</v>
      </c>
    </row>
    <row r="1336" spans="1:9" x14ac:dyDescent="0.6">
      <c r="A1336">
        <v>287</v>
      </c>
      <c r="B1336" t="s">
        <v>14</v>
      </c>
      <c r="C1336" t="s">
        <v>13</v>
      </c>
      <c r="D1336">
        <v>169.79</v>
      </c>
      <c r="E1336">
        <v>138.84</v>
      </c>
      <c r="F1336">
        <v>55256</v>
      </c>
      <c r="H1336">
        <f>_xlfn.LET(_xlpm.v, IFERROR(VLOOKUP($A1336, manifest!$A:$E, 3, FALSE), ""), IF(OR(_xlpm.v=0, _xlpm.v=""), "", _xlpm.v))</f>
        <v>54</v>
      </c>
      <c r="I1336" t="str">
        <f>_xlfn.LET(_xlpm.v, IFERROR(VLOOKUP($A1336, manifest!$A:$E, 5, FALSE), ""), IF(OR(_xlpm.v=0, _xlpm.v=""), "", _xlpm.v))</f>
        <v>female</v>
      </c>
    </row>
    <row r="1337" spans="1:9" x14ac:dyDescent="0.6">
      <c r="A1337">
        <v>288</v>
      </c>
      <c r="B1337" t="s">
        <v>14</v>
      </c>
      <c r="C1337" t="s">
        <v>8</v>
      </c>
      <c r="D1337">
        <v>167.03</v>
      </c>
      <c r="E1337">
        <v>121.95</v>
      </c>
      <c r="F1337">
        <v>22722</v>
      </c>
      <c r="G1337" t="s">
        <v>9</v>
      </c>
      <c r="H1337">
        <f>_xlfn.LET(_xlpm.v, IFERROR(VLOOKUP($A1337, manifest!$A:$E, 3, FALSE), ""), IF(OR(_xlpm.v=0, _xlpm.v=""), "", _xlpm.v))</f>
        <v>65</v>
      </c>
      <c r="I1337" t="str">
        <f>_xlfn.LET(_xlpm.v, IFERROR(VLOOKUP($A1337, manifest!$A:$E, 5, FALSE), ""), IF(OR(_xlpm.v=0, _xlpm.v=""), "", _xlpm.v))</f>
        <v>female</v>
      </c>
    </row>
    <row r="1338" spans="1:9" x14ac:dyDescent="0.6">
      <c r="A1338">
        <v>288</v>
      </c>
      <c r="B1338" t="s">
        <v>14</v>
      </c>
      <c r="C1338" t="s">
        <v>10</v>
      </c>
      <c r="D1338">
        <v>177.38</v>
      </c>
      <c r="E1338">
        <v>148.30000000000001</v>
      </c>
      <c r="F1338">
        <v>28020</v>
      </c>
      <c r="H1338">
        <f>_xlfn.LET(_xlpm.v, IFERROR(VLOOKUP($A1338, manifest!$A:$E, 3, FALSE), ""), IF(OR(_xlpm.v=0, _xlpm.v=""), "", _xlpm.v))</f>
        <v>65</v>
      </c>
      <c r="I1338" t="str">
        <f>_xlfn.LET(_xlpm.v, IFERROR(VLOOKUP($A1338, manifest!$A:$E, 5, FALSE), ""), IF(OR(_xlpm.v=0, _xlpm.v=""), "", _xlpm.v))</f>
        <v>female</v>
      </c>
    </row>
    <row r="1339" spans="1:9" x14ac:dyDescent="0.6">
      <c r="A1339">
        <v>288</v>
      </c>
      <c r="B1339" t="s">
        <v>14</v>
      </c>
      <c r="C1339" t="s">
        <v>11</v>
      </c>
      <c r="D1339">
        <v>173.8</v>
      </c>
      <c r="E1339">
        <v>160.61000000000001</v>
      </c>
      <c r="F1339">
        <v>34560</v>
      </c>
      <c r="H1339">
        <f>_xlfn.LET(_xlpm.v, IFERROR(VLOOKUP($A1339, manifest!$A:$E, 3, FALSE), ""), IF(OR(_xlpm.v=0, _xlpm.v=""), "", _xlpm.v))</f>
        <v>65</v>
      </c>
      <c r="I1339" t="str">
        <f>_xlfn.LET(_xlpm.v, IFERROR(VLOOKUP($A1339, manifest!$A:$E, 5, FALSE), ""), IF(OR(_xlpm.v=0, _xlpm.v=""), "", _xlpm.v))</f>
        <v>female</v>
      </c>
    </row>
    <row r="1340" spans="1:9" x14ac:dyDescent="0.6">
      <c r="A1340">
        <v>288</v>
      </c>
      <c r="B1340" t="s">
        <v>14</v>
      </c>
      <c r="C1340" t="s">
        <v>12</v>
      </c>
      <c r="D1340">
        <v>177.64</v>
      </c>
      <c r="E1340">
        <v>152.94</v>
      </c>
      <c r="F1340">
        <v>40288</v>
      </c>
      <c r="H1340">
        <f>_xlfn.LET(_xlpm.v, IFERROR(VLOOKUP($A1340, manifest!$A:$E, 3, FALSE), ""), IF(OR(_xlpm.v=0, _xlpm.v=""), "", _xlpm.v))</f>
        <v>65</v>
      </c>
      <c r="I1340" t="str">
        <f>_xlfn.LET(_xlpm.v, IFERROR(VLOOKUP($A1340, manifest!$A:$E, 5, FALSE), ""), IF(OR(_xlpm.v=0, _xlpm.v=""), "", _xlpm.v))</f>
        <v>female</v>
      </c>
    </row>
    <row r="1341" spans="1:9" x14ac:dyDescent="0.6">
      <c r="A1341">
        <v>288</v>
      </c>
      <c r="B1341" t="s">
        <v>14</v>
      </c>
      <c r="C1341" t="s">
        <v>13</v>
      </c>
      <c r="D1341">
        <v>214.73</v>
      </c>
      <c r="E1341">
        <v>173.77</v>
      </c>
      <c r="F1341">
        <v>38648</v>
      </c>
      <c r="H1341">
        <f>_xlfn.LET(_xlpm.v, IFERROR(VLOOKUP($A1341, manifest!$A:$E, 3, FALSE), ""), IF(OR(_xlpm.v=0, _xlpm.v=""), "", _xlpm.v))</f>
        <v>65</v>
      </c>
      <c r="I1341" t="str">
        <f>_xlfn.LET(_xlpm.v, IFERROR(VLOOKUP($A1341, manifest!$A:$E, 5, FALSE), ""), IF(OR(_xlpm.v=0, _xlpm.v=""), "", _xlpm.v))</f>
        <v>female</v>
      </c>
    </row>
    <row r="1342" spans="1:9" x14ac:dyDescent="0.6">
      <c r="A1342">
        <v>290</v>
      </c>
      <c r="B1342" t="s">
        <v>14</v>
      </c>
      <c r="C1342" t="s">
        <v>8</v>
      </c>
      <c r="D1342">
        <v>174.55</v>
      </c>
      <c r="E1342">
        <v>154.11000000000001</v>
      </c>
      <c r="F1342">
        <v>48609</v>
      </c>
      <c r="G1342" t="s">
        <v>9</v>
      </c>
      <c r="H1342">
        <f>_xlfn.LET(_xlpm.v, IFERROR(VLOOKUP($A1342, manifest!$A:$E, 3, FALSE), ""), IF(OR(_xlpm.v=0, _xlpm.v=""), "", _xlpm.v))</f>
        <v>63</v>
      </c>
      <c r="I1342" t="str">
        <f>_xlfn.LET(_xlpm.v, IFERROR(VLOOKUP($A1342, manifest!$A:$E, 5, FALSE), ""), IF(OR(_xlpm.v=0, _xlpm.v=""), "", _xlpm.v))</f>
        <v>male</v>
      </c>
    </row>
    <row r="1343" spans="1:9" x14ac:dyDescent="0.6">
      <c r="A1343">
        <v>290</v>
      </c>
      <c r="B1343" t="s">
        <v>14</v>
      </c>
      <c r="C1343" t="s">
        <v>10</v>
      </c>
      <c r="D1343">
        <v>192.97</v>
      </c>
      <c r="E1343">
        <v>194.7</v>
      </c>
      <c r="F1343">
        <v>52658</v>
      </c>
      <c r="H1343">
        <f>_xlfn.LET(_xlpm.v, IFERROR(VLOOKUP($A1343, manifest!$A:$E, 3, FALSE), ""), IF(OR(_xlpm.v=0, _xlpm.v=""), "", _xlpm.v))</f>
        <v>63</v>
      </c>
      <c r="I1343" t="str">
        <f>_xlfn.LET(_xlpm.v, IFERROR(VLOOKUP($A1343, manifest!$A:$E, 5, FALSE), ""), IF(OR(_xlpm.v=0, _xlpm.v=""), "", _xlpm.v))</f>
        <v>male</v>
      </c>
    </row>
    <row r="1344" spans="1:9" x14ac:dyDescent="0.6">
      <c r="A1344">
        <v>290</v>
      </c>
      <c r="B1344" t="s">
        <v>14</v>
      </c>
      <c r="C1344" t="s">
        <v>11</v>
      </c>
      <c r="D1344">
        <v>188.35</v>
      </c>
      <c r="E1344">
        <v>184.21</v>
      </c>
      <c r="F1344">
        <v>56640</v>
      </c>
      <c r="H1344">
        <f>_xlfn.LET(_xlpm.v, IFERROR(VLOOKUP($A1344, manifest!$A:$E, 3, FALSE), ""), IF(OR(_xlpm.v=0, _xlpm.v=""), "", _xlpm.v))</f>
        <v>63</v>
      </c>
      <c r="I1344" t="str">
        <f>_xlfn.LET(_xlpm.v, IFERROR(VLOOKUP($A1344, manifest!$A:$E, 5, FALSE), ""), IF(OR(_xlpm.v=0, _xlpm.v=""), "", _xlpm.v))</f>
        <v>male</v>
      </c>
    </row>
    <row r="1345" spans="1:9" x14ac:dyDescent="0.6">
      <c r="A1345">
        <v>290</v>
      </c>
      <c r="B1345" t="s">
        <v>14</v>
      </c>
      <c r="C1345" t="s">
        <v>12</v>
      </c>
      <c r="D1345">
        <v>213.62</v>
      </c>
      <c r="E1345">
        <v>202.23</v>
      </c>
      <c r="F1345">
        <v>70135</v>
      </c>
      <c r="H1345">
        <f>_xlfn.LET(_xlpm.v, IFERROR(VLOOKUP($A1345, manifest!$A:$E, 3, FALSE), ""), IF(OR(_xlpm.v=0, _xlpm.v=""), "", _xlpm.v))</f>
        <v>63</v>
      </c>
      <c r="I1345" t="str">
        <f>_xlfn.LET(_xlpm.v, IFERROR(VLOOKUP($A1345, manifest!$A:$E, 5, FALSE), ""), IF(OR(_xlpm.v=0, _xlpm.v=""), "", _xlpm.v))</f>
        <v>male</v>
      </c>
    </row>
    <row r="1346" spans="1:9" x14ac:dyDescent="0.6">
      <c r="A1346">
        <v>290</v>
      </c>
      <c r="B1346" t="s">
        <v>14</v>
      </c>
      <c r="C1346" t="s">
        <v>13</v>
      </c>
      <c r="D1346">
        <v>241.23</v>
      </c>
      <c r="E1346">
        <v>207.82</v>
      </c>
      <c r="F1346">
        <v>56528</v>
      </c>
      <c r="H1346">
        <f>_xlfn.LET(_xlpm.v, IFERROR(VLOOKUP($A1346, manifest!$A:$E, 3, FALSE), ""), IF(OR(_xlpm.v=0, _xlpm.v=""), "", _xlpm.v))</f>
        <v>63</v>
      </c>
      <c r="I1346" t="str">
        <f>_xlfn.LET(_xlpm.v, IFERROR(VLOOKUP($A1346, manifest!$A:$E, 5, FALSE), ""), IF(OR(_xlpm.v=0, _xlpm.v=""), "", _xlpm.v))</f>
        <v>male</v>
      </c>
    </row>
    <row r="1347" spans="1:9" x14ac:dyDescent="0.6">
      <c r="A1347">
        <v>334</v>
      </c>
      <c r="B1347" t="s">
        <v>14</v>
      </c>
      <c r="C1347" t="s">
        <v>8</v>
      </c>
      <c r="D1347">
        <v>218.38</v>
      </c>
      <c r="E1347">
        <v>104.81</v>
      </c>
      <c r="F1347">
        <v>2737</v>
      </c>
      <c r="G1347" t="s">
        <v>9</v>
      </c>
      <c r="H1347">
        <f>_xlfn.LET(_xlpm.v, IFERROR(VLOOKUP($A1347, manifest!$A:$E, 3, FALSE), ""), IF(OR(_xlpm.v=0, _xlpm.v=""), "", _xlpm.v))</f>
        <v>60</v>
      </c>
      <c r="I1347" t="str">
        <f>_xlfn.LET(_xlpm.v, IFERROR(VLOOKUP($A1347, manifest!$A:$E, 5, FALSE), ""), IF(OR(_xlpm.v=0, _xlpm.v=""), "", _xlpm.v))</f>
        <v>male</v>
      </c>
    </row>
    <row r="1348" spans="1:9" x14ac:dyDescent="0.6">
      <c r="A1348">
        <v>334</v>
      </c>
      <c r="B1348" t="s">
        <v>14</v>
      </c>
      <c r="C1348" t="s">
        <v>10</v>
      </c>
      <c r="D1348">
        <v>233.66</v>
      </c>
      <c r="E1348">
        <v>118.64</v>
      </c>
      <c r="F1348">
        <v>3722</v>
      </c>
      <c r="H1348">
        <f>_xlfn.LET(_xlpm.v, IFERROR(VLOOKUP($A1348, manifest!$A:$E, 3, FALSE), ""), IF(OR(_xlpm.v=0, _xlpm.v=""), "", _xlpm.v))</f>
        <v>60</v>
      </c>
      <c r="I1348" t="str">
        <f>_xlfn.LET(_xlpm.v, IFERROR(VLOOKUP($A1348, manifest!$A:$E, 5, FALSE), ""), IF(OR(_xlpm.v=0, _xlpm.v=""), "", _xlpm.v))</f>
        <v>male</v>
      </c>
    </row>
    <row r="1349" spans="1:9" x14ac:dyDescent="0.6">
      <c r="A1349">
        <v>334</v>
      </c>
      <c r="B1349" t="s">
        <v>14</v>
      </c>
      <c r="C1349" t="s">
        <v>11</v>
      </c>
      <c r="D1349">
        <v>243.22</v>
      </c>
      <c r="E1349">
        <v>138.04</v>
      </c>
      <c r="F1349">
        <v>4817</v>
      </c>
      <c r="H1349">
        <f>_xlfn.LET(_xlpm.v, IFERROR(VLOOKUP($A1349, manifest!$A:$E, 3, FALSE), ""), IF(OR(_xlpm.v=0, _xlpm.v=""), "", _xlpm.v))</f>
        <v>60</v>
      </c>
      <c r="I1349" t="str">
        <f>_xlfn.LET(_xlpm.v, IFERROR(VLOOKUP($A1349, manifest!$A:$E, 5, FALSE), ""), IF(OR(_xlpm.v=0, _xlpm.v=""), "", _xlpm.v))</f>
        <v>male</v>
      </c>
    </row>
    <row r="1350" spans="1:9" x14ac:dyDescent="0.6">
      <c r="A1350">
        <v>334</v>
      </c>
      <c r="B1350" t="s">
        <v>14</v>
      </c>
      <c r="C1350" t="s">
        <v>12</v>
      </c>
      <c r="D1350">
        <v>219.9</v>
      </c>
      <c r="E1350">
        <v>145.28</v>
      </c>
      <c r="F1350">
        <v>5928</v>
      </c>
      <c r="H1350">
        <f>_xlfn.LET(_xlpm.v, IFERROR(VLOOKUP($A1350, manifest!$A:$E, 3, FALSE), ""), IF(OR(_xlpm.v=0, _xlpm.v=""), "", _xlpm.v))</f>
        <v>60</v>
      </c>
      <c r="I1350" t="str">
        <f>_xlfn.LET(_xlpm.v, IFERROR(VLOOKUP($A1350, manifest!$A:$E, 5, FALSE), ""), IF(OR(_xlpm.v=0, _xlpm.v=""), "", _xlpm.v))</f>
        <v>male</v>
      </c>
    </row>
    <row r="1351" spans="1:9" x14ac:dyDescent="0.6">
      <c r="A1351">
        <v>334</v>
      </c>
      <c r="B1351" t="s">
        <v>14</v>
      </c>
      <c r="C1351" t="s">
        <v>13</v>
      </c>
      <c r="D1351">
        <v>248.2</v>
      </c>
      <c r="E1351">
        <v>128.94</v>
      </c>
      <c r="F1351">
        <v>4212</v>
      </c>
      <c r="H1351">
        <f>_xlfn.LET(_xlpm.v, IFERROR(VLOOKUP($A1351, manifest!$A:$E, 3, FALSE), ""), IF(OR(_xlpm.v=0, _xlpm.v=""), "", _xlpm.v))</f>
        <v>60</v>
      </c>
      <c r="I1351" t="str">
        <f>_xlfn.LET(_xlpm.v, IFERROR(VLOOKUP($A1351, manifest!$A:$E, 5, FALSE), ""), IF(OR(_xlpm.v=0, _xlpm.v=""), "", _xlpm.v))</f>
        <v>male</v>
      </c>
    </row>
    <row r="1352" spans="1:9" x14ac:dyDescent="0.6">
      <c r="A1352">
        <v>294</v>
      </c>
      <c r="B1352" t="s">
        <v>7</v>
      </c>
      <c r="C1352" t="s">
        <v>8</v>
      </c>
      <c r="D1352">
        <v>148.25</v>
      </c>
      <c r="E1352">
        <v>143.62</v>
      </c>
      <c r="F1352">
        <v>44733</v>
      </c>
      <c r="G1352" t="s">
        <v>15</v>
      </c>
      <c r="H1352">
        <f>_xlfn.LET(_xlpm.v, IFERROR(VLOOKUP($A1352, manifest!$A:$E, 3, FALSE), ""), IF(OR(_xlpm.v=0, _xlpm.v=""), "", _xlpm.v))</f>
        <v>52</v>
      </c>
      <c r="I1352" t="str">
        <f>_xlfn.LET(_xlpm.v, IFERROR(VLOOKUP($A1352, manifest!$A:$E, 5, FALSE), ""), IF(OR(_xlpm.v=0, _xlpm.v=""), "", _xlpm.v))</f>
        <v>male</v>
      </c>
    </row>
    <row r="1353" spans="1:9" x14ac:dyDescent="0.6">
      <c r="A1353">
        <v>294</v>
      </c>
      <c r="B1353" t="s">
        <v>7</v>
      </c>
      <c r="C1353" t="s">
        <v>10</v>
      </c>
      <c r="D1353">
        <v>151.38</v>
      </c>
      <c r="E1353">
        <v>142.19</v>
      </c>
      <c r="F1353">
        <v>48100</v>
      </c>
      <c r="H1353">
        <f>_xlfn.LET(_xlpm.v, IFERROR(VLOOKUP($A1353, manifest!$A:$E, 3, FALSE), ""), IF(OR(_xlpm.v=0, _xlpm.v=""), "", _xlpm.v))</f>
        <v>52</v>
      </c>
      <c r="I1353" t="str">
        <f>_xlfn.LET(_xlpm.v, IFERROR(VLOOKUP($A1353, manifest!$A:$E, 5, FALSE), ""), IF(OR(_xlpm.v=0, _xlpm.v=""), "", _xlpm.v))</f>
        <v>male</v>
      </c>
    </row>
    <row r="1354" spans="1:9" x14ac:dyDescent="0.6">
      <c r="A1354">
        <v>294</v>
      </c>
      <c r="B1354" t="s">
        <v>7</v>
      </c>
      <c r="C1354" t="s">
        <v>11</v>
      </c>
      <c r="D1354">
        <v>160.19</v>
      </c>
      <c r="E1354">
        <v>170.4</v>
      </c>
      <c r="F1354">
        <v>47449</v>
      </c>
      <c r="H1354">
        <f>_xlfn.LET(_xlpm.v, IFERROR(VLOOKUP($A1354, manifest!$A:$E, 3, FALSE), ""), IF(OR(_xlpm.v=0, _xlpm.v=""), "", _xlpm.v))</f>
        <v>52</v>
      </c>
      <c r="I1354" t="str">
        <f>_xlfn.LET(_xlpm.v, IFERROR(VLOOKUP($A1354, manifest!$A:$E, 5, FALSE), ""), IF(OR(_xlpm.v=0, _xlpm.v=""), "", _xlpm.v))</f>
        <v>male</v>
      </c>
    </row>
    <row r="1355" spans="1:9" x14ac:dyDescent="0.6">
      <c r="A1355">
        <v>294</v>
      </c>
      <c r="B1355" t="s">
        <v>7</v>
      </c>
      <c r="C1355" t="s">
        <v>12</v>
      </c>
      <c r="D1355">
        <v>170.04</v>
      </c>
      <c r="E1355">
        <v>198.27</v>
      </c>
      <c r="F1355">
        <v>54839</v>
      </c>
      <c r="H1355">
        <f>_xlfn.LET(_xlpm.v, IFERROR(VLOOKUP($A1355, manifest!$A:$E, 3, FALSE), ""), IF(OR(_xlpm.v=0, _xlpm.v=""), "", _xlpm.v))</f>
        <v>52</v>
      </c>
      <c r="I1355" t="str">
        <f>_xlfn.LET(_xlpm.v, IFERROR(VLOOKUP($A1355, manifest!$A:$E, 5, FALSE), ""), IF(OR(_xlpm.v=0, _xlpm.v=""), "", _xlpm.v))</f>
        <v>male</v>
      </c>
    </row>
    <row r="1356" spans="1:9" x14ac:dyDescent="0.6">
      <c r="A1356">
        <v>294</v>
      </c>
      <c r="B1356" t="s">
        <v>7</v>
      </c>
      <c r="C1356" t="s">
        <v>13</v>
      </c>
      <c r="D1356">
        <v>182.32</v>
      </c>
      <c r="E1356">
        <v>186.54</v>
      </c>
      <c r="F1356">
        <v>71612</v>
      </c>
      <c r="H1356">
        <f>_xlfn.LET(_xlpm.v, IFERROR(VLOOKUP($A1356, manifest!$A:$E, 3, FALSE), ""), IF(OR(_xlpm.v=0, _xlpm.v=""), "", _xlpm.v))</f>
        <v>52</v>
      </c>
      <c r="I1356" t="str">
        <f>_xlfn.LET(_xlpm.v, IFERROR(VLOOKUP($A1356, manifest!$A:$E, 5, FALSE), ""), IF(OR(_xlpm.v=0, _xlpm.v=""), "", _xlpm.v))</f>
        <v>male</v>
      </c>
    </row>
    <row r="1357" spans="1:9" x14ac:dyDescent="0.6">
      <c r="A1357">
        <v>265</v>
      </c>
      <c r="B1357" t="s">
        <v>14</v>
      </c>
      <c r="C1357" t="s">
        <v>8</v>
      </c>
      <c r="D1357">
        <v>188.5</v>
      </c>
      <c r="E1357">
        <v>147.4</v>
      </c>
      <c r="F1357">
        <v>14530</v>
      </c>
      <c r="G1357" t="s">
        <v>9</v>
      </c>
      <c r="H1357">
        <f>_xlfn.LET(_xlpm.v, IFERROR(VLOOKUP($A1357, manifest!$A:$E, 3, FALSE), ""), IF(OR(_xlpm.v=0, _xlpm.v=""), "", _xlpm.v))</f>
        <v>57</v>
      </c>
      <c r="I1357" t="str">
        <f>_xlfn.LET(_xlpm.v, IFERROR(VLOOKUP($A1357, manifest!$A:$E, 5, FALSE), ""), IF(OR(_xlpm.v=0, _xlpm.v=""), "", _xlpm.v))</f>
        <v>female</v>
      </c>
    </row>
    <row r="1358" spans="1:9" x14ac:dyDescent="0.6">
      <c r="A1358">
        <v>265</v>
      </c>
      <c r="B1358" t="s">
        <v>14</v>
      </c>
      <c r="C1358" t="s">
        <v>10</v>
      </c>
      <c r="D1358">
        <v>204.31</v>
      </c>
      <c r="E1358">
        <v>169.72</v>
      </c>
      <c r="F1358">
        <v>15469</v>
      </c>
      <c r="H1358">
        <f>_xlfn.LET(_xlpm.v, IFERROR(VLOOKUP($A1358, manifest!$A:$E, 3, FALSE), ""), IF(OR(_xlpm.v=0, _xlpm.v=""), "", _xlpm.v))</f>
        <v>57</v>
      </c>
      <c r="I1358" t="str">
        <f>_xlfn.LET(_xlpm.v, IFERROR(VLOOKUP($A1358, manifest!$A:$E, 5, FALSE), ""), IF(OR(_xlpm.v=0, _xlpm.v=""), "", _xlpm.v))</f>
        <v>female</v>
      </c>
    </row>
    <row r="1359" spans="1:9" x14ac:dyDescent="0.6">
      <c r="A1359">
        <v>265</v>
      </c>
      <c r="B1359" t="s">
        <v>14</v>
      </c>
      <c r="C1359" t="s">
        <v>11</v>
      </c>
      <c r="D1359">
        <v>186.22</v>
      </c>
      <c r="E1359">
        <v>184.26</v>
      </c>
      <c r="F1359">
        <v>23695</v>
      </c>
      <c r="H1359">
        <f>_xlfn.LET(_xlpm.v, IFERROR(VLOOKUP($A1359, manifest!$A:$E, 3, FALSE), ""), IF(OR(_xlpm.v=0, _xlpm.v=""), "", _xlpm.v))</f>
        <v>57</v>
      </c>
      <c r="I1359" t="str">
        <f>_xlfn.LET(_xlpm.v, IFERROR(VLOOKUP($A1359, manifest!$A:$E, 5, FALSE), ""), IF(OR(_xlpm.v=0, _xlpm.v=""), "", _xlpm.v))</f>
        <v>female</v>
      </c>
    </row>
    <row r="1360" spans="1:9" x14ac:dyDescent="0.6">
      <c r="A1360">
        <v>265</v>
      </c>
      <c r="B1360" t="s">
        <v>14</v>
      </c>
      <c r="C1360" t="s">
        <v>12</v>
      </c>
      <c r="D1360">
        <v>228.68</v>
      </c>
      <c r="E1360">
        <v>260.41000000000003</v>
      </c>
      <c r="F1360">
        <v>24683</v>
      </c>
      <c r="H1360">
        <f>_xlfn.LET(_xlpm.v, IFERROR(VLOOKUP($A1360, manifest!$A:$E, 3, FALSE), ""), IF(OR(_xlpm.v=0, _xlpm.v=""), "", _xlpm.v))</f>
        <v>57</v>
      </c>
      <c r="I1360" t="str">
        <f>_xlfn.LET(_xlpm.v, IFERROR(VLOOKUP($A1360, manifest!$A:$E, 5, FALSE), ""), IF(OR(_xlpm.v=0, _xlpm.v=""), "", _xlpm.v))</f>
        <v>female</v>
      </c>
    </row>
    <row r="1361" spans="1:9" x14ac:dyDescent="0.6">
      <c r="A1361">
        <v>265</v>
      </c>
      <c r="B1361" t="s">
        <v>14</v>
      </c>
      <c r="C1361" t="s">
        <v>13</v>
      </c>
      <c r="D1361">
        <v>236.56</v>
      </c>
      <c r="E1361">
        <v>213.85</v>
      </c>
      <c r="F1361">
        <v>26671</v>
      </c>
      <c r="H1361">
        <f>_xlfn.LET(_xlpm.v, IFERROR(VLOOKUP($A1361, manifest!$A:$E, 3, FALSE), ""), IF(OR(_xlpm.v=0, _xlpm.v=""), "", _xlpm.v))</f>
        <v>57</v>
      </c>
      <c r="I1361" t="str">
        <f>_xlfn.LET(_xlpm.v, IFERROR(VLOOKUP($A1361, manifest!$A:$E, 5, FALSE), ""), IF(OR(_xlpm.v=0, _xlpm.v=""), "", _xlpm.v))</f>
        <v>female</v>
      </c>
    </row>
    <row r="1362" spans="1:9" x14ac:dyDescent="0.6">
      <c r="A1362">
        <v>286</v>
      </c>
      <c r="B1362" t="s">
        <v>14</v>
      </c>
      <c r="C1362" t="s">
        <v>8</v>
      </c>
      <c r="D1362">
        <v>183.53</v>
      </c>
      <c r="E1362">
        <v>169.53</v>
      </c>
      <c r="F1362">
        <v>40304</v>
      </c>
      <c r="G1362" t="s">
        <v>9</v>
      </c>
      <c r="H1362">
        <f>_xlfn.LET(_xlpm.v, IFERROR(VLOOKUP($A1362, manifest!$A:$E, 3, FALSE), ""), IF(OR(_xlpm.v=0, _xlpm.v=""), "", _xlpm.v))</f>
        <v>62</v>
      </c>
      <c r="I1362" t="str">
        <f>_xlfn.LET(_xlpm.v, IFERROR(VLOOKUP($A1362, manifest!$A:$E, 5, FALSE), ""), IF(OR(_xlpm.v=0, _xlpm.v=""), "", _xlpm.v))</f>
        <v>female</v>
      </c>
    </row>
    <row r="1363" spans="1:9" x14ac:dyDescent="0.6">
      <c r="A1363">
        <v>286</v>
      </c>
      <c r="B1363" t="s">
        <v>14</v>
      </c>
      <c r="C1363" t="s">
        <v>10</v>
      </c>
      <c r="D1363">
        <v>193.41</v>
      </c>
      <c r="E1363">
        <v>169.29</v>
      </c>
      <c r="F1363">
        <v>44454</v>
      </c>
      <c r="H1363">
        <f>_xlfn.LET(_xlpm.v, IFERROR(VLOOKUP($A1363, manifest!$A:$E, 3, FALSE), ""), IF(OR(_xlpm.v=0, _xlpm.v=""), "", _xlpm.v))</f>
        <v>62</v>
      </c>
      <c r="I1363" t="str">
        <f>_xlfn.LET(_xlpm.v, IFERROR(VLOOKUP($A1363, manifest!$A:$E, 5, FALSE), ""), IF(OR(_xlpm.v=0, _xlpm.v=""), "", _xlpm.v))</f>
        <v>female</v>
      </c>
    </row>
    <row r="1364" spans="1:9" x14ac:dyDescent="0.6">
      <c r="A1364">
        <v>286</v>
      </c>
      <c r="B1364" t="s">
        <v>14</v>
      </c>
      <c r="C1364" t="s">
        <v>11</v>
      </c>
      <c r="D1364">
        <v>161.49</v>
      </c>
      <c r="E1364">
        <v>149.01</v>
      </c>
      <c r="F1364">
        <v>51058</v>
      </c>
      <c r="H1364">
        <f>_xlfn.LET(_xlpm.v, IFERROR(VLOOKUP($A1364, manifest!$A:$E, 3, FALSE), ""), IF(OR(_xlpm.v=0, _xlpm.v=""), "", _xlpm.v))</f>
        <v>62</v>
      </c>
      <c r="I1364" t="str">
        <f>_xlfn.LET(_xlpm.v, IFERROR(VLOOKUP($A1364, manifest!$A:$E, 5, FALSE), ""), IF(OR(_xlpm.v=0, _xlpm.v=""), "", _xlpm.v))</f>
        <v>female</v>
      </c>
    </row>
    <row r="1365" spans="1:9" x14ac:dyDescent="0.6">
      <c r="A1365">
        <v>286</v>
      </c>
      <c r="B1365" t="s">
        <v>14</v>
      </c>
      <c r="C1365" t="s">
        <v>12</v>
      </c>
      <c r="D1365">
        <v>159.84</v>
      </c>
      <c r="E1365">
        <v>145.19</v>
      </c>
      <c r="F1365">
        <v>57523</v>
      </c>
      <c r="H1365">
        <f>_xlfn.LET(_xlpm.v, IFERROR(VLOOKUP($A1365, manifest!$A:$E, 3, FALSE), ""), IF(OR(_xlpm.v=0, _xlpm.v=""), "", _xlpm.v))</f>
        <v>62</v>
      </c>
      <c r="I1365" t="str">
        <f>_xlfn.LET(_xlpm.v, IFERROR(VLOOKUP($A1365, manifest!$A:$E, 5, FALSE), ""), IF(OR(_xlpm.v=0, _xlpm.v=""), "", _xlpm.v))</f>
        <v>female</v>
      </c>
    </row>
    <row r="1366" spans="1:9" x14ac:dyDescent="0.6">
      <c r="A1366">
        <v>286</v>
      </c>
      <c r="B1366" t="s">
        <v>14</v>
      </c>
      <c r="C1366" t="s">
        <v>13</v>
      </c>
      <c r="D1366">
        <v>191.2</v>
      </c>
      <c r="E1366">
        <v>176.83</v>
      </c>
      <c r="F1366">
        <v>69442</v>
      </c>
      <c r="H1366">
        <f>_xlfn.LET(_xlpm.v, IFERROR(VLOOKUP($A1366, manifest!$A:$E, 3, FALSE), ""), IF(OR(_xlpm.v=0, _xlpm.v=""), "", _xlpm.v))</f>
        <v>62</v>
      </c>
      <c r="I1366" t="str">
        <f>_xlfn.LET(_xlpm.v, IFERROR(VLOOKUP($A1366, manifest!$A:$E, 5, FALSE), ""), IF(OR(_xlpm.v=0, _xlpm.v=""), "", _xlpm.v))</f>
        <v>female</v>
      </c>
    </row>
    <row r="1367" spans="1:9" x14ac:dyDescent="0.6">
      <c r="A1367">
        <v>255</v>
      </c>
      <c r="B1367" t="s">
        <v>7</v>
      </c>
      <c r="C1367" t="s">
        <v>8</v>
      </c>
      <c r="D1367">
        <v>214.16</v>
      </c>
      <c r="E1367">
        <v>131.9</v>
      </c>
      <c r="F1367">
        <v>24636</v>
      </c>
      <c r="G1367" t="s">
        <v>9</v>
      </c>
      <c r="H1367">
        <f>_xlfn.LET(_xlpm.v, IFERROR(VLOOKUP($A1367, manifest!$A:$E, 3, FALSE), ""), IF(OR(_xlpm.v=0, _xlpm.v=""), "", _xlpm.v))</f>
        <v>54</v>
      </c>
      <c r="I1367" t="str">
        <f>_xlfn.LET(_xlpm.v, IFERROR(VLOOKUP($A1367, manifest!$A:$E, 5, FALSE), ""), IF(OR(_xlpm.v=0, _xlpm.v=""), "", _xlpm.v))</f>
        <v>male</v>
      </c>
    </row>
    <row r="1368" spans="1:9" x14ac:dyDescent="0.6">
      <c r="A1368">
        <v>255</v>
      </c>
      <c r="B1368" t="s">
        <v>7</v>
      </c>
      <c r="C1368" t="s">
        <v>10</v>
      </c>
      <c r="D1368">
        <v>223.49</v>
      </c>
      <c r="E1368">
        <v>161.29</v>
      </c>
      <c r="F1368">
        <v>29885</v>
      </c>
      <c r="H1368">
        <f>_xlfn.LET(_xlpm.v, IFERROR(VLOOKUP($A1368, manifest!$A:$E, 3, FALSE), ""), IF(OR(_xlpm.v=0, _xlpm.v=""), "", _xlpm.v))</f>
        <v>54</v>
      </c>
      <c r="I1368" t="str">
        <f>_xlfn.LET(_xlpm.v, IFERROR(VLOOKUP($A1368, manifest!$A:$E, 5, FALSE), ""), IF(OR(_xlpm.v=0, _xlpm.v=""), "", _xlpm.v))</f>
        <v>male</v>
      </c>
    </row>
    <row r="1369" spans="1:9" x14ac:dyDescent="0.6">
      <c r="A1369">
        <v>255</v>
      </c>
      <c r="B1369" t="s">
        <v>7</v>
      </c>
      <c r="C1369" t="s">
        <v>11</v>
      </c>
      <c r="D1369">
        <v>223.25</v>
      </c>
      <c r="E1369">
        <v>156.43</v>
      </c>
      <c r="F1369">
        <v>35613</v>
      </c>
      <c r="H1369">
        <f>_xlfn.LET(_xlpm.v, IFERROR(VLOOKUP($A1369, manifest!$A:$E, 3, FALSE), ""), IF(OR(_xlpm.v=0, _xlpm.v=""), "", _xlpm.v))</f>
        <v>54</v>
      </c>
      <c r="I1369" t="str">
        <f>_xlfn.LET(_xlpm.v, IFERROR(VLOOKUP($A1369, manifest!$A:$E, 5, FALSE), ""), IF(OR(_xlpm.v=0, _xlpm.v=""), "", _xlpm.v))</f>
        <v>male</v>
      </c>
    </row>
    <row r="1370" spans="1:9" x14ac:dyDescent="0.6">
      <c r="A1370">
        <v>255</v>
      </c>
      <c r="B1370" t="s">
        <v>7</v>
      </c>
      <c r="C1370" t="s">
        <v>12</v>
      </c>
      <c r="D1370">
        <v>227.69</v>
      </c>
      <c r="E1370">
        <v>151.13999999999999</v>
      </c>
      <c r="F1370">
        <v>47219</v>
      </c>
      <c r="H1370">
        <f>_xlfn.LET(_xlpm.v, IFERROR(VLOOKUP($A1370, manifest!$A:$E, 3, FALSE), ""), IF(OR(_xlpm.v=0, _xlpm.v=""), "", _xlpm.v))</f>
        <v>54</v>
      </c>
      <c r="I1370" t="str">
        <f>_xlfn.LET(_xlpm.v, IFERROR(VLOOKUP($A1370, manifest!$A:$E, 5, FALSE), ""), IF(OR(_xlpm.v=0, _xlpm.v=""), "", _xlpm.v))</f>
        <v>male</v>
      </c>
    </row>
    <row r="1371" spans="1:9" x14ac:dyDescent="0.6">
      <c r="A1371">
        <v>255</v>
      </c>
      <c r="B1371" t="s">
        <v>7</v>
      </c>
      <c r="C1371" t="s">
        <v>13</v>
      </c>
      <c r="D1371">
        <v>231.72</v>
      </c>
      <c r="E1371">
        <v>150.03</v>
      </c>
      <c r="F1371">
        <v>49251</v>
      </c>
      <c r="H1371">
        <f>_xlfn.LET(_xlpm.v, IFERROR(VLOOKUP($A1371, manifest!$A:$E, 3, FALSE), ""), IF(OR(_xlpm.v=0, _xlpm.v=""), "", _xlpm.v))</f>
        <v>54</v>
      </c>
      <c r="I1371" t="str">
        <f>_xlfn.LET(_xlpm.v, IFERROR(VLOOKUP($A1371, manifest!$A:$E, 5, FALSE), ""), IF(OR(_xlpm.v=0, _xlpm.v=""), "", _xlpm.v))</f>
        <v>male</v>
      </c>
    </row>
    <row r="1372" spans="1:9" x14ac:dyDescent="0.6">
      <c r="A1372">
        <v>283</v>
      </c>
      <c r="B1372" t="s">
        <v>14</v>
      </c>
      <c r="C1372" t="s">
        <v>8</v>
      </c>
      <c r="D1372">
        <v>210.75</v>
      </c>
      <c r="E1372">
        <v>149.31</v>
      </c>
      <c r="F1372">
        <v>38757</v>
      </c>
      <c r="G1372" t="s">
        <v>9</v>
      </c>
      <c r="H1372">
        <f>_xlfn.LET(_xlpm.v, IFERROR(VLOOKUP($A1372, manifest!$A:$E, 3, FALSE), ""), IF(OR(_xlpm.v=0, _xlpm.v=""), "", _xlpm.v))</f>
        <v>51</v>
      </c>
      <c r="I1372" t="str">
        <f>_xlfn.LET(_xlpm.v, IFERROR(VLOOKUP($A1372, manifest!$A:$E, 5, FALSE), ""), IF(OR(_xlpm.v=0, _xlpm.v=""), "", _xlpm.v))</f>
        <v>male</v>
      </c>
    </row>
    <row r="1373" spans="1:9" x14ac:dyDescent="0.6">
      <c r="A1373">
        <v>283</v>
      </c>
      <c r="B1373" t="s">
        <v>14</v>
      </c>
      <c r="C1373" t="s">
        <v>10</v>
      </c>
      <c r="D1373">
        <v>197.81</v>
      </c>
      <c r="E1373">
        <v>160.84</v>
      </c>
      <c r="F1373">
        <v>46312</v>
      </c>
      <c r="H1373">
        <f>_xlfn.LET(_xlpm.v, IFERROR(VLOOKUP($A1373, manifest!$A:$E, 3, FALSE), ""), IF(OR(_xlpm.v=0, _xlpm.v=""), "", _xlpm.v))</f>
        <v>51</v>
      </c>
      <c r="I1373" t="str">
        <f>_xlfn.LET(_xlpm.v, IFERROR(VLOOKUP($A1373, manifest!$A:$E, 5, FALSE), ""), IF(OR(_xlpm.v=0, _xlpm.v=""), "", _xlpm.v))</f>
        <v>male</v>
      </c>
    </row>
    <row r="1374" spans="1:9" x14ac:dyDescent="0.6">
      <c r="A1374">
        <v>283</v>
      </c>
      <c r="B1374" t="s">
        <v>14</v>
      </c>
      <c r="C1374" t="s">
        <v>11</v>
      </c>
      <c r="D1374">
        <v>197.63</v>
      </c>
      <c r="E1374">
        <v>164.72</v>
      </c>
      <c r="F1374">
        <v>50752</v>
      </c>
      <c r="H1374">
        <f>_xlfn.LET(_xlpm.v, IFERROR(VLOOKUP($A1374, manifest!$A:$E, 3, FALSE), ""), IF(OR(_xlpm.v=0, _xlpm.v=""), "", _xlpm.v))</f>
        <v>51</v>
      </c>
      <c r="I1374" t="str">
        <f>_xlfn.LET(_xlpm.v, IFERROR(VLOOKUP($A1374, manifest!$A:$E, 5, FALSE), ""), IF(OR(_xlpm.v=0, _xlpm.v=""), "", _xlpm.v))</f>
        <v>male</v>
      </c>
    </row>
    <row r="1375" spans="1:9" x14ac:dyDescent="0.6">
      <c r="A1375">
        <v>283</v>
      </c>
      <c r="B1375" t="s">
        <v>14</v>
      </c>
      <c r="C1375" t="s">
        <v>12</v>
      </c>
      <c r="D1375">
        <v>170.68</v>
      </c>
      <c r="E1375">
        <v>122.93</v>
      </c>
      <c r="F1375">
        <v>62766</v>
      </c>
      <c r="H1375">
        <f>_xlfn.LET(_xlpm.v, IFERROR(VLOOKUP($A1375, manifest!$A:$E, 3, FALSE), ""), IF(OR(_xlpm.v=0, _xlpm.v=""), "", _xlpm.v))</f>
        <v>51</v>
      </c>
      <c r="I1375" t="str">
        <f>_xlfn.LET(_xlpm.v, IFERROR(VLOOKUP($A1375, manifest!$A:$E, 5, FALSE), ""), IF(OR(_xlpm.v=0, _xlpm.v=""), "", _xlpm.v))</f>
        <v>male</v>
      </c>
    </row>
    <row r="1376" spans="1:9" x14ac:dyDescent="0.6">
      <c r="A1376">
        <v>283</v>
      </c>
      <c r="B1376" t="s">
        <v>14</v>
      </c>
      <c r="C1376" t="s">
        <v>13</v>
      </c>
      <c r="D1376">
        <v>192.88</v>
      </c>
      <c r="E1376">
        <v>150.32</v>
      </c>
      <c r="F1376">
        <v>66972</v>
      </c>
      <c r="H1376">
        <f>_xlfn.LET(_xlpm.v, IFERROR(VLOOKUP($A1376, manifest!$A:$E, 3, FALSE), ""), IF(OR(_xlpm.v=0, _xlpm.v=""), "", _xlpm.v))</f>
        <v>51</v>
      </c>
      <c r="I1376" t="str">
        <f>_xlfn.LET(_xlpm.v, IFERROR(VLOOKUP($A1376, manifest!$A:$E, 5, FALSE), ""), IF(OR(_xlpm.v=0, _xlpm.v=""), "", _xlpm.v))</f>
        <v>male</v>
      </c>
    </row>
    <row r="1377" spans="1:9" x14ac:dyDescent="0.6">
      <c r="A1377">
        <v>273</v>
      </c>
      <c r="B1377" t="s">
        <v>7</v>
      </c>
      <c r="C1377" t="s">
        <v>8</v>
      </c>
      <c r="D1377">
        <v>259.44</v>
      </c>
      <c r="E1377">
        <v>164.04</v>
      </c>
      <c r="F1377">
        <v>32714</v>
      </c>
      <c r="G1377" t="s">
        <v>9</v>
      </c>
      <c r="H1377">
        <f>_xlfn.LET(_xlpm.v, IFERROR(VLOOKUP($A1377, manifest!$A:$E, 3, FALSE), ""), IF(OR(_xlpm.v=0, _xlpm.v=""), "", _xlpm.v))</f>
        <v>69</v>
      </c>
      <c r="I1377" t="str">
        <f>_xlfn.LET(_xlpm.v, IFERROR(VLOOKUP($A1377, manifest!$A:$E, 5, FALSE), ""), IF(OR(_xlpm.v=0, _xlpm.v=""), "", _xlpm.v))</f>
        <v>male</v>
      </c>
    </row>
    <row r="1378" spans="1:9" x14ac:dyDescent="0.6">
      <c r="A1378">
        <v>273</v>
      </c>
      <c r="B1378" t="s">
        <v>7</v>
      </c>
      <c r="C1378" t="s">
        <v>10</v>
      </c>
      <c r="D1378">
        <v>381.29</v>
      </c>
      <c r="E1378">
        <v>310.83</v>
      </c>
      <c r="F1378">
        <v>31368</v>
      </c>
      <c r="H1378">
        <f>_xlfn.LET(_xlpm.v, IFERROR(VLOOKUP($A1378, manifest!$A:$E, 3, FALSE), ""), IF(OR(_xlpm.v=0, _xlpm.v=""), "", _xlpm.v))</f>
        <v>69</v>
      </c>
      <c r="I1378" t="str">
        <f>_xlfn.LET(_xlpm.v, IFERROR(VLOOKUP($A1378, manifest!$A:$E, 5, FALSE), ""), IF(OR(_xlpm.v=0, _xlpm.v=""), "", _xlpm.v))</f>
        <v>male</v>
      </c>
    </row>
    <row r="1379" spans="1:9" x14ac:dyDescent="0.6">
      <c r="A1379">
        <v>273</v>
      </c>
      <c r="B1379" t="s">
        <v>7</v>
      </c>
      <c r="C1379" t="s">
        <v>11</v>
      </c>
      <c r="D1379">
        <v>260.01</v>
      </c>
      <c r="E1379">
        <v>224.13</v>
      </c>
      <c r="F1379">
        <v>38295</v>
      </c>
      <c r="H1379">
        <f>_xlfn.LET(_xlpm.v, IFERROR(VLOOKUP($A1379, manifest!$A:$E, 3, FALSE), ""), IF(OR(_xlpm.v=0, _xlpm.v=""), "", _xlpm.v))</f>
        <v>69</v>
      </c>
      <c r="I1379" t="str">
        <f>_xlfn.LET(_xlpm.v, IFERROR(VLOOKUP($A1379, manifest!$A:$E, 5, FALSE), ""), IF(OR(_xlpm.v=0, _xlpm.v=""), "", _xlpm.v))</f>
        <v>male</v>
      </c>
    </row>
    <row r="1380" spans="1:9" x14ac:dyDescent="0.6">
      <c r="A1380">
        <v>273</v>
      </c>
      <c r="B1380" t="s">
        <v>7</v>
      </c>
      <c r="C1380" t="s">
        <v>12</v>
      </c>
      <c r="D1380">
        <v>262.98</v>
      </c>
      <c r="E1380">
        <v>231.19</v>
      </c>
      <c r="F1380">
        <v>52665</v>
      </c>
      <c r="H1380">
        <f>_xlfn.LET(_xlpm.v, IFERROR(VLOOKUP($A1380, manifest!$A:$E, 3, FALSE), ""), IF(OR(_xlpm.v=0, _xlpm.v=""), "", _xlpm.v))</f>
        <v>69</v>
      </c>
      <c r="I1380" t="str">
        <f>_xlfn.LET(_xlpm.v, IFERROR(VLOOKUP($A1380, manifest!$A:$E, 5, FALSE), ""), IF(OR(_xlpm.v=0, _xlpm.v=""), "", _xlpm.v))</f>
        <v>male</v>
      </c>
    </row>
    <row r="1381" spans="1:9" x14ac:dyDescent="0.6">
      <c r="A1381">
        <v>273</v>
      </c>
      <c r="B1381" t="s">
        <v>7</v>
      </c>
      <c r="C1381" t="s">
        <v>13</v>
      </c>
      <c r="D1381">
        <v>302.02</v>
      </c>
      <c r="E1381">
        <v>267.23</v>
      </c>
      <c r="F1381">
        <v>49688</v>
      </c>
      <c r="H1381">
        <f>_xlfn.LET(_xlpm.v, IFERROR(VLOOKUP($A1381, manifest!$A:$E, 3, FALSE), ""), IF(OR(_xlpm.v=0, _xlpm.v=""), "", _xlpm.v))</f>
        <v>69</v>
      </c>
      <c r="I1381" t="str">
        <f>_xlfn.LET(_xlpm.v, IFERROR(VLOOKUP($A1381, manifest!$A:$E, 5, FALSE), ""), IF(OR(_xlpm.v=0, _xlpm.v=""), "", _xlpm.v))</f>
        <v>male</v>
      </c>
    </row>
    <row r="1382" spans="1:9" x14ac:dyDescent="0.6">
      <c r="A1382">
        <v>292</v>
      </c>
      <c r="B1382" t="s">
        <v>14</v>
      </c>
      <c r="C1382" t="s">
        <v>8</v>
      </c>
      <c r="D1382">
        <v>280.74</v>
      </c>
      <c r="E1382">
        <v>189.84</v>
      </c>
      <c r="F1382">
        <v>21545</v>
      </c>
      <c r="G1382" t="s">
        <v>9</v>
      </c>
      <c r="H1382">
        <f>_xlfn.LET(_xlpm.v, IFERROR(VLOOKUP($A1382, manifest!$A:$E, 3, FALSE), ""), IF(OR(_xlpm.v=0, _xlpm.v=""), "", _xlpm.v))</f>
        <v>52</v>
      </c>
      <c r="I1382" t="str">
        <f>_xlfn.LET(_xlpm.v, IFERROR(VLOOKUP($A1382, manifest!$A:$E, 5, FALSE), ""), IF(OR(_xlpm.v=0, _xlpm.v=""), "", _xlpm.v))</f>
        <v>female</v>
      </c>
    </row>
    <row r="1383" spans="1:9" x14ac:dyDescent="0.6">
      <c r="A1383">
        <v>292</v>
      </c>
      <c r="B1383" t="s">
        <v>14</v>
      </c>
      <c r="C1383" t="s">
        <v>10</v>
      </c>
      <c r="D1383">
        <v>301.18</v>
      </c>
      <c r="E1383">
        <v>219.15</v>
      </c>
      <c r="F1383">
        <v>24176</v>
      </c>
      <c r="H1383">
        <f>_xlfn.LET(_xlpm.v, IFERROR(VLOOKUP($A1383, manifest!$A:$E, 3, FALSE), ""), IF(OR(_xlpm.v=0, _xlpm.v=""), "", _xlpm.v))</f>
        <v>52</v>
      </c>
      <c r="I1383" t="str">
        <f>_xlfn.LET(_xlpm.v, IFERROR(VLOOKUP($A1383, manifest!$A:$E, 5, FALSE), ""), IF(OR(_xlpm.v=0, _xlpm.v=""), "", _xlpm.v))</f>
        <v>female</v>
      </c>
    </row>
    <row r="1384" spans="1:9" x14ac:dyDescent="0.6">
      <c r="A1384">
        <v>292</v>
      </c>
      <c r="B1384" t="s">
        <v>14</v>
      </c>
      <c r="C1384" t="s">
        <v>11</v>
      </c>
      <c r="D1384">
        <v>285.82</v>
      </c>
      <c r="E1384">
        <v>218.48</v>
      </c>
      <c r="F1384">
        <v>27501</v>
      </c>
      <c r="H1384">
        <f>_xlfn.LET(_xlpm.v, IFERROR(VLOOKUP($A1384, manifest!$A:$E, 3, FALSE), ""), IF(OR(_xlpm.v=0, _xlpm.v=""), "", _xlpm.v))</f>
        <v>52</v>
      </c>
      <c r="I1384" t="str">
        <f>_xlfn.LET(_xlpm.v, IFERROR(VLOOKUP($A1384, manifest!$A:$E, 5, FALSE), ""), IF(OR(_xlpm.v=0, _xlpm.v=""), "", _xlpm.v))</f>
        <v>female</v>
      </c>
    </row>
    <row r="1385" spans="1:9" x14ac:dyDescent="0.6">
      <c r="A1385">
        <v>292</v>
      </c>
      <c r="B1385" t="s">
        <v>14</v>
      </c>
      <c r="C1385" t="s">
        <v>12</v>
      </c>
      <c r="D1385">
        <v>275.22000000000003</v>
      </c>
      <c r="E1385">
        <v>217.57</v>
      </c>
      <c r="F1385">
        <v>33674</v>
      </c>
      <c r="H1385">
        <f>_xlfn.LET(_xlpm.v, IFERROR(VLOOKUP($A1385, manifest!$A:$E, 3, FALSE), ""), IF(OR(_xlpm.v=0, _xlpm.v=""), "", _xlpm.v))</f>
        <v>52</v>
      </c>
      <c r="I1385" t="str">
        <f>_xlfn.LET(_xlpm.v, IFERROR(VLOOKUP($A1385, manifest!$A:$E, 5, FALSE), ""), IF(OR(_xlpm.v=0, _xlpm.v=""), "", _xlpm.v))</f>
        <v>female</v>
      </c>
    </row>
    <row r="1386" spans="1:9" x14ac:dyDescent="0.6">
      <c r="A1386">
        <v>292</v>
      </c>
      <c r="B1386" t="s">
        <v>14</v>
      </c>
      <c r="C1386" t="s">
        <v>13</v>
      </c>
      <c r="D1386">
        <v>280.58999999999997</v>
      </c>
      <c r="E1386">
        <v>212.84</v>
      </c>
      <c r="F1386">
        <v>39224</v>
      </c>
      <c r="H1386">
        <f>_xlfn.LET(_xlpm.v, IFERROR(VLOOKUP($A1386, manifest!$A:$E, 3, FALSE), ""), IF(OR(_xlpm.v=0, _xlpm.v=""), "", _xlpm.v))</f>
        <v>52</v>
      </c>
      <c r="I1386" t="str">
        <f>_xlfn.LET(_xlpm.v, IFERROR(VLOOKUP($A1386, manifest!$A:$E, 5, FALSE), ""), IF(OR(_xlpm.v=0, _xlpm.v=""), "", _xlpm.v))</f>
        <v>female</v>
      </c>
    </row>
    <row r="1387" spans="1:9" x14ac:dyDescent="0.6">
      <c r="A1387">
        <v>279</v>
      </c>
      <c r="B1387" t="s">
        <v>7</v>
      </c>
      <c r="C1387" t="s">
        <v>8</v>
      </c>
      <c r="D1387">
        <v>303.57</v>
      </c>
      <c r="E1387">
        <v>162.75</v>
      </c>
      <c r="F1387">
        <v>62437</v>
      </c>
      <c r="G1387" t="s">
        <v>9</v>
      </c>
      <c r="H1387">
        <f>_xlfn.LET(_xlpm.v, IFERROR(VLOOKUP($A1387, manifest!$A:$E, 3, FALSE), ""), IF(OR(_xlpm.v=0, _xlpm.v=""), "", _xlpm.v))</f>
        <v>51</v>
      </c>
      <c r="I1387" t="str">
        <f>_xlfn.LET(_xlpm.v, IFERROR(VLOOKUP($A1387, manifest!$A:$E, 5, FALSE), ""), IF(OR(_xlpm.v=0, _xlpm.v=""), "", _xlpm.v))</f>
        <v>male</v>
      </c>
    </row>
    <row r="1388" spans="1:9" x14ac:dyDescent="0.6">
      <c r="A1388">
        <v>279</v>
      </c>
      <c r="B1388" t="s">
        <v>7</v>
      </c>
      <c r="C1388" t="s">
        <v>10</v>
      </c>
      <c r="D1388">
        <v>299.97000000000003</v>
      </c>
      <c r="E1388">
        <v>174.48</v>
      </c>
      <c r="F1388">
        <v>67277</v>
      </c>
      <c r="H1388">
        <f>_xlfn.LET(_xlpm.v, IFERROR(VLOOKUP($A1388, manifest!$A:$E, 3, FALSE), ""), IF(OR(_xlpm.v=0, _xlpm.v=""), "", _xlpm.v))</f>
        <v>51</v>
      </c>
      <c r="I1388" t="str">
        <f>_xlfn.LET(_xlpm.v, IFERROR(VLOOKUP($A1388, manifest!$A:$E, 5, FALSE), ""), IF(OR(_xlpm.v=0, _xlpm.v=""), "", _xlpm.v))</f>
        <v>male</v>
      </c>
    </row>
    <row r="1389" spans="1:9" x14ac:dyDescent="0.6">
      <c r="A1389">
        <v>279</v>
      </c>
      <c r="B1389" t="s">
        <v>7</v>
      </c>
      <c r="C1389" t="s">
        <v>11</v>
      </c>
      <c r="D1389">
        <v>294.02999999999997</v>
      </c>
      <c r="E1389">
        <v>171.23</v>
      </c>
      <c r="F1389">
        <v>83952</v>
      </c>
      <c r="H1389">
        <f>_xlfn.LET(_xlpm.v, IFERROR(VLOOKUP($A1389, manifest!$A:$E, 3, FALSE), ""), IF(OR(_xlpm.v=0, _xlpm.v=""), "", _xlpm.v))</f>
        <v>51</v>
      </c>
      <c r="I1389" t="str">
        <f>_xlfn.LET(_xlpm.v, IFERROR(VLOOKUP($A1389, manifest!$A:$E, 5, FALSE), ""), IF(OR(_xlpm.v=0, _xlpm.v=""), "", _xlpm.v))</f>
        <v>male</v>
      </c>
    </row>
    <row r="1390" spans="1:9" x14ac:dyDescent="0.6">
      <c r="A1390">
        <v>279</v>
      </c>
      <c r="B1390" t="s">
        <v>7</v>
      </c>
      <c r="C1390" t="s">
        <v>12</v>
      </c>
      <c r="D1390">
        <v>289.83</v>
      </c>
      <c r="E1390">
        <v>172.73</v>
      </c>
      <c r="F1390">
        <v>80637</v>
      </c>
      <c r="H1390">
        <f>_xlfn.LET(_xlpm.v, IFERROR(VLOOKUP($A1390, manifest!$A:$E, 3, FALSE), ""), IF(OR(_xlpm.v=0, _xlpm.v=""), "", _xlpm.v))</f>
        <v>51</v>
      </c>
      <c r="I1390" t="str">
        <f>_xlfn.LET(_xlpm.v, IFERROR(VLOOKUP($A1390, manifest!$A:$E, 5, FALSE), ""), IF(OR(_xlpm.v=0, _xlpm.v=""), "", _xlpm.v))</f>
        <v>male</v>
      </c>
    </row>
    <row r="1391" spans="1:9" x14ac:dyDescent="0.6">
      <c r="A1391">
        <v>279</v>
      </c>
      <c r="B1391" t="s">
        <v>7</v>
      </c>
      <c r="C1391" t="s">
        <v>13</v>
      </c>
      <c r="D1391">
        <v>299.47000000000003</v>
      </c>
      <c r="E1391">
        <v>173.03</v>
      </c>
      <c r="F1391">
        <v>92053</v>
      </c>
      <c r="H1391">
        <f>_xlfn.LET(_xlpm.v, IFERROR(VLOOKUP($A1391, manifest!$A:$E, 3, FALSE), ""), IF(OR(_xlpm.v=0, _xlpm.v=""), "", _xlpm.v))</f>
        <v>51</v>
      </c>
      <c r="I1391" t="str">
        <f>_xlfn.LET(_xlpm.v, IFERROR(VLOOKUP($A1391, manifest!$A:$E, 5, FALSE), ""), IF(OR(_xlpm.v=0, _xlpm.v=""), "", _xlpm.v))</f>
        <v>male</v>
      </c>
    </row>
    <row r="1392" spans="1:9" x14ac:dyDescent="0.6">
      <c r="A1392">
        <v>300</v>
      </c>
      <c r="B1392" t="s">
        <v>14</v>
      </c>
      <c r="C1392" t="s">
        <v>8</v>
      </c>
      <c r="D1392">
        <v>308.22000000000003</v>
      </c>
      <c r="E1392">
        <v>252.46</v>
      </c>
      <c r="F1392">
        <v>25831</v>
      </c>
      <c r="G1392" t="s">
        <v>9</v>
      </c>
      <c r="H1392" t="str">
        <f>_xlfn.LET(_xlpm.v, IFERROR(VLOOKUP($A1392, manifest!$A:$E, 3, FALSE), ""), IF(OR(_xlpm.v=0, _xlpm.v=""), "", _xlpm.v))</f>
        <v/>
      </c>
      <c r="I1392" t="str">
        <f>_xlfn.LET(_xlpm.v, IFERROR(VLOOKUP($A1392, manifest!$A:$E, 5, FALSE), ""), IF(OR(_xlpm.v=0, _xlpm.v=""), "", _xlpm.v))</f>
        <v>female</v>
      </c>
    </row>
    <row r="1393" spans="1:9" x14ac:dyDescent="0.6">
      <c r="A1393">
        <v>300</v>
      </c>
      <c r="B1393" t="s">
        <v>14</v>
      </c>
      <c r="C1393" t="s">
        <v>10</v>
      </c>
      <c r="D1393">
        <v>313.91000000000003</v>
      </c>
      <c r="E1393">
        <v>276.51</v>
      </c>
      <c r="F1393">
        <v>38745</v>
      </c>
      <c r="H1393" t="str">
        <f>_xlfn.LET(_xlpm.v, IFERROR(VLOOKUP($A1393, manifest!$A:$E, 3, FALSE), ""), IF(OR(_xlpm.v=0, _xlpm.v=""), "", _xlpm.v))</f>
        <v/>
      </c>
      <c r="I1393" t="str">
        <f>_xlfn.LET(_xlpm.v, IFERROR(VLOOKUP($A1393, manifest!$A:$E, 5, FALSE), ""), IF(OR(_xlpm.v=0, _xlpm.v=""), "", _xlpm.v))</f>
        <v>female</v>
      </c>
    </row>
    <row r="1394" spans="1:9" x14ac:dyDescent="0.6">
      <c r="A1394">
        <v>300</v>
      </c>
      <c r="B1394" t="s">
        <v>14</v>
      </c>
      <c r="C1394" t="s">
        <v>11</v>
      </c>
      <c r="D1394">
        <v>284.31</v>
      </c>
      <c r="E1394">
        <v>245.79</v>
      </c>
      <c r="F1394">
        <v>45054</v>
      </c>
      <c r="H1394" t="str">
        <f>_xlfn.LET(_xlpm.v, IFERROR(VLOOKUP($A1394, manifest!$A:$E, 3, FALSE), ""), IF(OR(_xlpm.v=0, _xlpm.v=""), "", _xlpm.v))</f>
        <v/>
      </c>
      <c r="I1394" t="str">
        <f>_xlfn.LET(_xlpm.v, IFERROR(VLOOKUP($A1394, manifest!$A:$E, 5, FALSE), ""), IF(OR(_xlpm.v=0, _xlpm.v=""), "", _xlpm.v))</f>
        <v>female</v>
      </c>
    </row>
    <row r="1395" spans="1:9" x14ac:dyDescent="0.6">
      <c r="A1395">
        <v>300</v>
      </c>
      <c r="B1395" t="s">
        <v>14</v>
      </c>
      <c r="C1395" t="s">
        <v>12</v>
      </c>
      <c r="D1395">
        <v>278.57</v>
      </c>
      <c r="E1395">
        <v>238.24</v>
      </c>
      <c r="F1395">
        <v>58068</v>
      </c>
      <c r="H1395" t="str">
        <f>_xlfn.LET(_xlpm.v, IFERROR(VLOOKUP($A1395, manifest!$A:$E, 3, FALSE), ""), IF(OR(_xlpm.v=0, _xlpm.v=""), "", _xlpm.v))</f>
        <v/>
      </c>
      <c r="I1395" t="str">
        <f>_xlfn.LET(_xlpm.v, IFERROR(VLOOKUP($A1395, manifest!$A:$E, 5, FALSE), ""), IF(OR(_xlpm.v=0, _xlpm.v=""), "", _xlpm.v))</f>
        <v>female</v>
      </c>
    </row>
    <row r="1396" spans="1:9" x14ac:dyDescent="0.6">
      <c r="A1396">
        <v>300</v>
      </c>
      <c r="B1396" t="s">
        <v>14</v>
      </c>
      <c r="C1396" t="s">
        <v>13</v>
      </c>
      <c r="D1396">
        <v>308.75</v>
      </c>
      <c r="E1396">
        <v>214.56</v>
      </c>
      <c r="F1396">
        <v>63244</v>
      </c>
      <c r="H1396" t="str">
        <f>_xlfn.LET(_xlpm.v, IFERROR(VLOOKUP($A1396, manifest!$A:$E, 3, FALSE), ""), IF(OR(_xlpm.v=0, _xlpm.v=""), "", _xlpm.v))</f>
        <v/>
      </c>
      <c r="I1396" t="str">
        <f>_xlfn.LET(_xlpm.v, IFERROR(VLOOKUP($A1396, manifest!$A:$E, 5, FALSE), ""), IF(OR(_xlpm.v=0, _xlpm.v=""), "", _xlpm.v))</f>
        <v>female</v>
      </c>
    </row>
    <row r="1397" spans="1:9" x14ac:dyDescent="0.6">
      <c r="A1397">
        <v>298</v>
      </c>
      <c r="B1397" t="s">
        <v>14</v>
      </c>
      <c r="C1397" t="s">
        <v>8</v>
      </c>
      <c r="D1397">
        <v>186.6</v>
      </c>
      <c r="E1397">
        <v>129.91</v>
      </c>
      <c r="F1397">
        <v>33190</v>
      </c>
      <c r="G1397" t="s">
        <v>9</v>
      </c>
      <c r="H1397" t="str">
        <f>_xlfn.LET(_xlpm.v, IFERROR(VLOOKUP($A1397, manifest!$A:$E, 3, FALSE), ""), IF(OR(_xlpm.v=0, _xlpm.v=""), "", _xlpm.v))</f>
        <v/>
      </c>
      <c r="I1397" t="str">
        <f>_xlfn.LET(_xlpm.v, IFERROR(VLOOKUP($A1397, manifest!$A:$E, 5, FALSE), ""), IF(OR(_xlpm.v=0, _xlpm.v=""), "", _xlpm.v))</f>
        <v>male</v>
      </c>
    </row>
    <row r="1398" spans="1:9" x14ac:dyDescent="0.6">
      <c r="A1398">
        <v>298</v>
      </c>
      <c r="B1398" t="s">
        <v>14</v>
      </c>
      <c r="C1398" t="s">
        <v>10</v>
      </c>
      <c r="D1398">
        <v>205.45</v>
      </c>
      <c r="E1398">
        <v>173.46</v>
      </c>
      <c r="F1398">
        <v>37213</v>
      </c>
      <c r="H1398" t="str">
        <f>_xlfn.LET(_xlpm.v, IFERROR(VLOOKUP($A1398, manifest!$A:$E, 3, FALSE), ""), IF(OR(_xlpm.v=0, _xlpm.v=""), "", _xlpm.v))</f>
        <v/>
      </c>
      <c r="I1398" t="str">
        <f>_xlfn.LET(_xlpm.v, IFERROR(VLOOKUP($A1398, manifest!$A:$E, 5, FALSE), ""), IF(OR(_xlpm.v=0, _xlpm.v=""), "", _xlpm.v))</f>
        <v>male</v>
      </c>
    </row>
    <row r="1399" spans="1:9" x14ac:dyDescent="0.6">
      <c r="A1399">
        <v>298</v>
      </c>
      <c r="B1399" t="s">
        <v>14</v>
      </c>
      <c r="C1399" t="s">
        <v>11</v>
      </c>
      <c r="D1399">
        <v>205.26</v>
      </c>
      <c r="E1399">
        <v>187.84</v>
      </c>
      <c r="F1399">
        <v>37815</v>
      </c>
      <c r="H1399" t="str">
        <f>_xlfn.LET(_xlpm.v, IFERROR(VLOOKUP($A1399, manifest!$A:$E, 3, FALSE), ""), IF(OR(_xlpm.v=0, _xlpm.v=""), "", _xlpm.v))</f>
        <v/>
      </c>
      <c r="I1399" t="str">
        <f>_xlfn.LET(_xlpm.v, IFERROR(VLOOKUP($A1399, manifest!$A:$E, 5, FALSE), ""), IF(OR(_xlpm.v=0, _xlpm.v=""), "", _xlpm.v))</f>
        <v>male</v>
      </c>
    </row>
    <row r="1400" spans="1:9" x14ac:dyDescent="0.6">
      <c r="A1400">
        <v>298</v>
      </c>
      <c r="B1400" t="s">
        <v>14</v>
      </c>
      <c r="C1400" t="s">
        <v>12</v>
      </c>
      <c r="D1400">
        <v>198.66</v>
      </c>
      <c r="E1400">
        <v>172.75</v>
      </c>
      <c r="F1400">
        <v>46068</v>
      </c>
      <c r="H1400" t="str">
        <f>_xlfn.LET(_xlpm.v, IFERROR(VLOOKUP($A1400, manifest!$A:$E, 3, FALSE), ""), IF(OR(_xlpm.v=0, _xlpm.v=""), "", _xlpm.v))</f>
        <v/>
      </c>
      <c r="I1400" t="str">
        <f>_xlfn.LET(_xlpm.v, IFERROR(VLOOKUP($A1400, manifest!$A:$E, 5, FALSE), ""), IF(OR(_xlpm.v=0, _xlpm.v=""), "", _xlpm.v))</f>
        <v>male</v>
      </c>
    </row>
    <row r="1401" spans="1:9" x14ac:dyDescent="0.6">
      <c r="A1401">
        <v>298</v>
      </c>
      <c r="B1401" t="s">
        <v>14</v>
      </c>
      <c r="C1401" t="s">
        <v>13</v>
      </c>
      <c r="D1401">
        <v>175.96</v>
      </c>
      <c r="E1401">
        <v>139.63</v>
      </c>
      <c r="F1401">
        <v>47928</v>
      </c>
      <c r="H1401" t="str">
        <f>_xlfn.LET(_xlpm.v, IFERROR(VLOOKUP($A1401, manifest!$A:$E, 3, FALSE), ""), IF(OR(_xlpm.v=0, _xlpm.v=""), "", _xlpm.v))</f>
        <v/>
      </c>
      <c r="I1401" t="str">
        <f>_xlfn.LET(_xlpm.v, IFERROR(VLOOKUP($A1401, manifest!$A:$E, 5, FALSE), ""), IF(OR(_xlpm.v=0, _xlpm.v=""), "", _xlpm.v))</f>
        <v>male</v>
      </c>
    </row>
    <row r="1402" spans="1:9" x14ac:dyDescent="0.6">
      <c r="A1402">
        <v>305</v>
      </c>
      <c r="B1402" t="s">
        <v>7</v>
      </c>
      <c r="C1402" t="s">
        <v>8</v>
      </c>
      <c r="D1402">
        <v>187.38</v>
      </c>
      <c r="E1402">
        <v>167.25</v>
      </c>
      <c r="F1402">
        <v>21553</v>
      </c>
      <c r="G1402" t="s">
        <v>9</v>
      </c>
      <c r="H1402">
        <f>_xlfn.LET(_xlpm.v, IFERROR(VLOOKUP($A1402, manifest!$A:$E, 3, FALSE), ""), IF(OR(_xlpm.v=0, _xlpm.v=""), "", _xlpm.v))</f>
        <v>66</v>
      </c>
      <c r="I1402" t="str">
        <f>_xlfn.LET(_xlpm.v, IFERROR(VLOOKUP($A1402, manifest!$A:$E, 5, FALSE), ""), IF(OR(_xlpm.v=0, _xlpm.v=""), "", _xlpm.v))</f>
        <v>male</v>
      </c>
    </row>
    <row r="1403" spans="1:9" x14ac:dyDescent="0.6">
      <c r="A1403">
        <v>305</v>
      </c>
      <c r="B1403" t="s">
        <v>7</v>
      </c>
      <c r="C1403" t="s">
        <v>10</v>
      </c>
      <c r="D1403">
        <v>194.83</v>
      </c>
      <c r="E1403">
        <v>178.61</v>
      </c>
      <c r="F1403">
        <v>29142</v>
      </c>
      <c r="H1403">
        <f>_xlfn.LET(_xlpm.v, IFERROR(VLOOKUP($A1403, manifest!$A:$E, 3, FALSE), ""), IF(OR(_xlpm.v=0, _xlpm.v=""), "", _xlpm.v))</f>
        <v>66</v>
      </c>
      <c r="I1403" t="str">
        <f>_xlfn.LET(_xlpm.v, IFERROR(VLOOKUP($A1403, manifest!$A:$E, 5, FALSE), ""), IF(OR(_xlpm.v=0, _xlpm.v=""), "", _xlpm.v))</f>
        <v>male</v>
      </c>
    </row>
    <row r="1404" spans="1:9" x14ac:dyDescent="0.6">
      <c r="A1404">
        <v>305</v>
      </c>
      <c r="B1404" t="s">
        <v>7</v>
      </c>
      <c r="C1404" t="s">
        <v>11</v>
      </c>
      <c r="D1404">
        <v>161.59</v>
      </c>
      <c r="E1404">
        <v>147.51</v>
      </c>
      <c r="F1404">
        <v>34804</v>
      </c>
      <c r="H1404">
        <f>_xlfn.LET(_xlpm.v, IFERROR(VLOOKUP($A1404, manifest!$A:$E, 3, FALSE), ""), IF(OR(_xlpm.v=0, _xlpm.v=""), "", _xlpm.v))</f>
        <v>66</v>
      </c>
      <c r="I1404" t="str">
        <f>_xlfn.LET(_xlpm.v, IFERROR(VLOOKUP($A1404, manifest!$A:$E, 5, FALSE), ""), IF(OR(_xlpm.v=0, _xlpm.v=""), "", _xlpm.v))</f>
        <v>male</v>
      </c>
    </row>
    <row r="1405" spans="1:9" x14ac:dyDescent="0.6">
      <c r="A1405">
        <v>305</v>
      </c>
      <c r="B1405" t="s">
        <v>7</v>
      </c>
      <c r="C1405" t="s">
        <v>12</v>
      </c>
      <c r="D1405">
        <v>186.55</v>
      </c>
      <c r="E1405">
        <v>181.93</v>
      </c>
      <c r="F1405">
        <v>29764</v>
      </c>
      <c r="H1405">
        <f>_xlfn.LET(_xlpm.v, IFERROR(VLOOKUP($A1405, manifest!$A:$E, 3, FALSE), ""), IF(OR(_xlpm.v=0, _xlpm.v=""), "", _xlpm.v))</f>
        <v>66</v>
      </c>
      <c r="I1405" t="str">
        <f>_xlfn.LET(_xlpm.v, IFERROR(VLOOKUP($A1405, manifest!$A:$E, 5, FALSE), ""), IF(OR(_xlpm.v=0, _xlpm.v=""), "", _xlpm.v))</f>
        <v>male</v>
      </c>
    </row>
    <row r="1406" spans="1:9" x14ac:dyDescent="0.6">
      <c r="A1406">
        <v>305</v>
      </c>
      <c r="B1406" t="s">
        <v>7</v>
      </c>
      <c r="C1406" t="s">
        <v>13</v>
      </c>
      <c r="D1406">
        <v>220.27</v>
      </c>
      <c r="E1406">
        <v>203.65</v>
      </c>
      <c r="F1406">
        <v>35003</v>
      </c>
      <c r="H1406">
        <f>_xlfn.LET(_xlpm.v, IFERROR(VLOOKUP($A1406, manifest!$A:$E, 3, FALSE), ""), IF(OR(_xlpm.v=0, _xlpm.v=""), "", _xlpm.v))</f>
        <v>66</v>
      </c>
      <c r="I1406" t="str">
        <f>_xlfn.LET(_xlpm.v, IFERROR(VLOOKUP($A1406, manifest!$A:$E, 5, FALSE), ""), IF(OR(_xlpm.v=0, _xlpm.v=""), "", _xlpm.v))</f>
        <v>male</v>
      </c>
    </row>
    <row r="1407" spans="1:9" x14ac:dyDescent="0.6">
      <c r="A1407">
        <v>317</v>
      </c>
      <c r="B1407" t="s">
        <v>14</v>
      </c>
      <c r="C1407" t="s">
        <v>8</v>
      </c>
      <c r="D1407">
        <v>195.24</v>
      </c>
      <c r="E1407">
        <v>142.6</v>
      </c>
      <c r="F1407">
        <v>23910</v>
      </c>
      <c r="G1407" t="s">
        <v>9</v>
      </c>
      <c r="H1407">
        <f>_xlfn.LET(_xlpm.v, IFERROR(VLOOKUP($A1407, manifest!$A:$E, 3, FALSE), ""), IF(OR(_xlpm.v=0, _xlpm.v=""), "", _xlpm.v))</f>
        <v>59</v>
      </c>
      <c r="I1407" t="str">
        <f>_xlfn.LET(_xlpm.v, IFERROR(VLOOKUP($A1407, manifest!$A:$E, 5, FALSE), ""), IF(OR(_xlpm.v=0, _xlpm.v=""), "", _xlpm.v))</f>
        <v>female</v>
      </c>
    </row>
    <row r="1408" spans="1:9" x14ac:dyDescent="0.6">
      <c r="A1408">
        <v>317</v>
      </c>
      <c r="B1408" t="s">
        <v>14</v>
      </c>
      <c r="C1408" t="s">
        <v>10</v>
      </c>
      <c r="D1408">
        <v>222.62</v>
      </c>
      <c r="E1408">
        <v>177</v>
      </c>
      <c r="F1408">
        <v>23804</v>
      </c>
      <c r="H1408">
        <f>_xlfn.LET(_xlpm.v, IFERROR(VLOOKUP($A1408, manifest!$A:$E, 3, FALSE), ""), IF(OR(_xlpm.v=0, _xlpm.v=""), "", _xlpm.v))</f>
        <v>59</v>
      </c>
      <c r="I1408" t="str">
        <f>_xlfn.LET(_xlpm.v, IFERROR(VLOOKUP($A1408, manifest!$A:$E, 5, FALSE), ""), IF(OR(_xlpm.v=0, _xlpm.v=""), "", _xlpm.v))</f>
        <v>female</v>
      </c>
    </row>
    <row r="1409" spans="1:9" x14ac:dyDescent="0.6">
      <c r="A1409">
        <v>317</v>
      </c>
      <c r="B1409" t="s">
        <v>14</v>
      </c>
      <c r="C1409" t="s">
        <v>11</v>
      </c>
      <c r="D1409">
        <v>214.33</v>
      </c>
      <c r="E1409">
        <v>217.41</v>
      </c>
      <c r="F1409">
        <v>28028</v>
      </c>
      <c r="H1409">
        <f>_xlfn.LET(_xlpm.v, IFERROR(VLOOKUP($A1409, manifest!$A:$E, 3, FALSE), ""), IF(OR(_xlpm.v=0, _xlpm.v=""), "", _xlpm.v))</f>
        <v>59</v>
      </c>
      <c r="I1409" t="str">
        <f>_xlfn.LET(_xlpm.v, IFERROR(VLOOKUP($A1409, manifest!$A:$E, 5, FALSE), ""), IF(OR(_xlpm.v=0, _xlpm.v=""), "", _xlpm.v))</f>
        <v>female</v>
      </c>
    </row>
    <row r="1410" spans="1:9" x14ac:dyDescent="0.6">
      <c r="A1410">
        <v>317</v>
      </c>
      <c r="B1410" t="s">
        <v>14</v>
      </c>
      <c r="C1410" t="s">
        <v>12</v>
      </c>
      <c r="D1410">
        <v>191.08</v>
      </c>
      <c r="E1410">
        <v>173.24</v>
      </c>
      <c r="F1410">
        <v>40639</v>
      </c>
      <c r="H1410">
        <f>_xlfn.LET(_xlpm.v, IFERROR(VLOOKUP($A1410, manifest!$A:$E, 3, FALSE), ""), IF(OR(_xlpm.v=0, _xlpm.v=""), "", _xlpm.v))</f>
        <v>59</v>
      </c>
      <c r="I1410" t="str">
        <f>_xlfn.LET(_xlpm.v, IFERROR(VLOOKUP($A1410, manifest!$A:$E, 5, FALSE), ""), IF(OR(_xlpm.v=0, _xlpm.v=""), "", _xlpm.v))</f>
        <v>female</v>
      </c>
    </row>
    <row r="1411" spans="1:9" x14ac:dyDescent="0.6">
      <c r="A1411">
        <v>317</v>
      </c>
      <c r="B1411" t="s">
        <v>14</v>
      </c>
      <c r="C1411" t="s">
        <v>13</v>
      </c>
      <c r="D1411">
        <v>195.76</v>
      </c>
      <c r="E1411">
        <v>181.92</v>
      </c>
      <c r="F1411">
        <v>38168</v>
      </c>
      <c r="H1411">
        <f>_xlfn.LET(_xlpm.v, IFERROR(VLOOKUP($A1411, manifest!$A:$E, 3, FALSE), ""), IF(OR(_xlpm.v=0, _xlpm.v=""), "", _xlpm.v))</f>
        <v>59</v>
      </c>
      <c r="I1411" t="str">
        <f>_xlfn.LET(_xlpm.v, IFERROR(VLOOKUP($A1411, manifest!$A:$E, 5, FALSE), ""), IF(OR(_xlpm.v=0, _xlpm.v=""), "", _xlpm.v))</f>
        <v>female</v>
      </c>
    </row>
    <row r="1412" spans="1:9" x14ac:dyDescent="0.6">
      <c r="A1412">
        <v>325</v>
      </c>
      <c r="B1412" t="s">
        <v>14</v>
      </c>
      <c r="C1412" t="s">
        <v>8</v>
      </c>
      <c r="D1412">
        <v>149.31</v>
      </c>
      <c r="E1412">
        <v>86.7</v>
      </c>
      <c r="F1412">
        <v>23560</v>
      </c>
      <c r="G1412" t="s">
        <v>15</v>
      </c>
      <c r="H1412">
        <f>_xlfn.LET(_xlpm.v, IFERROR(VLOOKUP($A1412, manifest!$A:$E, 3, FALSE), ""), IF(OR(_xlpm.v=0, _xlpm.v=""), "", _xlpm.v))</f>
        <v>51</v>
      </c>
      <c r="I1412" t="str">
        <f>_xlfn.LET(_xlpm.v, IFERROR(VLOOKUP($A1412, manifest!$A:$E, 5, FALSE), ""), IF(OR(_xlpm.v=0, _xlpm.v=""), "", _xlpm.v))</f>
        <v>male</v>
      </c>
    </row>
    <row r="1413" spans="1:9" x14ac:dyDescent="0.6">
      <c r="A1413">
        <v>325</v>
      </c>
      <c r="B1413" t="s">
        <v>14</v>
      </c>
      <c r="C1413" t="s">
        <v>10</v>
      </c>
      <c r="D1413">
        <v>158.69</v>
      </c>
      <c r="E1413">
        <v>108.31</v>
      </c>
      <c r="F1413">
        <v>26343</v>
      </c>
      <c r="H1413">
        <f>_xlfn.LET(_xlpm.v, IFERROR(VLOOKUP($A1413, manifest!$A:$E, 3, FALSE), ""), IF(OR(_xlpm.v=0, _xlpm.v=""), "", _xlpm.v))</f>
        <v>51</v>
      </c>
      <c r="I1413" t="str">
        <f>_xlfn.LET(_xlpm.v, IFERROR(VLOOKUP($A1413, manifest!$A:$E, 5, FALSE), ""), IF(OR(_xlpm.v=0, _xlpm.v=""), "", _xlpm.v))</f>
        <v>male</v>
      </c>
    </row>
    <row r="1414" spans="1:9" x14ac:dyDescent="0.6">
      <c r="A1414">
        <v>325</v>
      </c>
      <c r="B1414" t="s">
        <v>14</v>
      </c>
      <c r="C1414" t="s">
        <v>11</v>
      </c>
      <c r="D1414">
        <v>164.64</v>
      </c>
      <c r="E1414">
        <v>112.54</v>
      </c>
      <c r="F1414">
        <v>30024</v>
      </c>
      <c r="H1414">
        <f>_xlfn.LET(_xlpm.v, IFERROR(VLOOKUP($A1414, manifest!$A:$E, 3, FALSE), ""), IF(OR(_xlpm.v=0, _xlpm.v=""), "", _xlpm.v))</f>
        <v>51</v>
      </c>
      <c r="I1414" t="str">
        <f>_xlfn.LET(_xlpm.v, IFERROR(VLOOKUP($A1414, manifest!$A:$E, 5, FALSE), ""), IF(OR(_xlpm.v=0, _xlpm.v=""), "", _xlpm.v))</f>
        <v>male</v>
      </c>
    </row>
    <row r="1415" spans="1:9" x14ac:dyDescent="0.6">
      <c r="A1415">
        <v>325</v>
      </c>
      <c r="B1415" t="s">
        <v>14</v>
      </c>
      <c r="C1415" t="s">
        <v>12</v>
      </c>
      <c r="D1415">
        <v>159.94</v>
      </c>
      <c r="E1415">
        <v>122.81</v>
      </c>
      <c r="F1415">
        <v>44858</v>
      </c>
      <c r="H1415">
        <f>_xlfn.LET(_xlpm.v, IFERROR(VLOOKUP($A1415, manifest!$A:$E, 3, FALSE), ""), IF(OR(_xlpm.v=0, _xlpm.v=""), "", _xlpm.v))</f>
        <v>51</v>
      </c>
      <c r="I1415" t="str">
        <f>_xlfn.LET(_xlpm.v, IFERROR(VLOOKUP($A1415, manifest!$A:$E, 5, FALSE), ""), IF(OR(_xlpm.v=0, _xlpm.v=""), "", _xlpm.v))</f>
        <v>male</v>
      </c>
    </row>
    <row r="1416" spans="1:9" x14ac:dyDescent="0.6">
      <c r="A1416">
        <v>325</v>
      </c>
      <c r="B1416" t="s">
        <v>14</v>
      </c>
      <c r="C1416" t="s">
        <v>13</v>
      </c>
      <c r="D1416">
        <v>170.33</v>
      </c>
      <c r="E1416">
        <v>125.9</v>
      </c>
      <c r="F1416">
        <v>39446</v>
      </c>
      <c r="H1416">
        <f>_xlfn.LET(_xlpm.v, IFERROR(VLOOKUP($A1416, manifest!$A:$E, 3, FALSE), ""), IF(OR(_xlpm.v=0, _xlpm.v=""), "", _xlpm.v))</f>
        <v>51</v>
      </c>
      <c r="I1416" t="str">
        <f>_xlfn.LET(_xlpm.v, IFERROR(VLOOKUP($A1416, manifest!$A:$E, 5, FALSE), ""), IF(OR(_xlpm.v=0, _xlpm.v=""), "", _xlpm.v))</f>
        <v>male</v>
      </c>
    </row>
    <row r="1417" spans="1:9" x14ac:dyDescent="0.6">
      <c r="A1417">
        <v>297</v>
      </c>
      <c r="B1417" t="s">
        <v>7</v>
      </c>
      <c r="C1417" t="s">
        <v>8</v>
      </c>
      <c r="D1417">
        <v>216.19</v>
      </c>
      <c r="E1417">
        <v>117.47</v>
      </c>
      <c r="F1417">
        <v>38018</v>
      </c>
      <c r="G1417" t="s">
        <v>9</v>
      </c>
      <c r="H1417">
        <f>_xlfn.LET(_xlpm.v, IFERROR(VLOOKUP($A1417, manifest!$A:$E, 3, FALSE), ""), IF(OR(_xlpm.v=0, _xlpm.v=""), "", _xlpm.v))</f>
        <v>50</v>
      </c>
      <c r="I1417" t="str">
        <f>_xlfn.LET(_xlpm.v, IFERROR(VLOOKUP($A1417, manifest!$A:$E, 5, FALSE), ""), IF(OR(_xlpm.v=0, _xlpm.v=""), "", _xlpm.v))</f>
        <v>male</v>
      </c>
    </row>
    <row r="1418" spans="1:9" x14ac:dyDescent="0.6">
      <c r="A1418">
        <v>297</v>
      </c>
      <c r="B1418" t="s">
        <v>7</v>
      </c>
      <c r="C1418" t="s">
        <v>10</v>
      </c>
      <c r="D1418">
        <v>235.93</v>
      </c>
      <c r="E1418">
        <v>160.06</v>
      </c>
      <c r="F1418">
        <v>40547</v>
      </c>
      <c r="H1418">
        <f>_xlfn.LET(_xlpm.v, IFERROR(VLOOKUP($A1418, manifest!$A:$E, 3, FALSE), ""), IF(OR(_xlpm.v=0, _xlpm.v=""), "", _xlpm.v))</f>
        <v>50</v>
      </c>
      <c r="I1418" t="str">
        <f>_xlfn.LET(_xlpm.v, IFERROR(VLOOKUP($A1418, manifest!$A:$E, 5, FALSE), ""), IF(OR(_xlpm.v=0, _xlpm.v=""), "", _xlpm.v))</f>
        <v>male</v>
      </c>
    </row>
    <row r="1419" spans="1:9" x14ac:dyDescent="0.6">
      <c r="A1419">
        <v>297</v>
      </c>
      <c r="B1419" t="s">
        <v>7</v>
      </c>
      <c r="C1419" t="s">
        <v>11</v>
      </c>
      <c r="D1419">
        <v>236.1</v>
      </c>
      <c r="E1419">
        <v>159.49</v>
      </c>
      <c r="F1419">
        <v>44739</v>
      </c>
      <c r="H1419">
        <f>_xlfn.LET(_xlpm.v, IFERROR(VLOOKUP($A1419, manifest!$A:$E, 3, FALSE), ""), IF(OR(_xlpm.v=0, _xlpm.v=""), "", _xlpm.v))</f>
        <v>50</v>
      </c>
      <c r="I1419" t="str">
        <f>_xlfn.LET(_xlpm.v, IFERROR(VLOOKUP($A1419, manifest!$A:$E, 5, FALSE), ""), IF(OR(_xlpm.v=0, _xlpm.v=""), "", _xlpm.v))</f>
        <v>male</v>
      </c>
    </row>
    <row r="1420" spans="1:9" x14ac:dyDescent="0.6">
      <c r="A1420">
        <v>297</v>
      </c>
      <c r="B1420" t="s">
        <v>7</v>
      </c>
      <c r="C1420" t="s">
        <v>12</v>
      </c>
      <c r="D1420">
        <v>231.44</v>
      </c>
      <c r="E1420">
        <v>162.97</v>
      </c>
      <c r="F1420">
        <v>44770</v>
      </c>
      <c r="H1420">
        <f>_xlfn.LET(_xlpm.v, IFERROR(VLOOKUP($A1420, manifest!$A:$E, 3, FALSE), ""), IF(OR(_xlpm.v=0, _xlpm.v=""), "", _xlpm.v))</f>
        <v>50</v>
      </c>
      <c r="I1420" t="str">
        <f>_xlfn.LET(_xlpm.v, IFERROR(VLOOKUP($A1420, manifest!$A:$E, 5, FALSE), ""), IF(OR(_xlpm.v=0, _xlpm.v=""), "", _xlpm.v))</f>
        <v>male</v>
      </c>
    </row>
    <row r="1421" spans="1:9" x14ac:dyDescent="0.6">
      <c r="A1421">
        <v>297</v>
      </c>
      <c r="B1421" t="s">
        <v>7</v>
      </c>
      <c r="C1421" t="s">
        <v>13</v>
      </c>
      <c r="D1421">
        <v>229.5</v>
      </c>
      <c r="E1421">
        <v>157.88999999999999</v>
      </c>
      <c r="F1421">
        <v>55144</v>
      </c>
      <c r="H1421">
        <f>_xlfn.LET(_xlpm.v, IFERROR(VLOOKUP($A1421, manifest!$A:$E, 3, FALSE), ""), IF(OR(_xlpm.v=0, _xlpm.v=""), "", _xlpm.v))</f>
        <v>50</v>
      </c>
      <c r="I1421" t="str">
        <f>_xlfn.LET(_xlpm.v, IFERROR(VLOOKUP($A1421, manifest!$A:$E, 5, FALSE), ""), IF(OR(_xlpm.v=0, _xlpm.v=""), "", _xlpm.v))</f>
        <v>male</v>
      </c>
    </row>
    <row r="1422" spans="1:9" x14ac:dyDescent="0.6">
      <c r="A1422">
        <v>293</v>
      </c>
      <c r="B1422" t="s">
        <v>14</v>
      </c>
      <c r="C1422" t="s">
        <v>8</v>
      </c>
      <c r="D1422">
        <v>174.95</v>
      </c>
      <c r="E1422">
        <v>134.79</v>
      </c>
      <c r="F1422">
        <v>41214</v>
      </c>
      <c r="G1422" t="s">
        <v>9</v>
      </c>
      <c r="H1422" t="str">
        <f>_xlfn.LET(_xlpm.v, IFERROR(VLOOKUP($A1422, manifest!$A:$E, 3, FALSE), ""), IF(OR(_xlpm.v=0, _xlpm.v=""), "", _xlpm.v))</f>
        <v/>
      </c>
      <c r="I1422" t="str">
        <f>_xlfn.LET(_xlpm.v, IFERROR(VLOOKUP($A1422, manifest!$A:$E, 5, FALSE), ""), IF(OR(_xlpm.v=0, _xlpm.v=""), "", _xlpm.v))</f>
        <v>male</v>
      </c>
    </row>
    <row r="1423" spans="1:9" x14ac:dyDescent="0.6">
      <c r="A1423">
        <v>293</v>
      </c>
      <c r="B1423" t="s">
        <v>14</v>
      </c>
      <c r="C1423" t="s">
        <v>10</v>
      </c>
      <c r="D1423">
        <v>261.13</v>
      </c>
      <c r="E1423">
        <v>205.45</v>
      </c>
      <c r="F1423">
        <v>45434</v>
      </c>
      <c r="H1423" t="str">
        <f>_xlfn.LET(_xlpm.v, IFERROR(VLOOKUP($A1423, manifest!$A:$E, 3, FALSE), ""), IF(OR(_xlpm.v=0, _xlpm.v=""), "", _xlpm.v))</f>
        <v/>
      </c>
      <c r="I1423" t="str">
        <f>_xlfn.LET(_xlpm.v, IFERROR(VLOOKUP($A1423, manifest!$A:$E, 5, FALSE), ""), IF(OR(_xlpm.v=0, _xlpm.v=""), "", _xlpm.v))</f>
        <v>male</v>
      </c>
    </row>
    <row r="1424" spans="1:9" x14ac:dyDescent="0.6">
      <c r="A1424">
        <v>293</v>
      </c>
      <c r="B1424" t="s">
        <v>14</v>
      </c>
      <c r="C1424" t="s">
        <v>11</v>
      </c>
      <c r="D1424">
        <v>205.16</v>
      </c>
      <c r="E1424">
        <v>165.91</v>
      </c>
      <c r="F1424">
        <v>50599</v>
      </c>
      <c r="H1424" t="str">
        <f>_xlfn.LET(_xlpm.v, IFERROR(VLOOKUP($A1424, manifest!$A:$E, 3, FALSE), ""), IF(OR(_xlpm.v=0, _xlpm.v=""), "", _xlpm.v))</f>
        <v/>
      </c>
      <c r="I1424" t="str">
        <f>_xlfn.LET(_xlpm.v, IFERROR(VLOOKUP($A1424, manifest!$A:$E, 5, FALSE), ""), IF(OR(_xlpm.v=0, _xlpm.v=""), "", _xlpm.v))</f>
        <v>male</v>
      </c>
    </row>
    <row r="1425" spans="1:9" x14ac:dyDescent="0.6">
      <c r="A1425">
        <v>293</v>
      </c>
      <c r="B1425" t="s">
        <v>14</v>
      </c>
      <c r="C1425" t="s">
        <v>12</v>
      </c>
      <c r="D1425">
        <v>253.47</v>
      </c>
      <c r="E1425">
        <v>192.15</v>
      </c>
      <c r="F1425">
        <v>47055</v>
      </c>
      <c r="H1425" t="str">
        <f>_xlfn.LET(_xlpm.v, IFERROR(VLOOKUP($A1425, manifest!$A:$E, 3, FALSE), ""), IF(OR(_xlpm.v=0, _xlpm.v=""), "", _xlpm.v))</f>
        <v/>
      </c>
      <c r="I1425" t="str">
        <f>_xlfn.LET(_xlpm.v, IFERROR(VLOOKUP($A1425, manifest!$A:$E, 5, FALSE), ""), IF(OR(_xlpm.v=0, _xlpm.v=""), "", _xlpm.v))</f>
        <v>male</v>
      </c>
    </row>
    <row r="1426" spans="1:9" x14ac:dyDescent="0.6">
      <c r="A1426">
        <v>293</v>
      </c>
      <c r="B1426" t="s">
        <v>14</v>
      </c>
      <c r="C1426" t="s">
        <v>13</v>
      </c>
      <c r="D1426">
        <v>209.92</v>
      </c>
      <c r="E1426">
        <v>165.89</v>
      </c>
      <c r="F1426">
        <v>51986</v>
      </c>
      <c r="H1426" t="str">
        <f>_xlfn.LET(_xlpm.v, IFERROR(VLOOKUP($A1426, manifest!$A:$E, 3, FALSE), ""), IF(OR(_xlpm.v=0, _xlpm.v=""), "", _xlpm.v))</f>
        <v/>
      </c>
      <c r="I1426" t="str">
        <f>_xlfn.LET(_xlpm.v, IFERROR(VLOOKUP($A1426, manifest!$A:$E, 5, FALSE), ""), IF(OR(_xlpm.v=0, _xlpm.v=""), "", _xlpm.v))</f>
        <v>male</v>
      </c>
    </row>
    <row r="1427" spans="1:9" x14ac:dyDescent="0.6">
      <c r="A1427">
        <v>319</v>
      </c>
      <c r="B1427" t="s">
        <v>14</v>
      </c>
      <c r="C1427" t="s">
        <v>8</v>
      </c>
      <c r="D1427">
        <v>243.18</v>
      </c>
      <c r="E1427">
        <v>197.85</v>
      </c>
      <c r="F1427">
        <v>25321</v>
      </c>
      <c r="G1427" t="s">
        <v>9</v>
      </c>
      <c r="H1427">
        <f>_xlfn.LET(_xlpm.v, IFERROR(VLOOKUP($A1427, manifest!$A:$E, 3, FALSE), ""), IF(OR(_xlpm.v=0, _xlpm.v=""), "", _xlpm.v))</f>
        <v>55</v>
      </c>
      <c r="I1427" t="str">
        <f>_xlfn.LET(_xlpm.v, IFERROR(VLOOKUP($A1427, manifest!$A:$E, 5, FALSE), ""), IF(OR(_xlpm.v=0, _xlpm.v=""), "", _xlpm.v))</f>
        <v>male</v>
      </c>
    </row>
    <row r="1428" spans="1:9" x14ac:dyDescent="0.6">
      <c r="A1428">
        <v>319</v>
      </c>
      <c r="B1428" t="s">
        <v>14</v>
      </c>
      <c r="C1428" t="s">
        <v>10</v>
      </c>
      <c r="D1428">
        <v>240.09</v>
      </c>
      <c r="E1428">
        <v>174.61</v>
      </c>
      <c r="F1428">
        <v>26397</v>
      </c>
      <c r="H1428">
        <f>_xlfn.LET(_xlpm.v, IFERROR(VLOOKUP($A1428, manifest!$A:$E, 3, FALSE), ""), IF(OR(_xlpm.v=0, _xlpm.v=""), "", _xlpm.v))</f>
        <v>55</v>
      </c>
      <c r="I1428" t="str">
        <f>_xlfn.LET(_xlpm.v, IFERROR(VLOOKUP($A1428, manifest!$A:$E, 5, FALSE), ""), IF(OR(_xlpm.v=0, _xlpm.v=""), "", _xlpm.v))</f>
        <v>male</v>
      </c>
    </row>
    <row r="1429" spans="1:9" x14ac:dyDescent="0.6">
      <c r="A1429">
        <v>319</v>
      </c>
      <c r="B1429" t="s">
        <v>14</v>
      </c>
      <c r="C1429" t="s">
        <v>11</v>
      </c>
      <c r="D1429">
        <v>235.54</v>
      </c>
      <c r="E1429">
        <v>174.13</v>
      </c>
      <c r="F1429">
        <v>27303</v>
      </c>
      <c r="H1429">
        <f>_xlfn.LET(_xlpm.v, IFERROR(VLOOKUP($A1429, manifest!$A:$E, 3, FALSE), ""), IF(OR(_xlpm.v=0, _xlpm.v=""), "", _xlpm.v))</f>
        <v>55</v>
      </c>
      <c r="I1429" t="str">
        <f>_xlfn.LET(_xlpm.v, IFERROR(VLOOKUP($A1429, manifest!$A:$E, 5, FALSE), ""), IF(OR(_xlpm.v=0, _xlpm.v=""), "", _xlpm.v))</f>
        <v>male</v>
      </c>
    </row>
    <row r="1430" spans="1:9" x14ac:dyDescent="0.6">
      <c r="A1430">
        <v>319</v>
      </c>
      <c r="B1430" t="s">
        <v>14</v>
      </c>
      <c r="C1430" t="s">
        <v>12</v>
      </c>
      <c r="D1430">
        <v>228.98</v>
      </c>
      <c r="E1430">
        <v>180.54</v>
      </c>
      <c r="F1430">
        <v>35248</v>
      </c>
      <c r="H1430">
        <f>_xlfn.LET(_xlpm.v, IFERROR(VLOOKUP($A1430, manifest!$A:$E, 3, FALSE), ""), IF(OR(_xlpm.v=0, _xlpm.v=""), "", _xlpm.v))</f>
        <v>55</v>
      </c>
      <c r="I1430" t="str">
        <f>_xlfn.LET(_xlpm.v, IFERROR(VLOOKUP($A1430, manifest!$A:$E, 5, FALSE), ""), IF(OR(_xlpm.v=0, _xlpm.v=""), "", _xlpm.v))</f>
        <v>male</v>
      </c>
    </row>
    <row r="1431" spans="1:9" x14ac:dyDescent="0.6">
      <c r="A1431">
        <v>319</v>
      </c>
      <c r="B1431" t="s">
        <v>14</v>
      </c>
      <c r="C1431" t="s">
        <v>13</v>
      </c>
      <c r="D1431">
        <v>266.91000000000003</v>
      </c>
      <c r="E1431">
        <v>218.68</v>
      </c>
      <c r="F1431">
        <v>44904</v>
      </c>
      <c r="H1431">
        <f>_xlfn.LET(_xlpm.v, IFERROR(VLOOKUP($A1431, manifest!$A:$E, 3, FALSE), ""), IF(OR(_xlpm.v=0, _xlpm.v=""), "", _xlpm.v))</f>
        <v>55</v>
      </c>
      <c r="I1431" t="str">
        <f>_xlfn.LET(_xlpm.v, IFERROR(VLOOKUP($A1431, manifest!$A:$E, 5, FALSE), ""), IF(OR(_xlpm.v=0, _xlpm.v=""), "", _xlpm.v))</f>
        <v>male</v>
      </c>
    </row>
    <row r="1432" spans="1:9" x14ac:dyDescent="0.6">
      <c r="A1432">
        <v>311</v>
      </c>
      <c r="B1432" t="s">
        <v>7</v>
      </c>
      <c r="C1432" t="s">
        <v>8</v>
      </c>
      <c r="D1432">
        <v>156.21</v>
      </c>
      <c r="E1432">
        <v>105.93</v>
      </c>
      <c r="F1432">
        <v>31020</v>
      </c>
      <c r="G1432" t="s">
        <v>15</v>
      </c>
      <c r="H1432">
        <f>_xlfn.LET(_xlpm.v, IFERROR(VLOOKUP($A1432, manifest!$A:$E, 3, FALSE), ""), IF(OR(_xlpm.v=0, _xlpm.v=""), "", _xlpm.v))</f>
        <v>58</v>
      </c>
      <c r="I1432" t="str">
        <f>_xlfn.LET(_xlpm.v, IFERROR(VLOOKUP($A1432, manifest!$A:$E, 5, FALSE), ""), IF(OR(_xlpm.v=0, _xlpm.v=""), "", _xlpm.v))</f>
        <v>female</v>
      </c>
    </row>
    <row r="1433" spans="1:9" x14ac:dyDescent="0.6">
      <c r="A1433">
        <v>311</v>
      </c>
      <c r="B1433" t="s">
        <v>7</v>
      </c>
      <c r="C1433" t="s">
        <v>10</v>
      </c>
      <c r="D1433">
        <v>168.94</v>
      </c>
      <c r="E1433">
        <v>121.62</v>
      </c>
      <c r="F1433">
        <v>33094</v>
      </c>
      <c r="H1433">
        <f>_xlfn.LET(_xlpm.v, IFERROR(VLOOKUP($A1433, manifest!$A:$E, 3, FALSE), ""), IF(OR(_xlpm.v=0, _xlpm.v=""), "", _xlpm.v))</f>
        <v>58</v>
      </c>
      <c r="I1433" t="str">
        <f>_xlfn.LET(_xlpm.v, IFERROR(VLOOKUP($A1433, manifest!$A:$E, 5, FALSE), ""), IF(OR(_xlpm.v=0, _xlpm.v=""), "", _xlpm.v))</f>
        <v>female</v>
      </c>
    </row>
    <row r="1434" spans="1:9" x14ac:dyDescent="0.6">
      <c r="A1434">
        <v>311</v>
      </c>
      <c r="B1434" t="s">
        <v>7</v>
      </c>
      <c r="C1434" t="s">
        <v>11</v>
      </c>
      <c r="D1434">
        <v>157.51</v>
      </c>
      <c r="E1434">
        <v>128.82</v>
      </c>
      <c r="F1434">
        <v>40523</v>
      </c>
      <c r="H1434">
        <f>_xlfn.LET(_xlpm.v, IFERROR(VLOOKUP($A1434, manifest!$A:$E, 3, FALSE), ""), IF(OR(_xlpm.v=0, _xlpm.v=""), "", _xlpm.v))</f>
        <v>58</v>
      </c>
      <c r="I1434" t="str">
        <f>_xlfn.LET(_xlpm.v, IFERROR(VLOOKUP($A1434, manifest!$A:$E, 5, FALSE), ""), IF(OR(_xlpm.v=0, _xlpm.v=""), "", _xlpm.v))</f>
        <v>female</v>
      </c>
    </row>
    <row r="1435" spans="1:9" x14ac:dyDescent="0.6">
      <c r="A1435">
        <v>311</v>
      </c>
      <c r="B1435" t="s">
        <v>7</v>
      </c>
      <c r="C1435" t="s">
        <v>12</v>
      </c>
      <c r="D1435">
        <v>169.29</v>
      </c>
      <c r="E1435">
        <v>162.61000000000001</v>
      </c>
      <c r="F1435">
        <v>39897</v>
      </c>
      <c r="H1435">
        <f>_xlfn.LET(_xlpm.v, IFERROR(VLOOKUP($A1435, manifest!$A:$E, 3, FALSE), ""), IF(OR(_xlpm.v=0, _xlpm.v=""), "", _xlpm.v))</f>
        <v>58</v>
      </c>
      <c r="I1435" t="str">
        <f>_xlfn.LET(_xlpm.v, IFERROR(VLOOKUP($A1435, manifest!$A:$E, 5, FALSE), ""), IF(OR(_xlpm.v=0, _xlpm.v=""), "", _xlpm.v))</f>
        <v>female</v>
      </c>
    </row>
    <row r="1436" spans="1:9" x14ac:dyDescent="0.6">
      <c r="A1436">
        <v>311</v>
      </c>
      <c r="B1436" t="s">
        <v>7</v>
      </c>
      <c r="C1436" t="s">
        <v>13</v>
      </c>
      <c r="D1436">
        <v>138.25</v>
      </c>
      <c r="E1436">
        <v>126.17</v>
      </c>
      <c r="F1436">
        <v>66982</v>
      </c>
      <c r="H1436">
        <f>_xlfn.LET(_xlpm.v, IFERROR(VLOOKUP($A1436, manifest!$A:$E, 3, FALSE), ""), IF(OR(_xlpm.v=0, _xlpm.v=""), "", _xlpm.v))</f>
        <v>58</v>
      </c>
      <c r="I1436" t="str">
        <f>_xlfn.LET(_xlpm.v, IFERROR(VLOOKUP($A1436, manifest!$A:$E, 5, FALSE), ""), IF(OR(_xlpm.v=0, _xlpm.v=""), "", _xlpm.v))</f>
        <v>female</v>
      </c>
    </row>
    <row r="1437" spans="1:9" x14ac:dyDescent="0.6">
      <c r="A1437">
        <v>336</v>
      </c>
      <c r="B1437" t="s">
        <v>14</v>
      </c>
      <c r="C1437" t="s">
        <v>8</v>
      </c>
      <c r="D1437">
        <v>309.23</v>
      </c>
      <c r="E1437">
        <v>191.74</v>
      </c>
      <c r="F1437">
        <v>17785</v>
      </c>
      <c r="G1437" t="s">
        <v>9</v>
      </c>
      <c r="H1437">
        <f>_xlfn.LET(_xlpm.v, IFERROR(VLOOKUP($A1437, manifest!$A:$E, 3, FALSE), ""), IF(OR(_xlpm.v=0, _xlpm.v=""), "", _xlpm.v))</f>
        <v>50</v>
      </c>
      <c r="I1437" t="str">
        <f>_xlfn.LET(_xlpm.v, IFERROR(VLOOKUP($A1437, manifest!$A:$E, 5, FALSE), ""), IF(OR(_xlpm.v=0, _xlpm.v=""), "", _xlpm.v))</f>
        <v>female</v>
      </c>
    </row>
    <row r="1438" spans="1:9" x14ac:dyDescent="0.6">
      <c r="A1438">
        <v>336</v>
      </c>
      <c r="B1438" t="s">
        <v>14</v>
      </c>
      <c r="C1438" t="s">
        <v>10</v>
      </c>
      <c r="D1438">
        <v>325.44</v>
      </c>
      <c r="E1438">
        <v>224.19</v>
      </c>
      <c r="F1438">
        <v>19369</v>
      </c>
      <c r="H1438">
        <f>_xlfn.LET(_xlpm.v, IFERROR(VLOOKUP($A1438, manifest!$A:$E, 3, FALSE), ""), IF(OR(_xlpm.v=0, _xlpm.v=""), "", _xlpm.v))</f>
        <v>50</v>
      </c>
      <c r="I1438" t="str">
        <f>_xlfn.LET(_xlpm.v, IFERROR(VLOOKUP($A1438, manifest!$A:$E, 5, FALSE), ""), IF(OR(_xlpm.v=0, _xlpm.v=""), "", _xlpm.v))</f>
        <v>female</v>
      </c>
    </row>
    <row r="1439" spans="1:9" x14ac:dyDescent="0.6">
      <c r="A1439">
        <v>336</v>
      </c>
      <c r="B1439" t="s">
        <v>14</v>
      </c>
      <c r="C1439" t="s">
        <v>11</v>
      </c>
      <c r="D1439">
        <v>302.49</v>
      </c>
      <c r="E1439">
        <v>211.01</v>
      </c>
      <c r="F1439">
        <v>22489</v>
      </c>
      <c r="H1439">
        <f>_xlfn.LET(_xlpm.v, IFERROR(VLOOKUP($A1439, manifest!$A:$E, 3, FALSE), ""), IF(OR(_xlpm.v=0, _xlpm.v=""), "", _xlpm.v))</f>
        <v>50</v>
      </c>
      <c r="I1439" t="str">
        <f>_xlfn.LET(_xlpm.v, IFERROR(VLOOKUP($A1439, manifest!$A:$E, 5, FALSE), ""), IF(OR(_xlpm.v=0, _xlpm.v=""), "", _xlpm.v))</f>
        <v>female</v>
      </c>
    </row>
    <row r="1440" spans="1:9" x14ac:dyDescent="0.6">
      <c r="A1440">
        <v>336</v>
      </c>
      <c r="B1440" t="s">
        <v>14</v>
      </c>
      <c r="C1440" t="s">
        <v>12</v>
      </c>
      <c r="D1440">
        <v>283.39999999999998</v>
      </c>
      <c r="E1440">
        <v>200.32</v>
      </c>
      <c r="F1440">
        <v>31567</v>
      </c>
      <c r="H1440">
        <f>_xlfn.LET(_xlpm.v, IFERROR(VLOOKUP($A1440, manifest!$A:$E, 3, FALSE), ""), IF(OR(_xlpm.v=0, _xlpm.v=""), "", _xlpm.v))</f>
        <v>50</v>
      </c>
      <c r="I1440" t="str">
        <f>_xlfn.LET(_xlpm.v, IFERROR(VLOOKUP($A1440, manifest!$A:$E, 5, FALSE), ""), IF(OR(_xlpm.v=0, _xlpm.v=""), "", _xlpm.v))</f>
        <v>female</v>
      </c>
    </row>
    <row r="1441" spans="1:9" x14ac:dyDescent="0.6">
      <c r="A1441">
        <v>336</v>
      </c>
      <c r="B1441" t="s">
        <v>14</v>
      </c>
      <c r="C1441" t="s">
        <v>13</v>
      </c>
      <c r="D1441">
        <v>344.56</v>
      </c>
      <c r="E1441">
        <v>243.03</v>
      </c>
      <c r="F1441">
        <v>34914</v>
      </c>
      <c r="H1441">
        <f>_xlfn.LET(_xlpm.v, IFERROR(VLOOKUP($A1441, manifest!$A:$E, 3, FALSE), ""), IF(OR(_xlpm.v=0, _xlpm.v=""), "", _xlpm.v))</f>
        <v>50</v>
      </c>
      <c r="I1441" t="str">
        <f>_xlfn.LET(_xlpm.v, IFERROR(VLOOKUP($A1441, manifest!$A:$E, 5, FALSE), ""), IF(OR(_xlpm.v=0, _xlpm.v=""), "", _xlpm.v))</f>
        <v>female</v>
      </c>
    </row>
    <row r="1442" spans="1:9" x14ac:dyDescent="0.6">
      <c r="A1442">
        <v>310</v>
      </c>
      <c r="B1442" t="s">
        <v>14</v>
      </c>
      <c r="C1442" t="s">
        <v>8</v>
      </c>
      <c r="D1442">
        <v>152.6</v>
      </c>
      <c r="E1442">
        <v>124.83</v>
      </c>
      <c r="F1442">
        <v>51872</v>
      </c>
      <c r="G1442" t="s">
        <v>15</v>
      </c>
      <c r="H1442">
        <f>_xlfn.LET(_xlpm.v, IFERROR(VLOOKUP($A1442, manifest!$A:$E, 3, FALSE), ""), IF(OR(_xlpm.v=0, _xlpm.v=""), "", _xlpm.v))</f>
        <v>65</v>
      </c>
      <c r="I1442" t="str">
        <f>_xlfn.LET(_xlpm.v, IFERROR(VLOOKUP($A1442, manifest!$A:$E, 5, FALSE), ""), IF(OR(_xlpm.v=0, _xlpm.v=""), "", _xlpm.v))</f>
        <v>male</v>
      </c>
    </row>
    <row r="1443" spans="1:9" x14ac:dyDescent="0.6">
      <c r="A1443">
        <v>310</v>
      </c>
      <c r="B1443" t="s">
        <v>14</v>
      </c>
      <c r="C1443" t="s">
        <v>10</v>
      </c>
      <c r="D1443">
        <v>200.98</v>
      </c>
      <c r="E1443">
        <v>167.75</v>
      </c>
      <c r="F1443">
        <v>50356</v>
      </c>
      <c r="H1443">
        <f>_xlfn.LET(_xlpm.v, IFERROR(VLOOKUP($A1443, manifest!$A:$E, 3, FALSE), ""), IF(OR(_xlpm.v=0, _xlpm.v=""), "", _xlpm.v))</f>
        <v>65</v>
      </c>
      <c r="I1443" t="str">
        <f>_xlfn.LET(_xlpm.v, IFERROR(VLOOKUP($A1443, manifest!$A:$E, 5, FALSE), ""), IF(OR(_xlpm.v=0, _xlpm.v=""), "", _xlpm.v))</f>
        <v>male</v>
      </c>
    </row>
    <row r="1444" spans="1:9" x14ac:dyDescent="0.6">
      <c r="A1444">
        <v>310</v>
      </c>
      <c r="B1444" t="s">
        <v>14</v>
      </c>
      <c r="C1444" t="s">
        <v>11</v>
      </c>
      <c r="D1444">
        <v>157.22999999999999</v>
      </c>
      <c r="E1444">
        <v>145.81</v>
      </c>
      <c r="F1444">
        <v>71701</v>
      </c>
      <c r="H1444">
        <f>_xlfn.LET(_xlpm.v, IFERROR(VLOOKUP($A1444, manifest!$A:$E, 3, FALSE), ""), IF(OR(_xlpm.v=0, _xlpm.v=""), "", _xlpm.v))</f>
        <v>65</v>
      </c>
      <c r="I1444" t="str">
        <f>_xlfn.LET(_xlpm.v, IFERROR(VLOOKUP($A1444, manifest!$A:$E, 5, FALSE), ""), IF(OR(_xlpm.v=0, _xlpm.v=""), "", _xlpm.v))</f>
        <v>male</v>
      </c>
    </row>
    <row r="1445" spans="1:9" x14ac:dyDescent="0.6">
      <c r="A1445">
        <v>310</v>
      </c>
      <c r="B1445" t="s">
        <v>14</v>
      </c>
      <c r="C1445" t="s">
        <v>12</v>
      </c>
      <c r="D1445">
        <v>172.38</v>
      </c>
      <c r="E1445">
        <v>167.9</v>
      </c>
      <c r="F1445">
        <v>82140</v>
      </c>
      <c r="H1445">
        <f>_xlfn.LET(_xlpm.v, IFERROR(VLOOKUP($A1445, manifest!$A:$E, 3, FALSE), ""), IF(OR(_xlpm.v=0, _xlpm.v=""), "", _xlpm.v))</f>
        <v>65</v>
      </c>
      <c r="I1445" t="str">
        <f>_xlfn.LET(_xlpm.v, IFERROR(VLOOKUP($A1445, manifest!$A:$E, 5, FALSE), ""), IF(OR(_xlpm.v=0, _xlpm.v=""), "", _xlpm.v))</f>
        <v>male</v>
      </c>
    </row>
    <row r="1446" spans="1:9" x14ac:dyDescent="0.6">
      <c r="A1446">
        <v>310</v>
      </c>
      <c r="B1446" t="s">
        <v>14</v>
      </c>
      <c r="C1446" t="s">
        <v>13</v>
      </c>
      <c r="D1446">
        <v>179.07</v>
      </c>
      <c r="E1446">
        <v>154.6</v>
      </c>
      <c r="F1446">
        <v>75202</v>
      </c>
      <c r="H1446">
        <f>_xlfn.LET(_xlpm.v, IFERROR(VLOOKUP($A1446, manifest!$A:$E, 3, FALSE), ""), IF(OR(_xlpm.v=0, _xlpm.v=""), "", _xlpm.v))</f>
        <v>65</v>
      </c>
      <c r="I1446" t="str">
        <f>_xlfn.LET(_xlpm.v, IFERROR(VLOOKUP($A1446, manifest!$A:$E, 5, FALSE), ""), IF(OR(_xlpm.v=0, _xlpm.v=""), "", _xlpm.v))</f>
        <v>male</v>
      </c>
    </row>
    <row r="1447" spans="1:9" x14ac:dyDescent="0.6">
      <c r="A1447">
        <v>301</v>
      </c>
      <c r="B1447" t="s">
        <v>7</v>
      </c>
      <c r="C1447" t="s">
        <v>8</v>
      </c>
      <c r="D1447">
        <v>354.23</v>
      </c>
      <c r="E1447">
        <v>236.04</v>
      </c>
      <c r="F1447">
        <v>38755</v>
      </c>
      <c r="G1447" t="s">
        <v>9</v>
      </c>
      <c r="H1447" t="str">
        <f>_xlfn.LET(_xlpm.v, IFERROR(VLOOKUP($A1447, manifest!$A:$E, 3, FALSE), ""), IF(OR(_xlpm.v=0, _xlpm.v=""), "", _xlpm.v))</f>
        <v/>
      </c>
      <c r="I1447" t="str">
        <f>_xlfn.LET(_xlpm.v, IFERROR(VLOOKUP($A1447, manifest!$A:$E, 5, FALSE), ""), IF(OR(_xlpm.v=0, _xlpm.v=""), "", _xlpm.v))</f>
        <v>male</v>
      </c>
    </row>
    <row r="1448" spans="1:9" x14ac:dyDescent="0.6">
      <c r="A1448">
        <v>301</v>
      </c>
      <c r="B1448" t="s">
        <v>7</v>
      </c>
      <c r="C1448" t="s">
        <v>10</v>
      </c>
      <c r="D1448">
        <v>339.57</v>
      </c>
      <c r="E1448">
        <v>245.09</v>
      </c>
      <c r="F1448">
        <v>67626</v>
      </c>
      <c r="H1448" t="str">
        <f>_xlfn.LET(_xlpm.v, IFERROR(VLOOKUP($A1448, manifest!$A:$E, 3, FALSE), ""), IF(OR(_xlpm.v=0, _xlpm.v=""), "", _xlpm.v))</f>
        <v/>
      </c>
      <c r="I1448" t="str">
        <f>_xlfn.LET(_xlpm.v, IFERROR(VLOOKUP($A1448, manifest!$A:$E, 5, FALSE), ""), IF(OR(_xlpm.v=0, _xlpm.v=""), "", _xlpm.v))</f>
        <v>male</v>
      </c>
    </row>
    <row r="1449" spans="1:9" x14ac:dyDescent="0.6">
      <c r="A1449">
        <v>301</v>
      </c>
      <c r="B1449" t="s">
        <v>7</v>
      </c>
      <c r="C1449" t="s">
        <v>11</v>
      </c>
      <c r="D1449">
        <v>325.99</v>
      </c>
      <c r="E1449">
        <v>240.69</v>
      </c>
      <c r="F1449">
        <v>74626</v>
      </c>
      <c r="H1449" t="str">
        <f>_xlfn.LET(_xlpm.v, IFERROR(VLOOKUP($A1449, manifest!$A:$E, 3, FALSE), ""), IF(OR(_xlpm.v=0, _xlpm.v=""), "", _xlpm.v))</f>
        <v/>
      </c>
      <c r="I1449" t="str">
        <f>_xlfn.LET(_xlpm.v, IFERROR(VLOOKUP($A1449, manifest!$A:$E, 5, FALSE), ""), IF(OR(_xlpm.v=0, _xlpm.v=""), "", _xlpm.v))</f>
        <v>male</v>
      </c>
    </row>
    <row r="1450" spans="1:9" x14ac:dyDescent="0.6">
      <c r="A1450">
        <v>301</v>
      </c>
      <c r="B1450" t="s">
        <v>7</v>
      </c>
      <c r="C1450" t="s">
        <v>12</v>
      </c>
      <c r="D1450">
        <v>320.07</v>
      </c>
      <c r="E1450">
        <v>232.15</v>
      </c>
      <c r="F1450">
        <v>68299</v>
      </c>
      <c r="H1450" t="str">
        <f>_xlfn.LET(_xlpm.v, IFERROR(VLOOKUP($A1450, manifest!$A:$E, 3, FALSE), ""), IF(OR(_xlpm.v=0, _xlpm.v=""), "", _xlpm.v))</f>
        <v/>
      </c>
      <c r="I1450" t="str">
        <f>_xlfn.LET(_xlpm.v, IFERROR(VLOOKUP($A1450, manifest!$A:$E, 5, FALSE), ""), IF(OR(_xlpm.v=0, _xlpm.v=""), "", _xlpm.v))</f>
        <v>male</v>
      </c>
    </row>
    <row r="1451" spans="1:9" x14ac:dyDescent="0.6">
      <c r="A1451">
        <v>301</v>
      </c>
      <c r="B1451" t="s">
        <v>7</v>
      </c>
      <c r="C1451" t="s">
        <v>13</v>
      </c>
      <c r="D1451">
        <v>320.62</v>
      </c>
      <c r="E1451">
        <v>231</v>
      </c>
      <c r="F1451">
        <v>70789</v>
      </c>
      <c r="H1451" t="str">
        <f>_xlfn.LET(_xlpm.v, IFERROR(VLOOKUP($A1451, manifest!$A:$E, 3, FALSE), ""), IF(OR(_xlpm.v=0, _xlpm.v=""), "", _xlpm.v))</f>
        <v/>
      </c>
      <c r="I1451" t="str">
        <f>_xlfn.LET(_xlpm.v, IFERROR(VLOOKUP($A1451, manifest!$A:$E, 5, FALSE), ""), IF(OR(_xlpm.v=0, _xlpm.v=""), "", _xlpm.v))</f>
        <v>male</v>
      </c>
    </row>
    <row r="1452" spans="1:9" x14ac:dyDescent="0.6">
      <c r="A1452">
        <v>313</v>
      </c>
      <c r="B1452" t="s">
        <v>14</v>
      </c>
      <c r="C1452" t="s">
        <v>8</v>
      </c>
      <c r="D1452">
        <v>204.49</v>
      </c>
      <c r="E1452">
        <v>151.05000000000001</v>
      </c>
      <c r="F1452">
        <v>26907</v>
      </c>
      <c r="G1452" t="s">
        <v>9</v>
      </c>
      <c r="H1452">
        <f>_xlfn.LET(_xlpm.v, IFERROR(VLOOKUP($A1452, manifest!$A:$E, 3, FALSE), ""), IF(OR(_xlpm.v=0, _xlpm.v=""), "", _xlpm.v))</f>
        <v>60</v>
      </c>
      <c r="I1452" t="str">
        <f>_xlfn.LET(_xlpm.v, IFERROR(VLOOKUP($A1452, manifest!$A:$E, 5, FALSE), ""), IF(OR(_xlpm.v=0, _xlpm.v=""), "", _xlpm.v))</f>
        <v>male</v>
      </c>
    </row>
    <row r="1453" spans="1:9" x14ac:dyDescent="0.6">
      <c r="A1453">
        <v>313</v>
      </c>
      <c r="B1453" t="s">
        <v>14</v>
      </c>
      <c r="C1453" t="s">
        <v>10</v>
      </c>
      <c r="D1453">
        <v>276.94</v>
      </c>
      <c r="E1453">
        <v>213.96</v>
      </c>
      <c r="F1453">
        <v>30373</v>
      </c>
      <c r="H1453">
        <f>_xlfn.LET(_xlpm.v, IFERROR(VLOOKUP($A1453, manifest!$A:$E, 3, FALSE), ""), IF(OR(_xlpm.v=0, _xlpm.v=""), "", _xlpm.v))</f>
        <v>60</v>
      </c>
      <c r="I1453" t="str">
        <f>_xlfn.LET(_xlpm.v, IFERROR(VLOOKUP($A1453, manifest!$A:$E, 5, FALSE), ""), IF(OR(_xlpm.v=0, _xlpm.v=""), "", _xlpm.v))</f>
        <v>male</v>
      </c>
    </row>
    <row r="1454" spans="1:9" x14ac:dyDescent="0.6">
      <c r="A1454">
        <v>313</v>
      </c>
      <c r="B1454" t="s">
        <v>14</v>
      </c>
      <c r="C1454" t="s">
        <v>11</v>
      </c>
      <c r="D1454">
        <v>262.94</v>
      </c>
      <c r="E1454">
        <v>239.11</v>
      </c>
      <c r="F1454">
        <v>34279</v>
      </c>
      <c r="H1454">
        <f>_xlfn.LET(_xlpm.v, IFERROR(VLOOKUP($A1454, manifest!$A:$E, 3, FALSE), ""), IF(OR(_xlpm.v=0, _xlpm.v=""), "", _xlpm.v))</f>
        <v>60</v>
      </c>
      <c r="I1454" t="str">
        <f>_xlfn.LET(_xlpm.v, IFERROR(VLOOKUP($A1454, manifest!$A:$E, 5, FALSE), ""), IF(OR(_xlpm.v=0, _xlpm.v=""), "", _xlpm.v))</f>
        <v>male</v>
      </c>
    </row>
    <row r="1455" spans="1:9" x14ac:dyDescent="0.6">
      <c r="A1455">
        <v>313</v>
      </c>
      <c r="B1455" t="s">
        <v>14</v>
      </c>
      <c r="C1455" t="s">
        <v>12</v>
      </c>
      <c r="D1455">
        <v>229.89</v>
      </c>
      <c r="E1455">
        <v>216.87</v>
      </c>
      <c r="F1455">
        <v>44209</v>
      </c>
      <c r="H1455">
        <f>_xlfn.LET(_xlpm.v, IFERROR(VLOOKUP($A1455, manifest!$A:$E, 3, FALSE), ""), IF(OR(_xlpm.v=0, _xlpm.v=""), "", _xlpm.v))</f>
        <v>60</v>
      </c>
      <c r="I1455" t="str">
        <f>_xlfn.LET(_xlpm.v, IFERROR(VLOOKUP($A1455, manifest!$A:$E, 5, FALSE), ""), IF(OR(_xlpm.v=0, _xlpm.v=""), "", _xlpm.v))</f>
        <v>male</v>
      </c>
    </row>
    <row r="1456" spans="1:9" x14ac:dyDescent="0.6">
      <c r="A1456">
        <v>313</v>
      </c>
      <c r="B1456" t="s">
        <v>14</v>
      </c>
      <c r="C1456" t="s">
        <v>13</v>
      </c>
      <c r="D1456">
        <v>210.07</v>
      </c>
      <c r="E1456">
        <v>167.94</v>
      </c>
      <c r="F1456">
        <v>38469</v>
      </c>
      <c r="H1456">
        <f>_xlfn.LET(_xlpm.v, IFERROR(VLOOKUP($A1456, manifest!$A:$E, 3, FALSE), ""), IF(OR(_xlpm.v=0, _xlpm.v=""), "", _xlpm.v))</f>
        <v>60</v>
      </c>
      <c r="I1456" t="str">
        <f>_xlfn.LET(_xlpm.v, IFERROR(VLOOKUP($A1456, manifest!$A:$E, 5, FALSE), ""), IF(OR(_xlpm.v=0, _xlpm.v=""), "", _xlpm.v))</f>
        <v>male</v>
      </c>
    </row>
    <row r="1457" spans="1:9" x14ac:dyDescent="0.6">
      <c r="A1457">
        <v>303</v>
      </c>
      <c r="B1457" t="s">
        <v>7</v>
      </c>
      <c r="C1457" t="s">
        <v>8</v>
      </c>
      <c r="D1457">
        <v>202.13</v>
      </c>
      <c r="E1457">
        <v>89.91</v>
      </c>
      <c r="F1457">
        <v>38115</v>
      </c>
      <c r="G1457" t="s">
        <v>9</v>
      </c>
      <c r="H1457">
        <f>_xlfn.LET(_xlpm.v, IFERROR(VLOOKUP($A1457, manifest!$A:$E, 3, FALSE), ""), IF(OR(_xlpm.v=0, _xlpm.v=""), "", _xlpm.v))</f>
        <v>89</v>
      </c>
      <c r="I1457" t="str">
        <f>_xlfn.LET(_xlpm.v, IFERROR(VLOOKUP($A1457, manifest!$A:$E, 5, FALSE), ""), IF(OR(_xlpm.v=0, _xlpm.v=""), "", _xlpm.v))</f>
        <v/>
      </c>
    </row>
    <row r="1458" spans="1:9" x14ac:dyDescent="0.6">
      <c r="A1458">
        <v>303</v>
      </c>
      <c r="B1458" t="s">
        <v>7</v>
      </c>
      <c r="C1458" t="s">
        <v>10</v>
      </c>
      <c r="D1458">
        <v>208.45</v>
      </c>
      <c r="E1458">
        <v>130.12</v>
      </c>
      <c r="F1458">
        <v>40406</v>
      </c>
      <c r="H1458">
        <f>_xlfn.LET(_xlpm.v, IFERROR(VLOOKUP($A1458, manifest!$A:$E, 3, FALSE), ""), IF(OR(_xlpm.v=0, _xlpm.v=""), "", _xlpm.v))</f>
        <v>89</v>
      </c>
      <c r="I1458" t="str">
        <f>_xlfn.LET(_xlpm.v, IFERROR(VLOOKUP($A1458, manifest!$A:$E, 5, FALSE), ""), IF(OR(_xlpm.v=0, _xlpm.v=""), "", _xlpm.v))</f>
        <v/>
      </c>
    </row>
    <row r="1459" spans="1:9" x14ac:dyDescent="0.6">
      <c r="A1459">
        <v>303</v>
      </c>
      <c r="B1459" t="s">
        <v>7</v>
      </c>
      <c r="C1459" t="s">
        <v>11</v>
      </c>
      <c r="D1459">
        <v>174.19</v>
      </c>
      <c r="E1459">
        <v>112.39</v>
      </c>
      <c r="F1459">
        <v>45962</v>
      </c>
      <c r="H1459">
        <f>_xlfn.LET(_xlpm.v, IFERROR(VLOOKUP($A1459, manifest!$A:$E, 3, FALSE), ""), IF(OR(_xlpm.v=0, _xlpm.v=""), "", _xlpm.v))</f>
        <v>89</v>
      </c>
      <c r="I1459" t="str">
        <f>_xlfn.LET(_xlpm.v, IFERROR(VLOOKUP($A1459, manifest!$A:$E, 5, FALSE), ""), IF(OR(_xlpm.v=0, _xlpm.v=""), "", _xlpm.v))</f>
        <v/>
      </c>
    </row>
    <row r="1460" spans="1:9" x14ac:dyDescent="0.6">
      <c r="A1460">
        <v>303</v>
      </c>
      <c r="B1460" t="s">
        <v>7</v>
      </c>
      <c r="C1460" t="s">
        <v>12</v>
      </c>
      <c r="D1460">
        <v>167.23</v>
      </c>
      <c r="E1460">
        <v>106.48</v>
      </c>
      <c r="F1460">
        <v>56538</v>
      </c>
      <c r="H1460">
        <f>_xlfn.LET(_xlpm.v, IFERROR(VLOOKUP($A1460, manifest!$A:$E, 3, FALSE), ""), IF(OR(_xlpm.v=0, _xlpm.v=""), "", _xlpm.v))</f>
        <v>89</v>
      </c>
      <c r="I1460" t="str">
        <f>_xlfn.LET(_xlpm.v, IFERROR(VLOOKUP($A1460, manifest!$A:$E, 5, FALSE), ""), IF(OR(_xlpm.v=0, _xlpm.v=""), "", _xlpm.v))</f>
        <v/>
      </c>
    </row>
    <row r="1461" spans="1:9" x14ac:dyDescent="0.6">
      <c r="A1461">
        <v>303</v>
      </c>
      <c r="B1461" t="s">
        <v>7</v>
      </c>
      <c r="C1461" t="s">
        <v>13</v>
      </c>
      <c r="D1461">
        <v>215.81</v>
      </c>
      <c r="E1461">
        <v>139.86000000000001</v>
      </c>
      <c r="F1461">
        <v>62789</v>
      </c>
      <c r="H1461">
        <f>_xlfn.LET(_xlpm.v, IFERROR(VLOOKUP($A1461, manifest!$A:$E, 3, FALSE), ""), IF(OR(_xlpm.v=0, _xlpm.v=""), "", _xlpm.v))</f>
        <v>89</v>
      </c>
      <c r="I1461" t="str">
        <f>_xlfn.LET(_xlpm.v, IFERROR(VLOOKUP($A1461, manifest!$A:$E, 5, FALSE), ""), IF(OR(_xlpm.v=0, _xlpm.v=""), "", _xlpm.v))</f>
        <v/>
      </c>
    </row>
    <row r="1462" spans="1:9" x14ac:dyDescent="0.6">
      <c r="A1462">
        <v>296</v>
      </c>
      <c r="B1462" t="s">
        <v>7</v>
      </c>
      <c r="C1462" t="s">
        <v>8</v>
      </c>
      <c r="D1462">
        <v>231.48</v>
      </c>
      <c r="E1462">
        <v>135.22</v>
      </c>
      <c r="F1462">
        <v>27169</v>
      </c>
      <c r="G1462" t="s">
        <v>9</v>
      </c>
      <c r="H1462" t="str">
        <f>_xlfn.LET(_xlpm.v, IFERROR(VLOOKUP($A1462, manifest!$A:$E, 3, FALSE), ""), IF(OR(_xlpm.v=0, _xlpm.v=""), "", _xlpm.v))</f>
        <v/>
      </c>
      <c r="I1462" t="str">
        <f>_xlfn.LET(_xlpm.v, IFERROR(VLOOKUP($A1462, manifest!$A:$E, 5, FALSE), ""), IF(OR(_xlpm.v=0, _xlpm.v=""), "", _xlpm.v))</f>
        <v>male</v>
      </c>
    </row>
    <row r="1463" spans="1:9" x14ac:dyDescent="0.6">
      <c r="A1463">
        <v>296</v>
      </c>
      <c r="B1463" t="s">
        <v>7</v>
      </c>
      <c r="C1463" t="s">
        <v>10</v>
      </c>
      <c r="D1463">
        <v>245.6</v>
      </c>
      <c r="E1463">
        <v>159.13999999999999</v>
      </c>
      <c r="F1463">
        <v>28137</v>
      </c>
      <c r="H1463" t="str">
        <f>_xlfn.LET(_xlpm.v, IFERROR(VLOOKUP($A1463, manifest!$A:$E, 3, FALSE), ""), IF(OR(_xlpm.v=0, _xlpm.v=""), "", _xlpm.v))</f>
        <v/>
      </c>
      <c r="I1463" t="str">
        <f>_xlfn.LET(_xlpm.v, IFERROR(VLOOKUP($A1463, manifest!$A:$E, 5, FALSE), ""), IF(OR(_xlpm.v=0, _xlpm.v=""), "", _xlpm.v))</f>
        <v>male</v>
      </c>
    </row>
    <row r="1464" spans="1:9" x14ac:dyDescent="0.6">
      <c r="A1464">
        <v>296</v>
      </c>
      <c r="B1464" t="s">
        <v>7</v>
      </c>
      <c r="C1464" t="s">
        <v>11</v>
      </c>
      <c r="D1464">
        <v>256.33</v>
      </c>
      <c r="E1464">
        <v>154.97</v>
      </c>
      <c r="F1464">
        <v>31972</v>
      </c>
      <c r="H1464" t="str">
        <f>_xlfn.LET(_xlpm.v, IFERROR(VLOOKUP($A1464, manifest!$A:$E, 3, FALSE), ""), IF(OR(_xlpm.v=0, _xlpm.v=""), "", _xlpm.v))</f>
        <v/>
      </c>
      <c r="I1464" t="str">
        <f>_xlfn.LET(_xlpm.v, IFERROR(VLOOKUP($A1464, manifest!$A:$E, 5, FALSE), ""), IF(OR(_xlpm.v=0, _xlpm.v=""), "", _xlpm.v))</f>
        <v>male</v>
      </c>
    </row>
    <row r="1465" spans="1:9" x14ac:dyDescent="0.6">
      <c r="A1465">
        <v>296</v>
      </c>
      <c r="B1465" t="s">
        <v>7</v>
      </c>
      <c r="C1465" t="s">
        <v>12</v>
      </c>
      <c r="D1465">
        <v>276.01</v>
      </c>
      <c r="E1465">
        <v>180.23</v>
      </c>
      <c r="F1465">
        <v>29559</v>
      </c>
      <c r="H1465" t="str">
        <f>_xlfn.LET(_xlpm.v, IFERROR(VLOOKUP($A1465, manifest!$A:$E, 3, FALSE), ""), IF(OR(_xlpm.v=0, _xlpm.v=""), "", _xlpm.v))</f>
        <v/>
      </c>
      <c r="I1465" t="str">
        <f>_xlfn.LET(_xlpm.v, IFERROR(VLOOKUP($A1465, manifest!$A:$E, 5, FALSE), ""), IF(OR(_xlpm.v=0, _xlpm.v=""), "", _xlpm.v))</f>
        <v>male</v>
      </c>
    </row>
    <row r="1466" spans="1:9" x14ac:dyDescent="0.6">
      <c r="A1466">
        <v>296</v>
      </c>
      <c r="B1466" t="s">
        <v>7</v>
      </c>
      <c r="C1466" t="s">
        <v>13</v>
      </c>
      <c r="D1466">
        <v>285.05</v>
      </c>
      <c r="E1466">
        <v>188.96</v>
      </c>
      <c r="F1466">
        <v>44358</v>
      </c>
      <c r="H1466" t="str">
        <f>_xlfn.LET(_xlpm.v, IFERROR(VLOOKUP($A1466, manifest!$A:$E, 3, FALSE), ""), IF(OR(_xlpm.v=0, _xlpm.v=""), "", _xlpm.v))</f>
        <v/>
      </c>
      <c r="I1466" t="str">
        <f>_xlfn.LET(_xlpm.v, IFERROR(VLOOKUP($A1466, manifest!$A:$E, 5, FALSE), ""), IF(OR(_xlpm.v=0, _xlpm.v=""), "", _xlpm.v))</f>
        <v>male</v>
      </c>
    </row>
    <row r="1467" spans="1:9" x14ac:dyDescent="0.6">
      <c r="A1467">
        <v>330</v>
      </c>
      <c r="B1467" t="s">
        <v>7</v>
      </c>
      <c r="C1467" t="s">
        <v>8</v>
      </c>
      <c r="D1467">
        <v>280.06</v>
      </c>
      <c r="E1467">
        <v>159.22999999999999</v>
      </c>
      <c r="F1467">
        <v>29363</v>
      </c>
      <c r="G1467" t="s">
        <v>9</v>
      </c>
      <c r="H1467">
        <f>_xlfn.LET(_xlpm.v, IFERROR(VLOOKUP($A1467, manifest!$A:$E, 3, FALSE), ""), IF(OR(_xlpm.v=0, _xlpm.v=""), "", _xlpm.v))</f>
        <v>50</v>
      </c>
      <c r="I1467" t="str">
        <f>_xlfn.LET(_xlpm.v, IFERROR(VLOOKUP($A1467, manifest!$A:$E, 5, FALSE), ""), IF(OR(_xlpm.v=0, _xlpm.v=""), "", _xlpm.v))</f>
        <v>female</v>
      </c>
    </row>
    <row r="1468" spans="1:9" x14ac:dyDescent="0.6">
      <c r="A1468">
        <v>330</v>
      </c>
      <c r="B1468" t="s">
        <v>7</v>
      </c>
      <c r="C1468" t="s">
        <v>10</v>
      </c>
      <c r="D1468">
        <v>290.60000000000002</v>
      </c>
      <c r="E1468">
        <v>201.43</v>
      </c>
      <c r="F1468">
        <v>34528</v>
      </c>
      <c r="H1468">
        <f>_xlfn.LET(_xlpm.v, IFERROR(VLOOKUP($A1468, manifest!$A:$E, 3, FALSE), ""), IF(OR(_xlpm.v=0, _xlpm.v=""), "", _xlpm.v))</f>
        <v>50</v>
      </c>
      <c r="I1468" t="str">
        <f>_xlfn.LET(_xlpm.v, IFERROR(VLOOKUP($A1468, manifest!$A:$E, 5, FALSE), ""), IF(OR(_xlpm.v=0, _xlpm.v=""), "", _xlpm.v))</f>
        <v>female</v>
      </c>
    </row>
    <row r="1469" spans="1:9" x14ac:dyDescent="0.6">
      <c r="A1469">
        <v>330</v>
      </c>
      <c r="B1469" t="s">
        <v>7</v>
      </c>
      <c r="C1469" t="s">
        <v>11</v>
      </c>
      <c r="D1469">
        <v>279.94</v>
      </c>
      <c r="E1469">
        <v>201.37</v>
      </c>
      <c r="F1469">
        <v>38829</v>
      </c>
      <c r="H1469">
        <f>_xlfn.LET(_xlpm.v, IFERROR(VLOOKUP($A1469, manifest!$A:$E, 3, FALSE), ""), IF(OR(_xlpm.v=0, _xlpm.v=""), "", _xlpm.v))</f>
        <v>50</v>
      </c>
      <c r="I1469" t="str">
        <f>_xlfn.LET(_xlpm.v, IFERROR(VLOOKUP($A1469, manifest!$A:$E, 5, FALSE), ""), IF(OR(_xlpm.v=0, _xlpm.v=""), "", _xlpm.v))</f>
        <v>female</v>
      </c>
    </row>
    <row r="1470" spans="1:9" x14ac:dyDescent="0.6">
      <c r="A1470">
        <v>330</v>
      </c>
      <c r="B1470" t="s">
        <v>7</v>
      </c>
      <c r="C1470" t="s">
        <v>12</v>
      </c>
      <c r="D1470">
        <v>303.89999999999998</v>
      </c>
      <c r="E1470">
        <v>220.87</v>
      </c>
      <c r="F1470">
        <v>45965</v>
      </c>
      <c r="H1470">
        <f>_xlfn.LET(_xlpm.v, IFERROR(VLOOKUP($A1470, manifest!$A:$E, 3, FALSE), ""), IF(OR(_xlpm.v=0, _xlpm.v=""), "", _xlpm.v))</f>
        <v>50</v>
      </c>
      <c r="I1470" t="str">
        <f>_xlfn.LET(_xlpm.v, IFERROR(VLOOKUP($A1470, manifest!$A:$E, 5, FALSE), ""), IF(OR(_xlpm.v=0, _xlpm.v=""), "", _xlpm.v))</f>
        <v>female</v>
      </c>
    </row>
    <row r="1471" spans="1:9" x14ac:dyDescent="0.6">
      <c r="A1471">
        <v>330</v>
      </c>
      <c r="B1471" t="s">
        <v>7</v>
      </c>
      <c r="C1471" t="s">
        <v>13</v>
      </c>
      <c r="D1471">
        <v>396.7</v>
      </c>
      <c r="E1471">
        <v>243.67</v>
      </c>
      <c r="F1471">
        <v>55566</v>
      </c>
      <c r="H1471">
        <f>_xlfn.LET(_xlpm.v, IFERROR(VLOOKUP($A1471, manifest!$A:$E, 3, FALSE), ""), IF(OR(_xlpm.v=0, _xlpm.v=""), "", _xlpm.v))</f>
        <v>50</v>
      </c>
      <c r="I1471" t="str">
        <f>_xlfn.LET(_xlpm.v, IFERROR(VLOOKUP($A1471, manifest!$A:$E, 5, FALSE), ""), IF(OR(_xlpm.v=0, _xlpm.v=""), "", _xlpm.v))</f>
        <v>female</v>
      </c>
    </row>
    <row r="1472" spans="1:9" x14ac:dyDescent="0.6">
      <c r="A1472">
        <v>327</v>
      </c>
      <c r="B1472" t="s">
        <v>14</v>
      </c>
      <c r="C1472" t="s">
        <v>8</v>
      </c>
      <c r="D1472">
        <v>235.24</v>
      </c>
      <c r="E1472">
        <v>181.24</v>
      </c>
      <c r="F1472">
        <v>27391</v>
      </c>
      <c r="G1472" t="s">
        <v>9</v>
      </c>
      <c r="H1472">
        <f>_xlfn.LET(_xlpm.v, IFERROR(VLOOKUP($A1472, manifest!$A:$E, 3, FALSE), ""), IF(OR(_xlpm.v=0, _xlpm.v=""), "", _xlpm.v))</f>
        <v>60</v>
      </c>
      <c r="I1472" t="str">
        <f>_xlfn.LET(_xlpm.v, IFERROR(VLOOKUP($A1472, manifest!$A:$E, 5, FALSE), ""), IF(OR(_xlpm.v=0, _xlpm.v=""), "", _xlpm.v))</f>
        <v>female</v>
      </c>
    </row>
    <row r="1473" spans="1:9" x14ac:dyDescent="0.6">
      <c r="A1473">
        <v>327</v>
      </c>
      <c r="B1473" t="s">
        <v>14</v>
      </c>
      <c r="C1473" t="s">
        <v>10</v>
      </c>
      <c r="D1473">
        <v>265.06</v>
      </c>
      <c r="E1473">
        <v>224.99</v>
      </c>
      <c r="F1473">
        <v>28360</v>
      </c>
      <c r="H1473">
        <f>_xlfn.LET(_xlpm.v, IFERROR(VLOOKUP($A1473, manifest!$A:$E, 3, FALSE), ""), IF(OR(_xlpm.v=0, _xlpm.v=""), "", _xlpm.v))</f>
        <v>60</v>
      </c>
      <c r="I1473" t="str">
        <f>_xlfn.LET(_xlpm.v, IFERROR(VLOOKUP($A1473, manifest!$A:$E, 5, FALSE), ""), IF(OR(_xlpm.v=0, _xlpm.v=""), "", _xlpm.v))</f>
        <v>female</v>
      </c>
    </row>
    <row r="1474" spans="1:9" x14ac:dyDescent="0.6">
      <c r="A1474">
        <v>327</v>
      </c>
      <c r="B1474" t="s">
        <v>14</v>
      </c>
      <c r="C1474" t="s">
        <v>11</v>
      </c>
      <c r="D1474">
        <v>243.39</v>
      </c>
      <c r="E1474">
        <v>200.54</v>
      </c>
      <c r="F1474">
        <v>31833</v>
      </c>
      <c r="H1474">
        <f>_xlfn.LET(_xlpm.v, IFERROR(VLOOKUP($A1474, manifest!$A:$E, 3, FALSE), ""), IF(OR(_xlpm.v=0, _xlpm.v=""), "", _xlpm.v))</f>
        <v>60</v>
      </c>
      <c r="I1474" t="str">
        <f>_xlfn.LET(_xlpm.v, IFERROR(VLOOKUP($A1474, manifest!$A:$E, 5, FALSE), ""), IF(OR(_xlpm.v=0, _xlpm.v=""), "", _xlpm.v))</f>
        <v>female</v>
      </c>
    </row>
    <row r="1475" spans="1:9" x14ac:dyDescent="0.6">
      <c r="A1475">
        <v>327</v>
      </c>
      <c r="B1475" t="s">
        <v>14</v>
      </c>
      <c r="C1475" t="s">
        <v>12</v>
      </c>
      <c r="D1475">
        <v>224.43</v>
      </c>
      <c r="E1475">
        <v>207.02</v>
      </c>
      <c r="F1475">
        <v>42056</v>
      </c>
      <c r="H1475">
        <f>_xlfn.LET(_xlpm.v, IFERROR(VLOOKUP($A1475, manifest!$A:$E, 3, FALSE), ""), IF(OR(_xlpm.v=0, _xlpm.v=""), "", _xlpm.v))</f>
        <v>60</v>
      </c>
      <c r="I1475" t="str">
        <f>_xlfn.LET(_xlpm.v, IFERROR(VLOOKUP($A1475, manifest!$A:$E, 5, FALSE), ""), IF(OR(_xlpm.v=0, _xlpm.v=""), "", _xlpm.v))</f>
        <v>female</v>
      </c>
    </row>
    <row r="1476" spans="1:9" x14ac:dyDescent="0.6">
      <c r="A1476">
        <v>327</v>
      </c>
      <c r="B1476" t="s">
        <v>14</v>
      </c>
      <c r="C1476" t="s">
        <v>13</v>
      </c>
      <c r="D1476">
        <v>247.93</v>
      </c>
      <c r="E1476">
        <v>239.18</v>
      </c>
      <c r="F1476">
        <v>44169</v>
      </c>
      <c r="H1476">
        <f>_xlfn.LET(_xlpm.v, IFERROR(VLOOKUP($A1476, manifest!$A:$E, 3, FALSE), ""), IF(OR(_xlpm.v=0, _xlpm.v=""), "", _xlpm.v))</f>
        <v>60</v>
      </c>
      <c r="I1476" t="str">
        <f>_xlfn.LET(_xlpm.v, IFERROR(VLOOKUP($A1476, manifest!$A:$E, 5, FALSE), ""), IF(OR(_xlpm.v=0, _xlpm.v=""), "", _xlpm.v))</f>
        <v>female</v>
      </c>
    </row>
    <row r="1477" spans="1:9" x14ac:dyDescent="0.6">
      <c r="A1477">
        <v>323</v>
      </c>
      <c r="B1477" t="s">
        <v>7</v>
      </c>
      <c r="C1477" t="s">
        <v>8</v>
      </c>
      <c r="D1477">
        <v>132.91999999999999</v>
      </c>
      <c r="E1477">
        <v>98.02</v>
      </c>
      <c r="F1477">
        <v>46616</v>
      </c>
      <c r="G1477" t="s">
        <v>15</v>
      </c>
      <c r="H1477">
        <f>_xlfn.LET(_xlpm.v, IFERROR(VLOOKUP($A1477, manifest!$A:$E, 3, FALSE), ""), IF(OR(_xlpm.v=0, _xlpm.v=""), "", _xlpm.v))</f>
        <v>65</v>
      </c>
      <c r="I1477" t="str">
        <f>_xlfn.LET(_xlpm.v, IFERROR(VLOOKUP($A1477, manifest!$A:$E, 5, FALSE), ""), IF(OR(_xlpm.v=0, _xlpm.v=""), "", _xlpm.v))</f>
        <v>female</v>
      </c>
    </row>
    <row r="1478" spans="1:9" x14ac:dyDescent="0.6">
      <c r="A1478">
        <v>323</v>
      </c>
      <c r="B1478" t="s">
        <v>7</v>
      </c>
      <c r="C1478" t="s">
        <v>10</v>
      </c>
      <c r="D1478">
        <v>132.34</v>
      </c>
      <c r="E1478">
        <v>107.38</v>
      </c>
      <c r="F1478">
        <v>47757</v>
      </c>
      <c r="H1478">
        <f>_xlfn.LET(_xlpm.v, IFERROR(VLOOKUP($A1478, manifest!$A:$E, 3, FALSE), ""), IF(OR(_xlpm.v=0, _xlpm.v=""), "", _xlpm.v))</f>
        <v>65</v>
      </c>
      <c r="I1478" t="str">
        <f>_xlfn.LET(_xlpm.v, IFERROR(VLOOKUP($A1478, manifest!$A:$E, 5, FALSE), ""), IF(OR(_xlpm.v=0, _xlpm.v=""), "", _xlpm.v))</f>
        <v>female</v>
      </c>
    </row>
    <row r="1479" spans="1:9" x14ac:dyDescent="0.6">
      <c r="A1479">
        <v>323</v>
      </c>
      <c r="B1479" t="s">
        <v>7</v>
      </c>
      <c r="C1479" t="s">
        <v>11</v>
      </c>
      <c r="D1479">
        <v>135.91999999999999</v>
      </c>
      <c r="E1479">
        <v>131.19</v>
      </c>
      <c r="F1479">
        <v>62899</v>
      </c>
      <c r="H1479">
        <f>_xlfn.LET(_xlpm.v, IFERROR(VLOOKUP($A1479, manifest!$A:$E, 3, FALSE), ""), IF(OR(_xlpm.v=0, _xlpm.v=""), "", _xlpm.v))</f>
        <v>65</v>
      </c>
      <c r="I1479" t="str">
        <f>_xlfn.LET(_xlpm.v, IFERROR(VLOOKUP($A1479, manifest!$A:$E, 5, FALSE), ""), IF(OR(_xlpm.v=0, _xlpm.v=""), "", _xlpm.v))</f>
        <v>female</v>
      </c>
    </row>
    <row r="1480" spans="1:9" x14ac:dyDescent="0.6">
      <c r="A1480">
        <v>323</v>
      </c>
      <c r="B1480" t="s">
        <v>7</v>
      </c>
      <c r="C1480" t="s">
        <v>12</v>
      </c>
      <c r="D1480">
        <v>108.67</v>
      </c>
      <c r="E1480">
        <v>103.1</v>
      </c>
      <c r="F1480">
        <v>70505</v>
      </c>
      <c r="H1480">
        <f>_xlfn.LET(_xlpm.v, IFERROR(VLOOKUP($A1480, manifest!$A:$E, 3, FALSE), ""), IF(OR(_xlpm.v=0, _xlpm.v=""), "", _xlpm.v))</f>
        <v>65</v>
      </c>
      <c r="I1480" t="str">
        <f>_xlfn.LET(_xlpm.v, IFERROR(VLOOKUP($A1480, manifest!$A:$E, 5, FALSE), ""), IF(OR(_xlpm.v=0, _xlpm.v=""), "", _xlpm.v))</f>
        <v>female</v>
      </c>
    </row>
    <row r="1481" spans="1:9" x14ac:dyDescent="0.6">
      <c r="A1481">
        <v>323</v>
      </c>
      <c r="B1481" t="s">
        <v>7</v>
      </c>
      <c r="C1481" t="s">
        <v>13</v>
      </c>
      <c r="D1481">
        <v>126.64</v>
      </c>
      <c r="E1481">
        <v>109.94</v>
      </c>
      <c r="F1481">
        <v>67527</v>
      </c>
      <c r="H1481">
        <f>_xlfn.LET(_xlpm.v, IFERROR(VLOOKUP($A1481, manifest!$A:$E, 3, FALSE), ""), IF(OR(_xlpm.v=0, _xlpm.v=""), "", _xlpm.v))</f>
        <v>65</v>
      </c>
      <c r="I1481" t="str">
        <f>_xlfn.LET(_xlpm.v, IFERROR(VLOOKUP($A1481, manifest!$A:$E, 5, FALSE), ""), IF(OR(_xlpm.v=0, _xlpm.v=""), "", _xlpm.v))</f>
        <v>female</v>
      </c>
    </row>
    <row r="1482" spans="1:9" x14ac:dyDescent="0.6">
      <c r="A1482">
        <v>315</v>
      </c>
      <c r="B1482" t="s">
        <v>14</v>
      </c>
      <c r="C1482" t="s">
        <v>8</v>
      </c>
      <c r="D1482">
        <v>203.18</v>
      </c>
      <c r="E1482">
        <v>157.77000000000001</v>
      </c>
      <c r="F1482">
        <v>22454</v>
      </c>
      <c r="G1482" t="s">
        <v>9</v>
      </c>
      <c r="H1482">
        <f>_xlfn.LET(_xlpm.v, IFERROR(VLOOKUP($A1482, manifest!$A:$E, 3, FALSE), ""), IF(OR(_xlpm.v=0, _xlpm.v=""), "", _xlpm.v))</f>
        <v>57</v>
      </c>
      <c r="I1482" t="str">
        <f>_xlfn.LET(_xlpm.v, IFERROR(VLOOKUP($A1482, manifest!$A:$E, 5, FALSE), ""), IF(OR(_xlpm.v=0, _xlpm.v=""), "", _xlpm.v))</f>
        <v>female</v>
      </c>
    </row>
    <row r="1483" spans="1:9" x14ac:dyDescent="0.6">
      <c r="A1483">
        <v>315</v>
      </c>
      <c r="B1483" t="s">
        <v>14</v>
      </c>
      <c r="C1483" t="s">
        <v>10</v>
      </c>
      <c r="D1483">
        <v>206.53</v>
      </c>
      <c r="E1483">
        <v>192.21</v>
      </c>
      <c r="F1483">
        <v>24798</v>
      </c>
      <c r="H1483">
        <f>_xlfn.LET(_xlpm.v, IFERROR(VLOOKUP($A1483, manifest!$A:$E, 3, FALSE), ""), IF(OR(_xlpm.v=0, _xlpm.v=""), "", _xlpm.v))</f>
        <v>57</v>
      </c>
      <c r="I1483" t="str">
        <f>_xlfn.LET(_xlpm.v, IFERROR(VLOOKUP($A1483, manifest!$A:$E, 5, FALSE), ""), IF(OR(_xlpm.v=0, _xlpm.v=""), "", _xlpm.v))</f>
        <v>female</v>
      </c>
    </row>
    <row r="1484" spans="1:9" x14ac:dyDescent="0.6">
      <c r="A1484">
        <v>315</v>
      </c>
      <c r="B1484" t="s">
        <v>14</v>
      </c>
      <c r="C1484" t="s">
        <v>11</v>
      </c>
      <c r="D1484">
        <v>209.56</v>
      </c>
      <c r="E1484">
        <v>182.56</v>
      </c>
      <c r="F1484">
        <v>30156</v>
      </c>
      <c r="H1484">
        <f>_xlfn.LET(_xlpm.v, IFERROR(VLOOKUP($A1484, manifest!$A:$E, 3, FALSE), ""), IF(OR(_xlpm.v=0, _xlpm.v=""), "", _xlpm.v))</f>
        <v>57</v>
      </c>
      <c r="I1484" t="str">
        <f>_xlfn.LET(_xlpm.v, IFERROR(VLOOKUP($A1484, manifest!$A:$E, 5, FALSE), ""), IF(OR(_xlpm.v=0, _xlpm.v=""), "", _xlpm.v))</f>
        <v>female</v>
      </c>
    </row>
    <row r="1485" spans="1:9" x14ac:dyDescent="0.6">
      <c r="A1485">
        <v>315</v>
      </c>
      <c r="B1485" t="s">
        <v>14</v>
      </c>
      <c r="C1485" t="s">
        <v>12</v>
      </c>
      <c r="D1485">
        <v>213.04</v>
      </c>
      <c r="E1485">
        <v>179.37</v>
      </c>
      <c r="F1485">
        <v>36482</v>
      </c>
      <c r="H1485">
        <f>_xlfn.LET(_xlpm.v, IFERROR(VLOOKUP($A1485, manifest!$A:$E, 3, FALSE), ""), IF(OR(_xlpm.v=0, _xlpm.v=""), "", _xlpm.v))</f>
        <v>57</v>
      </c>
      <c r="I1485" t="str">
        <f>_xlfn.LET(_xlpm.v, IFERROR(VLOOKUP($A1485, manifest!$A:$E, 5, FALSE), ""), IF(OR(_xlpm.v=0, _xlpm.v=""), "", _xlpm.v))</f>
        <v>female</v>
      </c>
    </row>
    <row r="1486" spans="1:9" x14ac:dyDescent="0.6">
      <c r="A1486">
        <v>315</v>
      </c>
      <c r="B1486" t="s">
        <v>14</v>
      </c>
      <c r="C1486" t="s">
        <v>13</v>
      </c>
      <c r="D1486">
        <v>224.32</v>
      </c>
      <c r="E1486">
        <v>172.18</v>
      </c>
      <c r="F1486">
        <v>43409</v>
      </c>
      <c r="H1486">
        <f>_xlfn.LET(_xlpm.v, IFERROR(VLOOKUP($A1486, manifest!$A:$E, 3, FALSE), ""), IF(OR(_xlpm.v=0, _xlpm.v=""), "", _xlpm.v))</f>
        <v>57</v>
      </c>
      <c r="I1486" t="str">
        <f>_xlfn.LET(_xlpm.v, IFERROR(VLOOKUP($A1486, manifest!$A:$E, 5, FALSE), ""), IF(OR(_xlpm.v=0, _xlpm.v=""), "", _xlpm.v))</f>
        <v>female</v>
      </c>
    </row>
    <row r="1487" spans="1:9" x14ac:dyDescent="0.6">
      <c r="A1487">
        <v>321</v>
      </c>
      <c r="B1487" t="s">
        <v>7</v>
      </c>
      <c r="C1487" t="s">
        <v>8</v>
      </c>
      <c r="D1487">
        <v>125.46</v>
      </c>
      <c r="E1487">
        <v>110.08</v>
      </c>
      <c r="F1487">
        <v>25689</v>
      </c>
      <c r="G1487" t="s">
        <v>15</v>
      </c>
      <c r="H1487">
        <f>_xlfn.LET(_xlpm.v, IFERROR(VLOOKUP($A1487, manifest!$A:$E, 3, FALSE), ""), IF(OR(_xlpm.v=0, _xlpm.v=""), "", _xlpm.v))</f>
        <v>89</v>
      </c>
      <c r="I1487" t="str">
        <f>_xlfn.LET(_xlpm.v, IFERROR(VLOOKUP($A1487, manifest!$A:$E, 5, FALSE), ""), IF(OR(_xlpm.v=0, _xlpm.v=""), "", _xlpm.v))</f>
        <v>other</v>
      </c>
    </row>
    <row r="1488" spans="1:9" x14ac:dyDescent="0.6">
      <c r="A1488">
        <v>321</v>
      </c>
      <c r="B1488" t="s">
        <v>7</v>
      </c>
      <c r="C1488" t="s">
        <v>10</v>
      </c>
      <c r="D1488">
        <v>122.84</v>
      </c>
      <c r="E1488">
        <v>121.74</v>
      </c>
      <c r="F1488">
        <v>30885</v>
      </c>
      <c r="H1488">
        <f>_xlfn.LET(_xlpm.v, IFERROR(VLOOKUP($A1488, manifest!$A:$E, 3, FALSE), ""), IF(OR(_xlpm.v=0, _xlpm.v=""), "", _xlpm.v))</f>
        <v>89</v>
      </c>
      <c r="I1488" t="str">
        <f>_xlfn.LET(_xlpm.v, IFERROR(VLOOKUP($A1488, manifest!$A:$E, 5, FALSE), ""), IF(OR(_xlpm.v=0, _xlpm.v=""), "", _xlpm.v))</f>
        <v>other</v>
      </c>
    </row>
    <row r="1489" spans="1:9" x14ac:dyDescent="0.6">
      <c r="A1489">
        <v>321</v>
      </c>
      <c r="B1489" t="s">
        <v>7</v>
      </c>
      <c r="C1489" t="s">
        <v>11</v>
      </c>
      <c r="D1489">
        <v>127.05</v>
      </c>
      <c r="E1489">
        <v>138.53</v>
      </c>
      <c r="F1489">
        <v>46466</v>
      </c>
      <c r="H1489">
        <f>_xlfn.LET(_xlpm.v, IFERROR(VLOOKUP($A1489, manifest!$A:$E, 3, FALSE), ""), IF(OR(_xlpm.v=0, _xlpm.v=""), "", _xlpm.v))</f>
        <v>89</v>
      </c>
      <c r="I1489" t="str">
        <f>_xlfn.LET(_xlpm.v, IFERROR(VLOOKUP($A1489, manifest!$A:$E, 5, FALSE), ""), IF(OR(_xlpm.v=0, _xlpm.v=""), "", _xlpm.v))</f>
        <v>other</v>
      </c>
    </row>
    <row r="1490" spans="1:9" x14ac:dyDescent="0.6">
      <c r="A1490">
        <v>321</v>
      </c>
      <c r="B1490" t="s">
        <v>7</v>
      </c>
      <c r="C1490" t="s">
        <v>12</v>
      </c>
      <c r="D1490">
        <v>265.25</v>
      </c>
      <c r="E1490">
        <v>184.39</v>
      </c>
      <c r="F1490">
        <v>38260</v>
      </c>
      <c r="H1490">
        <f>_xlfn.LET(_xlpm.v, IFERROR(VLOOKUP($A1490, manifest!$A:$E, 3, FALSE), ""), IF(OR(_xlpm.v=0, _xlpm.v=""), "", _xlpm.v))</f>
        <v>89</v>
      </c>
      <c r="I1490" t="str">
        <f>_xlfn.LET(_xlpm.v, IFERROR(VLOOKUP($A1490, manifest!$A:$E, 5, FALSE), ""), IF(OR(_xlpm.v=0, _xlpm.v=""), "", _xlpm.v))</f>
        <v>other</v>
      </c>
    </row>
    <row r="1491" spans="1:9" x14ac:dyDescent="0.6">
      <c r="A1491">
        <v>321</v>
      </c>
      <c r="B1491" t="s">
        <v>7</v>
      </c>
      <c r="C1491" t="s">
        <v>13</v>
      </c>
      <c r="D1491">
        <v>352.8</v>
      </c>
      <c r="E1491">
        <v>209.36</v>
      </c>
      <c r="F1491">
        <v>34552</v>
      </c>
      <c r="H1491">
        <f>_xlfn.LET(_xlpm.v, IFERROR(VLOOKUP($A1491, manifest!$A:$E, 3, FALSE), ""), IF(OR(_xlpm.v=0, _xlpm.v=""), "", _xlpm.v))</f>
        <v>89</v>
      </c>
      <c r="I1491" t="str">
        <f>_xlfn.LET(_xlpm.v, IFERROR(VLOOKUP($A1491, manifest!$A:$E, 5, FALSE), ""), IF(OR(_xlpm.v=0, _xlpm.v=""), "", _xlpm.v))</f>
        <v>other</v>
      </c>
    </row>
    <row r="1492" spans="1:9" x14ac:dyDescent="0.6">
      <c r="A1492">
        <v>335</v>
      </c>
      <c r="B1492" t="s">
        <v>14</v>
      </c>
      <c r="C1492" t="s">
        <v>8</v>
      </c>
      <c r="D1492">
        <v>221.88</v>
      </c>
      <c r="E1492">
        <v>125.41</v>
      </c>
      <c r="F1492">
        <v>30752</v>
      </c>
      <c r="G1492" t="s">
        <v>9</v>
      </c>
      <c r="H1492">
        <f>_xlfn.LET(_xlpm.v, IFERROR(VLOOKUP($A1492, manifest!$A:$E, 3, FALSE), ""), IF(OR(_xlpm.v=0, _xlpm.v=""), "", _xlpm.v))</f>
        <v>50</v>
      </c>
      <c r="I1492" t="str">
        <f>_xlfn.LET(_xlpm.v, IFERROR(VLOOKUP($A1492, manifest!$A:$E, 5, FALSE), ""), IF(OR(_xlpm.v=0, _xlpm.v=""), "", _xlpm.v))</f>
        <v>male</v>
      </c>
    </row>
    <row r="1493" spans="1:9" x14ac:dyDescent="0.6">
      <c r="A1493">
        <v>335</v>
      </c>
      <c r="B1493" t="s">
        <v>14</v>
      </c>
      <c r="C1493" t="s">
        <v>10</v>
      </c>
      <c r="D1493">
        <v>248.95</v>
      </c>
      <c r="E1493">
        <v>183.02</v>
      </c>
      <c r="F1493">
        <v>26822</v>
      </c>
      <c r="H1493">
        <f>_xlfn.LET(_xlpm.v, IFERROR(VLOOKUP($A1493, manifest!$A:$E, 3, FALSE), ""), IF(OR(_xlpm.v=0, _xlpm.v=""), "", _xlpm.v))</f>
        <v>50</v>
      </c>
      <c r="I1493" t="str">
        <f>_xlfn.LET(_xlpm.v, IFERROR(VLOOKUP($A1493, manifest!$A:$E, 5, FALSE), ""), IF(OR(_xlpm.v=0, _xlpm.v=""), "", _xlpm.v))</f>
        <v>male</v>
      </c>
    </row>
    <row r="1494" spans="1:9" x14ac:dyDescent="0.6">
      <c r="A1494">
        <v>335</v>
      </c>
      <c r="B1494" t="s">
        <v>14</v>
      </c>
      <c r="C1494" t="s">
        <v>11</v>
      </c>
      <c r="D1494">
        <v>210.5</v>
      </c>
      <c r="E1494">
        <v>170.32</v>
      </c>
      <c r="F1494">
        <v>37773</v>
      </c>
      <c r="H1494">
        <f>_xlfn.LET(_xlpm.v, IFERROR(VLOOKUP($A1494, manifest!$A:$E, 3, FALSE), ""), IF(OR(_xlpm.v=0, _xlpm.v=""), "", _xlpm.v))</f>
        <v>50</v>
      </c>
      <c r="I1494" t="str">
        <f>_xlfn.LET(_xlpm.v, IFERROR(VLOOKUP($A1494, manifest!$A:$E, 5, FALSE), ""), IF(OR(_xlpm.v=0, _xlpm.v=""), "", _xlpm.v))</f>
        <v>male</v>
      </c>
    </row>
    <row r="1495" spans="1:9" x14ac:dyDescent="0.6">
      <c r="A1495">
        <v>335</v>
      </c>
      <c r="B1495" t="s">
        <v>14</v>
      </c>
      <c r="C1495" t="s">
        <v>12</v>
      </c>
      <c r="D1495">
        <v>223.68</v>
      </c>
      <c r="E1495">
        <v>172.78</v>
      </c>
      <c r="F1495">
        <v>44915</v>
      </c>
      <c r="H1495">
        <f>_xlfn.LET(_xlpm.v, IFERROR(VLOOKUP($A1495, manifest!$A:$E, 3, FALSE), ""), IF(OR(_xlpm.v=0, _xlpm.v=""), "", _xlpm.v))</f>
        <v>50</v>
      </c>
      <c r="I1495" t="str">
        <f>_xlfn.LET(_xlpm.v, IFERROR(VLOOKUP($A1495, manifest!$A:$E, 5, FALSE), ""), IF(OR(_xlpm.v=0, _xlpm.v=""), "", _xlpm.v))</f>
        <v>male</v>
      </c>
    </row>
    <row r="1496" spans="1:9" x14ac:dyDescent="0.6">
      <c r="A1496">
        <v>335</v>
      </c>
      <c r="B1496" t="s">
        <v>14</v>
      </c>
      <c r="C1496" t="s">
        <v>13</v>
      </c>
      <c r="D1496">
        <v>221.4</v>
      </c>
      <c r="E1496">
        <v>175.53</v>
      </c>
      <c r="F1496">
        <v>43399</v>
      </c>
      <c r="H1496">
        <f>_xlfn.LET(_xlpm.v, IFERROR(VLOOKUP($A1496, manifest!$A:$E, 3, FALSE), ""), IF(OR(_xlpm.v=0, _xlpm.v=""), "", _xlpm.v))</f>
        <v>50</v>
      </c>
      <c r="I1496" t="str">
        <f>_xlfn.LET(_xlpm.v, IFERROR(VLOOKUP($A1496, manifest!$A:$E, 5, FALSE), ""), IF(OR(_xlpm.v=0, _xlpm.v=""), "", _xlpm.v))</f>
        <v>male</v>
      </c>
    </row>
    <row r="1497" spans="1:9" x14ac:dyDescent="0.6">
      <c r="A1497">
        <v>309</v>
      </c>
      <c r="B1497" t="s">
        <v>7</v>
      </c>
      <c r="C1497" t="s">
        <v>8</v>
      </c>
      <c r="D1497">
        <v>262.58999999999997</v>
      </c>
      <c r="E1497">
        <v>208.21</v>
      </c>
      <c r="F1497">
        <v>41507</v>
      </c>
      <c r="G1497" t="s">
        <v>9</v>
      </c>
      <c r="H1497">
        <f>_xlfn.LET(_xlpm.v, IFERROR(VLOOKUP($A1497, manifest!$A:$E, 3, FALSE), ""), IF(OR(_xlpm.v=0, _xlpm.v=""), "", _xlpm.v))</f>
        <v>50</v>
      </c>
      <c r="I1497" t="str">
        <f>_xlfn.LET(_xlpm.v, IFERROR(VLOOKUP($A1497, manifest!$A:$E, 5, FALSE), ""), IF(OR(_xlpm.v=0, _xlpm.v=""), "", _xlpm.v))</f>
        <v>male</v>
      </c>
    </row>
    <row r="1498" spans="1:9" x14ac:dyDescent="0.6">
      <c r="A1498">
        <v>309</v>
      </c>
      <c r="B1498" t="s">
        <v>7</v>
      </c>
      <c r="C1498" t="s">
        <v>10</v>
      </c>
      <c r="D1498">
        <v>280.13</v>
      </c>
      <c r="E1498">
        <v>226.7</v>
      </c>
      <c r="F1498">
        <v>37269</v>
      </c>
      <c r="H1498">
        <f>_xlfn.LET(_xlpm.v, IFERROR(VLOOKUP($A1498, manifest!$A:$E, 3, FALSE), ""), IF(OR(_xlpm.v=0, _xlpm.v=""), "", _xlpm.v))</f>
        <v>50</v>
      </c>
      <c r="I1498" t="str">
        <f>_xlfn.LET(_xlpm.v, IFERROR(VLOOKUP($A1498, manifest!$A:$E, 5, FALSE), ""), IF(OR(_xlpm.v=0, _xlpm.v=""), "", _xlpm.v))</f>
        <v>male</v>
      </c>
    </row>
    <row r="1499" spans="1:9" x14ac:dyDescent="0.6">
      <c r="A1499">
        <v>309</v>
      </c>
      <c r="B1499" t="s">
        <v>7</v>
      </c>
      <c r="C1499" t="s">
        <v>11</v>
      </c>
      <c r="D1499">
        <v>255.57</v>
      </c>
      <c r="E1499">
        <v>214.12</v>
      </c>
      <c r="F1499">
        <v>66070</v>
      </c>
      <c r="H1499">
        <f>_xlfn.LET(_xlpm.v, IFERROR(VLOOKUP($A1499, manifest!$A:$E, 3, FALSE), ""), IF(OR(_xlpm.v=0, _xlpm.v=""), "", _xlpm.v))</f>
        <v>50</v>
      </c>
      <c r="I1499" t="str">
        <f>_xlfn.LET(_xlpm.v, IFERROR(VLOOKUP($A1499, manifest!$A:$E, 5, FALSE), ""), IF(OR(_xlpm.v=0, _xlpm.v=""), "", _xlpm.v))</f>
        <v>male</v>
      </c>
    </row>
    <row r="1500" spans="1:9" x14ac:dyDescent="0.6">
      <c r="A1500">
        <v>309</v>
      </c>
      <c r="B1500" t="s">
        <v>7</v>
      </c>
      <c r="C1500" t="s">
        <v>12</v>
      </c>
      <c r="D1500">
        <v>252.7</v>
      </c>
      <c r="E1500">
        <v>231.45</v>
      </c>
      <c r="F1500">
        <v>60672</v>
      </c>
      <c r="H1500">
        <f>_xlfn.LET(_xlpm.v, IFERROR(VLOOKUP($A1500, manifest!$A:$E, 3, FALSE), ""), IF(OR(_xlpm.v=0, _xlpm.v=""), "", _xlpm.v))</f>
        <v>50</v>
      </c>
      <c r="I1500" t="str">
        <f>_xlfn.LET(_xlpm.v, IFERROR(VLOOKUP($A1500, manifest!$A:$E, 5, FALSE), ""), IF(OR(_xlpm.v=0, _xlpm.v=""), "", _xlpm.v))</f>
        <v>male</v>
      </c>
    </row>
    <row r="1501" spans="1:9" x14ac:dyDescent="0.6">
      <c r="A1501">
        <v>309</v>
      </c>
      <c r="B1501" t="s">
        <v>7</v>
      </c>
      <c r="C1501" t="s">
        <v>13</v>
      </c>
      <c r="D1501">
        <v>239.6</v>
      </c>
      <c r="E1501">
        <v>220.75</v>
      </c>
      <c r="F1501">
        <v>67281</v>
      </c>
      <c r="H1501">
        <f>_xlfn.LET(_xlpm.v, IFERROR(VLOOKUP($A1501, manifest!$A:$E, 3, FALSE), ""), IF(OR(_xlpm.v=0, _xlpm.v=""), "", _xlpm.v))</f>
        <v>50</v>
      </c>
      <c r="I1501" t="str">
        <f>_xlfn.LET(_xlpm.v, IFERROR(VLOOKUP($A1501, manifest!$A:$E, 5, FALSE), ""), IF(OR(_xlpm.v=0, _xlpm.v=""), "", _xlpm.v))</f>
        <v>male</v>
      </c>
    </row>
    <row r="1502" spans="1:9" x14ac:dyDescent="0.6">
      <c r="A1502">
        <v>324</v>
      </c>
      <c r="B1502" t="s">
        <v>7</v>
      </c>
      <c r="C1502" t="s">
        <v>8</v>
      </c>
      <c r="D1502">
        <v>60.19</v>
      </c>
      <c r="E1502">
        <v>93.59</v>
      </c>
      <c r="F1502">
        <v>35223</v>
      </c>
      <c r="G1502" t="s">
        <v>17</v>
      </c>
      <c r="H1502">
        <f>_xlfn.LET(_xlpm.v, IFERROR(VLOOKUP($A1502, manifest!$A:$E, 3, FALSE), ""), IF(OR(_xlpm.v=0, _xlpm.v=""), "", _xlpm.v))</f>
        <v>64</v>
      </c>
      <c r="I1502" t="str">
        <f>_xlfn.LET(_xlpm.v, IFERROR(VLOOKUP($A1502, manifest!$A:$E, 5, FALSE), ""), IF(OR(_xlpm.v=0, _xlpm.v=""), "", _xlpm.v))</f>
        <v>male</v>
      </c>
    </row>
    <row r="1503" spans="1:9" x14ac:dyDescent="0.6">
      <c r="A1503">
        <v>324</v>
      </c>
      <c r="B1503" t="s">
        <v>7</v>
      </c>
      <c r="C1503" t="s">
        <v>10</v>
      </c>
      <c r="D1503">
        <v>72.709999999999994</v>
      </c>
      <c r="E1503">
        <v>109.5</v>
      </c>
      <c r="F1503">
        <v>35888</v>
      </c>
      <c r="H1503">
        <f>_xlfn.LET(_xlpm.v, IFERROR(VLOOKUP($A1503, manifest!$A:$E, 3, FALSE), ""), IF(OR(_xlpm.v=0, _xlpm.v=""), "", _xlpm.v))</f>
        <v>64</v>
      </c>
      <c r="I1503" t="str">
        <f>_xlfn.LET(_xlpm.v, IFERROR(VLOOKUP($A1503, manifest!$A:$E, 5, FALSE), ""), IF(OR(_xlpm.v=0, _xlpm.v=""), "", _xlpm.v))</f>
        <v>male</v>
      </c>
    </row>
    <row r="1504" spans="1:9" x14ac:dyDescent="0.6">
      <c r="A1504">
        <v>324</v>
      </c>
      <c r="B1504" t="s">
        <v>7</v>
      </c>
      <c r="C1504" t="s">
        <v>11</v>
      </c>
      <c r="D1504">
        <v>70.47</v>
      </c>
      <c r="E1504">
        <v>110.69</v>
      </c>
      <c r="F1504">
        <v>45777</v>
      </c>
      <c r="H1504">
        <f>_xlfn.LET(_xlpm.v, IFERROR(VLOOKUP($A1504, manifest!$A:$E, 3, FALSE), ""), IF(OR(_xlpm.v=0, _xlpm.v=""), "", _xlpm.v))</f>
        <v>64</v>
      </c>
      <c r="I1504" t="str">
        <f>_xlfn.LET(_xlpm.v, IFERROR(VLOOKUP($A1504, manifest!$A:$E, 5, FALSE), ""), IF(OR(_xlpm.v=0, _xlpm.v=""), "", _xlpm.v))</f>
        <v>male</v>
      </c>
    </row>
    <row r="1505" spans="1:9" x14ac:dyDescent="0.6">
      <c r="A1505">
        <v>324</v>
      </c>
      <c r="B1505" t="s">
        <v>7</v>
      </c>
      <c r="C1505" t="s">
        <v>12</v>
      </c>
      <c r="D1505">
        <v>70.02</v>
      </c>
      <c r="E1505">
        <v>122.5</v>
      </c>
      <c r="F1505">
        <v>51350</v>
      </c>
      <c r="H1505">
        <f>_xlfn.LET(_xlpm.v, IFERROR(VLOOKUP($A1505, manifest!$A:$E, 3, FALSE), ""), IF(OR(_xlpm.v=0, _xlpm.v=""), "", _xlpm.v))</f>
        <v>64</v>
      </c>
      <c r="I1505" t="str">
        <f>_xlfn.LET(_xlpm.v, IFERROR(VLOOKUP($A1505, manifest!$A:$E, 5, FALSE), ""), IF(OR(_xlpm.v=0, _xlpm.v=""), "", _xlpm.v))</f>
        <v>male</v>
      </c>
    </row>
    <row r="1506" spans="1:9" x14ac:dyDescent="0.6">
      <c r="A1506">
        <v>324</v>
      </c>
      <c r="B1506" t="s">
        <v>7</v>
      </c>
      <c r="C1506" t="s">
        <v>13</v>
      </c>
      <c r="D1506">
        <v>72.05</v>
      </c>
      <c r="E1506">
        <v>115.74</v>
      </c>
      <c r="F1506">
        <v>47188</v>
      </c>
      <c r="H1506">
        <f>_xlfn.LET(_xlpm.v, IFERROR(VLOOKUP($A1506, manifest!$A:$E, 3, FALSE), ""), IF(OR(_xlpm.v=0, _xlpm.v=""), "", _xlpm.v))</f>
        <v>64</v>
      </c>
      <c r="I1506" t="str">
        <f>_xlfn.LET(_xlpm.v, IFERROR(VLOOKUP($A1506, manifest!$A:$E, 5, FALSE), ""), IF(OR(_xlpm.v=0, _xlpm.v=""), "", _xlpm.v))</f>
        <v>male</v>
      </c>
    </row>
    <row r="1507" spans="1:9" x14ac:dyDescent="0.6">
      <c r="A1507">
        <v>326</v>
      </c>
      <c r="B1507" t="s">
        <v>14</v>
      </c>
      <c r="C1507" t="s">
        <v>8</v>
      </c>
      <c r="D1507">
        <v>146.22999999999999</v>
      </c>
      <c r="E1507">
        <v>95.82</v>
      </c>
      <c r="F1507">
        <v>18156</v>
      </c>
      <c r="G1507" t="s">
        <v>15</v>
      </c>
      <c r="H1507">
        <f>_xlfn.LET(_xlpm.v, IFERROR(VLOOKUP($A1507, manifest!$A:$E, 3, FALSE), ""), IF(OR(_xlpm.v=0, _xlpm.v=""), "", _xlpm.v))</f>
        <v>68</v>
      </c>
      <c r="I1507" t="str">
        <f>_xlfn.LET(_xlpm.v, IFERROR(VLOOKUP($A1507, manifest!$A:$E, 5, FALSE), ""), IF(OR(_xlpm.v=0, _xlpm.v=""), "", _xlpm.v))</f>
        <v>female</v>
      </c>
    </row>
    <row r="1508" spans="1:9" x14ac:dyDescent="0.6">
      <c r="A1508">
        <v>326</v>
      </c>
      <c r="B1508" t="s">
        <v>14</v>
      </c>
      <c r="C1508" t="s">
        <v>10</v>
      </c>
      <c r="D1508">
        <v>201.44</v>
      </c>
      <c r="E1508">
        <v>185.36</v>
      </c>
      <c r="F1508">
        <v>22044</v>
      </c>
      <c r="H1508">
        <f>_xlfn.LET(_xlpm.v, IFERROR(VLOOKUP($A1508, manifest!$A:$E, 3, FALSE), ""), IF(OR(_xlpm.v=0, _xlpm.v=""), "", _xlpm.v))</f>
        <v>68</v>
      </c>
      <c r="I1508" t="str">
        <f>_xlfn.LET(_xlpm.v, IFERROR(VLOOKUP($A1508, manifest!$A:$E, 5, FALSE), ""), IF(OR(_xlpm.v=0, _xlpm.v=""), "", _xlpm.v))</f>
        <v>female</v>
      </c>
    </row>
    <row r="1509" spans="1:9" x14ac:dyDescent="0.6">
      <c r="A1509">
        <v>326</v>
      </c>
      <c r="B1509" t="s">
        <v>14</v>
      </c>
      <c r="C1509" t="s">
        <v>11</v>
      </c>
      <c r="D1509">
        <v>223.72</v>
      </c>
      <c r="E1509">
        <v>195.81</v>
      </c>
      <c r="F1509">
        <v>22370</v>
      </c>
      <c r="H1509">
        <f>_xlfn.LET(_xlpm.v, IFERROR(VLOOKUP($A1509, manifest!$A:$E, 3, FALSE), ""), IF(OR(_xlpm.v=0, _xlpm.v=""), "", _xlpm.v))</f>
        <v>68</v>
      </c>
      <c r="I1509" t="str">
        <f>_xlfn.LET(_xlpm.v, IFERROR(VLOOKUP($A1509, manifest!$A:$E, 5, FALSE), ""), IF(OR(_xlpm.v=0, _xlpm.v=""), "", _xlpm.v))</f>
        <v>female</v>
      </c>
    </row>
    <row r="1510" spans="1:9" x14ac:dyDescent="0.6">
      <c r="A1510">
        <v>326</v>
      </c>
      <c r="B1510" t="s">
        <v>14</v>
      </c>
      <c r="C1510" t="s">
        <v>12</v>
      </c>
      <c r="D1510">
        <v>170.79</v>
      </c>
      <c r="E1510">
        <v>167.98</v>
      </c>
      <c r="F1510">
        <v>32022</v>
      </c>
      <c r="H1510">
        <f>_xlfn.LET(_xlpm.v, IFERROR(VLOOKUP($A1510, manifest!$A:$E, 3, FALSE), ""), IF(OR(_xlpm.v=0, _xlpm.v=""), "", _xlpm.v))</f>
        <v>68</v>
      </c>
      <c r="I1510" t="str">
        <f>_xlfn.LET(_xlpm.v, IFERROR(VLOOKUP($A1510, manifest!$A:$E, 5, FALSE), ""), IF(OR(_xlpm.v=0, _xlpm.v=""), "", _xlpm.v))</f>
        <v>female</v>
      </c>
    </row>
    <row r="1511" spans="1:9" x14ac:dyDescent="0.6">
      <c r="A1511">
        <v>326</v>
      </c>
      <c r="B1511" t="s">
        <v>14</v>
      </c>
      <c r="C1511" t="s">
        <v>13</v>
      </c>
      <c r="D1511">
        <v>232.38</v>
      </c>
      <c r="E1511">
        <v>245.66</v>
      </c>
      <c r="F1511">
        <v>29843</v>
      </c>
      <c r="H1511">
        <f>_xlfn.LET(_xlpm.v, IFERROR(VLOOKUP($A1511, manifest!$A:$E, 3, FALSE), ""), IF(OR(_xlpm.v=0, _xlpm.v=""), "", _xlpm.v))</f>
        <v>68</v>
      </c>
      <c r="I1511" t="str">
        <f>_xlfn.LET(_xlpm.v, IFERROR(VLOOKUP($A1511, manifest!$A:$E, 5, FALSE), ""), IF(OR(_xlpm.v=0, _xlpm.v=""), "", _xlpm.v))</f>
        <v>female</v>
      </c>
    </row>
    <row r="1512" spans="1:9" x14ac:dyDescent="0.6">
      <c r="A1512">
        <v>316</v>
      </c>
      <c r="B1512" t="s">
        <v>7</v>
      </c>
      <c r="C1512" t="s">
        <v>8</v>
      </c>
      <c r="D1512">
        <v>323.89</v>
      </c>
      <c r="E1512">
        <v>192.07</v>
      </c>
      <c r="F1512">
        <v>15843</v>
      </c>
      <c r="G1512" t="s">
        <v>9</v>
      </c>
      <c r="H1512">
        <f>_xlfn.LET(_xlpm.v, IFERROR(VLOOKUP($A1512, manifest!$A:$E, 3, FALSE), ""), IF(OR(_xlpm.v=0, _xlpm.v=""), "", _xlpm.v))</f>
        <v>59</v>
      </c>
      <c r="I1512" t="str">
        <f>_xlfn.LET(_xlpm.v, IFERROR(VLOOKUP($A1512, manifest!$A:$E, 5, FALSE), ""), IF(OR(_xlpm.v=0, _xlpm.v=""), "", _xlpm.v))</f>
        <v>female</v>
      </c>
    </row>
    <row r="1513" spans="1:9" x14ac:dyDescent="0.6">
      <c r="A1513">
        <v>316</v>
      </c>
      <c r="B1513" t="s">
        <v>7</v>
      </c>
      <c r="C1513" t="s">
        <v>10</v>
      </c>
      <c r="D1513">
        <v>351.83</v>
      </c>
      <c r="E1513">
        <v>258.87</v>
      </c>
      <c r="F1513">
        <v>16680</v>
      </c>
      <c r="H1513">
        <f>_xlfn.LET(_xlpm.v, IFERROR(VLOOKUP($A1513, manifest!$A:$E, 3, FALSE), ""), IF(OR(_xlpm.v=0, _xlpm.v=""), "", _xlpm.v))</f>
        <v>59</v>
      </c>
      <c r="I1513" t="str">
        <f>_xlfn.LET(_xlpm.v, IFERROR(VLOOKUP($A1513, manifest!$A:$E, 5, FALSE), ""), IF(OR(_xlpm.v=0, _xlpm.v=""), "", _xlpm.v))</f>
        <v>female</v>
      </c>
    </row>
    <row r="1514" spans="1:9" x14ac:dyDescent="0.6">
      <c r="A1514">
        <v>316</v>
      </c>
      <c r="B1514" t="s">
        <v>7</v>
      </c>
      <c r="C1514" t="s">
        <v>11</v>
      </c>
      <c r="D1514">
        <v>331.86</v>
      </c>
      <c r="E1514">
        <v>238.68</v>
      </c>
      <c r="F1514">
        <v>20004</v>
      </c>
      <c r="H1514">
        <f>_xlfn.LET(_xlpm.v, IFERROR(VLOOKUP($A1514, manifest!$A:$E, 3, FALSE), ""), IF(OR(_xlpm.v=0, _xlpm.v=""), "", _xlpm.v))</f>
        <v>59</v>
      </c>
      <c r="I1514" t="str">
        <f>_xlfn.LET(_xlpm.v, IFERROR(VLOOKUP($A1514, manifest!$A:$E, 5, FALSE), ""), IF(OR(_xlpm.v=0, _xlpm.v=""), "", _xlpm.v))</f>
        <v>female</v>
      </c>
    </row>
    <row r="1515" spans="1:9" x14ac:dyDescent="0.6">
      <c r="A1515">
        <v>316</v>
      </c>
      <c r="B1515" t="s">
        <v>7</v>
      </c>
      <c r="C1515" t="s">
        <v>12</v>
      </c>
      <c r="D1515">
        <v>319.94</v>
      </c>
      <c r="E1515">
        <v>240.03</v>
      </c>
      <c r="F1515">
        <v>19576</v>
      </c>
      <c r="H1515">
        <f>_xlfn.LET(_xlpm.v, IFERROR(VLOOKUP($A1515, manifest!$A:$E, 3, FALSE), ""), IF(OR(_xlpm.v=0, _xlpm.v=""), "", _xlpm.v))</f>
        <v>59</v>
      </c>
      <c r="I1515" t="str">
        <f>_xlfn.LET(_xlpm.v, IFERROR(VLOOKUP($A1515, manifest!$A:$E, 5, FALSE), ""), IF(OR(_xlpm.v=0, _xlpm.v=""), "", _xlpm.v))</f>
        <v>female</v>
      </c>
    </row>
    <row r="1516" spans="1:9" x14ac:dyDescent="0.6">
      <c r="A1516">
        <v>316</v>
      </c>
      <c r="B1516" t="s">
        <v>7</v>
      </c>
      <c r="C1516" t="s">
        <v>13</v>
      </c>
      <c r="D1516">
        <v>324.32</v>
      </c>
      <c r="E1516">
        <v>241.74</v>
      </c>
      <c r="F1516">
        <v>23743</v>
      </c>
      <c r="H1516">
        <f>_xlfn.LET(_xlpm.v, IFERROR(VLOOKUP($A1516, manifest!$A:$E, 3, FALSE), ""), IF(OR(_xlpm.v=0, _xlpm.v=""), "", _xlpm.v))</f>
        <v>59</v>
      </c>
      <c r="I1516" t="str">
        <f>_xlfn.LET(_xlpm.v, IFERROR(VLOOKUP($A1516, manifest!$A:$E, 5, FALSE), ""), IF(OR(_xlpm.v=0, _xlpm.v=""), "", _xlpm.v))</f>
        <v>female</v>
      </c>
    </row>
    <row r="1517" spans="1:9" x14ac:dyDescent="0.6">
      <c r="A1517">
        <v>339</v>
      </c>
      <c r="B1517" t="s">
        <v>14</v>
      </c>
      <c r="C1517" t="s">
        <v>8</v>
      </c>
      <c r="D1517">
        <v>184.39</v>
      </c>
      <c r="E1517">
        <v>126.38</v>
      </c>
      <c r="F1517">
        <v>15260</v>
      </c>
      <c r="G1517" t="s">
        <v>9</v>
      </c>
      <c r="H1517">
        <f>_xlfn.LET(_xlpm.v, IFERROR(VLOOKUP($A1517, manifest!$A:$E, 3, FALSE), ""), IF(OR(_xlpm.v=0, _xlpm.v=""), "", _xlpm.v))</f>
        <v>54</v>
      </c>
      <c r="I1517" t="str">
        <f>_xlfn.LET(_xlpm.v, IFERROR(VLOOKUP($A1517, manifest!$A:$E, 5, FALSE), ""), IF(OR(_xlpm.v=0, _xlpm.v=""), "", _xlpm.v))</f>
        <v>female</v>
      </c>
    </row>
    <row r="1518" spans="1:9" x14ac:dyDescent="0.6">
      <c r="A1518">
        <v>339</v>
      </c>
      <c r="B1518" t="s">
        <v>14</v>
      </c>
      <c r="C1518" t="s">
        <v>10</v>
      </c>
      <c r="D1518">
        <v>213.07</v>
      </c>
      <c r="E1518">
        <v>166.33</v>
      </c>
      <c r="F1518">
        <v>17568</v>
      </c>
      <c r="H1518">
        <f>_xlfn.LET(_xlpm.v, IFERROR(VLOOKUP($A1518, manifest!$A:$E, 3, FALSE), ""), IF(OR(_xlpm.v=0, _xlpm.v=""), "", _xlpm.v))</f>
        <v>54</v>
      </c>
      <c r="I1518" t="str">
        <f>_xlfn.LET(_xlpm.v, IFERROR(VLOOKUP($A1518, manifest!$A:$E, 5, FALSE), ""), IF(OR(_xlpm.v=0, _xlpm.v=""), "", _xlpm.v))</f>
        <v>female</v>
      </c>
    </row>
    <row r="1519" spans="1:9" x14ac:dyDescent="0.6">
      <c r="A1519">
        <v>339</v>
      </c>
      <c r="B1519" t="s">
        <v>14</v>
      </c>
      <c r="C1519" t="s">
        <v>11</v>
      </c>
      <c r="D1519">
        <v>206.83</v>
      </c>
      <c r="E1519">
        <v>153.49</v>
      </c>
      <c r="F1519">
        <v>19659</v>
      </c>
      <c r="H1519">
        <f>_xlfn.LET(_xlpm.v, IFERROR(VLOOKUP($A1519, manifest!$A:$E, 3, FALSE), ""), IF(OR(_xlpm.v=0, _xlpm.v=""), "", _xlpm.v))</f>
        <v>54</v>
      </c>
      <c r="I1519" t="str">
        <f>_xlfn.LET(_xlpm.v, IFERROR(VLOOKUP($A1519, manifest!$A:$E, 5, FALSE), ""), IF(OR(_xlpm.v=0, _xlpm.v=""), "", _xlpm.v))</f>
        <v>female</v>
      </c>
    </row>
    <row r="1520" spans="1:9" x14ac:dyDescent="0.6">
      <c r="A1520">
        <v>339</v>
      </c>
      <c r="B1520" t="s">
        <v>14</v>
      </c>
      <c r="C1520" t="s">
        <v>12</v>
      </c>
      <c r="D1520">
        <v>198.54</v>
      </c>
      <c r="E1520">
        <v>156.58000000000001</v>
      </c>
      <c r="F1520">
        <v>20187</v>
      </c>
      <c r="H1520">
        <f>_xlfn.LET(_xlpm.v, IFERROR(VLOOKUP($A1520, manifest!$A:$E, 3, FALSE), ""), IF(OR(_xlpm.v=0, _xlpm.v=""), "", _xlpm.v))</f>
        <v>54</v>
      </c>
      <c r="I1520" t="str">
        <f>_xlfn.LET(_xlpm.v, IFERROR(VLOOKUP($A1520, manifest!$A:$E, 5, FALSE), ""), IF(OR(_xlpm.v=0, _xlpm.v=""), "", _xlpm.v))</f>
        <v>female</v>
      </c>
    </row>
    <row r="1521" spans="1:9" x14ac:dyDescent="0.6">
      <c r="A1521">
        <v>339</v>
      </c>
      <c r="B1521" t="s">
        <v>14</v>
      </c>
      <c r="C1521" t="s">
        <v>13</v>
      </c>
      <c r="D1521">
        <v>220.15</v>
      </c>
      <c r="E1521">
        <v>185.01</v>
      </c>
      <c r="F1521">
        <v>27576</v>
      </c>
      <c r="H1521">
        <f>_xlfn.LET(_xlpm.v, IFERROR(VLOOKUP($A1521, manifest!$A:$E, 3, FALSE), ""), IF(OR(_xlpm.v=0, _xlpm.v=""), "", _xlpm.v))</f>
        <v>54</v>
      </c>
      <c r="I1521" t="str">
        <f>_xlfn.LET(_xlpm.v, IFERROR(VLOOKUP($A1521, manifest!$A:$E, 5, FALSE), ""), IF(OR(_xlpm.v=0, _xlpm.v=""), "", _xlpm.v))</f>
        <v>female</v>
      </c>
    </row>
    <row r="1522" spans="1:9" x14ac:dyDescent="0.6">
      <c r="A1522">
        <v>308</v>
      </c>
      <c r="B1522" t="s">
        <v>14</v>
      </c>
      <c r="C1522" t="s">
        <v>8</v>
      </c>
      <c r="D1522">
        <v>247.76</v>
      </c>
      <c r="E1522">
        <v>204.92</v>
      </c>
      <c r="F1522">
        <v>42591</v>
      </c>
      <c r="G1522" t="s">
        <v>9</v>
      </c>
      <c r="H1522">
        <f>_xlfn.LET(_xlpm.v, IFERROR(VLOOKUP($A1522, manifest!$A:$E, 3, FALSE), ""), IF(OR(_xlpm.v=0, _xlpm.v=""), "", _xlpm.v))</f>
        <v>53</v>
      </c>
      <c r="I1522" t="str">
        <f>_xlfn.LET(_xlpm.v, IFERROR(VLOOKUP($A1522, manifest!$A:$E, 5, FALSE), ""), IF(OR(_xlpm.v=0, _xlpm.v=""), "", _xlpm.v))</f>
        <v>male</v>
      </c>
    </row>
    <row r="1523" spans="1:9" x14ac:dyDescent="0.6">
      <c r="A1523">
        <v>308</v>
      </c>
      <c r="B1523" t="s">
        <v>14</v>
      </c>
      <c r="C1523" t="s">
        <v>10</v>
      </c>
      <c r="D1523">
        <v>316.33999999999997</v>
      </c>
      <c r="E1523">
        <v>275.49</v>
      </c>
      <c r="F1523">
        <v>43335</v>
      </c>
      <c r="H1523">
        <f>_xlfn.LET(_xlpm.v, IFERROR(VLOOKUP($A1523, manifest!$A:$E, 3, FALSE), ""), IF(OR(_xlpm.v=0, _xlpm.v=""), "", _xlpm.v))</f>
        <v>53</v>
      </c>
      <c r="I1523" t="str">
        <f>_xlfn.LET(_xlpm.v, IFERROR(VLOOKUP($A1523, manifest!$A:$E, 5, FALSE), ""), IF(OR(_xlpm.v=0, _xlpm.v=""), "", _xlpm.v))</f>
        <v>male</v>
      </c>
    </row>
    <row r="1524" spans="1:9" x14ac:dyDescent="0.6">
      <c r="A1524">
        <v>308</v>
      </c>
      <c r="B1524" t="s">
        <v>14</v>
      </c>
      <c r="C1524" t="s">
        <v>11</v>
      </c>
      <c r="D1524">
        <v>281.69</v>
      </c>
      <c r="E1524">
        <v>243.75</v>
      </c>
      <c r="F1524">
        <v>49162</v>
      </c>
      <c r="H1524">
        <f>_xlfn.LET(_xlpm.v, IFERROR(VLOOKUP($A1524, manifest!$A:$E, 3, FALSE), ""), IF(OR(_xlpm.v=0, _xlpm.v=""), "", _xlpm.v))</f>
        <v>53</v>
      </c>
      <c r="I1524" t="str">
        <f>_xlfn.LET(_xlpm.v, IFERROR(VLOOKUP($A1524, manifest!$A:$E, 5, FALSE), ""), IF(OR(_xlpm.v=0, _xlpm.v=""), "", _xlpm.v))</f>
        <v>male</v>
      </c>
    </row>
    <row r="1525" spans="1:9" x14ac:dyDescent="0.6">
      <c r="A1525">
        <v>308</v>
      </c>
      <c r="B1525" t="s">
        <v>14</v>
      </c>
      <c r="C1525" t="s">
        <v>12</v>
      </c>
      <c r="D1525">
        <v>243.08</v>
      </c>
      <c r="E1525">
        <v>233.82</v>
      </c>
      <c r="F1525">
        <v>71720</v>
      </c>
      <c r="H1525">
        <f>_xlfn.LET(_xlpm.v, IFERROR(VLOOKUP($A1525, manifest!$A:$E, 3, FALSE), ""), IF(OR(_xlpm.v=0, _xlpm.v=""), "", _xlpm.v))</f>
        <v>53</v>
      </c>
      <c r="I1525" t="str">
        <f>_xlfn.LET(_xlpm.v, IFERROR(VLOOKUP($A1525, manifest!$A:$E, 5, FALSE), ""), IF(OR(_xlpm.v=0, _xlpm.v=""), "", _xlpm.v))</f>
        <v>male</v>
      </c>
    </row>
    <row r="1526" spans="1:9" x14ac:dyDescent="0.6">
      <c r="A1526">
        <v>308</v>
      </c>
      <c r="B1526" t="s">
        <v>14</v>
      </c>
      <c r="C1526" t="s">
        <v>13</v>
      </c>
      <c r="D1526">
        <v>229.26</v>
      </c>
      <c r="E1526">
        <v>245.51</v>
      </c>
      <c r="F1526">
        <v>71367</v>
      </c>
      <c r="H1526">
        <f>_xlfn.LET(_xlpm.v, IFERROR(VLOOKUP($A1526, manifest!$A:$E, 3, FALSE), ""), IF(OR(_xlpm.v=0, _xlpm.v=""), "", _xlpm.v))</f>
        <v>53</v>
      </c>
      <c r="I1526" t="str">
        <f>_xlfn.LET(_xlpm.v, IFERROR(VLOOKUP($A1526, manifest!$A:$E, 5, FALSE), ""), IF(OR(_xlpm.v=0, _xlpm.v=""), "", _xlpm.v))</f>
        <v>male</v>
      </c>
    </row>
    <row r="1527" spans="1:9" x14ac:dyDescent="0.6">
      <c r="A1527">
        <v>349</v>
      </c>
      <c r="B1527" t="s">
        <v>14</v>
      </c>
      <c r="C1527" t="s">
        <v>8</v>
      </c>
      <c r="D1527">
        <v>222.17</v>
      </c>
      <c r="E1527">
        <v>202.2</v>
      </c>
      <c r="F1527">
        <v>51995</v>
      </c>
      <c r="G1527" t="s">
        <v>9</v>
      </c>
      <c r="H1527">
        <f>_xlfn.LET(_xlpm.v, IFERROR(VLOOKUP($A1527, manifest!$A:$E, 3, FALSE), ""), IF(OR(_xlpm.v=0, _xlpm.v=""), "", _xlpm.v))</f>
        <v>57</v>
      </c>
      <c r="I1527" t="str">
        <f>_xlfn.LET(_xlpm.v, IFERROR(VLOOKUP($A1527, manifest!$A:$E, 5, FALSE), ""), IF(OR(_xlpm.v=0, _xlpm.v=""), "", _xlpm.v))</f>
        <v>male</v>
      </c>
    </row>
    <row r="1528" spans="1:9" x14ac:dyDescent="0.6">
      <c r="A1528">
        <v>349</v>
      </c>
      <c r="B1528" t="s">
        <v>14</v>
      </c>
      <c r="C1528" t="s">
        <v>10</v>
      </c>
      <c r="D1528">
        <v>236.1</v>
      </c>
      <c r="E1528">
        <v>208.84</v>
      </c>
      <c r="F1528">
        <v>59839</v>
      </c>
      <c r="H1528">
        <f>_xlfn.LET(_xlpm.v, IFERROR(VLOOKUP($A1528, manifest!$A:$E, 3, FALSE), ""), IF(OR(_xlpm.v=0, _xlpm.v=""), "", _xlpm.v))</f>
        <v>57</v>
      </c>
      <c r="I1528" t="str">
        <f>_xlfn.LET(_xlpm.v, IFERROR(VLOOKUP($A1528, manifest!$A:$E, 5, FALSE), ""), IF(OR(_xlpm.v=0, _xlpm.v=""), "", _xlpm.v))</f>
        <v>male</v>
      </c>
    </row>
    <row r="1529" spans="1:9" x14ac:dyDescent="0.6">
      <c r="A1529">
        <v>349</v>
      </c>
      <c r="B1529" t="s">
        <v>14</v>
      </c>
      <c r="C1529" t="s">
        <v>11</v>
      </c>
      <c r="D1529">
        <v>215.17</v>
      </c>
      <c r="E1529">
        <v>179.28</v>
      </c>
      <c r="F1529">
        <v>77414</v>
      </c>
      <c r="H1529">
        <f>_xlfn.LET(_xlpm.v, IFERROR(VLOOKUP($A1529, manifest!$A:$E, 3, FALSE), ""), IF(OR(_xlpm.v=0, _xlpm.v=""), "", _xlpm.v))</f>
        <v>57</v>
      </c>
      <c r="I1529" t="str">
        <f>_xlfn.LET(_xlpm.v, IFERROR(VLOOKUP($A1529, manifest!$A:$E, 5, FALSE), ""), IF(OR(_xlpm.v=0, _xlpm.v=""), "", _xlpm.v))</f>
        <v>male</v>
      </c>
    </row>
    <row r="1530" spans="1:9" x14ac:dyDescent="0.6">
      <c r="A1530">
        <v>349</v>
      </c>
      <c r="B1530" t="s">
        <v>14</v>
      </c>
      <c r="C1530" t="s">
        <v>12</v>
      </c>
      <c r="D1530">
        <v>228.97</v>
      </c>
      <c r="E1530">
        <v>211.77</v>
      </c>
      <c r="F1530">
        <v>70684</v>
      </c>
      <c r="H1530">
        <f>_xlfn.LET(_xlpm.v, IFERROR(VLOOKUP($A1530, manifest!$A:$E, 3, FALSE), ""), IF(OR(_xlpm.v=0, _xlpm.v=""), "", _xlpm.v))</f>
        <v>57</v>
      </c>
      <c r="I1530" t="str">
        <f>_xlfn.LET(_xlpm.v, IFERROR(VLOOKUP($A1530, manifest!$A:$E, 5, FALSE), ""), IF(OR(_xlpm.v=0, _xlpm.v=""), "", _xlpm.v))</f>
        <v>male</v>
      </c>
    </row>
    <row r="1531" spans="1:9" x14ac:dyDescent="0.6">
      <c r="A1531">
        <v>349</v>
      </c>
      <c r="B1531" t="s">
        <v>14</v>
      </c>
      <c r="C1531" t="s">
        <v>13</v>
      </c>
      <c r="D1531">
        <v>317.98</v>
      </c>
      <c r="E1531">
        <v>215.28</v>
      </c>
      <c r="F1531">
        <v>78565</v>
      </c>
      <c r="H1531">
        <f>_xlfn.LET(_xlpm.v, IFERROR(VLOOKUP($A1531, manifest!$A:$E, 3, FALSE), ""), IF(OR(_xlpm.v=0, _xlpm.v=""), "", _xlpm.v))</f>
        <v>57</v>
      </c>
      <c r="I1531" t="str">
        <f>_xlfn.LET(_xlpm.v, IFERROR(VLOOKUP($A1531, manifest!$A:$E, 5, FALSE), ""), IF(OR(_xlpm.v=0, _xlpm.v=""), "", _xlpm.v))</f>
        <v>male</v>
      </c>
    </row>
    <row r="1532" spans="1:9" x14ac:dyDescent="0.6">
      <c r="A1532">
        <v>331</v>
      </c>
      <c r="B1532" t="s">
        <v>14</v>
      </c>
      <c r="C1532" t="s">
        <v>8</v>
      </c>
      <c r="D1532">
        <v>179.34</v>
      </c>
      <c r="E1532">
        <v>122.74</v>
      </c>
      <c r="F1532">
        <v>40381</v>
      </c>
      <c r="G1532" t="s">
        <v>9</v>
      </c>
      <c r="H1532">
        <f>_xlfn.LET(_xlpm.v, IFERROR(VLOOKUP($A1532, manifest!$A:$E, 3, FALSE), ""), IF(OR(_xlpm.v=0, _xlpm.v=""), "", _xlpm.v))</f>
        <v>51</v>
      </c>
      <c r="I1532" t="str">
        <f>_xlfn.LET(_xlpm.v, IFERROR(VLOOKUP($A1532, manifest!$A:$E, 5, FALSE), ""), IF(OR(_xlpm.v=0, _xlpm.v=""), "", _xlpm.v))</f>
        <v>male</v>
      </c>
    </row>
    <row r="1533" spans="1:9" x14ac:dyDescent="0.6">
      <c r="A1533">
        <v>331</v>
      </c>
      <c r="B1533" t="s">
        <v>14</v>
      </c>
      <c r="C1533" t="s">
        <v>10</v>
      </c>
      <c r="D1533">
        <v>184.19</v>
      </c>
      <c r="E1533">
        <v>130.66</v>
      </c>
      <c r="F1533">
        <v>46718</v>
      </c>
      <c r="H1533">
        <f>_xlfn.LET(_xlpm.v, IFERROR(VLOOKUP($A1533, manifest!$A:$E, 3, FALSE), ""), IF(OR(_xlpm.v=0, _xlpm.v=""), "", _xlpm.v))</f>
        <v>51</v>
      </c>
      <c r="I1533" t="str">
        <f>_xlfn.LET(_xlpm.v, IFERROR(VLOOKUP($A1533, manifest!$A:$E, 5, FALSE), ""), IF(OR(_xlpm.v=0, _xlpm.v=""), "", _xlpm.v))</f>
        <v>male</v>
      </c>
    </row>
    <row r="1534" spans="1:9" x14ac:dyDescent="0.6">
      <c r="A1534">
        <v>331</v>
      </c>
      <c r="B1534" t="s">
        <v>14</v>
      </c>
      <c r="C1534" t="s">
        <v>11</v>
      </c>
      <c r="D1534">
        <v>190.36</v>
      </c>
      <c r="E1534">
        <v>150.99</v>
      </c>
      <c r="F1534">
        <v>52766</v>
      </c>
      <c r="H1534">
        <f>_xlfn.LET(_xlpm.v, IFERROR(VLOOKUP($A1534, manifest!$A:$E, 3, FALSE), ""), IF(OR(_xlpm.v=0, _xlpm.v=""), "", _xlpm.v))</f>
        <v>51</v>
      </c>
      <c r="I1534" t="str">
        <f>_xlfn.LET(_xlpm.v, IFERROR(VLOOKUP($A1534, manifest!$A:$E, 5, FALSE), ""), IF(OR(_xlpm.v=0, _xlpm.v=""), "", _xlpm.v))</f>
        <v>male</v>
      </c>
    </row>
    <row r="1535" spans="1:9" x14ac:dyDescent="0.6">
      <c r="A1535">
        <v>331</v>
      </c>
      <c r="B1535" t="s">
        <v>14</v>
      </c>
      <c r="C1535" t="s">
        <v>12</v>
      </c>
      <c r="D1535">
        <v>186.72</v>
      </c>
      <c r="E1535">
        <v>145.84</v>
      </c>
      <c r="F1535">
        <v>58425</v>
      </c>
      <c r="H1535">
        <f>_xlfn.LET(_xlpm.v, IFERROR(VLOOKUP($A1535, manifest!$A:$E, 3, FALSE), ""), IF(OR(_xlpm.v=0, _xlpm.v=""), "", _xlpm.v))</f>
        <v>51</v>
      </c>
      <c r="I1535" t="str">
        <f>_xlfn.LET(_xlpm.v, IFERROR(VLOOKUP($A1535, manifest!$A:$E, 5, FALSE), ""), IF(OR(_xlpm.v=0, _xlpm.v=""), "", _xlpm.v))</f>
        <v>male</v>
      </c>
    </row>
    <row r="1536" spans="1:9" x14ac:dyDescent="0.6">
      <c r="A1536">
        <v>331</v>
      </c>
      <c r="B1536" t="s">
        <v>14</v>
      </c>
      <c r="C1536" t="s">
        <v>13</v>
      </c>
      <c r="D1536">
        <v>178.11</v>
      </c>
      <c r="E1536">
        <v>138.36000000000001</v>
      </c>
      <c r="F1536">
        <v>54565</v>
      </c>
      <c r="H1536">
        <f>_xlfn.LET(_xlpm.v, IFERROR(VLOOKUP($A1536, manifest!$A:$E, 3, FALSE), ""), IF(OR(_xlpm.v=0, _xlpm.v=""), "", _xlpm.v))</f>
        <v>51</v>
      </c>
      <c r="I1536" t="str">
        <f>_xlfn.LET(_xlpm.v, IFERROR(VLOOKUP($A1536, manifest!$A:$E, 5, FALSE), ""), IF(OR(_xlpm.v=0, _xlpm.v=""), "", _xlpm.v))</f>
        <v>male</v>
      </c>
    </row>
    <row r="1537" spans="1:9" x14ac:dyDescent="0.6">
      <c r="A1537">
        <v>332</v>
      </c>
      <c r="B1537" t="s">
        <v>14</v>
      </c>
      <c r="C1537" t="s">
        <v>8</v>
      </c>
      <c r="D1537">
        <v>157.08000000000001</v>
      </c>
      <c r="E1537">
        <v>157.44999999999999</v>
      </c>
      <c r="F1537">
        <v>29426</v>
      </c>
      <c r="G1537" t="s">
        <v>15</v>
      </c>
      <c r="H1537">
        <f>_xlfn.LET(_xlpm.v, IFERROR(VLOOKUP($A1537, manifest!$A:$E, 3, FALSE), ""), IF(OR(_xlpm.v=0, _xlpm.v=""), "", _xlpm.v))</f>
        <v>54</v>
      </c>
      <c r="I1537" t="str">
        <f>_xlfn.LET(_xlpm.v, IFERROR(VLOOKUP($A1537, manifest!$A:$E, 5, FALSE), ""), IF(OR(_xlpm.v=0, _xlpm.v=""), "", _xlpm.v))</f>
        <v>female</v>
      </c>
    </row>
    <row r="1538" spans="1:9" x14ac:dyDescent="0.6">
      <c r="A1538">
        <v>332</v>
      </c>
      <c r="B1538" t="s">
        <v>14</v>
      </c>
      <c r="C1538" t="s">
        <v>10</v>
      </c>
      <c r="D1538">
        <v>170.22</v>
      </c>
      <c r="E1538">
        <v>178.72</v>
      </c>
      <c r="F1538">
        <v>31999</v>
      </c>
      <c r="H1538">
        <f>_xlfn.LET(_xlpm.v, IFERROR(VLOOKUP($A1538, manifest!$A:$E, 3, FALSE), ""), IF(OR(_xlpm.v=0, _xlpm.v=""), "", _xlpm.v))</f>
        <v>54</v>
      </c>
      <c r="I1538" t="str">
        <f>_xlfn.LET(_xlpm.v, IFERROR(VLOOKUP($A1538, manifest!$A:$E, 5, FALSE), ""), IF(OR(_xlpm.v=0, _xlpm.v=""), "", _xlpm.v))</f>
        <v>female</v>
      </c>
    </row>
    <row r="1539" spans="1:9" x14ac:dyDescent="0.6">
      <c r="A1539">
        <v>332</v>
      </c>
      <c r="B1539" t="s">
        <v>14</v>
      </c>
      <c r="C1539" t="s">
        <v>11</v>
      </c>
      <c r="D1539">
        <v>164.28</v>
      </c>
      <c r="E1539">
        <v>156.28</v>
      </c>
      <c r="F1539">
        <v>35182</v>
      </c>
      <c r="H1539">
        <f>_xlfn.LET(_xlpm.v, IFERROR(VLOOKUP($A1539, manifest!$A:$E, 3, FALSE), ""), IF(OR(_xlpm.v=0, _xlpm.v=""), "", _xlpm.v))</f>
        <v>54</v>
      </c>
      <c r="I1539" t="str">
        <f>_xlfn.LET(_xlpm.v, IFERROR(VLOOKUP($A1539, manifest!$A:$E, 5, FALSE), ""), IF(OR(_xlpm.v=0, _xlpm.v=""), "", _xlpm.v))</f>
        <v>female</v>
      </c>
    </row>
    <row r="1540" spans="1:9" x14ac:dyDescent="0.6">
      <c r="A1540">
        <v>332</v>
      </c>
      <c r="B1540" t="s">
        <v>14</v>
      </c>
      <c r="C1540" t="s">
        <v>12</v>
      </c>
      <c r="D1540">
        <v>188.81</v>
      </c>
      <c r="E1540">
        <v>152.47</v>
      </c>
      <c r="F1540">
        <v>45584</v>
      </c>
      <c r="H1540">
        <f>_xlfn.LET(_xlpm.v, IFERROR(VLOOKUP($A1540, manifest!$A:$E, 3, FALSE), ""), IF(OR(_xlpm.v=0, _xlpm.v=""), "", _xlpm.v))</f>
        <v>54</v>
      </c>
      <c r="I1540" t="str">
        <f>_xlfn.LET(_xlpm.v, IFERROR(VLOOKUP($A1540, manifest!$A:$E, 5, FALSE), ""), IF(OR(_xlpm.v=0, _xlpm.v=""), "", _xlpm.v))</f>
        <v>female</v>
      </c>
    </row>
    <row r="1541" spans="1:9" x14ac:dyDescent="0.6">
      <c r="A1541">
        <v>332</v>
      </c>
      <c r="B1541" t="s">
        <v>14</v>
      </c>
      <c r="C1541" t="s">
        <v>13</v>
      </c>
      <c r="D1541">
        <v>200.34</v>
      </c>
      <c r="E1541">
        <v>179.45</v>
      </c>
      <c r="F1541">
        <v>44627</v>
      </c>
      <c r="H1541">
        <f>_xlfn.LET(_xlpm.v, IFERROR(VLOOKUP($A1541, manifest!$A:$E, 3, FALSE), ""), IF(OR(_xlpm.v=0, _xlpm.v=""), "", _xlpm.v))</f>
        <v>54</v>
      </c>
      <c r="I1541" t="str">
        <f>_xlfn.LET(_xlpm.v, IFERROR(VLOOKUP($A1541, manifest!$A:$E, 5, FALSE), ""), IF(OR(_xlpm.v=0, _xlpm.v=""), "", _xlpm.v))</f>
        <v>female</v>
      </c>
    </row>
    <row r="1542" spans="1:9" x14ac:dyDescent="0.6">
      <c r="A1542">
        <v>320</v>
      </c>
      <c r="B1542" t="s">
        <v>14</v>
      </c>
      <c r="C1542" t="s">
        <v>8</v>
      </c>
      <c r="D1542">
        <v>245.47</v>
      </c>
      <c r="E1542">
        <v>164.34</v>
      </c>
      <c r="F1542">
        <v>24789</v>
      </c>
      <c r="G1542" t="s">
        <v>9</v>
      </c>
      <c r="H1542">
        <f>_xlfn.LET(_xlpm.v, IFERROR(VLOOKUP($A1542, manifest!$A:$E, 3, FALSE), ""), IF(OR(_xlpm.v=0, _xlpm.v=""), "", _xlpm.v))</f>
        <v>54</v>
      </c>
      <c r="I1542" t="str">
        <f>_xlfn.LET(_xlpm.v, IFERROR(VLOOKUP($A1542, manifest!$A:$E, 5, FALSE), ""), IF(OR(_xlpm.v=0, _xlpm.v=""), "", _xlpm.v))</f>
        <v>male</v>
      </c>
    </row>
    <row r="1543" spans="1:9" x14ac:dyDescent="0.6">
      <c r="A1543">
        <v>320</v>
      </c>
      <c r="B1543" t="s">
        <v>14</v>
      </c>
      <c r="C1543" t="s">
        <v>10</v>
      </c>
      <c r="D1543">
        <v>273.31</v>
      </c>
      <c r="E1543">
        <v>221.64</v>
      </c>
      <c r="F1543">
        <v>26754</v>
      </c>
      <c r="H1543">
        <f>_xlfn.LET(_xlpm.v, IFERROR(VLOOKUP($A1543, manifest!$A:$E, 3, FALSE), ""), IF(OR(_xlpm.v=0, _xlpm.v=""), "", _xlpm.v))</f>
        <v>54</v>
      </c>
      <c r="I1543" t="str">
        <f>_xlfn.LET(_xlpm.v, IFERROR(VLOOKUP($A1543, manifest!$A:$E, 5, FALSE), ""), IF(OR(_xlpm.v=0, _xlpm.v=""), "", _xlpm.v))</f>
        <v>male</v>
      </c>
    </row>
    <row r="1544" spans="1:9" x14ac:dyDescent="0.6">
      <c r="A1544">
        <v>320</v>
      </c>
      <c r="B1544" t="s">
        <v>14</v>
      </c>
      <c r="C1544" t="s">
        <v>11</v>
      </c>
      <c r="D1544">
        <v>269.95999999999998</v>
      </c>
      <c r="E1544">
        <v>206.71</v>
      </c>
      <c r="F1544">
        <v>28150</v>
      </c>
      <c r="H1544">
        <f>_xlfn.LET(_xlpm.v, IFERROR(VLOOKUP($A1544, manifest!$A:$E, 3, FALSE), ""), IF(OR(_xlpm.v=0, _xlpm.v=""), "", _xlpm.v))</f>
        <v>54</v>
      </c>
      <c r="I1544" t="str">
        <f>_xlfn.LET(_xlpm.v, IFERROR(VLOOKUP($A1544, manifest!$A:$E, 5, FALSE), ""), IF(OR(_xlpm.v=0, _xlpm.v=""), "", _xlpm.v))</f>
        <v>male</v>
      </c>
    </row>
    <row r="1545" spans="1:9" x14ac:dyDescent="0.6">
      <c r="A1545">
        <v>320</v>
      </c>
      <c r="B1545" t="s">
        <v>14</v>
      </c>
      <c r="C1545" t="s">
        <v>12</v>
      </c>
      <c r="D1545">
        <v>261.14999999999998</v>
      </c>
      <c r="E1545">
        <v>208.38</v>
      </c>
      <c r="F1545">
        <v>31525</v>
      </c>
      <c r="H1545">
        <f>_xlfn.LET(_xlpm.v, IFERROR(VLOOKUP($A1545, manifest!$A:$E, 3, FALSE), ""), IF(OR(_xlpm.v=0, _xlpm.v=""), "", _xlpm.v))</f>
        <v>54</v>
      </c>
      <c r="I1545" t="str">
        <f>_xlfn.LET(_xlpm.v, IFERROR(VLOOKUP($A1545, manifest!$A:$E, 5, FALSE), ""), IF(OR(_xlpm.v=0, _xlpm.v=""), "", _xlpm.v))</f>
        <v>male</v>
      </c>
    </row>
    <row r="1546" spans="1:9" x14ac:dyDescent="0.6">
      <c r="A1546">
        <v>320</v>
      </c>
      <c r="B1546" t="s">
        <v>14</v>
      </c>
      <c r="C1546" t="s">
        <v>13</v>
      </c>
      <c r="D1546">
        <v>263.02999999999997</v>
      </c>
      <c r="E1546">
        <v>207.72</v>
      </c>
      <c r="F1546">
        <v>40503</v>
      </c>
      <c r="H1546">
        <f>_xlfn.LET(_xlpm.v, IFERROR(VLOOKUP($A1546, manifest!$A:$E, 3, FALSE), ""), IF(OR(_xlpm.v=0, _xlpm.v=""), "", _xlpm.v))</f>
        <v>54</v>
      </c>
      <c r="I1546" t="str">
        <f>_xlfn.LET(_xlpm.v, IFERROR(VLOOKUP($A1546, manifest!$A:$E, 5, FALSE), ""), IF(OR(_xlpm.v=0, _xlpm.v=""), "", _xlpm.v))</f>
        <v>male</v>
      </c>
    </row>
    <row r="1547" spans="1:9" x14ac:dyDescent="0.6">
      <c r="A1547">
        <v>304</v>
      </c>
      <c r="B1547" t="s">
        <v>7</v>
      </c>
      <c r="C1547" t="s">
        <v>8</v>
      </c>
      <c r="D1547">
        <v>180.38</v>
      </c>
      <c r="E1547">
        <v>105.12</v>
      </c>
      <c r="F1547">
        <v>26523</v>
      </c>
      <c r="G1547" t="s">
        <v>9</v>
      </c>
      <c r="H1547">
        <f>_xlfn.LET(_xlpm.v, IFERROR(VLOOKUP($A1547, manifest!$A:$E, 3, FALSE), ""), IF(OR(_xlpm.v=0, _xlpm.v=""), "", _xlpm.v))</f>
        <v>52</v>
      </c>
      <c r="I1547" t="str">
        <f>_xlfn.LET(_xlpm.v, IFERROR(VLOOKUP($A1547, manifest!$A:$E, 5, FALSE), ""), IF(OR(_xlpm.v=0, _xlpm.v=""), "", _xlpm.v))</f>
        <v>female</v>
      </c>
    </row>
    <row r="1548" spans="1:9" x14ac:dyDescent="0.6">
      <c r="A1548">
        <v>304</v>
      </c>
      <c r="B1548" t="s">
        <v>7</v>
      </c>
      <c r="C1548" t="s">
        <v>10</v>
      </c>
      <c r="D1548">
        <v>198.03</v>
      </c>
      <c r="E1548">
        <v>154.31</v>
      </c>
      <c r="F1548">
        <v>28580</v>
      </c>
      <c r="H1548">
        <f>_xlfn.LET(_xlpm.v, IFERROR(VLOOKUP($A1548, manifest!$A:$E, 3, FALSE), ""), IF(OR(_xlpm.v=0, _xlpm.v=""), "", _xlpm.v))</f>
        <v>52</v>
      </c>
      <c r="I1548" t="str">
        <f>_xlfn.LET(_xlpm.v, IFERROR(VLOOKUP($A1548, manifest!$A:$E, 5, FALSE), ""), IF(OR(_xlpm.v=0, _xlpm.v=""), "", _xlpm.v))</f>
        <v>female</v>
      </c>
    </row>
    <row r="1549" spans="1:9" x14ac:dyDescent="0.6">
      <c r="A1549">
        <v>304</v>
      </c>
      <c r="B1549" t="s">
        <v>7</v>
      </c>
      <c r="C1549" t="s">
        <v>11</v>
      </c>
      <c r="D1549">
        <v>190.33</v>
      </c>
      <c r="E1549">
        <v>144.81</v>
      </c>
      <c r="F1549">
        <v>32231</v>
      </c>
      <c r="H1549">
        <f>_xlfn.LET(_xlpm.v, IFERROR(VLOOKUP($A1549, manifest!$A:$E, 3, FALSE), ""), IF(OR(_xlpm.v=0, _xlpm.v=""), "", _xlpm.v))</f>
        <v>52</v>
      </c>
      <c r="I1549" t="str">
        <f>_xlfn.LET(_xlpm.v, IFERROR(VLOOKUP($A1549, manifest!$A:$E, 5, FALSE), ""), IF(OR(_xlpm.v=0, _xlpm.v=""), "", _xlpm.v))</f>
        <v>female</v>
      </c>
    </row>
    <row r="1550" spans="1:9" x14ac:dyDescent="0.6">
      <c r="A1550">
        <v>304</v>
      </c>
      <c r="B1550" t="s">
        <v>7</v>
      </c>
      <c r="C1550" t="s">
        <v>12</v>
      </c>
      <c r="D1550">
        <v>198.87</v>
      </c>
      <c r="E1550">
        <v>163.28</v>
      </c>
      <c r="F1550">
        <v>34893</v>
      </c>
      <c r="H1550">
        <f>_xlfn.LET(_xlpm.v, IFERROR(VLOOKUP($A1550, manifest!$A:$E, 3, FALSE), ""), IF(OR(_xlpm.v=0, _xlpm.v=""), "", _xlpm.v))</f>
        <v>52</v>
      </c>
      <c r="I1550" t="str">
        <f>_xlfn.LET(_xlpm.v, IFERROR(VLOOKUP($A1550, manifest!$A:$E, 5, FALSE), ""), IF(OR(_xlpm.v=0, _xlpm.v=""), "", _xlpm.v))</f>
        <v>female</v>
      </c>
    </row>
    <row r="1551" spans="1:9" x14ac:dyDescent="0.6">
      <c r="A1551">
        <v>304</v>
      </c>
      <c r="B1551" t="s">
        <v>7</v>
      </c>
      <c r="C1551" t="s">
        <v>13</v>
      </c>
      <c r="D1551">
        <v>204.86</v>
      </c>
      <c r="E1551">
        <v>152.69999999999999</v>
      </c>
      <c r="F1551">
        <v>44152</v>
      </c>
      <c r="H1551">
        <f>_xlfn.LET(_xlpm.v, IFERROR(VLOOKUP($A1551, manifest!$A:$E, 3, FALSE), ""), IF(OR(_xlpm.v=0, _xlpm.v=""), "", _xlpm.v))</f>
        <v>52</v>
      </c>
      <c r="I1551" t="str">
        <f>_xlfn.LET(_xlpm.v, IFERROR(VLOOKUP($A1551, manifest!$A:$E, 5, FALSE), ""), IF(OR(_xlpm.v=0, _xlpm.v=""), "", _xlpm.v))</f>
        <v>female</v>
      </c>
    </row>
    <row r="1552" spans="1:9" x14ac:dyDescent="0.6">
      <c r="A1552">
        <v>314</v>
      </c>
      <c r="B1552" t="s">
        <v>7</v>
      </c>
      <c r="C1552" t="s">
        <v>8</v>
      </c>
      <c r="D1552">
        <v>159.52000000000001</v>
      </c>
      <c r="E1552">
        <v>153.21</v>
      </c>
      <c r="F1552">
        <v>20183</v>
      </c>
      <c r="G1552" t="s">
        <v>15</v>
      </c>
      <c r="H1552">
        <f>_xlfn.LET(_xlpm.v, IFERROR(VLOOKUP($A1552, manifest!$A:$E, 3, FALSE), ""), IF(OR(_xlpm.v=0, _xlpm.v=""), "", _xlpm.v))</f>
        <v>61</v>
      </c>
      <c r="I1552" t="str">
        <f>_xlfn.LET(_xlpm.v, IFERROR(VLOOKUP($A1552, manifest!$A:$E, 5, FALSE), ""), IF(OR(_xlpm.v=0, _xlpm.v=""), "", _xlpm.v))</f>
        <v>female</v>
      </c>
    </row>
    <row r="1553" spans="1:9" x14ac:dyDescent="0.6">
      <c r="A1553">
        <v>314</v>
      </c>
      <c r="B1553" t="s">
        <v>7</v>
      </c>
      <c r="C1553" t="s">
        <v>10</v>
      </c>
      <c r="D1553">
        <v>173.1</v>
      </c>
      <c r="E1553">
        <v>179.32</v>
      </c>
      <c r="F1553">
        <v>21215</v>
      </c>
      <c r="H1553">
        <f>_xlfn.LET(_xlpm.v, IFERROR(VLOOKUP($A1553, manifest!$A:$E, 3, FALSE), ""), IF(OR(_xlpm.v=0, _xlpm.v=""), "", _xlpm.v))</f>
        <v>61</v>
      </c>
      <c r="I1553" t="str">
        <f>_xlfn.LET(_xlpm.v, IFERROR(VLOOKUP($A1553, manifest!$A:$E, 5, FALSE), ""), IF(OR(_xlpm.v=0, _xlpm.v=""), "", _xlpm.v))</f>
        <v>female</v>
      </c>
    </row>
    <row r="1554" spans="1:9" x14ac:dyDescent="0.6">
      <c r="A1554">
        <v>314</v>
      </c>
      <c r="B1554" t="s">
        <v>7</v>
      </c>
      <c r="C1554" t="s">
        <v>11</v>
      </c>
      <c r="D1554">
        <v>168.68</v>
      </c>
      <c r="E1554">
        <v>189.6</v>
      </c>
      <c r="F1554">
        <v>25918</v>
      </c>
      <c r="H1554">
        <f>_xlfn.LET(_xlpm.v, IFERROR(VLOOKUP($A1554, manifest!$A:$E, 3, FALSE), ""), IF(OR(_xlpm.v=0, _xlpm.v=""), "", _xlpm.v))</f>
        <v>61</v>
      </c>
      <c r="I1554" t="str">
        <f>_xlfn.LET(_xlpm.v, IFERROR(VLOOKUP($A1554, manifest!$A:$E, 5, FALSE), ""), IF(OR(_xlpm.v=0, _xlpm.v=""), "", _xlpm.v))</f>
        <v>female</v>
      </c>
    </row>
    <row r="1555" spans="1:9" x14ac:dyDescent="0.6">
      <c r="A1555">
        <v>314</v>
      </c>
      <c r="B1555" t="s">
        <v>7</v>
      </c>
      <c r="C1555" t="s">
        <v>12</v>
      </c>
      <c r="D1555">
        <v>171.21</v>
      </c>
      <c r="E1555">
        <v>179.19</v>
      </c>
      <c r="F1555">
        <v>26828</v>
      </c>
      <c r="H1555">
        <f>_xlfn.LET(_xlpm.v, IFERROR(VLOOKUP($A1555, manifest!$A:$E, 3, FALSE), ""), IF(OR(_xlpm.v=0, _xlpm.v=""), "", _xlpm.v))</f>
        <v>61</v>
      </c>
      <c r="I1555" t="str">
        <f>_xlfn.LET(_xlpm.v, IFERROR(VLOOKUP($A1555, manifest!$A:$E, 5, FALSE), ""), IF(OR(_xlpm.v=0, _xlpm.v=""), "", _xlpm.v))</f>
        <v>female</v>
      </c>
    </row>
    <row r="1556" spans="1:9" x14ac:dyDescent="0.6">
      <c r="A1556">
        <v>314</v>
      </c>
      <c r="B1556" t="s">
        <v>7</v>
      </c>
      <c r="C1556" t="s">
        <v>13</v>
      </c>
      <c r="D1556">
        <v>174.62</v>
      </c>
      <c r="E1556">
        <v>179.47</v>
      </c>
      <c r="F1556">
        <v>33039</v>
      </c>
      <c r="H1556">
        <f>_xlfn.LET(_xlpm.v, IFERROR(VLOOKUP($A1556, manifest!$A:$E, 3, FALSE), ""), IF(OR(_xlpm.v=0, _xlpm.v=""), "", _xlpm.v))</f>
        <v>61</v>
      </c>
      <c r="I1556" t="str">
        <f>_xlfn.LET(_xlpm.v, IFERROR(VLOOKUP($A1556, manifest!$A:$E, 5, FALSE), ""), IF(OR(_xlpm.v=0, _xlpm.v=""), "", _xlpm.v))</f>
        <v>female</v>
      </c>
    </row>
    <row r="1557" spans="1:9" x14ac:dyDescent="0.6">
      <c r="A1557">
        <v>333</v>
      </c>
      <c r="B1557" t="s">
        <v>14</v>
      </c>
      <c r="C1557" t="s">
        <v>8</v>
      </c>
      <c r="D1557">
        <v>193.24</v>
      </c>
      <c r="E1557">
        <v>101.81</v>
      </c>
      <c r="F1557">
        <v>17342</v>
      </c>
      <c r="G1557" t="s">
        <v>9</v>
      </c>
      <c r="H1557">
        <f>_xlfn.LET(_xlpm.v, IFERROR(VLOOKUP($A1557, manifest!$A:$E, 3, FALSE), ""), IF(OR(_xlpm.v=0, _xlpm.v=""), "", _xlpm.v))</f>
        <v>58</v>
      </c>
      <c r="I1557" t="str">
        <f>_xlfn.LET(_xlpm.v, IFERROR(VLOOKUP($A1557, manifest!$A:$E, 5, FALSE), ""), IF(OR(_xlpm.v=0, _xlpm.v=""), "", _xlpm.v))</f>
        <v>female</v>
      </c>
    </row>
    <row r="1558" spans="1:9" x14ac:dyDescent="0.6">
      <c r="A1558">
        <v>333</v>
      </c>
      <c r="B1558" t="s">
        <v>14</v>
      </c>
      <c r="C1558" t="s">
        <v>10</v>
      </c>
      <c r="D1558">
        <v>223.78</v>
      </c>
      <c r="E1558">
        <v>142.71</v>
      </c>
      <c r="F1558">
        <v>23299</v>
      </c>
      <c r="H1558">
        <f>_xlfn.LET(_xlpm.v, IFERROR(VLOOKUP($A1558, manifest!$A:$E, 3, FALSE), ""), IF(OR(_xlpm.v=0, _xlpm.v=""), "", _xlpm.v))</f>
        <v>58</v>
      </c>
      <c r="I1558" t="str">
        <f>_xlfn.LET(_xlpm.v, IFERROR(VLOOKUP($A1558, manifest!$A:$E, 5, FALSE), ""), IF(OR(_xlpm.v=0, _xlpm.v=""), "", _xlpm.v))</f>
        <v>female</v>
      </c>
    </row>
    <row r="1559" spans="1:9" x14ac:dyDescent="0.6">
      <c r="A1559">
        <v>333</v>
      </c>
      <c r="B1559" t="s">
        <v>14</v>
      </c>
      <c r="C1559" t="s">
        <v>11</v>
      </c>
      <c r="D1559">
        <v>216.14</v>
      </c>
      <c r="E1559">
        <v>140.69999999999999</v>
      </c>
      <c r="F1559">
        <v>26495</v>
      </c>
      <c r="H1559">
        <f>_xlfn.LET(_xlpm.v, IFERROR(VLOOKUP($A1559, manifest!$A:$E, 3, FALSE), ""), IF(OR(_xlpm.v=0, _xlpm.v=""), "", _xlpm.v))</f>
        <v>58</v>
      </c>
      <c r="I1559" t="str">
        <f>_xlfn.LET(_xlpm.v, IFERROR(VLOOKUP($A1559, manifest!$A:$E, 5, FALSE), ""), IF(OR(_xlpm.v=0, _xlpm.v=""), "", _xlpm.v))</f>
        <v>female</v>
      </c>
    </row>
    <row r="1560" spans="1:9" x14ac:dyDescent="0.6">
      <c r="A1560">
        <v>333</v>
      </c>
      <c r="B1560" t="s">
        <v>14</v>
      </c>
      <c r="C1560" t="s">
        <v>12</v>
      </c>
      <c r="D1560">
        <v>223.54</v>
      </c>
      <c r="E1560">
        <v>140.38999999999999</v>
      </c>
      <c r="F1560">
        <v>33712</v>
      </c>
      <c r="H1560">
        <f>_xlfn.LET(_xlpm.v, IFERROR(VLOOKUP($A1560, manifest!$A:$E, 3, FALSE), ""), IF(OR(_xlpm.v=0, _xlpm.v=""), "", _xlpm.v))</f>
        <v>58</v>
      </c>
      <c r="I1560" t="str">
        <f>_xlfn.LET(_xlpm.v, IFERROR(VLOOKUP($A1560, manifest!$A:$E, 5, FALSE), ""), IF(OR(_xlpm.v=0, _xlpm.v=""), "", _xlpm.v))</f>
        <v>female</v>
      </c>
    </row>
    <row r="1561" spans="1:9" x14ac:dyDescent="0.6">
      <c r="A1561">
        <v>333</v>
      </c>
      <c r="B1561" t="s">
        <v>14</v>
      </c>
      <c r="C1561" t="s">
        <v>13</v>
      </c>
      <c r="D1561">
        <v>229.06</v>
      </c>
      <c r="E1561">
        <v>132.22999999999999</v>
      </c>
      <c r="F1561">
        <v>37697</v>
      </c>
      <c r="H1561">
        <f>_xlfn.LET(_xlpm.v, IFERROR(VLOOKUP($A1561, manifest!$A:$E, 3, FALSE), ""), IF(OR(_xlpm.v=0, _xlpm.v=""), "", _xlpm.v))</f>
        <v>58</v>
      </c>
      <c r="I1561" t="str">
        <f>_xlfn.LET(_xlpm.v, IFERROR(VLOOKUP($A1561, manifest!$A:$E, 5, FALSE), ""), IF(OR(_xlpm.v=0, _xlpm.v=""), "", _xlpm.v))</f>
        <v>female</v>
      </c>
    </row>
    <row r="1562" spans="1:9" x14ac:dyDescent="0.6">
      <c r="A1562">
        <v>322</v>
      </c>
      <c r="B1562" t="s">
        <v>7</v>
      </c>
      <c r="C1562" t="s">
        <v>8</v>
      </c>
      <c r="D1562">
        <v>257.45999999999998</v>
      </c>
      <c r="E1562">
        <v>187.96</v>
      </c>
      <c r="F1562">
        <v>26735</v>
      </c>
      <c r="G1562" t="s">
        <v>9</v>
      </c>
      <c r="H1562">
        <f>_xlfn.LET(_xlpm.v, IFERROR(VLOOKUP($A1562, manifest!$A:$E, 3, FALSE), ""), IF(OR(_xlpm.v=0, _xlpm.v=""), "", _xlpm.v))</f>
        <v>89</v>
      </c>
      <c r="I1562" t="str">
        <f>_xlfn.LET(_xlpm.v, IFERROR(VLOOKUP($A1562, manifest!$A:$E, 5, FALSE), ""), IF(OR(_xlpm.v=0, _xlpm.v=""), "", _xlpm.v))</f>
        <v/>
      </c>
    </row>
    <row r="1563" spans="1:9" x14ac:dyDescent="0.6">
      <c r="A1563">
        <v>322</v>
      </c>
      <c r="B1563" t="s">
        <v>7</v>
      </c>
      <c r="C1563" t="s">
        <v>10</v>
      </c>
      <c r="D1563">
        <v>278.66000000000003</v>
      </c>
      <c r="E1563">
        <v>213.87</v>
      </c>
      <c r="F1563">
        <v>29600</v>
      </c>
      <c r="H1563">
        <f>_xlfn.LET(_xlpm.v, IFERROR(VLOOKUP($A1563, manifest!$A:$E, 3, FALSE), ""), IF(OR(_xlpm.v=0, _xlpm.v=""), "", _xlpm.v))</f>
        <v>89</v>
      </c>
      <c r="I1563" t="str">
        <f>_xlfn.LET(_xlpm.v, IFERROR(VLOOKUP($A1563, manifest!$A:$E, 5, FALSE), ""), IF(OR(_xlpm.v=0, _xlpm.v=""), "", _xlpm.v))</f>
        <v/>
      </c>
    </row>
    <row r="1564" spans="1:9" x14ac:dyDescent="0.6">
      <c r="A1564">
        <v>322</v>
      </c>
      <c r="B1564" t="s">
        <v>7</v>
      </c>
      <c r="C1564" t="s">
        <v>11</v>
      </c>
      <c r="D1564">
        <v>283.99</v>
      </c>
      <c r="E1564">
        <v>239.58</v>
      </c>
      <c r="F1564">
        <v>38150</v>
      </c>
      <c r="H1564">
        <f>_xlfn.LET(_xlpm.v, IFERROR(VLOOKUP($A1564, manifest!$A:$E, 3, FALSE), ""), IF(OR(_xlpm.v=0, _xlpm.v=""), "", _xlpm.v))</f>
        <v>89</v>
      </c>
      <c r="I1564" t="str">
        <f>_xlfn.LET(_xlpm.v, IFERROR(VLOOKUP($A1564, manifest!$A:$E, 5, FALSE), ""), IF(OR(_xlpm.v=0, _xlpm.v=""), "", _xlpm.v))</f>
        <v/>
      </c>
    </row>
    <row r="1565" spans="1:9" x14ac:dyDescent="0.6">
      <c r="A1565">
        <v>322</v>
      </c>
      <c r="B1565" t="s">
        <v>7</v>
      </c>
      <c r="C1565" t="s">
        <v>12</v>
      </c>
      <c r="D1565">
        <v>290.29000000000002</v>
      </c>
      <c r="E1565">
        <v>232.28</v>
      </c>
      <c r="F1565">
        <v>40405</v>
      </c>
      <c r="H1565">
        <f>_xlfn.LET(_xlpm.v, IFERROR(VLOOKUP($A1565, manifest!$A:$E, 3, FALSE), ""), IF(OR(_xlpm.v=0, _xlpm.v=""), "", _xlpm.v))</f>
        <v>89</v>
      </c>
      <c r="I1565" t="str">
        <f>_xlfn.LET(_xlpm.v, IFERROR(VLOOKUP($A1565, manifest!$A:$E, 5, FALSE), ""), IF(OR(_xlpm.v=0, _xlpm.v=""), "", _xlpm.v))</f>
        <v/>
      </c>
    </row>
    <row r="1566" spans="1:9" x14ac:dyDescent="0.6">
      <c r="A1566">
        <v>322</v>
      </c>
      <c r="B1566" t="s">
        <v>7</v>
      </c>
      <c r="C1566" t="s">
        <v>13</v>
      </c>
      <c r="D1566">
        <v>287.18</v>
      </c>
      <c r="E1566">
        <v>206.98</v>
      </c>
      <c r="F1566">
        <v>49168</v>
      </c>
      <c r="H1566">
        <f>_xlfn.LET(_xlpm.v, IFERROR(VLOOKUP($A1566, manifest!$A:$E, 3, FALSE), ""), IF(OR(_xlpm.v=0, _xlpm.v=""), "", _xlpm.v))</f>
        <v>89</v>
      </c>
      <c r="I1566" t="str">
        <f>_xlfn.LET(_xlpm.v, IFERROR(VLOOKUP($A1566, manifest!$A:$E, 5, FALSE), ""), IF(OR(_xlpm.v=0, _xlpm.v=""), "", _xlpm.v))</f>
        <v/>
      </c>
    </row>
    <row r="1567" spans="1:9" x14ac:dyDescent="0.6">
      <c r="A1567">
        <v>343</v>
      </c>
      <c r="B1567" t="s">
        <v>14</v>
      </c>
      <c r="C1567" t="s">
        <v>8</v>
      </c>
      <c r="D1567">
        <v>137.82</v>
      </c>
      <c r="E1567">
        <v>152.54</v>
      </c>
      <c r="F1567">
        <v>32131</v>
      </c>
      <c r="G1567" t="s">
        <v>15</v>
      </c>
      <c r="H1567">
        <f>_xlfn.LET(_xlpm.v, IFERROR(VLOOKUP($A1567, manifest!$A:$E, 3, FALSE), ""), IF(OR(_xlpm.v=0, _xlpm.v=""), "", _xlpm.v))</f>
        <v>66</v>
      </c>
      <c r="I1567" t="str">
        <f>_xlfn.LET(_xlpm.v, IFERROR(VLOOKUP($A1567, manifest!$A:$E, 5, FALSE), ""), IF(OR(_xlpm.v=0, _xlpm.v=""), "", _xlpm.v))</f>
        <v>female</v>
      </c>
    </row>
    <row r="1568" spans="1:9" x14ac:dyDescent="0.6">
      <c r="A1568">
        <v>343</v>
      </c>
      <c r="B1568" t="s">
        <v>14</v>
      </c>
      <c r="C1568" t="s">
        <v>10</v>
      </c>
      <c r="D1568">
        <v>145.69</v>
      </c>
      <c r="E1568">
        <v>179.77</v>
      </c>
      <c r="F1568">
        <v>37187</v>
      </c>
      <c r="H1568">
        <f>_xlfn.LET(_xlpm.v, IFERROR(VLOOKUP($A1568, manifest!$A:$E, 3, FALSE), ""), IF(OR(_xlpm.v=0, _xlpm.v=""), "", _xlpm.v))</f>
        <v>66</v>
      </c>
      <c r="I1568" t="str">
        <f>_xlfn.LET(_xlpm.v, IFERROR(VLOOKUP($A1568, manifest!$A:$E, 5, FALSE), ""), IF(OR(_xlpm.v=0, _xlpm.v=""), "", _xlpm.v))</f>
        <v>female</v>
      </c>
    </row>
    <row r="1569" spans="1:9" x14ac:dyDescent="0.6">
      <c r="A1569">
        <v>343</v>
      </c>
      <c r="B1569" t="s">
        <v>14</v>
      </c>
      <c r="C1569" t="s">
        <v>11</v>
      </c>
      <c r="D1569">
        <v>183.47</v>
      </c>
      <c r="E1569">
        <v>210.92</v>
      </c>
      <c r="F1569">
        <v>38340</v>
      </c>
      <c r="H1569">
        <f>_xlfn.LET(_xlpm.v, IFERROR(VLOOKUP($A1569, manifest!$A:$E, 3, FALSE), ""), IF(OR(_xlpm.v=0, _xlpm.v=""), "", _xlpm.v))</f>
        <v>66</v>
      </c>
      <c r="I1569" t="str">
        <f>_xlfn.LET(_xlpm.v, IFERROR(VLOOKUP($A1569, manifest!$A:$E, 5, FALSE), ""), IF(OR(_xlpm.v=0, _xlpm.v=""), "", _xlpm.v))</f>
        <v>female</v>
      </c>
    </row>
    <row r="1570" spans="1:9" x14ac:dyDescent="0.6">
      <c r="A1570">
        <v>343</v>
      </c>
      <c r="B1570" t="s">
        <v>14</v>
      </c>
      <c r="C1570" t="s">
        <v>12</v>
      </c>
      <c r="D1570">
        <v>153.99</v>
      </c>
      <c r="E1570">
        <v>191.27</v>
      </c>
      <c r="F1570">
        <v>53253</v>
      </c>
      <c r="H1570">
        <f>_xlfn.LET(_xlpm.v, IFERROR(VLOOKUP($A1570, manifest!$A:$E, 3, FALSE), ""), IF(OR(_xlpm.v=0, _xlpm.v=""), "", _xlpm.v))</f>
        <v>66</v>
      </c>
      <c r="I1570" t="str">
        <f>_xlfn.LET(_xlpm.v, IFERROR(VLOOKUP($A1570, manifest!$A:$E, 5, FALSE), ""), IF(OR(_xlpm.v=0, _xlpm.v=""), "", _xlpm.v))</f>
        <v>female</v>
      </c>
    </row>
    <row r="1571" spans="1:9" x14ac:dyDescent="0.6">
      <c r="A1571">
        <v>343</v>
      </c>
      <c r="B1571" t="s">
        <v>14</v>
      </c>
      <c r="C1571" t="s">
        <v>13</v>
      </c>
      <c r="D1571">
        <v>161.53</v>
      </c>
      <c r="E1571">
        <v>170.44</v>
      </c>
      <c r="F1571">
        <v>54767</v>
      </c>
      <c r="H1571">
        <f>_xlfn.LET(_xlpm.v, IFERROR(VLOOKUP($A1571, manifest!$A:$E, 3, FALSE), ""), IF(OR(_xlpm.v=0, _xlpm.v=""), "", _xlpm.v))</f>
        <v>66</v>
      </c>
      <c r="I1571" t="str">
        <f>_xlfn.LET(_xlpm.v, IFERROR(VLOOKUP($A1571, manifest!$A:$E, 5, FALSE), ""), IF(OR(_xlpm.v=0, _xlpm.v=""), "", _xlpm.v))</f>
        <v>female</v>
      </c>
    </row>
    <row r="1572" spans="1:9" x14ac:dyDescent="0.6">
      <c r="A1572">
        <v>328</v>
      </c>
      <c r="B1572" t="s">
        <v>14</v>
      </c>
      <c r="C1572" t="s">
        <v>8</v>
      </c>
      <c r="D1572">
        <v>206.66</v>
      </c>
      <c r="E1572">
        <v>133.55000000000001</v>
      </c>
      <c r="F1572">
        <v>40628</v>
      </c>
      <c r="G1572" t="s">
        <v>9</v>
      </c>
      <c r="H1572">
        <f>_xlfn.LET(_xlpm.v, IFERROR(VLOOKUP($A1572, manifest!$A:$E, 3, FALSE), ""), IF(OR(_xlpm.v=0, _xlpm.v=""), "", _xlpm.v))</f>
        <v>55</v>
      </c>
      <c r="I1572" t="str">
        <f>_xlfn.LET(_xlpm.v, IFERROR(VLOOKUP($A1572, manifest!$A:$E, 5, FALSE), ""), IF(OR(_xlpm.v=0, _xlpm.v=""), "", _xlpm.v))</f>
        <v>male</v>
      </c>
    </row>
    <row r="1573" spans="1:9" x14ac:dyDescent="0.6">
      <c r="A1573">
        <v>328</v>
      </c>
      <c r="B1573" t="s">
        <v>14</v>
      </c>
      <c r="C1573" t="s">
        <v>10</v>
      </c>
      <c r="D1573">
        <v>241.52</v>
      </c>
      <c r="E1573">
        <v>187.42</v>
      </c>
      <c r="F1573">
        <v>41047</v>
      </c>
      <c r="H1573">
        <f>_xlfn.LET(_xlpm.v, IFERROR(VLOOKUP($A1573, manifest!$A:$E, 3, FALSE), ""), IF(OR(_xlpm.v=0, _xlpm.v=""), "", _xlpm.v))</f>
        <v>55</v>
      </c>
      <c r="I1573" t="str">
        <f>_xlfn.LET(_xlpm.v, IFERROR(VLOOKUP($A1573, manifest!$A:$E, 5, FALSE), ""), IF(OR(_xlpm.v=0, _xlpm.v=""), "", _xlpm.v))</f>
        <v>male</v>
      </c>
    </row>
    <row r="1574" spans="1:9" x14ac:dyDescent="0.6">
      <c r="A1574">
        <v>328</v>
      </c>
      <c r="B1574" t="s">
        <v>14</v>
      </c>
      <c r="C1574" t="s">
        <v>11</v>
      </c>
      <c r="D1574">
        <v>240.76</v>
      </c>
      <c r="E1574">
        <v>190.35</v>
      </c>
      <c r="F1574">
        <v>46851</v>
      </c>
      <c r="H1574">
        <f>_xlfn.LET(_xlpm.v, IFERROR(VLOOKUP($A1574, manifest!$A:$E, 3, FALSE), ""), IF(OR(_xlpm.v=0, _xlpm.v=""), "", _xlpm.v))</f>
        <v>55</v>
      </c>
      <c r="I1574" t="str">
        <f>_xlfn.LET(_xlpm.v, IFERROR(VLOOKUP($A1574, manifest!$A:$E, 5, FALSE), ""), IF(OR(_xlpm.v=0, _xlpm.v=""), "", _xlpm.v))</f>
        <v>male</v>
      </c>
    </row>
    <row r="1575" spans="1:9" x14ac:dyDescent="0.6">
      <c r="A1575">
        <v>328</v>
      </c>
      <c r="B1575" t="s">
        <v>14</v>
      </c>
      <c r="C1575" t="s">
        <v>12</v>
      </c>
      <c r="D1575">
        <v>236.45</v>
      </c>
      <c r="E1575">
        <v>182.51</v>
      </c>
      <c r="F1575">
        <v>46474</v>
      </c>
      <c r="H1575">
        <f>_xlfn.LET(_xlpm.v, IFERROR(VLOOKUP($A1575, manifest!$A:$E, 3, FALSE), ""), IF(OR(_xlpm.v=0, _xlpm.v=""), "", _xlpm.v))</f>
        <v>55</v>
      </c>
      <c r="I1575" t="str">
        <f>_xlfn.LET(_xlpm.v, IFERROR(VLOOKUP($A1575, manifest!$A:$E, 5, FALSE), ""), IF(OR(_xlpm.v=0, _xlpm.v=""), "", _xlpm.v))</f>
        <v>male</v>
      </c>
    </row>
    <row r="1576" spans="1:9" x14ac:dyDescent="0.6">
      <c r="A1576">
        <v>328</v>
      </c>
      <c r="B1576" t="s">
        <v>14</v>
      </c>
      <c r="C1576" t="s">
        <v>13</v>
      </c>
      <c r="D1576">
        <v>223.98</v>
      </c>
      <c r="E1576">
        <v>157.27000000000001</v>
      </c>
      <c r="F1576">
        <v>54204</v>
      </c>
      <c r="H1576">
        <f>_xlfn.LET(_xlpm.v, IFERROR(VLOOKUP($A1576, manifest!$A:$E, 3, FALSE), ""), IF(OR(_xlpm.v=0, _xlpm.v=""), "", _xlpm.v))</f>
        <v>55</v>
      </c>
      <c r="I1576" t="str">
        <f>_xlfn.LET(_xlpm.v, IFERROR(VLOOKUP($A1576, manifest!$A:$E, 5, FALSE), ""), IF(OR(_xlpm.v=0, _xlpm.v=""), "", _xlpm.v))</f>
        <v>male</v>
      </c>
    </row>
    <row r="1577" spans="1:9" x14ac:dyDescent="0.6">
      <c r="A1577">
        <v>340</v>
      </c>
      <c r="B1577" t="s">
        <v>14</v>
      </c>
      <c r="C1577" t="s">
        <v>8</v>
      </c>
      <c r="D1577">
        <v>263.95</v>
      </c>
      <c r="E1577">
        <v>221.53</v>
      </c>
      <c r="F1577">
        <v>26766</v>
      </c>
      <c r="G1577" t="s">
        <v>9</v>
      </c>
      <c r="H1577">
        <f>_xlfn.LET(_xlpm.v, IFERROR(VLOOKUP($A1577, manifest!$A:$E, 3, FALSE), ""), IF(OR(_xlpm.v=0, _xlpm.v=""), "", _xlpm.v))</f>
        <v>63</v>
      </c>
      <c r="I1577" t="str">
        <f>_xlfn.LET(_xlpm.v, IFERROR(VLOOKUP($A1577, manifest!$A:$E, 5, FALSE), ""), IF(OR(_xlpm.v=0, _xlpm.v=""), "", _xlpm.v))</f>
        <v>female</v>
      </c>
    </row>
    <row r="1578" spans="1:9" x14ac:dyDescent="0.6">
      <c r="A1578">
        <v>340</v>
      </c>
      <c r="B1578" t="s">
        <v>14</v>
      </c>
      <c r="C1578" t="s">
        <v>10</v>
      </c>
      <c r="D1578">
        <v>264.24</v>
      </c>
      <c r="E1578">
        <v>243.46</v>
      </c>
      <c r="F1578">
        <v>33449</v>
      </c>
      <c r="H1578">
        <f>_xlfn.LET(_xlpm.v, IFERROR(VLOOKUP($A1578, manifest!$A:$E, 3, FALSE), ""), IF(OR(_xlpm.v=0, _xlpm.v=""), "", _xlpm.v))</f>
        <v>63</v>
      </c>
      <c r="I1578" t="str">
        <f>_xlfn.LET(_xlpm.v, IFERROR(VLOOKUP($A1578, manifest!$A:$E, 5, FALSE), ""), IF(OR(_xlpm.v=0, _xlpm.v=""), "", _xlpm.v))</f>
        <v>female</v>
      </c>
    </row>
    <row r="1579" spans="1:9" x14ac:dyDescent="0.6">
      <c r="A1579">
        <v>340</v>
      </c>
      <c r="B1579" t="s">
        <v>14</v>
      </c>
      <c r="C1579" t="s">
        <v>11</v>
      </c>
      <c r="D1579">
        <v>245.85</v>
      </c>
      <c r="E1579">
        <v>238.66</v>
      </c>
      <c r="F1579">
        <v>42425</v>
      </c>
      <c r="H1579">
        <f>_xlfn.LET(_xlpm.v, IFERROR(VLOOKUP($A1579, manifest!$A:$E, 3, FALSE), ""), IF(OR(_xlpm.v=0, _xlpm.v=""), "", _xlpm.v))</f>
        <v>63</v>
      </c>
      <c r="I1579" t="str">
        <f>_xlfn.LET(_xlpm.v, IFERROR(VLOOKUP($A1579, manifest!$A:$E, 5, FALSE), ""), IF(OR(_xlpm.v=0, _xlpm.v=""), "", _xlpm.v))</f>
        <v>female</v>
      </c>
    </row>
    <row r="1580" spans="1:9" x14ac:dyDescent="0.6">
      <c r="A1580">
        <v>340</v>
      </c>
      <c r="B1580" t="s">
        <v>14</v>
      </c>
      <c r="C1580" t="s">
        <v>12</v>
      </c>
      <c r="D1580">
        <v>233.84</v>
      </c>
      <c r="E1580">
        <v>237.06</v>
      </c>
      <c r="F1580">
        <v>52795</v>
      </c>
      <c r="H1580">
        <f>_xlfn.LET(_xlpm.v, IFERROR(VLOOKUP($A1580, manifest!$A:$E, 3, FALSE), ""), IF(OR(_xlpm.v=0, _xlpm.v=""), "", _xlpm.v))</f>
        <v>63</v>
      </c>
      <c r="I1580" t="str">
        <f>_xlfn.LET(_xlpm.v, IFERROR(VLOOKUP($A1580, manifest!$A:$E, 5, FALSE), ""), IF(OR(_xlpm.v=0, _xlpm.v=""), "", _xlpm.v))</f>
        <v>female</v>
      </c>
    </row>
    <row r="1581" spans="1:9" x14ac:dyDescent="0.6">
      <c r="A1581">
        <v>340</v>
      </c>
      <c r="B1581" t="s">
        <v>14</v>
      </c>
      <c r="C1581" t="s">
        <v>13</v>
      </c>
      <c r="D1581">
        <v>268.22000000000003</v>
      </c>
      <c r="E1581">
        <v>277.56</v>
      </c>
      <c r="F1581">
        <v>56123</v>
      </c>
      <c r="H1581">
        <f>_xlfn.LET(_xlpm.v, IFERROR(VLOOKUP($A1581, manifest!$A:$E, 3, FALSE), ""), IF(OR(_xlpm.v=0, _xlpm.v=""), "", _xlpm.v))</f>
        <v>63</v>
      </c>
      <c r="I1581" t="str">
        <f>_xlfn.LET(_xlpm.v, IFERROR(VLOOKUP($A1581, manifest!$A:$E, 5, FALSE), ""), IF(OR(_xlpm.v=0, _xlpm.v=""), "", _xlpm.v))</f>
        <v>female</v>
      </c>
    </row>
    <row r="1582" spans="1:9" x14ac:dyDescent="0.6">
      <c r="A1582">
        <v>351</v>
      </c>
      <c r="B1582" t="s">
        <v>14</v>
      </c>
      <c r="C1582" t="s">
        <v>8</v>
      </c>
      <c r="D1582">
        <v>221.25</v>
      </c>
      <c r="E1582">
        <v>121.65</v>
      </c>
      <c r="F1582">
        <v>27635</v>
      </c>
      <c r="G1582" t="s">
        <v>9</v>
      </c>
      <c r="H1582">
        <f>_xlfn.LET(_xlpm.v, IFERROR(VLOOKUP($A1582, manifest!$A:$E, 3, FALSE), ""), IF(OR(_xlpm.v=0, _xlpm.v=""), "", _xlpm.v))</f>
        <v>50</v>
      </c>
      <c r="I1582" t="str">
        <f>_xlfn.LET(_xlpm.v, IFERROR(VLOOKUP($A1582, manifest!$A:$E, 5, FALSE), ""), IF(OR(_xlpm.v=0, _xlpm.v=""), "", _xlpm.v))</f>
        <v>female</v>
      </c>
    </row>
    <row r="1583" spans="1:9" x14ac:dyDescent="0.6">
      <c r="A1583">
        <v>351</v>
      </c>
      <c r="B1583" t="s">
        <v>14</v>
      </c>
      <c r="C1583" t="s">
        <v>10</v>
      </c>
      <c r="D1583">
        <v>230.08</v>
      </c>
      <c r="E1583">
        <v>129.30000000000001</v>
      </c>
      <c r="F1583">
        <v>30270</v>
      </c>
      <c r="H1583">
        <f>_xlfn.LET(_xlpm.v, IFERROR(VLOOKUP($A1583, manifest!$A:$E, 3, FALSE), ""), IF(OR(_xlpm.v=0, _xlpm.v=""), "", _xlpm.v))</f>
        <v>50</v>
      </c>
      <c r="I1583" t="str">
        <f>_xlfn.LET(_xlpm.v, IFERROR(VLOOKUP($A1583, manifest!$A:$E, 5, FALSE), ""), IF(OR(_xlpm.v=0, _xlpm.v=""), "", _xlpm.v))</f>
        <v>female</v>
      </c>
    </row>
    <row r="1584" spans="1:9" x14ac:dyDescent="0.6">
      <c r="A1584">
        <v>351</v>
      </c>
      <c r="B1584" t="s">
        <v>14</v>
      </c>
      <c r="C1584" t="s">
        <v>11</v>
      </c>
      <c r="D1584">
        <v>250.91</v>
      </c>
      <c r="E1584">
        <v>158.68</v>
      </c>
      <c r="F1584">
        <v>37263</v>
      </c>
      <c r="H1584">
        <f>_xlfn.LET(_xlpm.v, IFERROR(VLOOKUP($A1584, manifest!$A:$E, 3, FALSE), ""), IF(OR(_xlpm.v=0, _xlpm.v=""), "", _xlpm.v))</f>
        <v>50</v>
      </c>
      <c r="I1584" t="str">
        <f>_xlfn.LET(_xlpm.v, IFERROR(VLOOKUP($A1584, manifest!$A:$E, 5, FALSE), ""), IF(OR(_xlpm.v=0, _xlpm.v=""), "", _xlpm.v))</f>
        <v>female</v>
      </c>
    </row>
    <row r="1585" spans="1:9" x14ac:dyDescent="0.6">
      <c r="A1585">
        <v>351</v>
      </c>
      <c r="B1585" t="s">
        <v>14</v>
      </c>
      <c r="C1585" t="s">
        <v>12</v>
      </c>
      <c r="D1585">
        <v>249</v>
      </c>
      <c r="E1585">
        <v>144.12</v>
      </c>
      <c r="F1585">
        <v>46508</v>
      </c>
      <c r="H1585">
        <f>_xlfn.LET(_xlpm.v, IFERROR(VLOOKUP($A1585, manifest!$A:$E, 3, FALSE), ""), IF(OR(_xlpm.v=0, _xlpm.v=""), "", _xlpm.v))</f>
        <v>50</v>
      </c>
      <c r="I1585" t="str">
        <f>_xlfn.LET(_xlpm.v, IFERROR(VLOOKUP($A1585, manifest!$A:$E, 5, FALSE), ""), IF(OR(_xlpm.v=0, _xlpm.v=""), "", _xlpm.v))</f>
        <v>female</v>
      </c>
    </row>
    <row r="1586" spans="1:9" x14ac:dyDescent="0.6">
      <c r="A1586">
        <v>351</v>
      </c>
      <c r="B1586" t="s">
        <v>14</v>
      </c>
      <c r="C1586" t="s">
        <v>13</v>
      </c>
      <c r="D1586">
        <v>227.59</v>
      </c>
      <c r="E1586">
        <v>158.53</v>
      </c>
      <c r="F1586">
        <v>54071</v>
      </c>
      <c r="H1586">
        <f>_xlfn.LET(_xlpm.v, IFERROR(VLOOKUP($A1586, manifest!$A:$E, 3, FALSE), ""), IF(OR(_xlpm.v=0, _xlpm.v=""), "", _xlpm.v))</f>
        <v>50</v>
      </c>
      <c r="I1586" t="str">
        <f>_xlfn.LET(_xlpm.v, IFERROR(VLOOKUP($A1586, manifest!$A:$E, 5, FALSE), ""), IF(OR(_xlpm.v=0, _xlpm.v=""), "", _xlpm.v))</f>
        <v>female</v>
      </c>
    </row>
    <row r="1587" spans="1:9" x14ac:dyDescent="0.6">
      <c r="A1587">
        <v>329</v>
      </c>
      <c r="B1587" t="s">
        <v>14</v>
      </c>
      <c r="C1587" t="s">
        <v>8</v>
      </c>
      <c r="D1587">
        <v>308.17</v>
      </c>
      <c r="E1587">
        <v>158.80000000000001</v>
      </c>
      <c r="F1587">
        <v>21885</v>
      </c>
      <c r="G1587" t="s">
        <v>9</v>
      </c>
      <c r="H1587">
        <f>_xlfn.LET(_xlpm.v, IFERROR(VLOOKUP($A1587, manifest!$A:$E, 3, FALSE), ""), IF(OR(_xlpm.v=0, _xlpm.v=""), "", _xlpm.v))</f>
        <v>53</v>
      </c>
      <c r="I1587" t="str">
        <f>_xlfn.LET(_xlpm.v, IFERROR(VLOOKUP($A1587, manifest!$A:$E, 5, FALSE), ""), IF(OR(_xlpm.v=0, _xlpm.v=""), "", _xlpm.v))</f>
        <v>male</v>
      </c>
    </row>
    <row r="1588" spans="1:9" x14ac:dyDescent="0.6">
      <c r="A1588">
        <v>329</v>
      </c>
      <c r="B1588" t="s">
        <v>14</v>
      </c>
      <c r="C1588" t="s">
        <v>10</v>
      </c>
      <c r="D1588">
        <v>343.17</v>
      </c>
      <c r="E1588">
        <v>208.9</v>
      </c>
      <c r="F1588">
        <v>25670</v>
      </c>
      <c r="H1588">
        <f>_xlfn.LET(_xlpm.v, IFERROR(VLOOKUP($A1588, manifest!$A:$E, 3, FALSE), ""), IF(OR(_xlpm.v=0, _xlpm.v=""), "", _xlpm.v))</f>
        <v>53</v>
      </c>
      <c r="I1588" t="str">
        <f>_xlfn.LET(_xlpm.v, IFERROR(VLOOKUP($A1588, manifest!$A:$E, 5, FALSE), ""), IF(OR(_xlpm.v=0, _xlpm.v=""), "", _xlpm.v))</f>
        <v>male</v>
      </c>
    </row>
    <row r="1589" spans="1:9" x14ac:dyDescent="0.6">
      <c r="A1589">
        <v>329</v>
      </c>
      <c r="B1589" t="s">
        <v>14</v>
      </c>
      <c r="C1589" t="s">
        <v>11</v>
      </c>
      <c r="D1589">
        <v>358.01</v>
      </c>
      <c r="E1589">
        <v>211.96</v>
      </c>
      <c r="F1589">
        <v>30790</v>
      </c>
      <c r="H1589">
        <f>_xlfn.LET(_xlpm.v, IFERROR(VLOOKUP($A1589, manifest!$A:$E, 3, FALSE), ""), IF(OR(_xlpm.v=0, _xlpm.v=""), "", _xlpm.v))</f>
        <v>53</v>
      </c>
      <c r="I1589" t="str">
        <f>_xlfn.LET(_xlpm.v, IFERROR(VLOOKUP($A1589, manifest!$A:$E, 5, FALSE), ""), IF(OR(_xlpm.v=0, _xlpm.v=""), "", _xlpm.v))</f>
        <v>male</v>
      </c>
    </row>
    <row r="1590" spans="1:9" x14ac:dyDescent="0.6">
      <c r="A1590">
        <v>329</v>
      </c>
      <c r="B1590" t="s">
        <v>14</v>
      </c>
      <c r="C1590" t="s">
        <v>12</v>
      </c>
      <c r="D1590">
        <v>338.65</v>
      </c>
      <c r="E1590">
        <v>214.06</v>
      </c>
      <c r="F1590">
        <v>41633</v>
      </c>
      <c r="H1590">
        <f>_xlfn.LET(_xlpm.v, IFERROR(VLOOKUP($A1590, manifest!$A:$E, 3, FALSE), ""), IF(OR(_xlpm.v=0, _xlpm.v=""), "", _xlpm.v))</f>
        <v>53</v>
      </c>
      <c r="I1590" t="str">
        <f>_xlfn.LET(_xlpm.v, IFERROR(VLOOKUP($A1590, manifest!$A:$E, 5, FALSE), ""), IF(OR(_xlpm.v=0, _xlpm.v=""), "", _xlpm.v))</f>
        <v>male</v>
      </c>
    </row>
    <row r="1591" spans="1:9" x14ac:dyDescent="0.6">
      <c r="A1591">
        <v>329</v>
      </c>
      <c r="B1591" t="s">
        <v>14</v>
      </c>
      <c r="C1591" t="s">
        <v>13</v>
      </c>
      <c r="D1591">
        <v>342.79</v>
      </c>
      <c r="E1591">
        <v>209.2</v>
      </c>
      <c r="F1591">
        <v>40021</v>
      </c>
      <c r="H1591">
        <f>_xlfn.LET(_xlpm.v, IFERROR(VLOOKUP($A1591, manifest!$A:$E, 3, FALSE), ""), IF(OR(_xlpm.v=0, _xlpm.v=""), "", _xlpm.v))</f>
        <v>53</v>
      </c>
      <c r="I1591" t="str">
        <f>_xlfn.LET(_xlpm.v, IFERROR(VLOOKUP($A1591, manifest!$A:$E, 5, FALSE), ""), IF(OR(_xlpm.v=0, _xlpm.v=""), "", _xlpm.v))</f>
        <v>male</v>
      </c>
    </row>
    <row r="1592" spans="1:9" x14ac:dyDescent="0.6">
      <c r="A1592">
        <v>337</v>
      </c>
      <c r="B1592" t="s">
        <v>14</v>
      </c>
      <c r="C1592" t="s">
        <v>8</v>
      </c>
      <c r="D1592">
        <v>192.57</v>
      </c>
      <c r="E1592">
        <v>138.37</v>
      </c>
      <c r="F1592">
        <v>17449</v>
      </c>
      <c r="G1592" t="s">
        <v>9</v>
      </c>
      <c r="H1592">
        <f>_xlfn.LET(_xlpm.v, IFERROR(VLOOKUP($A1592, manifest!$A:$E, 3, FALSE), ""), IF(OR(_xlpm.v=0, _xlpm.v=""), "", _xlpm.v))</f>
        <v>58</v>
      </c>
      <c r="I1592" t="str">
        <f>_xlfn.LET(_xlpm.v, IFERROR(VLOOKUP($A1592, manifest!$A:$E, 5, FALSE), ""), IF(OR(_xlpm.v=0, _xlpm.v=""), "", _xlpm.v))</f>
        <v>female</v>
      </c>
    </row>
    <row r="1593" spans="1:9" x14ac:dyDescent="0.6">
      <c r="A1593">
        <v>337</v>
      </c>
      <c r="B1593" t="s">
        <v>14</v>
      </c>
      <c r="C1593" t="s">
        <v>10</v>
      </c>
      <c r="D1593">
        <v>192.64</v>
      </c>
      <c r="E1593">
        <v>127.49</v>
      </c>
      <c r="F1593">
        <v>20000</v>
      </c>
      <c r="H1593">
        <f>_xlfn.LET(_xlpm.v, IFERROR(VLOOKUP($A1593, manifest!$A:$E, 3, FALSE), ""), IF(OR(_xlpm.v=0, _xlpm.v=""), "", _xlpm.v))</f>
        <v>58</v>
      </c>
      <c r="I1593" t="str">
        <f>_xlfn.LET(_xlpm.v, IFERROR(VLOOKUP($A1593, manifest!$A:$E, 5, FALSE), ""), IF(OR(_xlpm.v=0, _xlpm.v=""), "", _xlpm.v))</f>
        <v>female</v>
      </c>
    </row>
    <row r="1594" spans="1:9" x14ac:dyDescent="0.6">
      <c r="A1594">
        <v>337</v>
      </c>
      <c r="B1594" t="s">
        <v>14</v>
      </c>
      <c r="C1594" t="s">
        <v>11</v>
      </c>
      <c r="D1594">
        <v>184.6</v>
      </c>
      <c r="E1594">
        <v>135.80000000000001</v>
      </c>
      <c r="F1594">
        <v>21357</v>
      </c>
      <c r="H1594">
        <f>_xlfn.LET(_xlpm.v, IFERROR(VLOOKUP($A1594, manifest!$A:$E, 3, FALSE), ""), IF(OR(_xlpm.v=0, _xlpm.v=""), "", _xlpm.v))</f>
        <v>58</v>
      </c>
      <c r="I1594" t="str">
        <f>_xlfn.LET(_xlpm.v, IFERROR(VLOOKUP($A1594, manifest!$A:$E, 5, FALSE), ""), IF(OR(_xlpm.v=0, _xlpm.v=""), "", _xlpm.v))</f>
        <v>female</v>
      </c>
    </row>
    <row r="1595" spans="1:9" x14ac:dyDescent="0.6">
      <c r="A1595">
        <v>337</v>
      </c>
      <c r="B1595" t="s">
        <v>14</v>
      </c>
      <c r="C1595" t="s">
        <v>12</v>
      </c>
      <c r="D1595">
        <v>176.15</v>
      </c>
      <c r="E1595">
        <v>138.08000000000001</v>
      </c>
      <c r="F1595">
        <v>27180</v>
      </c>
      <c r="H1595">
        <f>_xlfn.LET(_xlpm.v, IFERROR(VLOOKUP($A1595, manifest!$A:$E, 3, FALSE), ""), IF(OR(_xlpm.v=0, _xlpm.v=""), "", _xlpm.v))</f>
        <v>58</v>
      </c>
      <c r="I1595" t="str">
        <f>_xlfn.LET(_xlpm.v, IFERROR(VLOOKUP($A1595, manifest!$A:$E, 5, FALSE), ""), IF(OR(_xlpm.v=0, _xlpm.v=""), "", _xlpm.v))</f>
        <v>female</v>
      </c>
    </row>
    <row r="1596" spans="1:9" x14ac:dyDescent="0.6">
      <c r="A1596">
        <v>337</v>
      </c>
      <c r="B1596" t="s">
        <v>14</v>
      </c>
      <c r="C1596" t="s">
        <v>13</v>
      </c>
      <c r="D1596">
        <v>229.68</v>
      </c>
      <c r="E1596">
        <v>157.78</v>
      </c>
      <c r="F1596">
        <v>30164</v>
      </c>
      <c r="H1596">
        <f>_xlfn.LET(_xlpm.v, IFERROR(VLOOKUP($A1596, manifest!$A:$E, 3, FALSE), ""), IF(OR(_xlpm.v=0, _xlpm.v=""), "", _xlpm.v))</f>
        <v>58</v>
      </c>
      <c r="I1596" t="str">
        <f>_xlfn.LET(_xlpm.v, IFERROR(VLOOKUP($A1596, manifest!$A:$E, 5, FALSE), ""), IF(OR(_xlpm.v=0, _xlpm.v=""), "", _xlpm.v))</f>
        <v>female</v>
      </c>
    </row>
    <row r="1597" spans="1:9" x14ac:dyDescent="0.6">
      <c r="A1597">
        <v>361</v>
      </c>
      <c r="B1597" t="s">
        <v>7</v>
      </c>
      <c r="C1597" t="s">
        <v>8</v>
      </c>
      <c r="D1597">
        <v>253.19</v>
      </c>
      <c r="E1597">
        <v>146.94</v>
      </c>
      <c r="F1597">
        <v>12059</v>
      </c>
      <c r="G1597" t="s">
        <v>9</v>
      </c>
      <c r="H1597">
        <f>_xlfn.LET(_xlpm.v, IFERROR(VLOOKUP($A1597, manifest!$A:$E, 3, FALSE), ""), IF(OR(_xlpm.v=0, _xlpm.v=""), "", _xlpm.v))</f>
        <v>50</v>
      </c>
      <c r="I1597" t="str">
        <f>_xlfn.LET(_xlpm.v, IFERROR(VLOOKUP($A1597, manifest!$A:$E, 5, FALSE), ""), IF(OR(_xlpm.v=0, _xlpm.v=""), "", _xlpm.v))</f>
        <v>female</v>
      </c>
    </row>
    <row r="1598" spans="1:9" x14ac:dyDescent="0.6">
      <c r="A1598">
        <v>361</v>
      </c>
      <c r="B1598" t="s">
        <v>7</v>
      </c>
      <c r="C1598" t="s">
        <v>10</v>
      </c>
      <c r="D1598">
        <v>253.16</v>
      </c>
      <c r="E1598">
        <v>159.09</v>
      </c>
      <c r="F1598">
        <v>13708</v>
      </c>
      <c r="H1598">
        <f>_xlfn.LET(_xlpm.v, IFERROR(VLOOKUP($A1598, manifest!$A:$E, 3, FALSE), ""), IF(OR(_xlpm.v=0, _xlpm.v=""), "", _xlpm.v))</f>
        <v>50</v>
      </c>
      <c r="I1598" t="str">
        <f>_xlfn.LET(_xlpm.v, IFERROR(VLOOKUP($A1598, manifest!$A:$E, 5, FALSE), ""), IF(OR(_xlpm.v=0, _xlpm.v=""), "", _xlpm.v))</f>
        <v>female</v>
      </c>
    </row>
    <row r="1599" spans="1:9" x14ac:dyDescent="0.6">
      <c r="A1599">
        <v>361</v>
      </c>
      <c r="B1599" t="s">
        <v>7</v>
      </c>
      <c r="C1599" t="s">
        <v>11</v>
      </c>
      <c r="D1599">
        <v>241.69</v>
      </c>
      <c r="E1599">
        <v>178.23</v>
      </c>
      <c r="F1599">
        <v>20144</v>
      </c>
      <c r="H1599">
        <f>_xlfn.LET(_xlpm.v, IFERROR(VLOOKUP($A1599, manifest!$A:$E, 3, FALSE), ""), IF(OR(_xlpm.v=0, _xlpm.v=""), "", _xlpm.v))</f>
        <v>50</v>
      </c>
      <c r="I1599" t="str">
        <f>_xlfn.LET(_xlpm.v, IFERROR(VLOOKUP($A1599, manifest!$A:$E, 5, FALSE), ""), IF(OR(_xlpm.v=0, _xlpm.v=""), "", _xlpm.v))</f>
        <v>female</v>
      </c>
    </row>
    <row r="1600" spans="1:9" x14ac:dyDescent="0.6">
      <c r="A1600">
        <v>361</v>
      </c>
      <c r="B1600" t="s">
        <v>7</v>
      </c>
      <c r="C1600" t="s">
        <v>12</v>
      </c>
      <c r="D1600">
        <v>305.69</v>
      </c>
      <c r="E1600">
        <v>237.56</v>
      </c>
      <c r="F1600">
        <v>25413</v>
      </c>
      <c r="H1600">
        <f>_xlfn.LET(_xlpm.v, IFERROR(VLOOKUP($A1600, manifest!$A:$E, 3, FALSE), ""), IF(OR(_xlpm.v=0, _xlpm.v=""), "", _xlpm.v))</f>
        <v>50</v>
      </c>
      <c r="I1600" t="str">
        <f>_xlfn.LET(_xlpm.v, IFERROR(VLOOKUP($A1600, manifest!$A:$E, 5, FALSE), ""), IF(OR(_xlpm.v=0, _xlpm.v=""), "", _xlpm.v))</f>
        <v>female</v>
      </c>
    </row>
    <row r="1601" spans="1:9" x14ac:dyDescent="0.6">
      <c r="A1601">
        <v>361</v>
      </c>
      <c r="B1601" t="s">
        <v>7</v>
      </c>
      <c r="C1601" t="s">
        <v>13</v>
      </c>
      <c r="D1601">
        <v>325.27999999999997</v>
      </c>
      <c r="E1601">
        <v>243.39</v>
      </c>
      <c r="F1601">
        <v>24799</v>
      </c>
      <c r="H1601">
        <f>_xlfn.LET(_xlpm.v, IFERROR(VLOOKUP($A1601, manifest!$A:$E, 3, FALSE), ""), IF(OR(_xlpm.v=0, _xlpm.v=""), "", _xlpm.v))</f>
        <v>50</v>
      </c>
      <c r="I1601" t="str">
        <f>_xlfn.LET(_xlpm.v, IFERROR(VLOOKUP($A1601, manifest!$A:$E, 5, FALSE), ""), IF(OR(_xlpm.v=0, _xlpm.v=""), "", _xlpm.v))</f>
        <v>female</v>
      </c>
    </row>
    <row r="1602" spans="1:9" x14ac:dyDescent="0.6">
      <c r="A1602">
        <v>338</v>
      </c>
      <c r="B1602" t="s">
        <v>14</v>
      </c>
      <c r="C1602" t="s">
        <v>8</v>
      </c>
      <c r="D1602">
        <v>171.98</v>
      </c>
      <c r="E1602">
        <v>139.12</v>
      </c>
      <c r="F1602">
        <v>29536</v>
      </c>
      <c r="G1602" t="s">
        <v>9</v>
      </c>
      <c r="H1602">
        <f>_xlfn.LET(_xlpm.v, IFERROR(VLOOKUP($A1602, manifest!$A:$E, 3, FALSE), ""), IF(OR(_xlpm.v=0, _xlpm.v=""), "", _xlpm.v))</f>
        <v>56</v>
      </c>
      <c r="I1602" t="str">
        <f>_xlfn.LET(_xlpm.v, IFERROR(VLOOKUP($A1602, manifest!$A:$E, 5, FALSE), ""), IF(OR(_xlpm.v=0, _xlpm.v=""), "", _xlpm.v))</f>
        <v>male</v>
      </c>
    </row>
    <row r="1603" spans="1:9" x14ac:dyDescent="0.6">
      <c r="A1603">
        <v>338</v>
      </c>
      <c r="B1603" t="s">
        <v>14</v>
      </c>
      <c r="C1603" t="s">
        <v>10</v>
      </c>
      <c r="D1603">
        <v>179.27</v>
      </c>
      <c r="E1603">
        <v>164.19</v>
      </c>
      <c r="F1603">
        <v>30651</v>
      </c>
      <c r="H1603">
        <f>_xlfn.LET(_xlpm.v, IFERROR(VLOOKUP($A1603, manifest!$A:$E, 3, FALSE), ""), IF(OR(_xlpm.v=0, _xlpm.v=""), "", _xlpm.v))</f>
        <v>56</v>
      </c>
      <c r="I1603" t="str">
        <f>_xlfn.LET(_xlpm.v, IFERROR(VLOOKUP($A1603, manifest!$A:$E, 5, FALSE), ""), IF(OR(_xlpm.v=0, _xlpm.v=""), "", _xlpm.v))</f>
        <v>male</v>
      </c>
    </row>
    <row r="1604" spans="1:9" x14ac:dyDescent="0.6">
      <c r="A1604">
        <v>338</v>
      </c>
      <c r="B1604" t="s">
        <v>14</v>
      </c>
      <c r="C1604" t="s">
        <v>11</v>
      </c>
      <c r="D1604">
        <v>189.66</v>
      </c>
      <c r="E1604">
        <v>182.21</v>
      </c>
      <c r="F1604">
        <v>31848</v>
      </c>
      <c r="H1604">
        <f>_xlfn.LET(_xlpm.v, IFERROR(VLOOKUP($A1604, manifest!$A:$E, 3, FALSE), ""), IF(OR(_xlpm.v=0, _xlpm.v=""), "", _xlpm.v))</f>
        <v>56</v>
      </c>
      <c r="I1604" t="str">
        <f>_xlfn.LET(_xlpm.v, IFERROR(VLOOKUP($A1604, manifest!$A:$E, 5, FALSE), ""), IF(OR(_xlpm.v=0, _xlpm.v=""), "", _xlpm.v))</f>
        <v>male</v>
      </c>
    </row>
    <row r="1605" spans="1:9" x14ac:dyDescent="0.6">
      <c r="A1605">
        <v>338</v>
      </c>
      <c r="B1605" t="s">
        <v>14</v>
      </c>
      <c r="C1605" t="s">
        <v>12</v>
      </c>
      <c r="D1605">
        <v>171.24</v>
      </c>
      <c r="E1605">
        <v>160.19999999999999</v>
      </c>
      <c r="F1605">
        <v>36335</v>
      </c>
      <c r="H1605">
        <f>_xlfn.LET(_xlpm.v, IFERROR(VLOOKUP($A1605, manifest!$A:$E, 3, FALSE), ""), IF(OR(_xlpm.v=0, _xlpm.v=""), "", _xlpm.v))</f>
        <v>56</v>
      </c>
      <c r="I1605" t="str">
        <f>_xlfn.LET(_xlpm.v, IFERROR(VLOOKUP($A1605, manifest!$A:$E, 5, FALSE), ""), IF(OR(_xlpm.v=0, _xlpm.v=""), "", _xlpm.v))</f>
        <v>male</v>
      </c>
    </row>
    <row r="1606" spans="1:9" x14ac:dyDescent="0.6">
      <c r="A1606">
        <v>338</v>
      </c>
      <c r="B1606" t="s">
        <v>14</v>
      </c>
      <c r="C1606" t="s">
        <v>13</v>
      </c>
      <c r="D1606">
        <v>167.88</v>
      </c>
      <c r="E1606">
        <v>150.47999999999999</v>
      </c>
      <c r="F1606">
        <v>42585</v>
      </c>
      <c r="H1606">
        <f>_xlfn.LET(_xlpm.v, IFERROR(VLOOKUP($A1606, manifest!$A:$E, 3, FALSE), ""), IF(OR(_xlpm.v=0, _xlpm.v=""), "", _xlpm.v))</f>
        <v>56</v>
      </c>
      <c r="I1606" t="str">
        <f>_xlfn.LET(_xlpm.v, IFERROR(VLOOKUP($A1606, manifest!$A:$E, 5, FALSE), ""), IF(OR(_xlpm.v=0, _xlpm.v=""), "", _xlpm.v))</f>
        <v>male</v>
      </c>
    </row>
    <row r="1607" spans="1:9" x14ac:dyDescent="0.6">
      <c r="A1607">
        <v>360</v>
      </c>
      <c r="B1607" t="s">
        <v>14</v>
      </c>
      <c r="C1607" t="s">
        <v>8</v>
      </c>
      <c r="D1607">
        <v>208.2</v>
      </c>
      <c r="E1607">
        <v>150.43</v>
      </c>
      <c r="F1607">
        <v>27490</v>
      </c>
      <c r="G1607" t="s">
        <v>9</v>
      </c>
      <c r="H1607">
        <f>_xlfn.LET(_xlpm.v, IFERROR(VLOOKUP($A1607, manifest!$A:$E, 3, FALSE), ""), IF(OR(_xlpm.v=0, _xlpm.v=""), "", _xlpm.v))</f>
        <v>68</v>
      </c>
      <c r="I1607" t="str">
        <f>_xlfn.LET(_xlpm.v, IFERROR(VLOOKUP($A1607, manifest!$A:$E, 5, FALSE), ""), IF(OR(_xlpm.v=0, _xlpm.v=""), "", _xlpm.v))</f>
        <v>male</v>
      </c>
    </row>
    <row r="1608" spans="1:9" x14ac:dyDescent="0.6">
      <c r="A1608">
        <v>360</v>
      </c>
      <c r="B1608" t="s">
        <v>14</v>
      </c>
      <c r="C1608" t="s">
        <v>10</v>
      </c>
      <c r="D1608">
        <v>229.34</v>
      </c>
      <c r="E1608">
        <v>195.55</v>
      </c>
      <c r="F1608">
        <v>28878</v>
      </c>
      <c r="H1608">
        <f>_xlfn.LET(_xlpm.v, IFERROR(VLOOKUP($A1608, manifest!$A:$E, 3, FALSE), ""), IF(OR(_xlpm.v=0, _xlpm.v=""), "", _xlpm.v))</f>
        <v>68</v>
      </c>
      <c r="I1608" t="str">
        <f>_xlfn.LET(_xlpm.v, IFERROR(VLOOKUP($A1608, manifest!$A:$E, 5, FALSE), ""), IF(OR(_xlpm.v=0, _xlpm.v=""), "", _xlpm.v))</f>
        <v>male</v>
      </c>
    </row>
    <row r="1609" spans="1:9" x14ac:dyDescent="0.6">
      <c r="A1609">
        <v>360</v>
      </c>
      <c r="B1609" t="s">
        <v>14</v>
      </c>
      <c r="C1609" t="s">
        <v>11</v>
      </c>
      <c r="D1609">
        <v>220.18</v>
      </c>
      <c r="E1609">
        <v>194.92</v>
      </c>
      <c r="F1609">
        <v>32967</v>
      </c>
      <c r="H1609">
        <f>_xlfn.LET(_xlpm.v, IFERROR(VLOOKUP($A1609, manifest!$A:$E, 3, FALSE), ""), IF(OR(_xlpm.v=0, _xlpm.v=""), "", _xlpm.v))</f>
        <v>68</v>
      </c>
      <c r="I1609" t="str">
        <f>_xlfn.LET(_xlpm.v, IFERROR(VLOOKUP($A1609, manifest!$A:$E, 5, FALSE), ""), IF(OR(_xlpm.v=0, _xlpm.v=""), "", _xlpm.v))</f>
        <v>male</v>
      </c>
    </row>
    <row r="1610" spans="1:9" x14ac:dyDescent="0.6">
      <c r="A1610">
        <v>360</v>
      </c>
      <c r="B1610" t="s">
        <v>14</v>
      </c>
      <c r="C1610" t="s">
        <v>12</v>
      </c>
      <c r="D1610">
        <v>205.29</v>
      </c>
      <c r="E1610">
        <v>182.08</v>
      </c>
      <c r="F1610">
        <v>40919</v>
      </c>
      <c r="H1610">
        <f>_xlfn.LET(_xlpm.v, IFERROR(VLOOKUP($A1610, manifest!$A:$E, 3, FALSE), ""), IF(OR(_xlpm.v=0, _xlpm.v=""), "", _xlpm.v))</f>
        <v>68</v>
      </c>
      <c r="I1610" t="str">
        <f>_xlfn.LET(_xlpm.v, IFERROR(VLOOKUP($A1610, manifest!$A:$E, 5, FALSE), ""), IF(OR(_xlpm.v=0, _xlpm.v=""), "", _xlpm.v))</f>
        <v>male</v>
      </c>
    </row>
    <row r="1611" spans="1:9" x14ac:dyDescent="0.6">
      <c r="A1611">
        <v>360</v>
      </c>
      <c r="B1611" t="s">
        <v>14</v>
      </c>
      <c r="C1611" t="s">
        <v>13</v>
      </c>
      <c r="D1611">
        <v>223.91</v>
      </c>
      <c r="E1611">
        <v>218.73</v>
      </c>
      <c r="F1611">
        <v>47088</v>
      </c>
      <c r="H1611">
        <f>_xlfn.LET(_xlpm.v, IFERROR(VLOOKUP($A1611, manifest!$A:$E, 3, FALSE), ""), IF(OR(_xlpm.v=0, _xlpm.v=""), "", _xlpm.v))</f>
        <v>68</v>
      </c>
      <c r="I1611" t="str">
        <f>_xlfn.LET(_xlpm.v, IFERROR(VLOOKUP($A1611, manifest!$A:$E, 5, FALSE), ""), IF(OR(_xlpm.v=0, _xlpm.v=""), "", _xlpm.v))</f>
        <v>male</v>
      </c>
    </row>
    <row r="1612" spans="1:9" x14ac:dyDescent="0.6">
      <c r="A1612">
        <v>318</v>
      </c>
      <c r="B1612" t="s">
        <v>7</v>
      </c>
      <c r="C1612" t="s">
        <v>8</v>
      </c>
      <c r="D1612">
        <v>305.64</v>
      </c>
      <c r="E1612">
        <v>214.09</v>
      </c>
      <c r="F1612">
        <v>22334</v>
      </c>
      <c r="G1612" t="s">
        <v>9</v>
      </c>
      <c r="H1612">
        <f>_xlfn.LET(_xlpm.v, IFERROR(VLOOKUP($A1612, manifest!$A:$E, 3, FALSE), ""), IF(OR(_xlpm.v=0, _xlpm.v=""), "", _xlpm.v))</f>
        <v>50</v>
      </c>
      <c r="I1612" t="str">
        <f>_xlfn.LET(_xlpm.v, IFERROR(VLOOKUP($A1612, manifest!$A:$E, 5, FALSE), ""), IF(OR(_xlpm.v=0, _xlpm.v=""), "", _xlpm.v))</f>
        <v>male</v>
      </c>
    </row>
    <row r="1613" spans="1:9" x14ac:dyDescent="0.6">
      <c r="A1613">
        <v>318</v>
      </c>
      <c r="B1613" t="s">
        <v>7</v>
      </c>
      <c r="C1613" t="s">
        <v>10</v>
      </c>
      <c r="D1613">
        <v>309.61</v>
      </c>
      <c r="E1613">
        <v>218.86</v>
      </c>
      <c r="F1613">
        <v>27259</v>
      </c>
      <c r="H1613">
        <f>_xlfn.LET(_xlpm.v, IFERROR(VLOOKUP($A1613, manifest!$A:$E, 3, FALSE), ""), IF(OR(_xlpm.v=0, _xlpm.v=""), "", _xlpm.v))</f>
        <v>50</v>
      </c>
      <c r="I1613" t="str">
        <f>_xlfn.LET(_xlpm.v, IFERROR(VLOOKUP($A1613, manifest!$A:$E, 5, FALSE), ""), IF(OR(_xlpm.v=0, _xlpm.v=""), "", _xlpm.v))</f>
        <v>male</v>
      </c>
    </row>
    <row r="1614" spans="1:9" x14ac:dyDescent="0.6">
      <c r="A1614">
        <v>318</v>
      </c>
      <c r="B1614" t="s">
        <v>7</v>
      </c>
      <c r="C1614" t="s">
        <v>11</v>
      </c>
      <c r="D1614">
        <v>313.67</v>
      </c>
      <c r="E1614">
        <v>221.97</v>
      </c>
      <c r="F1614">
        <v>29208</v>
      </c>
      <c r="H1614">
        <f>_xlfn.LET(_xlpm.v, IFERROR(VLOOKUP($A1614, manifest!$A:$E, 3, FALSE), ""), IF(OR(_xlpm.v=0, _xlpm.v=""), "", _xlpm.v))</f>
        <v>50</v>
      </c>
      <c r="I1614" t="str">
        <f>_xlfn.LET(_xlpm.v, IFERROR(VLOOKUP($A1614, manifest!$A:$E, 5, FALSE), ""), IF(OR(_xlpm.v=0, _xlpm.v=""), "", _xlpm.v))</f>
        <v>male</v>
      </c>
    </row>
    <row r="1615" spans="1:9" x14ac:dyDescent="0.6">
      <c r="A1615">
        <v>318</v>
      </c>
      <c r="B1615" t="s">
        <v>7</v>
      </c>
      <c r="C1615" t="s">
        <v>12</v>
      </c>
      <c r="D1615">
        <v>291.91000000000003</v>
      </c>
      <c r="E1615">
        <v>185.19</v>
      </c>
      <c r="F1615">
        <v>30832</v>
      </c>
      <c r="H1615">
        <f>_xlfn.LET(_xlpm.v, IFERROR(VLOOKUP($A1615, manifest!$A:$E, 3, FALSE), ""), IF(OR(_xlpm.v=0, _xlpm.v=""), "", _xlpm.v))</f>
        <v>50</v>
      </c>
      <c r="I1615" t="str">
        <f>_xlfn.LET(_xlpm.v, IFERROR(VLOOKUP($A1615, manifest!$A:$E, 5, FALSE), ""), IF(OR(_xlpm.v=0, _xlpm.v=""), "", _xlpm.v))</f>
        <v>male</v>
      </c>
    </row>
    <row r="1616" spans="1:9" x14ac:dyDescent="0.6">
      <c r="A1616">
        <v>318</v>
      </c>
      <c r="B1616" t="s">
        <v>7</v>
      </c>
      <c r="C1616" t="s">
        <v>13</v>
      </c>
      <c r="D1616">
        <v>290.7</v>
      </c>
      <c r="E1616">
        <v>196.27</v>
      </c>
      <c r="F1616">
        <v>36892</v>
      </c>
      <c r="H1616">
        <f>_xlfn.LET(_xlpm.v, IFERROR(VLOOKUP($A1616, manifest!$A:$E, 3, FALSE), ""), IF(OR(_xlpm.v=0, _xlpm.v=""), "", _xlpm.v))</f>
        <v>50</v>
      </c>
      <c r="I1616" t="str">
        <f>_xlfn.LET(_xlpm.v, IFERROR(VLOOKUP($A1616, manifest!$A:$E, 5, FALSE), ""), IF(OR(_xlpm.v=0, _xlpm.v=""), "", _xlpm.v))</f>
        <v>male</v>
      </c>
    </row>
    <row r="1617" spans="1:9" x14ac:dyDescent="0.6">
      <c r="A1617">
        <v>353</v>
      </c>
      <c r="B1617" t="s">
        <v>14</v>
      </c>
      <c r="C1617" t="s">
        <v>8</v>
      </c>
      <c r="D1617">
        <v>157.1</v>
      </c>
      <c r="E1617">
        <v>100.53</v>
      </c>
      <c r="F1617">
        <v>25787</v>
      </c>
      <c r="G1617" t="s">
        <v>15</v>
      </c>
      <c r="H1617">
        <f>_xlfn.LET(_xlpm.v, IFERROR(VLOOKUP($A1617, manifest!$A:$E, 3, FALSE), ""), IF(OR(_xlpm.v=0, _xlpm.v=""), "", _xlpm.v))</f>
        <v>53</v>
      </c>
      <c r="I1617" t="str">
        <f>_xlfn.LET(_xlpm.v, IFERROR(VLOOKUP($A1617, manifest!$A:$E, 5, FALSE), ""), IF(OR(_xlpm.v=0, _xlpm.v=""), "", _xlpm.v))</f>
        <v>female</v>
      </c>
    </row>
    <row r="1618" spans="1:9" x14ac:dyDescent="0.6">
      <c r="A1618">
        <v>353</v>
      </c>
      <c r="B1618" t="s">
        <v>14</v>
      </c>
      <c r="C1618" t="s">
        <v>10</v>
      </c>
      <c r="D1618">
        <v>152.61000000000001</v>
      </c>
      <c r="E1618">
        <v>110.82</v>
      </c>
      <c r="F1618">
        <v>29035</v>
      </c>
      <c r="H1618">
        <f>_xlfn.LET(_xlpm.v, IFERROR(VLOOKUP($A1618, manifest!$A:$E, 3, FALSE), ""), IF(OR(_xlpm.v=0, _xlpm.v=""), "", _xlpm.v))</f>
        <v>53</v>
      </c>
      <c r="I1618" t="str">
        <f>_xlfn.LET(_xlpm.v, IFERROR(VLOOKUP($A1618, manifest!$A:$E, 5, FALSE), ""), IF(OR(_xlpm.v=0, _xlpm.v=""), "", _xlpm.v))</f>
        <v>female</v>
      </c>
    </row>
    <row r="1619" spans="1:9" x14ac:dyDescent="0.6">
      <c r="A1619">
        <v>353</v>
      </c>
      <c r="B1619" t="s">
        <v>14</v>
      </c>
      <c r="C1619" t="s">
        <v>11</v>
      </c>
      <c r="D1619">
        <v>151.16999999999999</v>
      </c>
      <c r="E1619">
        <v>118.06</v>
      </c>
      <c r="F1619">
        <v>32553</v>
      </c>
      <c r="H1619">
        <f>_xlfn.LET(_xlpm.v, IFERROR(VLOOKUP($A1619, manifest!$A:$E, 3, FALSE), ""), IF(OR(_xlpm.v=0, _xlpm.v=""), "", _xlpm.v))</f>
        <v>53</v>
      </c>
      <c r="I1619" t="str">
        <f>_xlfn.LET(_xlpm.v, IFERROR(VLOOKUP($A1619, manifest!$A:$E, 5, FALSE), ""), IF(OR(_xlpm.v=0, _xlpm.v=""), "", _xlpm.v))</f>
        <v>female</v>
      </c>
    </row>
    <row r="1620" spans="1:9" x14ac:dyDescent="0.6">
      <c r="A1620">
        <v>353</v>
      </c>
      <c r="B1620" t="s">
        <v>14</v>
      </c>
      <c r="C1620" t="s">
        <v>12</v>
      </c>
      <c r="D1620">
        <v>143.97</v>
      </c>
      <c r="E1620">
        <v>111.68</v>
      </c>
      <c r="F1620">
        <v>39968</v>
      </c>
      <c r="H1620">
        <f>_xlfn.LET(_xlpm.v, IFERROR(VLOOKUP($A1620, manifest!$A:$E, 3, FALSE), ""), IF(OR(_xlpm.v=0, _xlpm.v=""), "", _xlpm.v))</f>
        <v>53</v>
      </c>
      <c r="I1620" t="str">
        <f>_xlfn.LET(_xlpm.v, IFERROR(VLOOKUP($A1620, manifest!$A:$E, 5, FALSE), ""), IF(OR(_xlpm.v=0, _xlpm.v=""), "", _xlpm.v))</f>
        <v>female</v>
      </c>
    </row>
    <row r="1621" spans="1:9" x14ac:dyDescent="0.6">
      <c r="A1621">
        <v>353</v>
      </c>
      <c r="B1621" t="s">
        <v>14</v>
      </c>
      <c r="C1621" t="s">
        <v>13</v>
      </c>
      <c r="D1621">
        <v>166.31</v>
      </c>
      <c r="E1621">
        <v>148.63</v>
      </c>
      <c r="F1621">
        <v>39261</v>
      </c>
      <c r="H1621">
        <f>_xlfn.LET(_xlpm.v, IFERROR(VLOOKUP($A1621, manifest!$A:$E, 3, FALSE), ""), IF(OR(_xlpm.v=0, _xlpm.v=""), "", _xlpm.v))</f>
        <v>53</v>
      </c>
      <c r="I1621" t="str">
        <f>_xlfn.LET(_xlpm.v, IFERROR(VLOOKUP($A1621, manifest!$A:$E, 5, FALSE), ""), IF(OR(_xlpm.v=0, _xlpm.v=""), "", _xlpm.v))</f>
        <v>female</v>
      </c>
    </row>
    <row r="1622" spans="1:9" x14ac:dyDescent="0.6">
      <c r="A1622">
        <v>341</v>
      </c>
      <c r="B1622" t="s">
        <v>14</v>
      </c>
      <c r="C1622" t="s">
        <v>8</v>
      </c>
      <c r="D1622">
        <v>292.02</v>
      </c>
      <c r="E1622">
        <v>158.04</v>
      </c>
      <c r="F1622">
        <v>21044</v>
      </c>
      <c r="G1622" t="s">
        <v>9</v>
      </c>
      <c r="H1622">
        <f>_xlfn.LET(_xlpm.v, IFERROR(VLOOKUP($A1622, manifest!$A:$E, 3, FALSE), ""), IF(OR(_xlpm.v=0, _xlpm.v=""), "", _xlpm.v))</f>
        <v>54</v>
      </c>
      <c r="I1622" t="str">
        <f>_xlfn.LET(_xlpm.v, IFERROR(VLOOKUP($A1622, manifest!$A:$E, 5, FALSE), ""), IF(OR(_xlpm.v=0, _xlpm.v=""), "", _xlpm.v))</f>
        <v>female</v>
      </c>
    </row>
    <row r="1623" spans="1:9" x14ac:dyDescent="0.6">
      <c r="A1623">
        <v>341</v>
      </c>
      <c r="B1623" t="s">
        <v>14</v>
      </c>
      <c r="C1623" t="s">
        <v>10</v>
      </c>
      <c r="D1623">
        <v>334.3</v>
      </c>
      <c r="E1623">
        <v>237.26</v>
      </c>
      <c r="F1623">
        <v>21365</v>
      </c>
      <c r="H1623">
        <f>_xlfn.LET(_xlpm.v, IFERROR(VLOOKUP($A1623, manifest!$A:$E, 3, FALSE), ""), IF(OR(_xlpm.v=0, _xlpm.v=""), "", _xlpm.v))</f>
        <v>54</v>
      </c>
      <c r="I1623" t="str">
        <f>_xlfn.LET(_xlpm.v, IFERROR(VLOOKUP($A1623, manifest!$A:$E, 5, FALSE), ""), IF(OR(_xlpm.v=0, _xlpm.v=""), "", _xlpm.v))</f>
        <v>female</v>
      </c>
    </row>
    <row r="1624" spans="1:9" x14ac:dyDescent="0.6">
      <c r="A1624">
        <v>341</v>
      </c>
      <c r="B1624" t="s">
        <v>14</v>
      </c>
      <c r="C1624" t="s">
        <v>11</v>
      </c>
      <c r="D1624">
        <v>335.47</v>
      </c>
      <c r="E1624">
        <v>242.3</v>
      </c>
      <c r="F1624">
        <v>24465</v>
      </c>
      <c r="H1624">
        <f>_xlfn.LET(_xlpm.v, IFERROR(VLOOKUP($A1624, manifest!$A:$E, 3, FALSE), ""), IF(OR(_xlpm.v=0, _xlpm.v=""), "", _xlpm.v))</f>
        <v>54</v>
      </c>
      <c r="I1624" t="str">
        <f>_xlfn.LET(_xlpm.v, IFERROR(VLOOKUP($A1624, manifest!$A:$E, 5, FALSE), ""), IF(OR(_xlpm.v=0, _xlpm.v=""), "", _xlpm.v))</f>
        <v>female</v>
      </c>
    </row>
    <row r="1625" spans="1:9" x14ac:dyDescent="0.6">
      <c r="A1625">
        <v>341</v>
      </c>
      <c r="B1625" t="s">
        <v>14</v>
      </c>
      <c r="C1625" t="s">
        <v>12</v>
      </c>
      <c r="D1625">
        <v>322.7</v>
      </c>
      <c r="E1625">
        <v>232.48</v>
      </c>
      <c r="F1625">
        <v>27684</v>
      </c>
      <c r="H1625">
        <f>_xlfn.LET(_xlpm.v, IFERROR(VLOOKUP($A1625, manifest!$A:$E, 3, FALSE), ""), IF(OR(_xlpm.v=0, _xlpm.v=""), "", _xlpm.v))</f>
        <v>54</v>
      </c>
      <c r="I1625" t="str">
        <f>_xlfn.LET(_xlpm.v, IFERROR(VLOOKUP($A1625, manifest!$A:$E, 5, FALSE), ""), IF(OR(_xlpm.v=0, _xlpm.v=""), "", _xlpm.v))</f>
        <v>female</v>
      </c>
    </row>
    <row r="1626" spans="1:9" x14ac:dyDescent="0.6">
      <c r="A1626">
        <v>341</v>
      </c>
      <c r="B1626" t="s">
        <v>14</v>
      </c>
      <c r="C1626" t="s">
        <v>13</v>
      </c>
      <c r="D1626">
        <v>323.61</v>
      </c>
      <c r="E1626">
        <v>249.93</v>
      </c>
      <c r="F1626">
        <v>33031</v>
      </c>
      <c r="H1626">
        <f>_xlfn.LET(_xlpm.v, IFERROR(VLOOKUP($A1626, manifest!$A:$E, 3, FALSE), ""), IF(OR(_xlpm.v=0, _xlpm.v=""), "", _xlpm.v))</f>
        <v>54</v>
      </c>
      <c r="I1626" t="str">
        <f>_xlfn.LET(_xlpm.v, IFERROR(VLOOKUP($A1626, manifest!$A:$E, 5, FALSE), ""), IF(OR(_xlpm.v=0, _xlpm.v=""), "", _xlpm.v))</f>
        <v>female</v>
      </c>
    </row>
    <row r="1627" spans="1:9" x14ac:dyDescent="0.6">
      <c r="A1627">
        <v>359</v>
      </c>
      <c r="B1627" t="s">
        <v>7</v>
      </c>
      <c r="C1627" t="s">
        <v>8</v>
      </c>
      <c r="D1627">
        <v>178.99</v>
      </c>
      <c r="E1627">
        <v>161.44999999999999</v>
      </c>
      <c r="F1627">
        <v>40837</v>
      </c>
      <c r="G1627" t="s">
        <v>9</v>
      </c>
      <c r="H1627">
        <f>_xlfn.LET(_xlpm.v, IFERROR(VLOOKUP($A1627, manifest!$A:$E, 3, FALSE), ""), IF(OR(_xlpm.v=0, _xlpm.v=""), "", _xlpm.v))</f>
        <v>56</v>
      </c>
      <c r="I1627" t="str">
        <f>_xlfn.LET(_xlpm.v, IFERROR(VLOOKUP($A1627, manifest!$A:$E, 5, FALSE), ""), IF(OR(_xlpm.v=0, _xlpm.v=""), "", _xlpm.v))</f>
        <v>male</v>
      </c>
    </row>
    <row r="1628" spans="1:9" x14ac:dyDescent="0.6">
      <c r="A1628">
        <v>359</v>
      </c>
      <c r="B1628" t="s">
        <v>7</v>
      </c>
      <c r="C1628" t="s">
        <v>10</v>
      </c>
      <c r="D1628">
        <v>211.61</v>
      </c>
      <c r="E1628">
        <v>209.72</v>
      </c>
      <c r="F1628">
        <v>41609</v>
      </c>
      <c r="H1628">
        <f>_xlfn.LET(_xlpm.v, IFERROR(VLOOKUP($A1628, manifest!$A:$E, 3, FALSE), ""), IF(OR(_xlpm.v=0, _xlpm.v=""), "", _xlpm.v))</f>
        <v>56</v>
      </c>
      <c r="I1628" t="str">
        <f>_xlfn.LET(_xlpm.v, IFERROR(VLOOKUP($A1628, manifest!$A:$E, 5, FALSE), ""), IF(OR(_xlpm.v=0, _xlpm.v=""), "", _xlpm.v))</f>
        <v>male</v>
      </c>
    </row>
    <row r="1629" spans="1:9" x14ac:dyDescent="0.6">
      <c r="A1629">
        <v>359</v>
      </c>
      <c r="B1629" t="s">
        <v>7</v>
      </c>
      <c r="C1629" t="s">
        <v>11</v>
      </c>
      <c r="D1629">
        <v>194.57</v>
      </c>
      <c r="E1629">
        <v>191.04</v>
      </c>
      <c r="F1629">
        <v>46520</v>
      </c>
      <c r="H1629">
        <f>_xlfn.LET(_xlpm.v, IFERROR(VLOOKUP($A1629, manifest!$A:$E, 3, FALSE), ""), IF(OR(_xlpm.v=0, _xlpm.v=""), "", _xlpm.v))</f>
        <v>56</v>
      </c>
      <c r="I1629" t="str">
        <f>_xlfn.LET(_xlpm.v, IFERROR(VLOOKUP($A1629, manifest!$A:$E, 5, FALSE), ""), IF(OR(_xlpm.v=0, _xlpm.v=""), "", _xlpm.v))</f>
        <v>male</v>
      </c>
    </row>
    <row r="1630" spans="1:9" x14ac:dyDescent="0.6">
      <c r="A1630">
        <v>359</v>
      </c>
      <c r="B1630" t="s">
        <v>7</v>
      </c>
      <c r="C1630" t="s">
        <v>12</v>
      </c>
      <c r="D1630">
        <v>172.41</v>
      </c>
      <c r="E1630">
        <v>170.71</v>
      </c>
      <c r="F1630">
        <v>46319</v>
      </c>
      <c r="H1630">
        <f>_xlfn.LET(_xlpm.v, IFERROR(VLOOKUP($A1630, manifest!$A:$E, 3, FALSE), ""), IF(OR(_xlpm.v=0, _xlpm.v=""), "", _xlpm.v))</f>
        <v>56</v>
      </c>
      <c r="I1630" t="str">
        <f>_xlfn.LET(_xlpm.v, IFERROR(VLOOKUP($A1630, manifest!$A:$E, 5, FALSE), ""), IF(OR(_xlpm.v=0, _xlpm.v=""), "", _xlpm.v))</f>
        <v>male</v>
      </c>
    </row>
    <row r="1631" spans="1:9" x14ac:dyDescent="0.6">
      <c r="A1631">
        <v>359</v>
      </c>
      <c r="B1631" t="s">
        <v>7</v>
      </c>
      <c r="C1631" t="s">
        <v>13</v>
      </c>
      <c r="D1631">
        <v>179.55</v>
      </c>
      <c r="E1631">
        <v>176.4</v>
      </c>
      <c r="F1631">
        <v>59147</v>
      </c>
      <c r="H1631">
        <f>_xlfn.LET(_xlpm.v, IFERROR(VLOOKUP($A1631, manifest!$A:$E, 3, FALSE), ""), IF(OR(_xlpm.v=0, _xlpm.v=""), "", _xlpm.v))</f>
        <v>56</v>
      </c>
      <c r="I1631" t="str">
        <f>_xlfn.LET(_xlpm.v, IFERROR(VLOOKUP($A1631, manifest!$A:$E, 5, FALSE), ""), IF(OR(_xlpm.v=0, _xlpm.v=""), "", _xlpm.v))</f>
        <v>male</v>
      </c>
    </row>
    <row r="1632" spans="1:9" x14ac:dyDescent="0.6">
      <c r="A1632">
        <v>344</v>
      </c>
      <c r="B1632" t="s">
        <v>14</v>
      </c>
      <c r="C1632" t="s">
        <v>8</v>
      </c>
      <c r="D1632">
        <v>127.46</v>
      </c>
      <c r="E1632">
        <v>97.07</v>
      </c>
      <c r="F1632">
        <v>22904</v>
      </c>
      <c r="G1632" t="s">
        <v>15</v>
      </c>
      <c r="H1632">
        <f>_xlfn.LET(_xlpm.v, IFERROR(VLOOKUP($A1632, manifest!$A:$E, 3, FALSE), ""), IF(OR(_xlpm.v=0, _xlpm.v=""), "", _xlpm.v))</f>
        <v>60</v>
      </c>
      <c r="I1632" t="str">
        <f>_xlfn.LET(_xlpm.v, IFERROR(VLOOKUP($A1632, manifest!$A:$E, 5, FALSE), ""), IF(OR(_xlpm.v=0, _xlpm.v=""), "", _xlpm.v))</f>
        <v>female</v>
      </c>
    </row>
    <row r="1633" spans="1:9" x14ac:dyDescent="0.6">
      <c r="A1633">
        <v>344</v>
      </c>
      <c r="B1633" t="s">
        <v>14</v>
      </c>
      <c r="C1633" t="s">
        <v>10</v>
      </c>
      <c r="D1633">
        <v>146.4</v>
      </c>
      <c r="E1633">
        <v>148.77000000000001</v>
      </c>
      <c r="F1633">
        <v>28207</v>
      </c>
      <c r="H1633">
        <f>_xlfn.LET(_xlpm.v, IFERROR(VLOOKUP($A1633, manifest!$A:$E, 3, FALSE), ""), IF(OR(_xlpm.v=0, _xlpm.v=""), "", _xlpm.v))</f>
        <v>60</v>
      </c>
      <c r="I1633" t="str">
        <f>_xlfn.LET(_xlpm.v, IFERROR(VLOOKUP($A1633, manifest!$A:$E, 5, FALSE), ""), IF(OR(_xlpm.v=0, _xlpm.v=""), "", _xlpm.v))</f>
        <v>female</v>
      </c>
    </row>
    <row r="1634" spans="1:9" x14ac:dyDescent="0.6">
      <c r="A1634">
        <v>344</v>
      </c>
      <c r="B1634" t="s">
        <v>14</v>
      </c>
      <c r="C1634" t="s">
        <v>11</v>
      </c>
      <c r="D1634">
        <v>138.58000000000001</v>
      </c>
      <c r="E1634">
        <v>131.79</v>
      </c>
      <c r="F1634">
        <v>33119</v>
      </c>
      <c r="H1634">
        <f>_xlfn.LET(_xlpm.v, IFERROR(VLOOKUP($A1634, manifest!$A:$E, 3, FALSE), ""), IF(OR(_xlpm.v=0, _xlpm.v=""), "", _xlpm.v))</f>
        <v>60</v>
      </c>
      <c r="I1634" t="str">
        <f>_xlfn.LET(_xlpm.v, IFERROR(VLOOKUP($A1634, manifest!$A:$E, 5, FALSE), ""), IF(OR(_xlpm.v=0, _xlpm.v=""), "", _xlpm.v))</f>
        <v>female</v>
      </c>
    </row>
    <row r="1635" spans="1:9" x14ac:dyDescent="0.6">
      <c r="A1635">
        <v>344</v>
      </c>
      <c r="B1635" t="s">
        <v>14</v>
      </c>
      <c r="C1635" t="s">
        <v>12</v>
      </c>
      <c r="D1635">
        <v>142.85</v>
      </c>
      <c r="E1635">
        <v>135.93</v>
      </c>
      <c r="F1635">
        <v>41171</v>
      </c>
      <c r="H1635">
        <f>_xlfn.LET(_xlpm.v, IFERROR(VLOOKUP($A1635, manifest!$A:$E, 3, FALSE), ""), IF(OR(_xlpm.v=0, _xlpm.v=""), "", _xlpm.v))</f>
        <v>60</v>
      </c>
      <c r="I1635" t="str">
        <f>_xlfn.LET(_xlpm.v, IFERROR(VLOOKUP($A1635, manifest!$A:$E, 5, FALSE), ""), IF(OR(_xlpm.v=0, _xlpm.v=""), "", _xlpm.v))</f>
        <v>female</v>
      </c>
    </row>
    <row r="1636" spans="1:9" x14ac:dyDescent="0.6">
      <c r="A1636">
        <v>344</v>
      </c>
      <c r="B1636" t="s">
        <v>14</v>
      </c>
      <c r="C1636" t="s">
        <v>13</v>
      </c>
      <c r="D1636">
        <v>135.91</v>
      </c>
      <c r="E1636">
        <v>102.3</v>
      </c>
      <c r="F1636">
        <v>44139</v>
      </c>
      <c r="H1636">
        <f>_xlfn.LET(_xlpm.v, IFERROR(VLOOKUP($A1636, manifest!$A:$E, 3, FALSE), ""), IF(OR(_xlpm.v=0, _xlpm.v=""), "", _xlpm.v))</f>
        <v>60</v>
      </c>
      <c r="I1636" t="str">
        <f>_xlfn.LET(_xlpm.v, IFERROR(VLOOKUP($A1636, manifest!$A:$E, 5, FALSE), ""), IF(OR(_xlpm.v=0, _xlpm.v=""), "", _xlpm.v))</f>
        <v>female</v>
      </c>
    </row>
    <row r="1637" spans="1:9" x14ac:dyDescent="0.6">
      <c r="A1637">
        <v>344</v>
      </c>
      <c r="B1637" t="s">
        <v>14</v>
      </c>
      <c r="C1637" t="s">
        <v>16</v>
      </c>
      <c r="D1637">
        <v>134.4</v>
      </c>
      <c r="E1637">
        <v>134.68</v>
      </c>
      <c r="F1637">
        <v>58604</v>
      </c>
      <c r="H1637">
        <f>_xlfn.LET(_xlpm.v, IFERROR(VLOOKUP($A1637, manifest!$A:$E, 3, FALSE), ""), IF(OR(_xlpm.v=0, _xlpm.v=""), "", _xlpm.v))</f>
        <v>60</v>
      </c>
      <c r="I1637" t="str">
        <f>_xlfn.LET(_xlpm.v, IFERROR(VLOOKUP($A1637, manifest!$A:$E, 5, FALSE), ""), IF(OR(_xlpm.v=0, _xlpm.v=""), "", _xlpm.v))</f>
        <v>female</v>
      </c>
    </row>
    <row r="1638" spans="1:9" x14ac:dyDescent="0.6">
      <c r="A1638">
        <v>373</v>
      </c>
      <c r="B1638" t="s">
        <v>7</v>
      </c>
      <c r="C1638" t="s">
        <v>8</v>
      </c>
      <c r="D1638">
        <v>201.71</v>
      </c>
      <c r="E1638">
        <v>229.13</v>
      </c>
      <c r="F1638">
        <v>39868</v>
      </c>
      <c r="G1638" t="s">
        <v>9</v>
      </c>
      <c r="H1638">
        <f>_xlfn.LET(_xlpm.v, IFERROR(VLOOKUP($A1638, manifest!$A:$E, 3, FALSE), ""), IF(OR(_xlpm.v=0, _xlpm.v=""), "", _xlpm.v))</f>
        <v>61</v>
      </c>
      <c r="I1638" t="str">
        <f>_xlfn.LET(_xlpm.v, IFERROR(VLOOKUP($A1638, manifest!$A:$E, 5, FALSE), ""), IF(OR(_xlpm.v=0, _xlpm.v=""), "", _xlpm.v))</f>
        <v>female</v>
      </c>
    </row>
    <row r="1639" spans="1:9" x14ac:dyDescent="0.6">
      <c r="A1639">
        <v>373</v>
      </c>
      <c r="B1639" t="s">
        <v>7</v>
      </c>
      <c r="C1639" t="s">
        <v>10</v>
      </c>
      <c r="D1639">
        <v>220.99</v>
      </c>
      <c r="E1639">
        <v>257.08</v>
      </c>
      <c r="F1639">
        <v>39966</v>
      </c>
      <c r="H1639">
        <f>_xlfn.LET(_xlpm.v, IFERROR(VLOOKUP($A1639, manifest!$A:$E, 3, FALSE), ""), IF(OR(_xlpm.v=0, _xlpm.v=""), "", _xlpm.v))</f>
        <v>61</v>
      </c>
      <c r="I1639" t="str">
        <f>_xlfn.LET(_xlpm.v, IFERROR(VLOOKUP($A1639, manifest!$A:$E, 5, FALSE), ""), IF(OR(_xlpm.v=0, _xlpm.v=""), "", _xlpm.v))</f>
        <v>female</v>
      </c>
    </row>
    <row r="1640" spans="1:9" x14ac:dyDescent="0.6">
      <c r="A1640">
        <v>373</v>
      </c>
      <c r="B1640" t="s">
        <v>7</v>
      </c>
      <c r="C1640" t="s">
        <v>11</v>
      </c>
      <c r="D1640">
        <v>196.93</v>
      </c>
      <c r="E1640">
        <v>245.3</v>
      </c>
      <c r="F1640">
        <v>47134</v>
      </c>
      <c r="H1640">
        <f>_xlfn.LET(_xlpm.v, IFERROR(VLOOKUP($A1640, manifest!$A:$E, 3, FALSE), ""), IF(OR(_xlpm.v=0, _xlpm.v=""), "", _xlpm.v))</f>
        <v>61</v>
      </c>
      <c r="I1640" t="str">
        <f>_xlfn.LET(_xlpm.v, IFERROR(VLOOKUP($A1640, manifest!$A:$E, 5, FALSE), ""), IF(OR(_xlpm.v=0, _xlpm.v=""), "", _xlpm.v))</f>
        <v>female</v>
      </c>
    </row>
    <row r="1641" spans="1:9" x14ac:dyDescent="0.6">
      <c r="A1641">
        <v>373</v>
      </c>
      <c r="B1641" t="s">
        <v>7</v>
      </c>
      <c r="C1641" t="s">
        <v>12</v>
      </c>
      <c r="D1641">
        <v>204.58</v>
      </c>
      <c r="E1641">
        <v>210.51</v>
      </c>
      <c r="F1641">
        <v>66045</v>
      </c>
      <c r="H1641">
        <f>_xlfn.LET(_xlpm.v, IFERROR(VLOOKUP($A1641, manifest!$A:$E, 3, FALSE), ""), IF(OR(_xlpm.v=0, _xlpm.v=""), "", _xlpm.v))</f>
        <v>61</v>
      </c>
      <c r="I1641" t="str">
        <f>_xlfn.LET(_xlpm.v, IFERROR(VLOOKUP($A1641, manifest!$A:$E, 5, FALSE), ""), IF(OR(_xlpm.v=0, _xlpm.v=""), "", _xlpm.v))</f>
        <v>female</v>
      </c>
    </row>
    <row r="1642" spans="1:9" x14ac:dyDescent="0.6">
      <c r="A1642">
        <v>373</v>
      </c>
      <c r="B1642" t="s">
        <v>7</v>
      </c>
      <c r="C1642" t="s">
        <v>13</v>
      </c>
      <c r="D1642">
        <v>177.82</v>
      </c>
      <c r="E1642">
        <v>161.12</v>
      </c>
      <c r="F1642">
        <v>58078</v>
      </c>
      <c r="H1642">
        <f>_xlfn.LET(_xlpm.v, IFERROR(VLOOKUP($A1642, manifest!$A:$E, 3, FALSE), ""), IF(OR(_xlpm.v=0, _xlpm.v=""), "", _xlpm.v))</f>
        <v>61</v>
      </c>
      <c r="I1642" t="str">
        <f>_xlfn.LET(_xlpm.v, IFERROR(VLOOKUP($A1642, manifest!$A:$E, 5, FALSE), ""), IF(OR(_xlpm.v=0, _xlpm.v=""), "", _xlpm.v))</f>
        <v>female</v>
      </c>
    </row>
    <row r="1643" spans="1:9" x14ac:dyDescent="0.6">
      <c r="A1643">
        <v>354</v>
      </c>
      <c r="B1643" t="s">
        <v>14</v>
      </c>
      <c r="C1643" t="s">
        <v>8</v>
      </c>
      <c r="D1643">
        <v>145.19999999999999</v>
      </c>
      <c r="E1643">
        <v>103.14</v>
      </c>
      <c r="F1643">
        <v>25834</v>
      </c>
      <c r="G1643" t="s">
        <v>15</v>
      </c>
      <c r="H1643">
        <f>_xlfn.LET(_xlpm.v, IFERROR(VLOOKUP($A1643, manifest!$A:$E, 3, FALSE), ""), IF(OR(_xlpm.v=0, _xlpm.v=""), "", _xlpm.v))</f>
        <v>79</v>
      </c>
      <c r="I1643" t="str">
        <f>_xlfn.LET(_xlpm.v, IFERROR(VLOOKUP($A1643, manifest!$A:$E, 5, FALSE), ""), IF(OR(_xlpm.v=0, _xlpm.v=""), "", _xlpm.v))</f>
        <v>female</v>
      </c>
    </row>
    <row r="1644" spans="1:9" x14ac:dyDescent="0.6">
      <c r="A1644">
        <v>354</v>
      </c>
      <c r="B1644" t="s">
        <v>14</v>
      </c>
      <c r="C1644" t="s">
        <v>10</v>
      </c>
      <c r="D1644">
        <v>152.02000000000001</v>
      </c>
      <c r="E1644">
        <v>149.27000000000001</v>
      </c>
      <c r="F1644">
        <v>31161</v>
      </c>
      <c r="H1644">
        <f>_xlfn.LET(_xlpm.v, IFERROR(VLOOKUP($A1644, manifest!$A:$E, 3, FALSE), ""), IF(OR(_xlpm.v=0, _xlpm.v=""), "", _xlpm.v))</f>
        <v>79</v>
      </c>
      <c r="I1644" t="str">
        <f>_xlfn.LET(_xlpm.v, IFERROR(VLOOKUP($A1644, manifest!$A:$E, 5, FALSE), ""), IF(OR(_xlpm.v=0, _xlpm.v=""), "", _xlpm.v))</f>
        <v>female</v>
      </c>
    </row>
    <row r="1645" spans="1:9" x14ac:dyDescent="0.6">
      <c r="A1645">
        <v>354</v>
      </c>
      <c r="B1645" t="s">
        <v>14</v>
      </c>
      <c r="C1645" t="s">
        <v>11</v>
      </c>
      <c r="D1645">
        <v>147.96</v>
      </c>
      <c r="E1645">
        <v>153.52000000000001</v>
      </c>
      <c r="F1645">
        <v>44657</v>
      </c>
      <c r="H1645">
        <f>_xlfn.LET(_xlpm.v, IFERROR(VLOOKUP($A1645, manifest!$A:$E, 3, FALSE), ""), IF(OR(_xlpm.v=0, _xlpm.v=""), "", _xlpm.v))</f>
        <v>79</v>
      </c>
      <c r="I1645" t="str">
        <f>_xlfn.LET(_xlpm.v, IFERROR(VLOOKUP($A1645, manifest!$A:$E, 5, FALSE), ""), IF(OR(_xlpm.v=0, _xlpm.v=""), "", _xlpm.v))</f>
        <v>female</v>
      </c>
    </row>
    <row r="1646" spans="1:9" x14ac:dyDescent="0.6">
      <c r="A1646">
        <v>354</v>
      </c>
      <c r="B1646" t="s">
        <v>14</v>
      </c>
      <c r="C1646" t="s">
        <v>12</v>
      </c>
      <c r="D1646">
        <v>159.78</v>
      </c>
      <c r="E1646">
        <v>171.07</v>
      </c>
      <c r="F1646">
        <v>58091</v>
      </c>
      <c r="H1646">
        <f>_xlfn.LET(_xlpm.v, IFERROR(VLOOKUP($A1646, manifest!$A:$E, 3, FALSE), ""), IF(OR(_xlpm.v=0, _xlpm.v=""), "", _xlpm.v))</f>
        <v>79</v>
      </c>
      <c r="I1646" t="str">
        <f>_xlfn.LET(_xlpm.v, IFERROR(VLOOKUP($A1646, manifest!$A:$E, 5, FALSE), ""), IF(OR(_xlpm.v=0, _xlpm.v=""), "", _xlpm.v))</f>
        <v>female</v>
      </c>
    </row>
    <row r="1647" spans="1:9" x14ac:dyDescent="0.6">
      <c r="A1647">
        <v>354</v>
      </c>
      <c r="B1647" t="s">
        <v>14</v>
      </c>
      <c r="C1647" t="s">
        <v>13</v>
      </c>
      <c r="D1647">
        <v>148.31</v>
      </c>
      <c r="E1647">
        <v>150.94</v>
      </c>
      <c r="F1647">
        <v>54283</v>
      </c>
      <c r="H1647">
        <f>_xlfn.LET(_xlpm.v, IFERROR(VLOOKUP($A1647, manifest!$A:$E, 3, FALSE), ""), IF(OR(_xlpm.v=0, _xlpm.v=""), "", _xlpm.v))</f>
        <v>79</v>
      </c>
      <c r="I1647" t="str">
        <f>_xlfn.LET(_xlpm.v, IFERROR(VLOOKUP($A1647, manifest!$A:$E, 5, FALSE), ""), IF(OR(_xlpm.v=0, _xlpm.v=""), "", _xlpm.v))</f>
        <v>female</v>
      </c>
    </row>
    <row r="1648" spans="1:9" x14ac:dyDescent="0.6">
      <c r="A1648">
        <v>383</v>
      </c>
      <c r="B1648" t="s">
        <v>14</v>
      </c>
      <c r="C1648" t="s">
        <v>8</v>
      </c>
      <c r="D1648">
        <v>125.61</v>
      </c>
      <c r="E1648">
        <v>156.9</v>
      </c>
      <c r="F1648">
        <v>29121</v>
      </c>
      <c r="G1648" t="s">
        <v>15</v>
      </c>
      <c r="H1648">
        <f>_xlfn.LET(_xlpm.v, IFERROR(VLOOKUP($A1648, manifest!$A:$E, 3, FALSE), ""), IF(OR(_xlpm.v=0, _xlpm.v=""), "", _xlpm.v))</f>
        <v>79</v>
      </c>
      <c r="I1648" t="str">
        <f>_xlfn.LET(_xlpm.v, IFERROR(VLOOKUP($A1648, manifest!$A:$E, 5, FALSE), ""), IF(OR(_xlpm.v=0, _xlpm.v=""), "", _xlpm.v))</f>
        <v>female</v>
      </c>
    </row>
    <row r="1649" spans="1:9" x14ac:dyDescent="0.6">
      <c r="A1649">
        <v>383</v>
      </c>
      <c r="B1649" t="s">
        <v>14</v>
      </c>
      <c r="C1649" t="s">
        <v>10</v>
      </c>
      <c r="D1649">
        <v>126.29</v>
      </c>
      <c r="E1649">
        <v>139.68</v>
      </c>
      <c r="F1649">
        <v>30391</v>
      </c>
      <c r="H1649">
        <f>_xlfn.LET(_xlpm.v, IFERROR(VLOOKUP($A1649, manifest!$A:$E, 3, FALSE), ""), IF(OR(_xlpm.v=0, _xlpm.v=""), "", _xlpm.v))</f>
        <v>79</v>
      </c>
      <c r="I1649" t="str">
        <f>_xlfn.LET(_xlpm.v, IFERROR(VLOOKUP($A1649, manifest!$A:$E, 5, FALSE), ""), IF(OR(_xlpm.v=0, _xlpm.v=""), "", _xlpm.v))</f>
        <v>female</v>
      </c>
    </row>
    <row r="1650" spans="1:9" x14ac:dyDescent="0.6">
      <c r="A1650">
        <v>383</v>
      </c>
      <c r="B1650" t="s">
        <v>14</v>
      </c>
      <c r="C1650" t="s">
        <v>11</v>
      </c>
      <c r="D1650">
        <v>145.75</v>
      </c>
      <c r="E1650">
        <v>190.59</v>
      </c>
      <c r="F1650">
        <v>32551</v>
      </c>
      <c r="H1650">
        <f>_xlfn.LET(_xlpm.v, IFERROR(VLOOKUP($A1650, manifest!$A:$E, 3, FALSE), ""), IF(OR(_xlpm.v=0, _xlpm.v=""), "", _xlpm.v))</f>
        <v>79</v>
      </c>
      <c r="I1650" t="str">
        <f>_xlfn.LET(_xlpm.v, IFERROR(VLOOKUP($A1650, manifest!$A:$E, 5, FALSE), ""), IF(OR(_xlpm.v=0, _xlpm.v=""), "", _xlpm.v))</f>
        <v>female</v>
      </c>
    </row>
    <row r="1651" spans="1:9" x14ac:dyDescent="0.6">
      <c r="A1651">
        <v>383</v>
      </c>
      <c r="B1651" t="s">
        <v>14</v>
      </c>
      <c r="C1651" t="s">
        <v>12</v>
      </c>
      <c r="D1651">
        <v>116.48</v>
      </c>
      <c r="E1651">
        <v>172.29</v>
      </c>
      <c r="F1651">
        <v>36504</v>
      </c>
      <c r="H1651">
        <f>_xlfn.LET(_xlpm.v, IFERROR(VLOOKUP($A1651, manifest!$A:$E, 3, FALSE), ""), IF(OR(_xlpm.v=0, _xlpm.v=""), "", _xlpm.v))</f>
        <v>79</v>
      </c>
      <c r="I1651" t="str">
        <f>_xlfn.LET(_xlpm.v, IFERROR(VLOOKUP($A1651, manifest!$A:$E, 5, FALSE), ""), IF(OR(_xlpm.v=0, _xlpm.v=""), "", _xlpm.v))</f>
        <v>female</v>
      </c>
    </row>
    <row r="1652" spans="1:9" x14ac:dyDescent="0.6">
      <c r="A1652">
        <v>383</v>
      </c>
      <c r="B1652" t="s">
        <v>14</v>
      </c>
      <c r="C1652" t="s">
        <v>13</v>
      </c>
      <c r="D1652">
        <v>119.73</v>
      </c>
      <c r="E1652">
        <v>139.72999999999999</v>
      </c>
      <c r="F1652">
        <v>41077</v>
      </c>
      <c r="H1652">
        <f>_xlfn.LET(_xlpm.v, IFERROR(VLOOKUP($A1652, manifest!$A:$E, 3, FALSE), ""), IF(OR(_xlpm.v=0, _xlpm.v=""), "", _xlpm.v))</f>
        <v>79</v>
      </c>
      <c r="I1652" t="str">
        <f>_xlfn.LET(_xlpm.v, IFERROR(VLOOKUP($A1652, manifest!$A:$E, 5, FALSE), ""), IF(OR(_xlpm.v=0, _xlpm.v=""), "", _xlpm.v))</f>
        <v>female</v>
      </c>
    </row>
    <row r="1653" spans="1:9" x14ac:dyDescent="0.6">
      <c r="A1653">
        <v>362</v>
      </c>
      <c r="B1653" t="s">
        <v>7</v>
      </c>
      <c r="C1653" t="s">
        <v>8</v>
      </c>
      <c r="D1653">
        <v>216.36</v>
      </c>
      <c r="E1653">
        <v>128.13</v>
      </c>
      <c r="F1653">
        <v>22310</v>
      </c>
      <c r="G1653" t="s">
        <v>9</v>
      </c>
      <c r="H1653">
        <f>_xlfn.LET(_xlpm.v, IFERROR(VLOOKUP($A1653, manifest!$A:$E, 3, FALSE), ""), IF(OR(_xlpm.v=0, _xlpm.v=""), "", _xlpm.v))</f>
        <v>61</v>
      </c>
      <c r="I1653" t="str">
        <f>_xlfn.LET(_xlpm.v, IFERROR(VLOOKUP($A1653, manifest!$A:$E, 5, FALSE), ""), IF(OR(_xlpm.v=0, _xlpm.v=""), "", _xlpm.v))</f>
        <v>female</v>
      </c>
    </row>
    <row r="1654" spans="1:9" x14ac:dyDescent="0.6">
      <c r="A1654">
        <v>362</v>
      </c>
      <c r="B1654" t="s">
        <v>7</v>
      </c>
      <c r="C1654" t="s">
        <v>10</v>
      </c>
      <c r="D1654">
        <v>216.48</v>
      </c>
      <c r="E1654">
        <v>133.80000000000001</v>
      </c>
      <c r="F1654">
        <v>28128</v>
      </c>
      <c r="H1654">
        <f>_xlfn.LET(_xlpm.v, IFERROR(VLOOKUP($A1654, manifest!$A:$E, 3, FALSE), ""), IF(OR(_xlpm.v=0, _xlpm.v=""), "", _xlpm.v))</f>
        <v>61</v>
      </c>
      <c r="I1654" t="str">
        <f>_xlfn.LET(_xlpm.v, IFERROR(VLOOKUP($A1654, manifest!$A:$E, 5, FALSE), ""), IF(OR(_xlpm.v=0, _xlpm.v=""), "", _xlpm.v))</f>
        <v>female</v>
      </c>
    </row>
    <row r="1655" spans="1:9" x14ac:dyDescent="0.6">
      <c r="A1655">
        <v>362</v>
      </c>
      <c r="B1655" t="s">
        <v>7</v>
      </c>
      <c r="C1655" t="s">
        <v>11</v>
      </c>
      <c r="D1655">
        <v>213.9</v>
      </c>
      <c r="E1655">
        <v>137.28</v>
      </c>
      <c r="F1655">
        <v>30101</v>
      </c>
      <c r="H1655">
        <f>_xlfn.LET(_xlpm.v, IFERROR(VLOOKUP($A1655, manifest!$A:$E, 3, FALSE), ""), IF(OR(_xlpm.v=0, _xlpm.v=""), "", _xlpm.v))</f>
        <v>61</v>
      </c>
      <c r="I1655" t="str">
        <f>_xlfn.LET(_xlpm.v, IFERROR(VLOOKUP($A1655, manifest!$A:$E, 5, FALSE), ""), IF(OR(_xlpm.v=0, _xlpm.v=""), "", _xlpm.v))</f>
        <v>female</v>
      </c>
    </row>
    <row r="1656" spans="1:9" x14ac:dyDescent="0.6">
      <c r="A1656">
        <v>362</v>
      </c>
      <c r="B1656" t="s">
        <v>7</v>
      </c>
      <c r="C1656" t="s">
        <v>12</v>
      </c>
      <c r="D1656">
        <v>179.87</v>
      </c>
      <c r="E1656">
        <v>129.72</v>
      </c>
      <c r="F1656">
        <v>38876</v>
      </c>
      <c r="H1656">
        <f>_xlfn.LET(_xlpm.v, IFERROR(VLOOKUP($A1656, manifest!$A:$E, 3, FALSE), ""), IF(OR(_xlpm.v=0, _xlpm.v=""), "", _xlpm.v))</f>
        <v>61</v>
      </c>
      <c r="I1656" t="str">
        <f>_xlfn.LET(_xlpm.v, IFERROR(VLOOKUP($A1656, manifest!$A:$E, 5, FALSE), ""), IF(OR(_xlpm.v=0, _xlpm.v=""), "", _xlpm.v))</f>
        <v>female</v>
      </c>
    </row>
    <row r="1657" spans="1:9" x14ac:dyDescent="0.6">
      <c r="A1657">
        <v>362</v>
      </c>
      <c r="B1657" t="s">
        <v>7</v>
      </c>
      <c r="C1657" t="s">
        <v>13</v>
      </c>
      <c r="D1657">
        <v>225.39</v>
      </c>
      <c r="E1657">
        <v>150.56</v>
      </c>
      <c r="F1657">
        <v>45226</v>
      </c>
      <c r="H1657">
        <f>_xlfn.LET(_xlpm.v, IFERROR(VLOOKUP($A1657, manifest!$A:$E, 3, FALSE), ""), IF(OR(_xlpm.v=0, _xlpm.v=""), "", _xlpm.v))</f>
        <v>61</v>
      </c>
      <c r="I1657" t="str">
        <f>_xlfn.LET(_xlpm.v, IFERROR(VLOOKUP($A1657, manifest!$A:$E, 5, FALSE), ""), IF(OR(_xlpm.v=0, _xlpm.v=""), "", _xlpm.v))</f>
        <v>female</v>
      </c>
    </row>
    <row r="1658" spans="1:9" x14ac:dyDescent="0.6">
      <c r="A1658">
        <v>347</v>
      </c>
      <c r="B1658" t="s">
        <v>14</v>
      </c>
      <c r="C1658" t="s">
        <v>8</v>
      </c>
      <c r="D1658">
        <v>194.97</v>
      </c>
      <c r="E1658">
        <v>140.38</v>
      </c>
      <c r="F1658">
        <v>29617</v>
      </c>
      <c r="G1658" t="s">
        <v>9</v>
      </c>
      <c r="H1658">
        <f>_xlfn.LET(_xlpm.v, IFERROR(VLOOKUP($A1658, manifest!$A:$E, 3, FALSE), ""), IF(OR(_xlpm.v=0, _xlpm.v=""), "", _xlpm.v))</f>
        <v>54</v>
      </c>
      <c r="I1658" t="str">
        <f>_xlfn.LET(_xlpm.v, IFERROR(VLOOKUP($A1658, manifest!$A:$E, 5, FALSE), ""), IF(OR(_xlpm.v=0, _xlpm.v=""), "", _xlpm.v))</f>
        <v>male</v>
      </c>
    </row>
    <row r="1659" spans="1:9" x14ac:dyDescent="0.6">
      <c r="A1659">
        <v>347</v>
      </c>
      <c r="B1659" t="s">
        <v>14</v>
      </c>
      <c r="C1659" t="s">
        <v>10</v>
      </c>
      <c r="D1659">
        <v>209.98</v>
      </c>
      <c r="E1659">
        <v>162.54</v>
      </c>
      <c r="F1659">
        <v>31223</v>
      </c>
      <c r="H1659">
        <f>_xlfn.LET(_xlpm.v, IFERROR(VLOOKUP($A1659, manifest!$A:$E, 3, FALSE), ""), IF(OR(_xlpm.v=0, _xlpm.v=""), "", _xlpm.v))</f>
        <v>54</v>
      </c>
      <c r="I1659" t="str">
        <f>_xlfn.LET(_xlpm.v, IFERROR(VLOOKUP($A1659, manifest!$A:$E, 5, FALSE), ""), IF(OR(_xlpm.v=0, _xlpm.v=""), "", _xlpm.v))</f>
        <v>male</v>
      </c>
    </row>
    <row r="1660" spans="1:9" x14ac:dyDescent="0.6">
      <c r="A1660">
        <v>347</v>
      </c>
      <c r="B1660" t="s">
        <v>14</v>
      </c>
      <c r="C1660" t="s">
        <v>11</v>
      </c>
      <c r="D1660">
        <v>213.2</v>
      </c>
      <c r="E1660">
        <v>151.38</v>
      </c>
      <c r="F1660">
        <v>40334</v>
      </c>
      <c r="H1660">
        <f>_xlfn.LET(_xlpm.v, IFERROR(VLOOKUP($A1660, manifest!$A:$E, 3, FALSE), ""), IF(OR(_xlpm.v=0, _xlpm.v=""), "", _xlpm.v))</f>
        <v>54</v>
      </c>
      <c r="I1660" t="str">
        <f>_xlfn.LET(_xlpm.v, IFERROR(VLOOKUP($A1660, manifest!$A:$E, 5, FALSE), ""), IF(OR(_xlpm.v=0, _xlpm.v=""), "", _xlpm.v))</f>
        <v>male</v>
      </c>
    </row>
    <row r="1661" spans="1:9" x14ac:dyDescent="0.6">
      <c r="A1661">
        <v>347</v>
      </c>
      <c r="B1661" t="s">
        <v>14</v>
      </c>
      <c r="C1661" t="s">
        <v>12</v>
      </c>
      <c r="D1661">
        <v>201.8</v>
      </c>
      <c r="E1661">
        <v>157.04</v>
      </c>
      <c r="F1661">
        <v>50470</v>
      </c>
      <c r="H1661">
        <f>_xlfn.LET(_xlpm.v, IFERROR(VLOOKUP($A1661, manifest!$A:$E, 3, FALSE), ""), IF(OR(_xlpm.v=0, _xlpm.v=""), "", _xlpm.v))</f>
        <v>54</v>
      </c>
      <c r="I1661" t="str">
        <f>_xlfn.LET(_xlpm.v, IFERROR(VLOOKUP($A1661, manifest!$A:$E, 5, FALSE), ""), IF(OR(_xlpm.v=0, _xlpm.v=""), "", _xlpm.v))</f>
        <v>male</v>
      </c>
    </row>
    <row r="1662" spans="1:9" x14ac:dyDescent="0.6">
      <c r="A1662">
        <v>347</v>
      </c>
      <c r="B1662" t="s">
        <v>14</v>
      </c>
      <c r="C1662" t="s">
        <v>13</v>
      </c>
      <c r="D1662">
        <v>198.88</v>
      </c>
      <c r="E1662">
        <v>144.75</v>
      </c>
      <c r="F1662">
        <v>51210</v>
      </c>
      <c r="H1662">
        <f>_xlfn.LET(_xlpm.v, IFERROR(VLOOKUP($A1662, manifest!$A:$E, 3, FALSE), ""), IF(OR(_xlpm.v=0, _xlpm.v=""), "", _xlpm.v))</f>
        <v>54</v>
      </c>
      <c r="I1662" t="str">
        <f>_xlfn.LET(_xlpm.v, IFERROR(VLOOKUP($A1662, manifest!$A:$E, 5, FALSE), ""), IF(OR(_xlpm.v=0, _xlpm.v=""), "", _xlpm.v))</f>
        <v>male</v>
      </c>
    </row>
    <row r="1663" spans="1:9" x14ac:dyDescent="0.6">
      <c r="A1663">
        <v>357</v>
      </c>
      <c r="B1663" t="s">
        <v>14</v>
      </c>
      <c r="C1663" t="s">
        <v>8</v>
      </c>
      <c r="D1663">
        <v>245.48</v>
      </c>
      <c r="E1663">
        <v>137.12</v>
      </c>
      <c r="F1663">
        <v>22860</v>
      </c>
      <c r="G1663" t="s">
        <v>9</v>
      </c>
      <c r="H1663">
        <f>_xlfn.LET(_xlpm.v, IFERROR(VLOOKUP($A1663, manifest!$A:$E, 3, FALSE), ""), IF(OR(_xlpm.v=0, _xlpm.v=""), "", _xlpm.v))</f>
        <v>51</v>
      </c>
      <c r="I1663" t="str">
        <f>_xlfn.LET(_xlpm.v, IFERROR(VLOOKUP($A1663, manifest!$A:$E, 5, FALSE), ""), IF(OR(_xlpm.v=0, _xlpm.v=""), "", _xlpm.v))</f>
        <v>female</v>
      </c>
    </row>
    <row r="1664" spans="1:9" x14ac:dyDescent="0.6">
      <c r="A1664">
        <v>357</v>
      </c>
      <c r="B1664" t="s">
        <v>14</v>
      </c>
      <c r="C1664" t="s">
        <v>10</v>
      </c>
      <c r="D1664">
        <v>261.5</v>
      </c>
      <c r="E1664">
        <v>157.44999999999999</v>
      </c>
      <c r="F1664">
        <v>24874</v>
      </c>
      <c r="H1664">
        <f>_xlfn.LET(_xlpm.v, IFERROR(VLOOKUP($A1664, manifest!$A:$E, 3, FALSE), ""), IF(OR(_xlpm.v=0, _xlpm.v=""), "", _xlpm.v))</f>
        <v>51</v>
      </c>
      <c r="I1664" t="str">
        <f>_xlfn.LET(_xlpm.v, IFERROR(VLOOKUP($A1664, manifest!$A:$E, 5, FALSE), ""), IF(OR(_xlpm.v=0, _xlpm.v=""), "", _xlpm.v))</f>
        <v>female</v>
      </c>
    </row>
    <row r="1665" spans="1:9" x14ac:dyDescent="0.6">
      <c r="A1665">
        <v>357</v>
      </c>
      <c r="B1665" t="s">
        <v>14</v>
      </c>
      <c r="C1665" t="s">
        <v>11</v>
      </c>
      <c r="D1665">
        <v>258.07</v>
      </c>
      <c r="E1665">
        <v>173.91</v>
      </c>
      <c r="F1665">
        <v>32484</v>
      </c>
      <c r="H1665">
        <f>_xlfn.LET(_xlpm.v, IFERROR(VLOOKUP($A1665, manifest!$A:$E, 3, FALSE), ""), IF(OR(_xlpm.v=0, _xlpm.v=""), "", _xlpm.v))</f>
        <v>51</v>
      </c>
      <c r="I1665" t="str">
        <f>_xlfn.LET(_xlpm.v, IFERROR(VLOOKUP($A1665, manifest!$A:$E, 5, FALSE), ""), IF(OR(_xlpm.v=0, _xlpm.v=""), "", _xlpm.v))</f>
        <v>female</v>
      </c>
    </row>
    <row r="1666" spans="1:9" x14ac:dyDescent="0.6">
      <c r="A1666">
        <v>357</v>
      </c>
      <c r="B1666" t="s">
        <v>14</v>
      </c>
      <c r="C1666" t="s">
        <v>12</v>
      </c>
      <c r="D1666">
        <v>255.88</v>
      </c>
      <c r="E1666">
        <v>173.81</v>
      </c>
      <c r="F1666">
        <v>41158</v>
      </c>
      <c r="H1666">
        <f>_xlfn.LET(_xlpm.v, IFERROR(VLOOKUP($A1666, manifest!$A:$E, 3, FALSE), ""), IF(OR(_xlpm.v=0, _xlpm.v=""), "", _xlpm.v))</f>
        <v>51</v>
      </c>
      <c r="I1666" t="str">
        <f>_xlfn.LET(_xlpm.v, IFERROR(VLOOKUP($A1666, manifest!$A:$E, 5, FALSE), ""), IF(OR(_xlpm.v=0, _xlpm.v=""), "", _xlpm.v))</f>
        <v>female</v>
      </c>
    </row>
    <row r="1667" spans="1:9" x14ac:dyDescent="0.6">
      <c r="A1667">
        <v>357</v>
      </c>
      <c r="B1667" t="s">
        <v>14</v>
      </c>
      <c r="C1667" t="s">
        <v>13</v>
      </c>
      <c r="D1667">
        <v>250.06</v>
      </c>
      <c r="E1667">
        <v>166.55</v>
      </c>
      <c r="F1667">
        <v>44120</v>
      </c>
      <c r="H1667">
        <f>_xlfn.LET(_xlpm.v, IFERROR(VLOOKUP($A1667, manifest!$A:$E, 3, FALSE), ""), IF(OR(_xlpm.v=0, _xlpm.v=""), "", _xlpm.v))</f>
        <v>51</v>
      </c>
      <c r="I1667" t="str">
        <f>_xlfn.LET(_xlpm.v, IFERROR(VLOOKUP($A1667, manifest!$A:$E, 5, FALSE), ""), IF(OR(_xlpm.v=0, _xlpm.v=""), "", _xlpm.v))</f>
        <v>female</v>
      </c>
    </row>
    <row r="1668" spans="1:9" x14ac:dyDescent="0.6">
      <c r="A1668">
        <v>345</v>
      </c>
      <c r="B1668" t="s">
        <v>7</v>
      </c>
      <c r="C1668" t="s">
        <v>8</v>
      </c>
      <c r="D1668">
        <v>126.82</v>
      </c>
      <c r="E1668">
        <v>195.51</v>
      </c>
      <c r="F1668">
        <v>50086</v>
      </c>
      <c r="G1668" t="s">
        <v>15</v>
      </c>
      <c r="H1668">
        <f>_xlfn.LET(_xlpm.v, IFERROR(VLOOKUP($A1668, manifest!$A:$E, 3, FALSE), ""), IF(OR(_xlpm.v=0, _xlpm.v=""), "", _xlpm.v))</f>
        <v>67</v>
      </c>
      <c r="I1668" t="str">
        <f>_xlfn.LET(_xlpm.v, IFERROR(VLOOKUP($A1668, manifest!$A:$E, 5, FALSE), ""), IF(OR(_xlpm.v=0, _xlpm.v=""), "", _xlpm.v))</f>
        <v>male</v>
      </c>
    </row>
    <row r="1669" spans="1:9" x14ac:dyDescent="0.6">
      <c r="A1669">
        <v>345</v>
      </c>
      <c r="B1669" t="s">
        <v>7</v>
      </c>
      <c r="C1669" t="s">
        <v>10</v>
      </c>
      <c r="D1669">
        <v>185.39</v>
      </c>
      <c r="E1669">
        <v>227.58</v>
      </c>
      <c r="F1669">
        <v>46826</v>
      </c>
      <c r="H1669">
        <f>_xlfn.LET(_xlpm.v, IFERROR(VLOOKUP($A1669, manifest!$A:$E, 3, FALSE), ""), IF(OR(_xlpm.v=0, _xlpm.v=""), "", _xlpm.v))</f>
        <v>67</v>
      </c>
      <c r="I1669" t="str">
        <f>_xlfn.LET(_xlpm.v, IFERROR(VLOOKUP($A1669, manifest!$A:$E, 5, FALSE), ""), IF(OR(_xlpm.v=0, _xlpm.v=""), "", _xlpm.v))</f>
        <v>male</v>
      </c>
    </row>
    <row r="1670" spans="1:9" x14ac:dyDescent="0.6">
      <c r="A1670">
        <v>345</v>
      </c>
      <c r="B1670" t="s">
        <v>7</v>
      </c>
      <c r="C1670" t="s">
        <v>11</v>
      </c>
      <c r="D1670">
        <v>158.25</v>
      </c>
      <c r="E1670">
        <v>180.1</v>
      </c>
      <c r="F1670">
        <v>47079</v>
      </c>
      <c r="H1670">
        <f>_xlfn.LET(_xlpm.v, IFERROR(VLOOKUP($A1670, manifest!$A:$E, 3, FALSE), ""), IF(OR(_xlpm.v=0, _xlpm.v=""), "", _xlpm.v))</f>
        <v>67</v>
      </c>
      <c r="I1670" t="str">
        <f>_xlfn.LET(_xlpm.v, IFERROR(VLOOKUP($A1670, manifest!$A:$E, 5, FALSE), ""), IF(OR(_xlpm.v=0, _xlpm.v=""), "", _xlpm.v))</f>
        <v>male</v>
      </c>
    </row>
    <row r="1671" spans="1:9" x14ac:dyDescent="0.6">
      <c r="A1671">
        <v>345</v>
      </c>
      <c r="B1671" t="s">
        <v>7</v>
      </c>
      <c r="C1671" t="s">
        <v>12</v>
      </c>
      <c r="D1671">
        <v>167.49</v>
      </c>
      <c r="E1671">
        <v>179.69</v>
      </c>
      <c r="F1671">
        <v>59033</v>
      </c>
      <c r="H1671">
        <f>_xlfn.LET(_xlpm.v, IFERROR(VLOOKUP($A1671, manifest!$A:$E, 3, FALSE), ""), IF(OR(_xlpm.v=0, _xlpm.v=""), "", _xlpm.v))</f>
        <v>67</v>
      </c>
      <c r="I1671" t="str">
        <f>_xlfn.LET(_xlpm.v, IFERROR(VLOOKUP($A1671, manifest!$A:$E, 5, FALSE), ""), IF(OR(_xlpm.v=0, _xlpm.v=""), "", _xlpm.v))</f>
        <v>male</v>
      </c>
    </row>
    <row r="1672" spans="1:9" x14ac:dyDescent="0.6">
      <c r="A1672">
        <v>345</v>
      </c>
      <c r="B1672" t="s">
        <v>7</v>
      </c>
      <c r="C1672" t="s">
        <v>13</v>
      </c>
      <c r="D1672">
        <v>188.15</v>
      </c>
      <c r="E1672">
        <v>174.4</v>
      </c>
      <c r="F1672">
        <v>67304</v>
      </c>
      <c r="H1672">
        <f>_xlfn.LET(_xlpm.v, IFERROR(VLOOKUP($A1672, manifest!$A:$E, 3, FALSE), ""), IF(OR(_xlpm.v=0, _xlpm.v=""), "", _xlpm.v))</f>
        <v>67</v>
      </c>
      <c r="I1672" t="str">
        <f>_xlfn.LET(_xlpm.v, IFERROR(VLOOKUP($A1672, manifest!$A:$E, 5, FALSE), ""), IF(OR(_xlpm.v=0, _xlpm.v=""), "", _xlpm.v))</f>
        <v>male</v>
      </c>
    </row>
    <row r="1673" spans="1:9" x14ac:dyDescent="0.6">
      <c r="A1673">
        <v>350</v>
      </c>
      <c r="B1673" t="s">
        <v>7</v>
      </c>
      <c r="C1673" t="s">
        <v>8</v>
      </c>
      <c r="D1673">
        <v>176.11</v>
      </c>
      <c r="E1673">
        <v>172.38</v>
      </c>
      <c r="F1673">
        <v>57280</v>
      </c>
      <c r="G1673" t="s">
        <v>9</v>
      </c>
      <c r="H1673">
        <f>_xlfn.LET(_xlpm.v, IFERROR(VLOOKUP($A1673, manifest!$A:$E, 3, FALSE), ""), IF(OR(_xlpm.v=0, _xlpm.v=""), "", _xlpm.v))</f>
        <v>59</v>
      </c>
      <c r="I1673" t="str">
        <f>_xlfn.LET(_xlpm.v, IFERROR(VLOOKUP($A1673, manifest!$A:$E, 5, FALSE), ""), IF(OR(_xlpm.v=0, _xlpm.v=""), "", _xlpm.v))</f>
        <v>male</v>
      </c>
    </row>
    <row r="1674" spans="1:9" x14ac:dyDescent="0.6">
      <c r="A1674">
        <v>350</v>
      </c>
      <c r="B1674" t="s">
        <v>7</v>
      </c>
      <c r="C1674" t="s">
        <v>10</v>
      </c>
      <c r="D1674">
        <v>200.25</v>
      </c>
      <c r="E1674">
        <v>212.41</v>
      </c>
      <c r="F1674">
        <v>53281</v>
      </c>
      <c r="H1674">
        <f>_xlfn.LET(_xlpm.v, IFERROR(VLOOKUP($A1674, manifest!$A:$E, 3, FALSE), ""), IF(OR(_xlpm.v=0, _xlpm.v=""), "", _xlpm.v))</f>
        <v>59</v>
      </c>
      <c r="I1674" t="str">
        <f>_xlfn.LET(_xlpm.v, IFERROR(VLOOKUP($A1674, manifest!$A:$E, 5, FALSE), ""), IF(OR(_xlpm.v=0, _xlpm.v=""), "", _xlpm.v))</f>
        <v>male</v>
      </c>
    </row>
    <row r="1675" spans="1:9" x14ac:dyDescent="0.6">
      <c r="A1675">
        <v>350</v>
      </c>
      <c r="B1675" t="s">
        <v>7</v>
      </c>
      <c r="C1675" t="s">
        <v>11</v>
      </c>
      <c r="D1675">
        <v>190.25</v>
      </c>
      <c r="E1675">
        <v>193.43</v>
      </c>
      <c r="F1675">
        <v>62943</v>
      </c>
      <c r="H1675">
        <f>_xlfn.LET(_xlpm.v, IFERROR(VLOOKUP($A1675, manifest!$A:$E, 3, FALSE), ""), IF(OR(_xlpm.v=0, _xlpm.v=""), "", _xlpm.v))</f>
        <v>59</v>
      </c>
      <c r="I1675" t="str">
        <f>_xlfn.LET(_xlpm.v, IFERROR(VLOOKUP($A1675, manifest!$A:$E, 5, FALSE), ""), IF(OR(_xlpm.v=0, _xlpm.v=""), "", _xlpm.v))</f>
        <v>male</v>
      </c>
    </row>
    <row r="1676" spans="1:9" x14ac:dyDescent="0.6">
      <c r="A1676">
        <v>350</v>
      </c>
      <c r="B1676" t="s">
        <v>7</v>
      </c>
      <c r="C1676" t="s">
        <v>12</v>
      </c>
      <c r="D1676">
        <v>184.94</v>
      </c>
      <c r="E1676">
        <v>189.59</v>
      </c>
      <c r="F1676">
        <v>87251</v>
      </c>
      <c r="H1676">
        <f>_xlfn.LET(_xlpm.v, IFERROR(VLOOKUP($A1676, manifest!$A:$E, 3, FALSE), ""), IF(OR(_xlpm.v=0, _xlpm.v=""), "", _xlpm.v))</f>
        <v>59</v>
      </c>
      <c r="I1676" t="str">
        <f>_xlfn.LET(_xlpm.v, IFERROR(VLOOKUP($A1676, manifest!$A:$E, 5, FALSE), ""), IF(OR(_xlpm.v=0, _xlpm.v=""), "", _xlpm.v))</f>
        <v>male</v>
      </c>
    </row>
    <row r="1677" spans="1:9" x14ac:dyDescent="0.6">
      <c r="A1677">
        <v>350</v>
      </c>
      <c r="B1677" t="s">
        <v>7</v>
      </c>
      <c r="C1677" t="s">
        <v>13</v>
      </c>
      <c r="D1677">
        <v>196.67</v>
      </c>
      <c r="E1677">
        <v>188.16</v>
      </c>
      <c r="F1677">
        <v>84040</v>
      </c>
      <c r="H1677">
        <f>_xlfn.LET(_xlpm.v, IFERROR(VLOOKUP($A1677, manifest!$A:$E, 3, FALSE), ""), IF(OR(_xlpm.v=0, _xlpm.v=""), "", _xlpm.v))</f>
        <v>59</v>
      </c>
      <c r="I1677" t="str">
        <f>_xlfn.LET(_xlpm.v, IFERROR(VLOOKUP($A1677, manifest!$A:$E, 5, FALSE), ""), IF(OR(_xlpm.v=0, _xlpm.v=""), "", _xlpm.v))</f>
        <v>male</v>
      </c>
    </row>
    <row r="1678" spans="1:9" x14ac:dyDescent="0.6">
      <c r="A1678">
        <v>352</v>
      </c>
      <c r="B1678" t="s">
        <v>7</v>
      </c>
      <c r="C1678" t="s">
        <v>8</v>
      </c>
      <c r="D1678">
        <v>110.35</v>
      </c>
      <c r="E1678">
        <v>125.92</v>
      </c>
      <c r="F1678">
        <v>37461</v>
      </c>
      <c r="G1678" t="s">
        <v>15</v>
      </c>
      <c r="H1678">
        <f>_xlfn.LET(_xlpm.v, IFERROR(VLOOKUP($A1678, manifest!$A:$E, 3, FALSE), ""), IF(OR(_xlpm.v=0, _xlpm.v=""), "", _xlpm.v))</f>
        <v>62</v>
      </c>
      <c r="I1678" t="str">
        <f>_xlfn.LET(_xlpm.v, IFERROR(VLOOKUP($A1678, manifest!$A:$E, 5, FALSE), ""), IF(OR(_xlpm.v=0, _xlpm.v=""), "", _xlpm.v))</f>
        <v>female</v>
      </c>
    </row>
    <row r="1679" spans="1:9" x14ac:dyDescent="0.6">
      <c r="A1679">
        <v>352</v>
      </c>
      <c r="B1679" t="s">
        <v>7</v>
      </c>
      <c r="C1679" t="s">
        <v>10</v>
      </c>
      <c r="D1679">
        <v>119.02</v>
      </c>
      <c r="E1679">
        <v>126.78</v>
      </c>
      <c r="F1679">
        <v>40950</v>
      </c>
      <c r="H1679">
        <f>_xlfn.LET(_xlpm.v, IFERROR(VLOOKUP($A1679, manifest!$A:$E, 3, FALSE), ""), IF(OR(_xlpm.v=0, _xlpm.v=""), "", _xlpm.v))</f>
        <v>62</v>
      </c>
      <c r="I1679" t="str">
        <f>_xlfn.LET(_xlpm.v, IFERROR(VLOOKUP($A1679, manifest!$A:$E, 5, FALSE), ""), IF(OR(_xlpm.v=0, _xlpm.v=""), "", _xlpm.v))</f>
        <v>female</v>
      </c>
    </row>
    <row r="1680" spans="1:9" x14ac:dyDescent="0.6">
      <c r="A1680">
        <v>352</v>
      </c>
      <c r="B1680" t="s">
        <v>7</v>
      </c>
      <c r="C1680" t="s">
        <v>11</v>
      </c>
      <c r="D1680">
        <v>111.65</v>
      </c>
      <c r="E1680">
        <v>142.44999999999999</v>
      </c>
      <c r="F1680">
        <v>46911</v>
      </c>
      <c r="H1680">
        <f>_xlfn.LET(_xlpm.v, IFERROR(VLOOKUP($A1680, manifest!$A:$E, 3, FALSE), ""), IF(OR(_xlpm.v=0, _xlpm.v=""), "", _xlpm.v))</f>
        <v>62</v>
      </c>
      <c r="I1680" t="str">
        <f>_xlfn.LET(_xlpm.v, IFERROR(VLOOKUP($A1680, manifest!$A:$E, 5, FALSE), ""), IF(OR(_xlpm.v=0, _xlpm.v=""), "", _xlpm.v))</f>
        <v>female</v>
      </c>
    </row>
    <row r="1681" spans="1:9" x14ac:dyDescent="0.6">
      <c r="A1681">
        <v>352</v>
      </c>
      <c r="B1681" t="s">
        <v>7</v>
      </c>
      <c r="C1681" t="s">
        <v>12</v>
      </c>
      <c r="D1681">
        <v>119.66</v>
      </c>
      <c r="E1681">
        <v>155.04</v>
      </c>
      <c r="F1681">
        <v>54864</v>
      </c>
      <c r="H1681">
        <f>_xlfn.LET(_xlpm.v, IFERROR(VLOOKUP($A1681, manifest!$A:$E, 3, FALSE), ""), IF(OR(_xlpm.v=0, _xlpm.v=""), "", _xlpm.v))</f>
        <v>62</v>
      </c>
      <c r="I1681" t="str">
        <f>_xlfn.LET(_xlpm.v, IFERROR(VLOOKUP($A1681, manifest!$A:$E, 5, FALSE), ""), IF(OR(_xlpm.v=0, _xlpm.v=""), "", _xlpm.v))</f>
        <v>female</v>
      </c>
    </row>
    <row r="1682" spans="1:9" x14ac:dyDescent="0.6">
      <c r="A1682">
        <v>352</v>
      </c>
      <c r="B1682" t="s">
        <v>7</v>
      </c>
      <c r="C1682" t="s">
        <v>13</v>
      </c>
      <c r="D1682">
        <v>135.28</v>
      </c>
      <c r="E1682">
        <v>160.36000000000001</v>
      </c>
      <c r="F1682">
        <v>56724</v>
      </c>
      <c r="H1682">
        <f>_xlfn.LET(_xlpm.v, IFERROR(VLOOKUP($A1682, manifest!$A:$E, 3, FALSE), ""), IF(OR(_xlpm.v=0, _xlpm.v=""), "", _xlpm.v))</f>
        <v>62</v>
      </c>
      <c r="I1682" t="str">
        <f>_xlfn.LET(_xlpm.v, IFERROR(VLOOKUP($A1682, manifest!$A:$E, 5, FALSE), ""), IF(OR(_xlpm.v=0, _xlpm.v=""), "", _xlpm.v))</f>
        <v>female</v>
      </c>
    </row>
    <row r="1683" spans="1:9" x14ac:dyDescent="0.6">
      <c r="A1683">
        <v>380</v>
      </c>
      <c r="B1683" t="s">
        <v>14</v>
      </c>
      <c r="C1683" t="s">
        <v>8</v>
      </c>
      <c r="D1683">
        <v>137.65</v>
      </c>
      <c r="E1683">
        <v>103.32</v>
      </c>
      <c r="F1683">
        <v>19493</v>
      </c>
      <c r="G1683" t="s">
        <v>15</v>
      </c>
      <c r="H1683">
        <f>_xlfn.LET(_xlpm.v, IFERROR(VLOOKUP($A1683, manifest!$A:$E, 3, FALSE), ""), IF(OR(_xlpm.v=0, _xlpm.v=""), "", _xlpm.v))</f>
        <v>69</v>
      </c>
      <c r="I1683" t="str">
        <f>_xlfn.LET(_xlpm.v, IFERROR(VLOOKUP($A1683, manifest!$A:$E, 5, FALSE), ""), IF(OR(_xlpm.v=0, _xlpm.v=""), "", _xlpm.v))</f>
        <v>female</v>
      </c>
    </row>
    <row r="1684" spans="1:9" x14ac:dyDescent="0.6">
      <c r="A1684">
        <v>380</v>
      </c>
      <c r="B1684" t="s">
        <v>14</v>
      </c>
      <c r="C1684" t="s">
        <v>10</v>
      </c>
      <c r="D1684">
        <v>136.38999999999999</v>
      </c>
      <c r="E1684">
        <v>119.77</v>
      </c>
      <c r="F1684">
        <v>23433</v>
      </c>
      <c r="H1684">
        <f>_xlfn.LET(_xlpm.v, IFERROR(VLOOKUP($A1684, manifest!$A:$E, 3, FALSE), ""), IF(OR(_xlpm.v=0, _xlpm.v=""), "", _xlpm.v))</f>
        <v>69</v>
      </c>
      <c r="I1684" t="str">
        <f>_xlfn.LET(_xlpm.v, IFERROR(VLOOKUP($A1684, manifest!$A:$E, 5, FALSE), ""), IF(OR(_xlpm.v=0, _xlpm.v=""), "", _xlpm.v))</f>
        <v>female</v>
      </c>
    </row>
    <row r="1685" spans="1:9" x14ac:dyDescent="0.6">
      <c r="A1685">
        <v>380</v>
      </c>
      <c r="B1685" t="s">
        <v>14</v>
      </c>
      <c r="C1685" t="s">
        <v>11</v>
      </c>
      <c r="D1685">
        <v>179.72</v>
      </c>
      <c r="E1685">
        <v>170.93</v>
      </c>
      <c r="F1685">
        <v>22190</v>
      </c>
      <c r="H1685">
        <f>_xlfn.LET(_xlpm.v, IFERROR(VLOOKUP($A1685, manifest!$A:$E, 3, FALSE), ""), IF(OR(_xlpm.v=0, _xlpm.v=""), "", _xlpm.v))</f>
        <v>69</v>
      </c>
      <c r="I1685" t="str">
        <f>_xlfn.LET(_xlpm.v, IFERROR(VLOOKUP($A1685, manifest!$A:$E, 5, FALSE), ""), IF(OR(_xlpm.v=0, _xlpm.v=""), "", _xlpm.v))</f>
        <v>female</v>
      </c>
    </row>
    <row r="1686" spans="1:9" x14ac:dyDescent="0.6">
      <c r="A1686">
        <v>380</v>
      </c>
      <c r="B1686" t="s">
        <v>14</v>
      </c>
      <c r="C1686" t="s">
        <v>12</v>
      </c>
      <c r="D1686">
        <v>157.27000000000001</v>
      </c>
      <c r="E1686">
        <v>181.07</v>
      </c>
      <c r="F1686">
        <v>30678</v>
      </c>
      <c r="H1686">
        <f>_xlfn.LET(_xlpm.v, IFERROR(VLOOKUP($A1686, manifest!$A:$E, 3, FALSE), ""), IF(OR(_xlpm.v=0, _xlpm.v=""), "", _xlpm.v))</f>
        <v>69</v>
      </c>
      <c r="I1686" t="str">
        <f>_xlfn.LET(_xlpm.v, IFERROR(VLOOKUP($A1686, manifest!$A:$E, 5, FALSE), ""), IF(OR(_xlpm.v=0, _xlpm.v=""), "", _xlpm.v))</f>
        <v>female</v>
      </c>
    </row>
    <row r="1687" spans="1:9" x14ac:dyDescent="0.6">
      <c r="A1687">
        <v>380</v>
      </c>
      <c r="B1687" t="s">
        <v>14</v>
      </c>
      <c r="C1687" t="s">
        <v>13</v>
      </c>
      <c r="D1687">
        <v>135.71</v>
      </c>
      <c r="E1687">
        <v>113.62</v>
      </c>
      <c r="F1687">
        <v>30864</v>
      </c>
      <c r="H1687">
        <f>_xlfn.LET(_xlpm.v, IFERROR(VLOOKUP($A1687, manifest!$A:$E, 3, FALSE), ""), IF(OR(_xlpm.v=0, _xlpm.v=""), "", _xlpm.v))</f>
        <v>69</v>
      </c>
      <c r="I1687" t="str">
        <f>_xlfn.LET(_xlpm.v, IFERROR(VLOOKUP($A1687, manifest!$A:$E, 5, FALSE), ""), IF(OR(_xlpm.v=0, _xlpm.v=""), "", _xlpm.v))</f>
        <v>female</v>
      </c>
    </row>
    <row r="1688" spans="1:9" x14ac:dyDescent="0.6">
      <c r="A1688">
        <v>366</v>
      </c>
      <c r="B1688" t="s">
        <v>14</v>
      </c>
      <c r="C1688" t="s">
        <v>8</v>
      </c>
      <c r="D1688">
        <v>145.72</v>
      </c>
      <c r="E1688">
        <v>113</v>
      </c>
      <c r="F1688">
        <v>29129</v>
      </c>
      <c r="G1688" t="s">
        <v>15</v>
      </c>
      <c r="H1688">
        <f>_xlfn.LET(_xlpm.v, IFERROR(VLOOKUP($A1688, manifest!$A:$E, 3, FALSE), ""), IF(OR(_xlpm.v=0, _xlpm.v=""), "", _xlpm.v))</f>
        <v>59</v>
      </c>
      <c r="I1688" t="str">
        <f>_xlfn.LET(_xlpm.v, IFERROR(VLOOKUP($A1688, manifest!$A:$E, 5, FALSE), ""), IF(OR(_xlpm.v=0, _xlpm.v=""), "", _xlpm.v))</f>
        <v>female</v>
      </c>
    </row>
    <row r="1689" spans="1:9" x14ac:dyDescent="0.6">
      <c r="A1689">
        <v>366</v>
      </c>
      <c r="B1689" t="s">
        <v>14</v>
      </c>
      <c r="C1689" t="s">
        <v>10</v>
      </c>
      <c r="D1689">
        <v>141.69</v>
      </c>
      <c r="E1689">
        <v>130.72999999999999</v>
      </c>
      <c r="F1689">
        <v>33929</v>
      </c>
      <c r="H1689">
        <f>_xlfn.LET(_xlpm.v, IFERROR(VLOOKUP($A1689, manifest!$A:$E, 3, FALSE), ""), IF(OR(_xlpm.v=0, _xlpm.v=""), "", _xlpm.v))</f>
        <v>59</v>
      </c>
      <c r="I1689" t="str">
        <f>_xlfn.LET(_xlpm.v, IFERROR(VLOOKUP($A1689, manifest!$A:$E, 5, FALSE), ""), IF(OR(_xlpm.v=0, _xlpm.v=""), "", _xlpm.v))</f>
        <v>female</v>
      </c>
    </row>
    <row r="1690" spans="1:9" x14ac:dyDescent="0.6">
      <c r="A1690">
        <v>366</v>
      </c>
      <c r="B1690" t="s">
        <v>14</v>
      </c>
      <c r="C1690" t="s">
        <v>11</v>
      </c>
      <c r="D1690">
        <v>139.04</v>
      </c>
      <c r="E1690">
        <v>133.6</v>
      </c>
      <c r="F1690">
        <v>34733</v>
      </c>
      <c r="H1690">
        <f>_xlfn.LET(_xlpm.v, IFERROR(VLOOKUP($A1690, manifest!$A:$E, 3, FALSE), ""), IF(OR(_xlpm.v=0, _xlpm.v=""), "", _xlpm.v))</f>
        <v>59</v>
      </c>
      <c r="I1690" t="str">
        <f>_xlfn.LET(_xlpm.v, IFERROR(VLOOKUP($A1690, manifest!$A:$E, 5, FALSE), ""), IF(OR(_xlpm.v=0, _xlpm.v=""), "", _xlpm.v))</f>
        <v>female</v>
      </c>
    </row>
    <row r="1691" spans="1:9" x14ac:dyDescent="0.6">
      <c r="A1691">
        <v>366</v>
      </c>
      <c r="B1691" t="s">
        <v>14</v>
      </c>
      <c r="C1691" t="s">
        <v>12</v>
      </c>
      <c r="D1691">
        <v>147.97999999999999</v>
      </c>
      <c r="E1691">
        <v>166.66</v>
      </c>
      <c r="F1691">
        <v>39587</v>
      </c>
      <c r="H1691">
        <f>_xlfn.LET(_xlpm.v, IFERROR(VLOOKUP($A1691, manifest!$A:$E, 3, FALSE), ""), IF(OR(_xlpm.v=0, _xlpm.v=""), "", _xlpm.v))</f>
        <v>59</v>
      </c>
      <c r="I1691" t="str">
        <f>_xlfn.LET(_xlpm.v, IFERROR(VLOOKUP($A1691, manifest!$A:$E, 5, FALSE), ""), IF(OR(_xlpm.v=0, _xlpm.v=""), "", _xlpm.v))</f>
        <v>female</v>
      </c>
    </row>
    <row r="1692" spans="1:9" x14ac:dyDescent="0.6">
      <c r="A1692">
        <v>366</v>
      </c>
      <c r="B1692" t="s">
        <v>14</v>
      </c>
      <c r="C1692" t="s">
        <v>13</v>
      </c>
      <c r="D1692">
        <v>180</v>
      </c>
      <c r="E1692">
        <v>149.93</v>
      </c>
      <c r="F1692">
        <v>40275</v>
      </c>
      <c r="H1692">
        <f>_xlfn.LET(_xlpm.v, IFERROR(VLOOKUP($A1692, manifest!$A:$E, 3, FALSE), ""), IF(OR(_xlpm.v=0, _xlpm.v=""), "", _xlpm.v))</f>
        <v>59</v>
      </c>
      <c r="I1692" t="str">
        <f>_xlfn.LET(_xlpm.v, IFERROR(VLOOKUP($A1692, manifest!$A:$E, 5, FALSE), ""), IF(OR(_xlpm.v=0, _xlpm.v=""), "", _xlpm.v))</f>
        <v>female</v>
      </c>
    </row>
    <row r="1693" spans="1:9" x14ac:dyDescent="0.6">
      <c r="A1693">
        <v>368</v>
      </c>
      <c r="B1693" t="s">
        <v>7</v>
      </c>
      <c r="C1693" t="s">
        <v>8</v>
      </c>
      <c r="D1693">
        <v>204.74</v>
      </c>
      <c r="E1693">
        <v>217.23</v>
      </c>
      <c r="F1693">
        <v>29291</v>
      </c>
      <c r="G1693" t="s">
        <v>9</v>
      </c>
      <c r="H1693">
        <f>_xlfn.LET(_xlpm.v, IFERROR(VLOOKUP($A1693, manifest!$A:$E, 3, FALSE), ""), IF(OR(_xlpm.v=0, _xlpm.v=""), "", _xlpm.v))</f>
        <v>74</v>
      </c>
      <c r="I1693" t="str">
        <f>_xlfn.LET(_xlpm.v, IFERROR(VLOOKUP($A1693, manifest!$A:$E, 5, FALSE), ""), IF(OR(_xlpm.v=0, _xlpm.v=""), "", _xlpm.v))</f>
        <v>female</v>
      </c>
    </row>
    <row r="1694" spans="1:9" x14ac:dyDescent="0.6">
      <c r="A1694">
        <v>368</v>
      </c>
      <c r="B1694" t="s">
        <v>7</v>
      </c>
      <c r="C1694" t="s">
        <v>10</v>
      </c>
      <c r="D1694">
        <v>225.15</v>
      </c>
      <c r="E1694">
        <v>256.81</v>
      </c>
      <c r="F1694">
        <v>34328</v>
      </c>
      <c r="H1694">
        <f>_xlfn.LET(_xlpm.v, IFERROR(VLOOKUP($A1694, manifest!$A:$E, 3, FALSE), ""), IF(OR(_xlpm.v=0, _xlpm.v=""), "", _xlpm.v))</f>
        <v>74</v>
      </c>
      <c r="I1694" t="str">
        <f>_xlfn.LET(_xlpm.v, IFERROR(VLOOKUP($A1694, manifest!$A:$E, 5, FALSE), ""), IF(OR(_xlpm.v=0, _xlpm.v=""), "", _xlpm.v))</f>
        <v>female</v>
      </c>
    </row>
    <row r="1695" spans="1:9" x14ac:dyDescent="0.6">
      <c r="A1695">
        <v>368</v>
      </c>
      <c r="B1695" t="s">
        <v>7</v>
      </c>
      <c r="C1695" t="s">
        <v>11</v>
      </c>
      <c r="D1695">
        <v>260.61</v>
      </c>
      <c r="E1695">
        <v>255.11</v>
      </c>
      <c r="F1695">
        <v>51496</v>
      </c>
      <c r="H1695">
        <f>_xlfn.LET(_xlpm.v, IFERROR(VLOOKUP($A1695, manifest!$A:$E, 3, FALSE), ""), IF(OR(_xlpm.v=0, _xlpm.v=""), "", _xlpm.v))</f>
        <v>74</v>
      </c>
      <c r="I1695" t="str">
        <f>_xlfn.LET(_xlpm.v, IFERROR(VLOOKUP($A1695, manifest!$A:$E, 5, FALSE), ""), IF(OR(_xlpm.v=0, _xlpm.v=""), "", _xlpm.v))</f>
        <v>female</v>
      </c>
    </row>
    <row r="1696" spans="1:9" x14ac:dyDescent="0.6">
      <c r="A1696">
        <v>368</v>
      </c>
      <c r="B1696" t="s">
        <v>7</v>
      </c>
      <c r="C1696" t="s">
        <v>12</v>
      </c>
      <c r="D1696">
        <v>214.97</v>
      </c>
      <c r="E1696">
        <v>218.3</v>
      </c>
      <c r="F1696">
        <v>52786</v>
      </c>
      <c r="H1696">
        <f>_xlfn.LET(_xlpm.v, IFERROR(VLOOKUP($A1696, manifest!$A:$E, 3, FALSE), ""), IF(OR(_xlpm.v=0, _xlpm.v=""), "", _xlpm.v))</f>
        <v>74</v>
      </c>
      <c r="I1696" t="str">
        <f>_xlfn.LET(_xlpm.v, IFERROR(VLOOKUP($A1696, manifest!$A:$E, 5, FALSE), ""), IF(OR(_xlpm.v=0, _xlpm.v=""), "", _xlpm.v))</f>
        <v>female</v>
      </c>
    </row>
    <row r="1697" spans="1:9" x14ac:dyDescent="0.6">
      <c r="A1697">
        <v>368</v>
      </c>
      <c r="B1697" t="s">
        <v>7</v>
      </c>
      <c r="C1697" t="s">
        <v>13</v>
      </c>
      <c r="D1697">
        <v>192.57</v>
      </c>
      <c r="E1697">
        <v>189.9</v>
      </c>
      <c r="F1697">
        <v>56176</v>
      </c>
      <c r="H1697">
        <f>_xlfn.LET(_xlpm.v, IFERROR(VLOOKUP($A1697, manifest!$A:$E, 3, FALSE), ""), IF(OR(_xlpm.v=0, _xlpm.v=""), "", _xlpm.v))</f>
        <v>74</v>
      </c>
      <c r="I1697" t="str">
        <f>_xlfn.LET(_xlpm.v, IFERROR(VLOOKUP($A1697, manifest!$A:$E, 5, FALSE), ""), IF(OR(_xlpm.v=0, _xlpm.v=""), "", _xlpm.v))</f>
        <v>female</v>
      </c>
    </row>
    <row r="1698" spans="1:9" x14ac:dyDescent="0.6">
      <c r="A1698">
        <v>356</v>
      </c>
      <c r="B1698" t="s">
        <v>14</v>
      </c>
      <c r="C1698" t="s">
        <v>8</v>
      </c>
      <c r="D1698">
        <v>168.35</v>
      </c>
      <c r="E1698">
        <v>148.79</v>
      </c>
      <c r="F1698">
        <v>27513</v>
      </c>
      <c r="G1698" t="s">
        <v>9</v>
      </c>
      <c r="H1698">
        <f>_xlfn.LET(_xlpm.v, IFERROR(VLOOKUP($A1698, manifest!$A:$E, 3, FALSE), ""), IF(OR(_xlpm.v=0, _xlpm.v=""), "", _xlpm.v))</f>
        <v>54</v>
      </c>
      <c r="I1698" t="str">
        <f>_xlfn.LET(_xlpm.v, IFERROR(VLOOKUP($A1698, manifest!$A:$E, 5, FALSE), ""), IF(OR(_xlpm.v=0, _xlpm.v=""), "", _xlpm.v))</f>
        <v>female</v>
      </c>
    </row>
    <row r="1699" spans="1:9" x14ac:dyDescent="0.6">
      <c r="A1699">
        <v>356</v>
      </c>
      <c r="B1699" t="s">
        <v>14</v>
      </c>
      <c r="C1699" t="s">
        <v>10</v>
      </c>
      <c r="D1699">
        <v>185.55</v>
      </c>
      <c r="E1699">
        <v>188.12</v>
      </c>
      <c r="F1699">
        <v>28474</v>
      </c>
      <c r="H1699">
        <f>_xlfn.LET(_xlpm.v, IFERROR(VLOOKUP($A1699, manifest!$A:$E, 3, FALSE), ""), IF(OR(_xlpm.v=0, _xlpm.v=""), "", _xlpm.v))</f>
        <v>54</v>
      </c>
      <c r="I1699" t="str">
        <f>_xlfn.LET(_xlpm.v, IFERROR(VLOOKUP($A1699, manifest!$A:$E, 5, FALSE), ""), IF(OR(_xlpm.v=0, _xlpm.v=""), "", _xlpm.v))</f>
        <v>female</v>
      </c>
    </row>
    <row r="1700" spans="1:9" x14ac:dyDescent="0.6">
      <c r="A1700">
        <v>356</v>
      </c>
      <c r="B1700" t="s">
        <v>14</v>
      </c>
      <c r="C1700" t="s">
        <v>11</v>
      </c>
      <c r="D1700">
        <v>192.27</v>
      </c>
      <c r="E1700">
        <v>211.34</v>
      </c>
      <c r="F1700">
        <v>33203</v>
      </c>
      <c r="H1700">
        <f>_xlfn.LET(_xlpm.v, IFERROR(VLOOKUP($A1700, manifest!$A:$E, 3, FALSE), ""), IF(OR(_xlpm.v=0, _xlpm.v=""), "", _xlpm.v))</f>
        <v>54</v>
      </c>
      <c r="I1700" t="str">
        <f>_xlfn.LET(_xlpm.v, IFERROR(VLOOKUP($A1700, manifest!$A:$E, 5, FALSE), ""), IF(OR(_xlpm.v=0, _xlpm.v=""), "", _xlpm.v))</f>
        <v>female</v>
      </c>
    </row>
    <row r="1701" spans="1:9" x14ac:dyDescent="0.6">
      <c r="A1701">
        <v>356</v>
      </c>
      <c r="B1701" t="s">
        <v>14</v>
      </c>
      <c r="C1701" t="s">
        <v>12</v>
      </c>
      <c r="D1701">
        <v>180.26</v>
      </c>
      <c r="E1701">
        <v>197.76</v>
      </c>
      <c r="F1701">
        <v>32192</v>
      </c>
      <c r="H1701">
        <f>_xlfn.LET(_xlpm.v, IFERROR(VLOOKUP($A1701, manifest!$A:$E, 3, FALSE), ""), IF(OR(_xlpm.v=0, _xlpm.v=""), "", _xlpm.v))</f>
        <v>54</v>
      </c>
      <c r="I1701" t="str">
        <f>_xlfn.LET(_xlpm.v, IFERROR(VLOOKUP($A1701, manifest!$A:$E, 5, FALSE), ""), IF(OR(_xlpm.v=0, _xlpm.v=""), "", _xlpm.v))</f>
        <v>female</v>
      </c>
    </row>
    <row r="1702" spans="1:9" x14ac:dyDescent="0.6">
      <c r="A1702">
        <v>356</v>
      </c>
      <c r="B1702" t="s">
        <v>14</v>
      </c>
      <c r="C1702" t="s">
        <v>13</v>
      </c>
      <c r="D1702">
        <v>159.94</v>
      </c>
      <c r="E1702">
        <v>168.79</v>
      </c>
      <c r="F1702">
        <v>38638</v>
      </c>
      <c r="H1702">
        <f>_xlfn.LET(_xlpm.v, IFERROR(VLOOKUP($A1702, manifest!$A:$E, 3, FALSE), ""), IF(OR(_xlpm.v=0, _xlpm.v=""), "", _xlpm.v))</f>
        <v>54</v>
      </c>
      <c r="I1702" t="str">
        <f>_xlfn.LET(_xlpm.v, IFERROR(VLOOKUP($A1702, manifest!$A:$E, 5, FALSE), ""), IF(OR(_xlpm.v=0, _xlpm.v=""), "", _xlpm.v))</f>
        <v>female</v>
      </c>
    </row>
    <row r="1703" spans="1:9" x14ac:dyDescent="0.6">
      <c r="A1703">
        <v>342</v>
      </c>
      <c r="B1703" t="s">
        <v>7</v>
      </c>
      <c r="C1703" t="s">
        <v>8</v>
      </c>
      <c r="D1703">
        <v>181.79</v>
      </c>
      <c r="E1703">
        <v>182.28</v>
      </c>
      <c r="F1703">
        <v>28289</v>
      </c>
      <c r="G1703" t="s">
        <v>9</v>
      </c>
      <c r="H1703">
        <f>_xlfn.LET(_xlpm.v, IFERROR(VLOOKUP($A1703, manifest!$A:$E, 3, FALSE), ""), IF(OR(_xlpm.v=0, _xlpm.v=""), "", _xlpm.v))</f>
        <v>55</v>
      </c>
      <c r="I1703" t="str">
        <f>_xlfn.LET(_xlpm.v, IFERROR(VLOOKUP($A1703, manifest!$A:$E, 5, FALSE), ""), IF(OR(_xlpm.v=0, _xlpm.v=""), "", _xlpm.v))</f>
        <v>male</v>
      </c>
    </row>
    <row r="1704" spans="1:9" x14ac:dyDescent="0.6">
      <c r="A1704">
        <v>342</v>
      </c>
      <c r="B1704" t="s">
        <v>7</v>
      </c>
      <c r="C1704" t="s">
        <v>10</v>
      </c>
      <c r="D1704">
        <v>196.06</v>
      </c>
      <c r="E1704">
        <v>206.99</v>
      </c>
      <c r="F1704">
        <v>33296</v>
      </c>
      <c r="H1704">
        <f>_xlfn.LET(_xlpm.v, IFERROR(VLOOKUP($A1704, manifest!$A:$E, 3, FALSE), ""), IF(OR(_xlpm.v=0, _xlpm.v=""), "", _xlpm.v))</f>
        <v>55</v>
      </c>
      <c r="I1704" t="str">
        <f>_xlfn.LET(_xlpm.v, IFERROR(VLOOKUP($A1704, manifest!$A:$E, 5, FALSE), ""), IF(OR(_xlpm.v=0, _xlpm.v=""), "", _xlpm.v))</f>
        <v>male</v>
      </c>
    </row>
    <row r="1705" spans="1:9" x14ac:dyDescent="0.6">
      <c r="A1705">
        <v>342</v>
      </c>
      <c r="B1705" t="s">
        <v>7</v>
      </c>
      <c r="C1705" t="s">
        <v>11</v>
      </c>
      <c r="D1705">
        <v>183.82</v>
      </c>
      <c r="E1705">
        <v>173.83</v>
      </c>
      <c r="F1705">
        <v>41167</v>
      </c>
      <c r="H1705">
        <f>_xlfn.LET(_xlpm.v, IFERROR(VLOOKUP($A1705, manifest!$A:$E, 3, FALSE), ""), IF(OR(_xlpm.v=0, _xlpm.v=""), "", _xlpm.v))</f>
        <v>55</v>
      </c>
      <c r="I1705" t="str">
        <f>_xlfn.LET(_xlpm.v, IFERROR(VLOOKUP($A1705, manifest!$A:$E, 5, FALSE), ""), IF(OR(_xlpm.v=0, _xlpm.v=""), "", _xlpm.v))</f>
        <v>male</v>
      </c>
    </row>
    <row r="1706" spans="1:9" x14ac:dyDescent="0.6">
      <c r="A1706">
        <v>342</v>
      </c>
      <c r="B1706" t="s">
        <v>7</v>
      </c>
      <c r="C1706" t="s">
        <v>12</v>
      </c>
      <c r="D1706">
        <v>164.31</v>
      </c>
      <c r="E1706">
        <v>163.31</v>
      </c>
      <c r="F1706">
        <v>50527</v>
      </c>
      <c r="H1706">
        <f>_xlfn.LET(_xlpm.v, IFERROR(VLOOKUP($A1706, manifest!$A:$E, 3, FALSE), ""), IF(OR(_xlpm.v=0, _xlpm.v=""), "", _xlpm.v))</f>
        <v>55</v>
      </c>
      <c r="I1706" t="str">
        <f>_xlfn.LET(_xlpm.v, IFERROR(VLOOKUP($A1706, manifest!$A:$E, 5, FALSE), ""), IF(OR(_xlpm.v=0, _xlpm.v=""), "", _xlpm.v))</f>
        <v>male</v>
      </c>
    </row>
    <row r="1707" spans="1:9" x14ac:dyDescent="0.6">
      <c r="A1707">
        <v>342</v>
      </c>
      <c r="B1707" t="s">
        <v>7</v>
      </c>
      <c r="C1707" t="s">
        <v>13</v>
      </c>
      <c r="D1707">
        <v>176.82</v>
      </c>
      <c r="E1707">
        <v>179.67</v>
      </c>
      <c r="F1707">
        <v>58329</v>
      </c>
      <c r="H1707">
        <f>_xlfn.LET(_xlpm.v, IFERROR(VLOOKUP($A1707, manifest!$A:$E, 3, FALSE), ""), IF(OR(_xlpm.v=0, _xlpm.v=""), "", _xlpm.v))</f>
        <v>55</v>
      </c>
      <c r="I1707" t="str">
        <f>_xlfn.LET(_xlpm.v, IFERROR(VLOOKUP($A1707, manifest!$A:$E, 5, FALSE), ""), IF(OR(_xlpm.v=0, _xlpm.v=""), "", _xlpm.v))</f>
        <v>male</v>
      </c>
    </row>
    <row r="1708" spans="1:9" x14ac:dyDescent="0.6">
      <c r="A1708">
        <v>376</v>
      </c>
      <c r="B1708" t="s">
        <v>7</v>
      </c>
      <c r="C1708" t="s">
        <v>8</v>
      </c>
      <c r="D1708">
        <v>146.85</v>
      </c>
      <c r="E1708">
        <v>91.39</v>
      </c>
      <c r="F1708">
        <v>18543</v>
      </c>
      <c r="G1708" t="s">
        <v>15</v>
      </c>
      <c r="H1708">
        <f>_xlfn.LET(_xlpm.v, IFERROR(VLOOKUP($A1708, manifest!$A:$E, 3, FALSE), ""), IF(OR(_xlpm.v=0, _xlpm.v=""), "", _xlpm.v))</f>
        <v>50</v>
      </c>
      <c r="I1708" t="str">
        <f>_xlfn.LET(_xlpm.v, IFERROR(VLOOKUP($A1708, manifest!$A:$E, 5, FALSE), ""), IF(OR(_xlpm.v=0, _xlpm.v=""), "", _xlpm.v))</f>
        <v>female</v>
      </c>
    </row>
    <row r="1709" spans="1:9" x14ac:dyDescent="0.6">
      <c r="A1709">
        <v>376</v>
      </c>
      <c r="B1709" t="s">
        <v>7</v>
      </c>
      <c r="C1709" t="s">
        <v>10</v>
      </c>
      <c r="D1709">
        <v>166.34</v>
      </c>
      <c r="E1709">
        <v>167.86</v>
      </c>
      <c r="F1709">
        <v>22863</v>
      </c>
      <c r="H1709">
        <f>_xlfn.LET(_xlpm.v, IFERROR(VLOOKUP($A1709, manifest!$A:$E, 3, FALSE), ""), IF(OR(_xlpm.v=0, _xlpm.v=""), "", _xlpm.v))</f>
        <v>50</v>
      </c>
      <c r="I1709" t="str">
        <f>_xlfn.LET(_xlpm.v, IFERROR(VLOOKUP($A1709, manifest!$A:$E, 5, FALSE), ""), IF(OR(_xlpm.v=0, _xlpm.v=""), "", _xlpm.v))</f>
        <v>female</v>
      </c>
    </row>
    <row r="1710" spans="1:9" x14ac:dyDescent="0.6">
      <c r="A1710">
        <v>376</v>
      </c>
      <c r="B1710" t="s">
        <v>7</v>
      </c>
      <c r="C1710" t="s">
        <v>11</v>
      </c>
      <c r="D1710">
        <v>167.59</v>
      </c>
      <c r="E1710">
        <v>160.88999999999999</v>
      </c>
      <c r="F1710">
        <v>25471</v>
      </c>
      <c r="H1710">
        <f>_xlfn.LET(_xlpm.v, IFERROR(VLOOKUP($A1710, manifest!$A:$E, 3, FALSE), ""), IF(OR(_xlpm.v=0, _xlpm.v=""), "", _xlpm.v))</f>
        <v>50</v>
      </c>
      <c r="I1710" t="str">
        <f>_xlfn.LET(_xlpm.v, IFERROR(VLOOKUP($A1710, manifest!$A:$E, 5, FALSE), ""), IF(OR(_xlpm.v=0, _xlpm.v=""), "", _xlpm.v))</f>
        <v>female</v>
      </c>
    </row>
    <row r="1711" spans="1:9" x14ac:dyDescent="0.6">
      <c r="A1711">
        <v>376</v>
      </c>
      <c r="B1711" t="s">
        <v>7</v>
      </c>
      <c r="C1711" t="s">
        <v>12</v>
      </c>
      <c r="D1711">
        <v>181.09</v>
      </c>
      <c r="E1711">
        <v>192.7</v>
      </c>
      <c r="F1711">
        <v>25774</v>
      </c>
      <c r="H1711">
        <f>_xlfn.LET(_xlpm.v, IFERROR(VLOOKUP($A1711, manifest!$A:$E, 3, FALSE), ""), IF(OR(_xlpm.v=0, _xlpm.v=""), "", _xlpm.v))</f>
        <v>50</v>
      </c>
      <c r="I1711" t="str">
        <f>_xlfn.LET(_xlpm.v, IFERROR(VLOOKUP($A1711, manifest!$A:$E, 5, FALSE), ""), IF(OR(_xlpm.v=0, _xlpm.v=""), "", _xlpm.v))</f>
        <v>female</v>
      </c>
    </row>
    <row r="1712" spans="1:9" x14ac:dyDescent="0.6">
      <c r="A1712">
        <v>376</v>
      </c>
      <c r="B1712" t="s">
        <v>7</v>
      </c>
      <c r="C1712" t="s">
        <v>13</v>
      </c>
      <c r="D1712">
        <v>201.66</v>
      </c>
      <c r="E1712">
        <v>163.41</v>
      </c>
      <c r="F1712">
        <v>33643</v>
      </c>
      <c r="H1712">
        <f>_xlfn.LET(_xlpm.v, IFERROR(VLOOKUP($A1712, manifest!$A:$E, 3, FALSE), ""), IF(OR(_xlpm.v=0, _xlpm.v=""), "", _xlpm.v))</f>
        <v>50</v>
      </c>
      <c r="I1712" t="str">
        <f>_xlfn.LET(_xlpm.v, IFERROR(VLOOKUP($A1712, manifest!$A:$E, 5, FALSE), ""), IF(OR(_xlpm.v=0, _xlpm.v=""), "", _xlpm.v))</f>
        <v>female</v>
      </c>
    </row>
    <row r="1713" spans="1:9" x14ac:dyDescent="0.6">
      <c r="A1713">
        <v>400</v>
      </c>
      <c r="B1713" t="s">
        <v>7</v>
      </c>
      <c r="C1713" t="s">
        <v>8</v>
      </c>
      <c r="D1713">
        <v>254.85</v>
      </c>
      <c r="E1713">
        <v>195.72</v>
      </c>
      <c r="F1713">
        <v>12373</v>
      </c>
      <c r="G1713" t="s">
        <v>9</v>
      </c>
      <c r="H1713">
        <f>_xlfn.LET(_xlpm.v, IFERROR(VLOOKUP($A1713, manifest!$A:$E, 3, FALSE), ""), IF(OR(_xlpm.v=0, _xlpm.v=""), "", _xlpm.v))</f>
        <v>60</v>
      </c>
      <c r="I1713" t="str">
        <f>_xlfn.LET(_xlpm.v, IFERROR(VLOOKUP($A1713, manifest!$A:$E, 5, FALSE), ""), IF(OR(_xlpm.v=0, _xlpm.v=""), "", _xlpm.v))</f>
        <v>female</v>
      </c>
    </row>
    <row r="1714" spans="1:9" x14ac:dyDescent="0.6">
      <c r="A1714">
        <v>400</v>
      </c>
      <c r="B1714" t="s">
        <v>7</v>
      </c>
      <c r="C1714" t="s">
        <v>10</v>
      </c>
      <c r="D1714">
        <v>265.19</v>
      </c>
      <c r="E1714">
        <v>221.51</v>
      </c>
      <c r="F1714">
        <v>13967</v>
      </c>
      <c r="H1714">
        <f>_xlfn.LET(_xlpm.v, IFERROR(VLOOKUP($A1714, manifest!$A:$E, 3, FALSE), ""), IF(OR(_xlpm.v=0, _xlpm.v=""), "", _xlpm.v))</f>
        <v>60</v>
      </c>
      <c r="I1714" t="str">
        <f>_xlfn.LET(_xlpm.v, IFERROR(VLOOKUP($A1714, manifest!$A:$E, 5, FALSE), ""), IF(OR(_xlpm.v=0, _xlpm.v=""), "", _xlpm.v))</f>
        <v>female</v>
      </c>
    </row>
    <row r="1715" spans="1:9" x14ac:dyDescent="0.6">
      <c r="A1715">
        <v>400</v>
      </c>
      <c r="B1715" t="s">
        <v>7</v>
      </c>
      <c r="C1715" t="s">
        <v>11</v>
      </c>
      <c r="D1715">
        <v>295.19</v>
      </c>
      <c r="E1715">
        <v>248.68</v>
      </c>
      <c r="F1715">
        <v>14668</v>
      </c>
      <c r="H1715">
        <f>_xlfn.LET(_xlpm.v, IFERROR(VLOOKUP($A1715, manifest!$A:$E, 3, FALSE), ""), IF(OR(_xlpm.v=0, _xlpm.v=""), "", _xlpm.v))</f>
        <v>60</v>
      </c>
      <c r="I1715" t="str">
        <f>_xlfn.LET(_xlpm.v, IFERROR(VLOOKUP($A1715, manifest!$A:$E, 5, FALSE), ""), IF(OR(_xlpm.v=0, _xlpm.v=""), "", _xlpm.v))</f>
        <v>female</v>
      </c>
    </row>
    <row r="1716" spans="1:9" x14ac:dyDescent="0.6">
      <c r="A1716">
        <v>400</v>
      </c>
      <c r="B1716" t="s">
        <v>7</v>
      </c>
      <c r="C1716" t="s">
        <v>12</v>
      </c>
      <c r="D1716">
        <v>413.55</v>
      </c>
      <c r="E1716">
        <v>272.57</v>
      </c>
      <c r="F1716">
        <v>13337</v>
      </c>
      <c r="H1716">
        <f>_xlfn.LET(_xlpm.v, IFERROR(VLOOKUP($A1716, manifest!$A:$E, 3, FALSE), ""), IF(OR(_xlpm.v=0, _xlpm.v=""), "", _xlpm.v))</f>
        <v>60</v>
      </c>
      <c r="I1716" t="str">
        <f>_xlfn.LET(_xlpm.v, IFERROR(VLOOKUP($A1716, manifest!$A:$E, 5, FALSE), ""), IF(OR(_xlpm.v=0, _xlpm.v=""), "", _xlpm.v))</f>
        <v>female</v>
      </c>
    </row>
    <row r="1717" spans="1:9" x14ac:dyDescent="0.6">
      <c r="A1717">
        <v>400</v>
      </c>
      <c r="B1717" t="s">
        <v>7</v>
      </c>
      <c r="C1717" t="s">
        <v>13</v>
      </c>
      <c r="D1717">
        <v>373.43</v>
      </c>
      <c r="E1717">
        <v>216.57</v>
      </c>
      <c r="F1717">
        <v>20222</v>
      </c>
      <c r="H1717">
        <f>_xlfn.LET(_xlpm.v, IFERROR(VLOOKUP($A1717, manifest!$A:$E, 3, FALSE), ""), IF(OR(_xlpm.v=0, _xlpm.v=""), "", _xlpm.v))</f>
        <v>60</v>
      </c>
      <c r="I1717" t="str">
        <f>_xlfn.LET(_xlpm.v, IFERROR(VLOOKUP($A1717, manifest!$A:$E, 5, FALSE), ""), IF(OR(_xlpm.v=0, _xlpm.v=""), "", _xlpm.v))</f>
        <v>female</v>
      </c>
    </row>
    <row r="1718" spans="1:9" x14ac:dyDescent="0.6">
      <c r="A1718">
        <v>355</v>
      </c>
      <c r="B1718" t="s">
        <v>14</v>
      </c>
      <c r="C1718" t="s">
        <v>8</v>
      </c>
      <c r="D1718">
        <v>153.59</v>
      </c>
      <c r="E1718">
        <v>112.89</v>
      </c>
      <c r="F1718">
        <v>18911</v>
      </c>
      <c r="G1718" t="s">
        <v>15</v>
      </c>
      <c r="H1718">
        <f>_xlfn.LET(_xlpm.v, IFERROR(VLOOKUP($A1718, manifest!$A:$E, 3, FALSE), ""), IF(OR(_xlpm.v=0, _xlpm.v=""), "", _xlpm.v))</f>
        <v>56</v>
      </c>
      <c r="I1718" t="str">
        <f>_xlfn.LET(_xlpm.v, IFERROR(VLOOKUP($A1718, manifest!$A:$E, 5, FALSE), ""), IF(OR(_xlpm.v=0, _xlpm.v=""), "", _xlpm.v))</f>
        <v>female</v>
      </c>
    </row>
    <row r="1719" spans="1:9" x14ac:dyDescent="0.6">
      <c r="A1719">
        <v>355</v>
      </c>
      <c r="B1719" t="s">
        <v>14</v>
      </c>
      <c r="C1719" t="s">
        <v>10</v>
      </c>
      <c r="D1719">
        <v>148.71</v>
      </c>
      <c r="E1719">
        <v>138.09</v>
      </c>
      <c r="F1719">
        <v>18731</v>
      </c>
      <c r="H1719">
        <f>_xlfn.LET(_xlpm.v, IFERROR(VLOOKUP($A1719, manifest!$A:$E, 3, FALSE), ""), IF(OR(_xlpm.v=0, _xlpm.v=""), "", _xlpm.v))</f>
        <v>56</v>
      </c>
      <c r="I1719" t="str">
        <f>_xlfn.LET(_xlpm.v, IFERROR(VLOOKUP($A1719, manifest!$A:$E, 5, FALSE), ""), IF(OR(_xlpm.v=0, _xlpm.v=""), "", _xlpm.v))</f>
        <v>female</v>
      </c>
    </row>
    <row r="1720" spans="1:9" x14ac:dyDescent="0.6">
      <c r="A1720">
        <v>355</v>
      </c>
      <c r="B1720" t="s">
        <v>14</v>
      </c>
      <c r="C1720" t="s">
        <v>11</v>
      </c>
      <c r="D1720">
        <v>131.03</v>
      </c>
      <c r="E1720">
        <v>125.8</v>
      </c>
      <c r="F1720">
        <v>22293</v>
      </c>
      <c r="H1720">
        <f>_xlfn.LET(_xlpm.v, IFERROR(VLOOKUP($A1720, manifest!$A:$E, 3, FALSE), ""), IF(OR(_xlpm.v=0, _xlpm.v=""), "", _xlpm.v))</f>
        <v>56</v>
      </c>
      <c r="I1720" t="str">
        <f>_xlfn.LET(_xlpm.v, IFERROR(VLOOKUP($A1720, manifest!$A:$E, 5, FALSE), ""), IF(OR(_xlpm.v=0, _xlpm.v=""), "", _xlpm.v))</f>
        <v>female</v>
      </c>
    </row>
    <row r="1721" spans="1:9" x14ac:dyDescent="0.6">
      <c r="A1721">
        <v>355</v>
      </c>
      <c r="B1721" t="s">
        <v>14</v>
      </c>
      <c r="C1721" t="s">
        <v>12</v>
      </c>
      <c r="D1721">
        <v>139.22</v>
      </c>
      <c r="E1721">
        <v>151.66999999999999</v>
      </c>
      <c r="F1721">
        <v>26892</v>
      </c>
      <c r="H1721">
        <f>_xlfn.LET(_xlpm.v, IFERROR(VLOOKUP($A1721, manifest!$A:$E, 3, FALSE), ""), IF(OR(_xlpm.v=0, _xlpm.v=""), "", _xlpm.v))</f>
        <v>56</v>
      </c>
      <c r="I1721" t="str">
        <f>_xlfn.LET(_xlpm.v, IFERROR(VLOOKUP($A1721, manifest!$A:$E, 5, FALSE), ""), IF(OR(_xlpm.v=0, _xlpm.v=""), "", _xlpm.v))</f>
        <v>female</v>
      </c>
    </row>
    <row r="1722" spans="1:9" x14ac:dyDescent="0.6">
      <c r="A1722">
        <v>355</v>
      </c>
      <c r="B1722" t="s">
        <v>14</v>
      </c>
      <c r="C1722" t="s">
        <v>13</v>
      </c>
      <c r="D1722">
        <v>150.06</v>
      </c>
      <c r="E1722">
        <v>136.65</v>
      </c>
      <c r="F1722">
        <v>31748</v>
      </c>
      <c r="H1722">
        <f>_xlfn.LET(_xlpm.v, IFERROR(VLOOKUP($A1722, manifest!$A:$E, 3, FALSE), ""), IF(OR(_xlpm.v=0, _xlpm.v=""), "", _xlpm.v))</f>
        <v>56</v>
      </c>
      <c r="I1722" t="str">
        <f>_xlfn.LET(_xlpm.v, IFERROR(VLOOKUP($A1722, manifest!$A:$E, 5, FALSE), ""), IF(OR(_xlpm.v=0, _xlpm.v=""), "", _xlpm.v))</f>
        <v>female</v>
      </c>
    </row>
    <row r="1723" spans="1:9" x14ac:dyDescent="0.6">
      <c r="A1723">
        <v>371</v>
      </c>
      <c r="B1723" t="s">
        <v>14</v>
      </c>
      <c r="C1723" t="s">
        <v>8</v>
      </c>
      <c r="D1723">
        <v>147.99</v>
      </c>
      <c r="E1723">
        <v>153.53</v>
      </c>
      <c r="F1723">
        <v>17976</v>
      </c>
      <c r="G1723" t="s">
        <v>15</v>
      </c>
      <c r="H1723">
        <f>_xlfn.LET(_xlpm.v, IFERROR(VLOOKUP($A1723, manifest!$A:$E, 3, FALSE), ""), IF(OR(_xlpm.v=0, _xlpm.v=""), "", _xlpm.v))</f>
        <v>66</v>
      </c>
      <c r="I1723" t="str">
        <f>_xlfn.LET(_xlpm.v, IFERROR(VLOOKUP($A1723, manifest!$A:$E, 5, FALSE), ""), IF(OR(_xlpm.v=0, _xlpm.v=""), "", _xlpm.v))</f>
        <v>female</v>
      </c>
    </row>
    <row r="1724" spans="1:9" x14ac:dyDescent="0.6">
      <c r="A1724">
        <v>371</v>
      </c>
      <c r="B1724" t="s">
        <v>14</v>
      </c>
      <c r="C1724" t="s">
        <v>10</v>
      </c>
      <c r="D1724">
        <v>224.31</v>
      </c>
      <c r="E1724">
        <v>243.98</v>
      </c>
      <c r="F1724">
        <v>22455</v>
      </c>
      <c r="H1724">
        <f>_xlfn.LET(_xlpm.v, IFERROR(VLOOKUP($A1724, manifest!$A:$E, 3, FALSE), ""), IF(OR(_xlpm.v=0, _xlpm.v=""), "", _xlpm.v))</f>
        <v>66</v>
      </c>
      <c r="I1724" t="str">
        <f>_xlfn.LET(_xlpm.v, IFERROR(VLOOKUP($A1724, manifest!$A:$E, 5, FALSE), ""), IF(OR(_xlpm.v=0, _xlpm.v=""), "", _xlpm.v))</f>
        <v>female</v>
      </c>
    </row>
    <row r="1725" spans="1:9" x14ac:dyDescent="0.6">
      <c r="A1725">
        <v>371</v>
      </c>
      <c r="B1725" t="s">
        <v>14</v>
      </c>
      <c r="C1725" t="s">
        <v>11</v>
      </c>
      <c r="D1725">
        <v>151.56</v>
      </c>
      <c r="E1725">
        <v>184.67</v>
      </c>
      <c r="F1725">
        <v>33161</v>
      </c>
      <c r="H1725">
        <f>_xlfn.LET(_xlpm.v, IFERROR(VLOOKUP($A1725, manifest!$A:$E, 3, FALSE), ""), IF(OR(_xlpm.v=0, _xlpm.v=""), "", _xlpm.v))</f>
        <v>66</v>
      </c>
      <c r="I1725" t="str">
        <f>_xlfn.LET(_xlpm.v, IFERROR(VLOOKUP($A1725, manifest!$A:$E, 5, FALSE), ""), IF(OR(_xlpm.v=0, _xlpm.v=""), "", _xlpm.v))</f>
        <v>female</v>
      </c>
    </row>
    <row r="1726" spans="1:9" x14ac:dyDescent="0.6">
      <c r="A1726">
        <v>371</v>
      </c>
      <c r="B1726" t="s">
        <v>14</v>
      </c>
      <c r="C1726" t="s">
        <v>12</v>
      </c>
      <c r="D1726">
        <v>153.28</v>
      </c>
      <c r="E1726">
        <v>145.13</v>
      </c>
      <c r="F1726">
        <v>34618</v>
      </c>
      <c r="H1726">
        <f>_xlfn.LET(_xlpm.v, IFERROR(VLOOKUP($A1726, manifest!$A:$E, 3, FALSE), ""), IF(OR(_xlpm.v=0, _xlpm.v=""), "", _xlpm.v))</f>
        <v>66</v>
      </c>
      <c r="I1726" t="str">
        <f>_xlfn.LET(_xlpm.v, IFERROR(VLOOKUP($A1726, manifest!$A:$E, 5, FALSE), ""), IF(OR(_xlpm.v=0, _xlpm.v=""), "", _xlpm.v))</f>
        <v>female</v>
      </c>
    </row>
    <row r="1727" spans="1:9" x14ac:dyDescent="0.6">
      <c r="A1727">
        <v>371</v>
      </c>
      <c r="B1727" t="s">
        <v>14</v>
      </c>
      <c r="C1727" t="s">
        <v>13</v>
      </c>
      <c r="D1727">
        <v>183.97</v>
      </c>
      <c r="E1727">
        <v>168.71</v>
      </c>
      <c r="F1727">
        <v>36224</v>
      </c>
      <c r="H1727">
        <f>_xlfn.LET(_xlpm.v, IFERROR(VLOOKUP($A1727, manifest!$A:$E, 3, FALSE), ""), IF(OR(_xlpm.v=0, _xlpm.v=""), "", _xlpm.v))</f>
        <v>66</v>
      </c>
      <c r="I1727" t="str">
        <f>_xlfn.LET(_xlpm.v, IFERROR(VLOOKUP($A1727, manifest!$A:$E, 5, FALSE), ""), IF(OR(_xlpm.v=0, _xlpm.v=""), "", _xlpm.v))</f>
        <v>female</v>
      </c>
    </row>
    <row r="1728" spans="1:9" x14ac:dyDescent="0.6">
      <c r="A1728">
        <v>358</v>
      </c>
      <c r="B1728" t="s">
        <v>14</v>
      </c>
      <c r="C1728" t="s">
        <v>8</v>
      </c>
      <c r="D1728">
        <v>245.85</v>
      </c>
      <c r="E1728">
        <v>180.35</v>
      </c>
      <c r="F1728">
        <v>57611</v>
      </c>
      <c r="G1728" t="s">
        <v>9</v>
      </c>
      <c r="H1728">
        <f>_xlfn.LET(_xlpm.v, IFERROR(VLOOKUP($A1728, manifest!$A:$E, 3, FALSE), ""), IF(OR(_xlpm.v=0, _xlpm.v=""), "", _xlpm.v))</f>
        <v>57</v>
      </c>
      <c r="I1728" t="str">
        <f>_xlfn.LET(_xlpm.v, IFERROR(VLOOKUP($A1728, manifest!$A:$E, 5, FALSE), ""), IF(OR(_xlpm.v=0, _xlpm.v=""), "", _xlpm.v))</f>
        <v>male</v>
      </c>
    </row>
    <row r="1729" spans="1:9" x14ac:dyDescent="0.6">
      <c r="A1729">
        <v>358</v>
      </c>
      <c r="B1729" t="s">
        <v>14</v>
      </c>
      <c r="C1729" t="s">
        <v>10</v>
      </c>
      <c r="D1729">
        <v>268.32</v>
      </c>
      <c r="E1729">
        <v>229.64</v>
      </c>
      <c r="F1729">
        <v>64381</v>
      </c>
      <c r="H1729">
        <f>_xlfn.LET(_xlpm.v, IFERROR(VLOOKUP($A1729, manifest!$A:$E, 3, FALSE), ""), IF(OR(_xlpm.v=0, _xlpm.v=""), "", _xlpm.v))</f>
        <v>57</v>
      </c>
      <c r="I1729" t="str">
        <f>_xlfn.LET(_xlpm.v, IFERROR(VLOOKUP($A1729, manifest!$A:$E, 5, FALSE), ""), IF(OR(_xlpm.v=0, _xlpm.v=""), "", _xlpm.v))</f>
        <v>male</v>
      </c>
    </row>
    <row r="1730" spans="1:9" x14ac:dyDescent="0.6">
      <c r="A1730">
        <v>358</v>
      </c>
      <c r="B1730" t="s">
        <v>14</v>
      </c>
      <c r="C1730" t="s">
        <v>11</v>
      </c>
      <c r="D1730">
        <v>273.67</v>
      </c>
      <c r="E1730">
        <v>240.55</v>
      </c>
      <c r="F1730">
        <v>67605</v>
      </c>
      <c r="H1730">
        <f>_xlfn.LET(_xlpm.v, IFERROR(VLOOKUP($A1730, manifest!$A:$E, 3, FALSE), ""), IF(OR(_xlpm.v=0, _xlpm.v=""), "", _xlpm.v))</f>
        <v>57</v>
      </c>
      <c r="I1730" t="str">
        <f>_xlfn.LET(_xlpm.v, IFERROR(VLOOKUP($A1730, manifest!$A:$E, 5, FALSE), ""), IF(OR(_xlpm.v=0, _xlpm.v=""), "", _xlpm.v))</f>
        <v>male</v>
      </c>
    </row>
    <row r="1731" spans="1:9" x14ac:dyDescent="0.6">
      <c r="A1731">
        <v>358</v>
      </c>
      <c r="B1731" t="s">
        <v>14</v>
      </c>
      <c r="C1731" t="s">
        <v>12</v>
      </c>
      <c r="D1731">
        <v>267.3</v>
      </c>
      <c r="E1731">
        <v>223.93</v>
      </c>
      <c r="F1731">
        <v>81132</v>
      </c>
      <c r="H1731">
        <f>_xlfn.LET(_xlpm.v, IFERROR(VLOOKUP($A1731, manifest!$A:$E, 3, FALSE), ""), IF(OR(_xlpm.v=0, _xlpm.v=""), "", _xlpm.v))</f>
        <v>57</v>
      </c>
      <c r="I1731" t="str">
        <f>_xlfn.LET(_xlpm.v, IFERROR(VLOOKUP($A1731, manifest!$A:$E, 5, FALSE), ""), IF(OR(_xlpm.v=0, _xlpm.v=""), "", _xlpm.v))</f>
        <v>male</v>
      </c>
    </row>
    <row r="1732" spans="1:9" x14ac:dyDescent="0.6">
      <c r="A1732">
        <v>358</v>
      </c>
      <c r="B1732" t="s">
        <v>14</v>
      </c>
      <c r="C1732" t="s">
        <v>13</v>
      </c>
      <c r="D1732">
        <v>256.56</v>
      </c>
      <c r="E1732">
        <v>203.62</v>
      </c>
      <c r="F1732">
        <v>84696</v>
      </c>
      <c r="H1732">
        <f>_xlfn.LET(_xlpm.v, IFERROR(VLOOKUP($A1732, manifest!$A:$E, 3, FALSE), ""), IF(OR(_xlpm.v=0, _xlpm.v=""), "", _xlpm.v))</f>
        <v>57</v>
      </c>
      <c r="I1732" t="str">
        <f>_xlfn.LET(_xlpm.v, IFERROR(VLOOKUP($A1732, manifest!$A:$E, 5, FALSE), ""), IF(OR(_xlpm.v=0, _xlpm.v=""), "", _xlpm.v))</f>
        <v>male</v>
      </c>
    </row>
    <row r="1733" spans="1:9" x14ac:dyDescent="0.6">
      <c r="A1733">
        <v>346</v>
      </c>
      <c r="B1733" t="s">
        <v>7</v>
      </c>
      <c r="C1733" t="s">
        <v>8</v>
      </c>
      <c r="D1733">
        <v>207.47</v>
      </c>
      <c r="E1733">
        <v>209.37</v>
      </c>
      <c r="F1733">
        <v>36129</v>
      </c>
      <c r="G1733" t="s">
        <v>9</v>
      </c>
      <c r="H1733">
        <f>_xlfn.LET(_xlpm.v, IFERROR(VLOOKUP($A1733, manifest!$A:$E, 3, FALSE), ""), IF(OR(_xlpm.v=0, _xlpm.v=""), "", _xlpm.v))</f>
        <v>70</v>
      </c>
      <c r="I1733" t="str">
        <f>_xlfn.LET(_xlpm.v, IFERROR(VLOOKUP($A1733, manifest!$A:$E, 5, FALSE), ""), IF(OR(_xlpm.v=0, _xlpm.v=""), "", _xlpm.v))</f>
        <v>male</v>
      </c>
    </row>
    <row r="1734" spans="1:9" x14ac:dyDescent="0.6">
      <c r="A1734">
        <v>346</v>
      </c>
      <c r="B1734" t="s">
        <v>7</v>
      </c>
      <c r="C1734" t="s">
        <v>10</v>
      </c>
      <c r="D1734">
        <v>231.15</v>
      </c>
      <c r="E1734">
        <v>233.97</v>
      </c>
      <c r="F1734">
        <v>43257</v>
      </c>
      <c r="H1734">
        <f>_xlfn.LET(_xlpm.v, IFERROR(VLOOKUP($A1734, manifest!$A:$E, 3, FALSE), ""), IF(OR(_xlpm.v=0, _xlpm.v=""), "", _xlpm.v))</f>
        <v>70</v>
      </c>
      <c r="I1734" t="str">
        <f>_xlfn.LET(_xlpm.v, IFERROR(VLOOKUP($A1734, manifest!$A:$E, 5, FALSE), ""), IF(OR(_xlpm.v=0, _xlpm.v=""), "", _xlpm.v))</f>
        <v>male</v>
      </c>
    </row>
    <row r="1735" spans="1:9" x14ac:dyDescent="0.6">
      <c r="A1735">
        <v>346</v>
      </c>
      <c r="B1735" t="s">
        <v>7</v>
      </c>
      <c r="C1735" t="s">
        <v>11</v>
      </c>
      <c r="D1735">
        <v>262.69</v>
      </c>
      <c r="E1735">
        <v>248.54</v>
      </c>
      <c r="F1735">
        <v>46931</v>
      </c>
      <c r="H1735">
        <f>_xlfn.LET(_xlpm.v, IFERROR(VLOOKUP($A1735, manifest!$A:$E, 3, FALSE), ""), IF(OR(_xlpm.v=0, _xlpm.v=""), "", _xlpm.v))</f>
        <v>70</v>
      </c>
      <c r="I1735" t="str">
        <f>_xlfn.LET(_xlpm.v, IFERROR(VLOOKUP($A1735, manifest!$A:$E, 5, FALSE), ""), IF(OR(_xlpm.v=0, _xlpm.v=""), "", _xlpm.v))</f>
        <v>male</v>
      </c>
    </row>
    <row r="1736" spans="1:9" x14ac:dyDescent="0.6">
      <c r="A1736">
        <v>346</v>
      </c>
      <c r="B1736" t="s">
        <v>7</v>
      </c>
      <c r="C1736" t="s">
        <v>12</v>
      </c>
      <c r="D1736">
        <v>263.86</v>
      </c>
      <c r="E1736">
        <v>230.03</v>
      </c>
      <c r="F1736">
        <v>51869</v>
      </c>
      <c r="H1736">
        <f>_xlfn.LET(_xlpm.v, IFERROR(VLOOKUP($A1736, manifest!$A:$E, 3, FALSE), ""), IF(OR(_xlpm.v=0, _xlpm.v=""), "", _xlpm.v))</f>
        <v>70</v>
      </c>
      <c r="I1736" t="str">
        <f>_xlfn.LET(_xlpm.v, IFERROR(VLOOKUP($A1736, manifest!$A:$E, 5, FALSE), ""), IF(OR(_xlpm.v=0, _xlpm.v=""), "", _xlpm.v))</f>
        <v>male</v>
      </c>
    </row>
    <row r="1737" spans="1:9" x14ac:dyDescent="0.6">
      <c r="A1737">
        <v>346</v>
      </c>
      <c r="B1737" t="s">
        <v>7</v>
      </c>
      <c r="C1737" t="s">
        <v>13</v>
      </c>
      <c r="D1737">
        <v>236.7</v>
      </c>
      <c r="E1737">
        <v>198.72</v>
      </c>
      <c r="F1737">
        <v>50471</v>
      </c>
      <c r="H1737">
        <f>_xlfn.LET(_xlpm.v, IFERROR(VLOOKUP($A1737, manifest!$A:$E, 3, FALSE), ""), IF(OR(_xlpm.v=0, _xlpm.v=""), "", _xlpm.v))</f>
        <v>70</v>
      </c>
      <c r="I1737" t="str">
        <f>_xlfn.LET(_xlpm.v, IFERROR(VLOOKUP($A1737, manifest!$A:$E, 5, FALSE), ""), IF(OR(_xlpm.v=0, _xlpm.v=""), "", _xlpm.v))</f>
        <v>male</v>
      </c>
    </row>
    <row r="1738" spans="1:9" x14ac:dyDescent="0.6">
      <c r="A1738">
        <v>369</v>
      </c>
      <c r="B1738" t="s">
        <v>14</v>
      </c>
      <c r="C1738" t="s">
        <v>8</v>
      </c>
      <c r="D1738">
        <v>257.33</v>
      </c>
      <c r="E1738">
        <v>157.96</v>
      </c>
      <c r="F1738">
        <v>23807</v>
      </c>
      <c r="G1738" t="s">
        <v>9</v>
      </c>
      <c r="H1738">
        <f>_xlfn.LET(_xlpm.v, IFERROR(VLOOKUP($A1738, manifest!$A:$E, 3, FALSE), ""), IF(OR(_xlpm.v=0, _xlpm.v=""), "", _xlpm.v))</f>
        <v>63</v>
      </c>
      <c r="I1738" t="str">
        <f>_xlfn.LET(_xlpm.v, IFERROR(VLOOKUP($A1738, manifest!$A:$E, 5, FALSE), ""), IF(OR(_xlpm.v=0, _xlpm.v=""), "", _xlpm.v))</f>
        <v>female</v>
      </c>
    </row>
    <row r="1739" spans="1:9" x14ac:dyDescent="0.6">
      <c r="A1739">
        <v>369</v>
      </c>
      <c r="B1739" t="s">
        <v>14</v>
      </c>
      <c r="C1739" t="s">
        <v>10</v>
      </c>
      <c r="D1739">
        <v>265.13</v>
      </c>
      <c r="E1739">
        <v>179.32</v>
      </c>
      <c r="F1739">
        <v>27927</v>
      </c>
      <c r="H1739">
        <f>_xlfn.LET(_xlpm.v, IFERROR(VLOOKUP($A1739, manifest!$A:$E, 3, FALSE), ""), IF(OR(_xlpm.v=0, _xlpm.v=""), "", _xlpm.v))</f>
        <v>63</v>
      </c>
      <c r="I1739" t="str">
        <f>_xlfn.LET(_xlpm.v, IFERROR(VLOOKUP($A1739, manifest!$A:$E, 5, FALSE), ""), IF(OR(_xlpm.v=0, _xlpm.v=""), "", _xlpm.v))</f>
        <v>female</v>
      </c>
    </row>
    <row r="1740" spans="1:9" x14ac:dyDescent="0.6">
      <c r="A1740">
        <v>369</v>
      </c>
      <c r="B1740" t="s">
        <v>14</v>
      </c>
      <c r="C1740" t="s">
        <v>11</v>
      </c>
      <c r="D1740">
        <v>226.74</v>
      </c>
      <c r="E1740">
        <v>169.66</v>
      </c>
      <c r="F1740">
        <v>41502</v>
      </c>
      <c r="H1740">
        <f>_xlfn.LET(_xlpm.v, IFERROR(VLOOKUP($A1740, manifest!$A:$E, 3, FALSE), ""), IF(OR(_xlpm.v=0, _xlpm.v=""), "", _xlpm.v))</f>
        <v>63</v>
      </c>
      <c r="I1740" t="str">
        <f>_xlfn.LET(_xlpm.v, IFERROR(VLOOKUP($A1740, manifest!$A:$E, 5, FALSE), ""), IF(OR(_xlpm.v=0, _xlpm.v=""), "", _xlpm.v))</f>
        <v>female</v>
      </c>
    </row>
    <row r="1741" spans="1:9" x14ac:dyDescent="0.6">
      <c r="A1741">
        <v>369</v>
      </c>
      <c r="B1741" t="s">
        <v>14</v>
      </c>
      <c r="C1741" t="s">
        <v>12</v>
      </c>
      <c r="D1741">
        <v>250.72</v>
      </c>
      <c r="E1741">
        <v>191.02</v>
      </c>
      <c r="F1741">
        <v>38858</v>
      </c>
      <c r="H1741">
        <f>_xlfn.LET(_xlpm.v, IFERROR(VLOOKUP($A1741, manifest!$A:$E, 3, FALSE), ""), IF(OR(_xlpm.v=0, _xlpm.v=""), "", _xlpm.v))</f>
        <v>63</v>
      </c>
      <c r="I1741" t="str">
        <f>_xlfn.LET(_xlpm.v, IFERROR(VLOOKUP($A1741, manifest!$A:$E, 5, FALSE), ""), IF(OR(_xlpm.v=0, _xlpm.v=""), "", _xlpm.v))</f>
        <v>female</v>
      </c>
    </row>
    <row r="1742" spans="1:9" x14ac:dyDescent="0.6">
      <c r="A1742">
        <v>369</v>
      </c>
      <c r="B1742" t="s">
        <v>14</v>
      </c>
      <c r="C1742" t="s">
        <v>13</v>
      </c>
      <c r="D1742">
        <v>268.83999999999997</v>
      </c>
      <c r="E1742">
        <v>219.09</v>
      </c>
      <c r="F1742">
        <v>41839</v>
      </c>
      <c r="H1742">
        <f>_xlfn.LET(_xlpm.v, IFERROR(VLOOKUP($A1742, manifest!$A:$E, 3, FALSE), ""), IF(OR(_xlpm.v=0, _xlpm.v=""), "", _xlpm.v))</f>
        <v>63</v>
      </c>
      <c r="I1742" t="str">
        <f>_xlfn.LET(_xlpm.v, IFERROR(VLOOKUP($A1742, manifest!$A:$E, 5, FALSE), ""), IF(OR(_xlpm.v=0, _xlpm.v=""), "", _xlpm.v))</f>
        <v>female</v>
      </c>
    </row>
    <row r="1743" spans="1:9" x14ac:dyDescent="0.6">
      <c r="A1743">
        <v>367</v>
      </c>
      <c r="B1743" t="s">
        <v>14</v>
      </c>
      <c r="C1743" t="s">
        <v>8</v>
      </c>
      <c r="D1743">
        <v>222.66</v>
      </c>
      <c r="E1743">
        <v>203.92</v>
      </c>
      <c r="F1743">
        <v>29591</v>
      </c>
      <c r="G1743" t="s">
        <v>9</v>
      </c>
      <c r="H1743">
        <f>_xlfn.LET(_xlpm.v, IFERROR(VLOOKUP($A1743, manifest!$A:$E, 3, FALSE), ""), IF(OR(_xlpm.v=0, _xlpm.v=""), "", _xlpm.v))</f>
        <v>50</v>
      </c>
      <c r="I1743" t="str">
        <f>_xlfn.LET(_xlpm.v, IFERROR(VLOOKUP($A1743, manifest!$A:$E, 5, FALSE), ""), IF(OR(_xlpm.v=0, _xlpm.v=""), "", _xlpm.v))</f>
        <v>male</v>
      </c>
    </row>
    <row r="1744" spans="1:9" x14ac:dyDescent="0.6">
      <c r="A1744">
        <v>367</v>
      </c>
      <c r="B1744" t="s">
        <v>14</v>
      </c>
      <c r="C1744" t="s">
        <v>10</v>
      </c>
      <c r="D1744">
        <v>197.5</v>
      </c>
      <c r="E1744">
        <v>174.03</v>
      </c>
      <c r="F1744">
        <v>35377</v>
      </c>
      <c r="H1744">
        <f>_xlfn.LET(_xlpm.v, IFERROR(VLOOKUP($A1744, manifest!$A:$E, 3, FALSE), ""), IF(OR(_xlpm.v=0, _xlpm.v=""), "", _xlpm.v))</f>
        <v>50</v>
      </c>
      <c r="I1744" t="str">
        <f>_xlfn.LET(_xlpm.v, IFERROR(VLOOKUP($A1744, manifest!$A:$E, 5, FALSE), ""), IF(OR(_xlpm.v=0, _xlpm.v=""), "", _xlpm.v))</f>
        <v>male</v>
      </c>
    </row>
    <row r="1745" spans="1:9" x14ac:dyDescent="0.6">
      <c r="A1745">
        <v>367</v>
      </c>
      <c r="B1745" t="s">
        <v>14</v>
      </c>
      <c r="C1745" t="s">
        <v>11</v>
      </c>
      <c r="D1745">
        <v>213.97</v>
      </c>
      <c r="E1745">
        <v>206.73</v>
      </c>
      <c r="F1745">
        <v>34241</v>
      </c>
      <c r="H1745">
        <f>_xlfn.LET(_xlpm.v, IFERROR(VLOOKUP($A1745, manifest!$A:$E, 3, FALSE), ""), IF(OR(_xlpm.v=0, _xlpm.v=""), "", _xlpm.v))</f>
        <v>50</v>
      </c>
      <c r="I1745" t="str">
        <f>_xlfn.LET(_xlpm.v, IFERROR(VLOOKUP($A1745, manifest!$A:$E, 5, FALSE), ""), IF(OR(_xlpm.v=0, _xlpm.v=""), "", _xlpm.v))</f>
        <v>male</v>
      </c>
    </row>
    <row r="1746" spans="1:9" x14ac:dyDescent="0.6">
      <c r="A1746">
        <v>367</v>
      </c>
      <c r="B1746" t="s">
        <v>14</v>
      </c>
      <c r="C1746" t="s">
        <v>12</v>
      </c>
      <c r="D1746">
        <v>258.58</v>
      </c>
      <c r="E1746">
        <v>252.84</v>
      </c>
      <c r="F1746">
        <v>32065</v>
      </c>
      <c r="H1746">
        <f>_xlfn.LET(_xlpm.v, IFERROR(VLOOKUP($A1746, manifest!$A:$E, 3, FALSE), ""), IF(OR(_xlpm.v=0, _xlpm.v=""), "", _xlpm.v))</f>
        <v>50</v>
      </c>
      <c r="I1746" t="str">
        <f>_xlfn.LET(_xlpm.v, IFERROR(VLOOKUP($A1746, manifest!$A:$E, 5, FALSE), ""), IF(OR(_xlpm.v=0, _xlpm.v=""), "", _xlpm.v))</f>
        <v>male</v>
      </c>
    </row>
    <row r="1747" spans="1:9" x14ac:dyDescent="0.6">
      <c r="A1747">
        <v>367</v>
      </c>
      <c r="B1747" t="s">
        <v>14</v>
      </c>
      <c r="C1747" t="s">
        <v>13</v>
      </c>
      <c r="D1747">
        <v>262.44</v>
      </c>
      <c r="E1747">
        <v>242.05</v>
      </c>
      <c r="F1747">
        <v>37476</v>
      </c>
      <c r="H1747">
        <f>_xlfn.LET(_xlpm.v, IFERROR(VLOOKUP($A1747, manifest!$A:$E, 3, FALSE), ""), IF(OR(_xlpm.v=0, _xlpm.v=""), "", _xlpm.v))</f>
        <v>50</v>
      </c>
      <c r="I1747" t="str">
        <f>_xlfn.LET(_xlpm.v, IFERROR(VLOOKUP($A1747, manifest!$A:$E, 5, FALSE), ""), IF(OR(_xlpm.v=0, _xlpm.v=""), "", _xlpm.v))</f>
        <v>male</v>
      </c>
    </row>
    <row r="1748" spans="1:9" x14ac:dyDescent="0.6">
      <c r="A1748">
        <v>381</v>
      </c>
      <c r="B1748" t="s">
        <v>7</v>
      </c>
      <c r="C1748" t="s">
        <v>8</v>
      </c>
      <c r="D1748">
        <v>235.54</v>
      </c>
      <c r="E1748">
        <v>134.94</v>
      </c>
      <c r="F1748">
        <v>18644</v>
      </c>
      <c r="G1748" t="s">
        <v>9</v>
      </c>
      <c r="H1748">
        <f>_xlfn.LET(_xlpm.v, IFERROR(VLOOKUP($A1748, manifest!$A:$E, 3, FALSE), ""), IF(OR(_xlpm.v=0, _xlpm.v=""), "", _xlpm.v))</f>
        <v>53</v>
      </c>
      <c r="I1748" t="str">
        <f>_xlfn.LET(_xlpm.v, IFERROR(VLOOKUP($A1748, manifest!$A:$E, 5, FALSE), ""), IF(OR(_xlpm.v=0, _xlpm.v=""), "", _xlpm.v))</f>
        <v>female</v>
      </c>
    </row>
    <row r="1749" spans="1:9" x14ac:dyDescent="0.6">
      <c r="A1749">
        <v>381</v>
      </c>
      <c r="B1749" t="s">
        <v>7</v>
      </c>
      <c r="C1749" t="s">
        <v>10</v>
      </c>
      <c r="D1749">
        <v>243.11</v>
      </c>
      <c r="E1749">
        <v>170.62</v>
      </c>
      <c r="F1749">
        <v>21978</v>
      </c>
      <c r="H1749">
        <f>_xlfn.LET(_xlpm.v, IFERROR(VLOOKUP($A1749, manifest!$A:$E, 3, FALSE), ""), IF(OR(_xlpm.v=0, _xlpm.v=""), "", _xlpm.v))</f>
        <v>53</v>
      </c>
      <c r="I1749" t="str">
        <f>_xlfn.LET(_xlpm.v, IFERROR(VLOOKUP($A1749, manifest!$A:$E, 5, FALSE), ""), IF(OR(_xlpm.v=0, _xlpm.v=""), "", _xlpm.v))</f>
        <v>female</v>
      </c>
    </row>
    <row r="1750" spans="1:9" x14ac:dyDescent="0.6">
      <c r="A1750">
        <v>381</v>
      </c>
      <c r="B1750" t="s">
        <v>7</v>
      </c>
      <c r="C1750" t="s">
        <v>11</v>
      </c>
      <c r="D1750">
        <v>258.56</v>
      </c>
      <c r="E1750">
        <v>189.72</v>
      </c>
      <c r="F1750">
        <v>22014</v>
      </c>
      <c r="H1750">
        <f>_xlfn.LET(_xlpm.v, IFERROR(VLOOKUP($A1750, manifest!$A:$E, 3, FALSE), ""), IF(OR(_xlpm.v=0, _xlpm.v=""), "", _xlpm.v))</f>
        <v>53</v>
      </c>
      <c r="I1750" t="str">
        <f>_xlfn.LET(_xlpm.v, IFERROR(VLOOKUP($A1750, manifest!$A:$E, 5, FALSE), ""), IF(OR(_xlpm.v=0, _xlpm.v=""), "", _xlpm.v))</f>
        <v>female</v>
      </c>
    </row>
    <row r="1751" spans="1:9" x14ac:dyDescent="0.6">
      <c r="A1751">
        <v>381</v>
      </c>
      <c r="B1751" t="s">
        <v>7</v>
      </c>
      <c r="C1751" t="s">
        <v>12</v>
      </c>
      <c r="D1751">
        <v>250.16</v>
      </c>
      <c r="E1751">
        <v>184.41</v>
      </c>
      <c r="F1751">
        <v>28014</v>
      </c>
      <c r="H1751">
        <f>_xlfn.LET(_xlpm.v, IFERROR(VLOOKUP($A1751, manifest!$A:$E, 3, FALSE), ""), IF(OR(_xlpm.v=0, _xlpm.v=""), "", _xlpm.v))</f>
        <v>53</v>
      </c>
      <c r="I1751" t="str">
        <f>_xlfn.LET(_xlpm.v, IFERROR(VLOOKUP($A1751, manifest!$A:$E, 5, FALSE), ""), IF(OR(_xlpm.v=0, _xlpm.v=""), "", _xlpm.v))</f>
        <v>female</v>
      </c>
    </row>
    <row r="1752" spans="1:9" x14ac:dyDescent="0.6">
      <c r="A1752">
        <v>381</v>
      </c>
      <c r="B1752" t="s">
        <v>7</v>
      </c>
      <c r="C1752" t="s">
        <v>13</v>
      </c>
      <c r="D1752">
        <v>230.35</v>
      </c>
      <c r="E1752">
        <v>169.94</v>
      </c>
      <c r="F1752">
        <v>30252</v>
      </c>
      <c r="H1752">
        <f>_xlfn.LET(_xlpm.v, IFERROR(VLOOKUP($A1752, manifest!$A:$E, 3, FALSE), ""), IF(OR(_xlpm.v=0, _xlpm.v=""), "", _xlpm.v))</f>
        <v>53</v>
      </c>
      <c r="I1752" t="str">
        <f>_xlfn.LET(_xlpm.v, IFERROR(VLOOKUP($A1752, manifest!$A:$E, 5, FALSE), ""), IF(OR(_xlpm.v=0, _xlpm.v=""), "", _xlpm.v))</f>
        <v>female</v>
      </c>
    </row>
    <row r="1753" spans="1:9" x14ac:dyDescent="0.6">
      <c r="A1753">
        <v>363</v>
      </c>
      <c r="B1753" t="s">
        <v>14</v>
      </c>
      <c r="C1753" t="s">
        <v>8</v>
      </c>
      <c r="D1753">
        <v>144.18</v>
      </c>
      <c r="E1753">
        <v>82.55</v>
      </c>
      <c r="F1753">
        <v>35215</v>
      </c>
      <c r="G1753" t="s">
        <v>15</v>
      </c>
      <c r="H1753">
        <f>_xlfn.LET(_xlpm.v, IFERROR(VLOOKUP($A1753, manifest!$A:$E, 3, FALSE), ""), IF(OR(_xlpm.v=0, _xlpm.v=""), "", _xlpm.v))</f>
        <v>65</v>
      </c>
      <c r="I1753" t="str">
        <f>_xlfn.LET(_xlpm.v, IFERROR(VLOOKUP($A1753, manifest!$A:$E, 5, FALSE), ""), IF(OR(_xlpm.v=0, _xlpm.v=""), "", _xlpm.v))</f>
        <v>female</v>
      </c>
    </row>
    <row r="1754" spans="1:9" x14ac:dyDescent="0.6">
      <c r="A1754">
        <v>363</v>
      </c>
      <c r="B1754" t="s">
        <v>14</v>
      </c>
      <c r="C1754" t="s">
        <v>10</v>
      </c>
      <c r="D1754">
        <v>152.97</v>
      </c>
      <c r="E1754">
        <v>106.38</v>
      </c>
      <c r="F1754">
        <v>40181</v>
      </c>
      <c r="H1754">
        <f>_xlfn.LET(_xlpm.v, IFERROR(VLOOKUP($A1754, manifest!$A:$E, 3, FALSE), ""), IF(OR(_xlpm.v=0, _xlpm.v=""), "", _xlpm.v))</f>
        <v>65</v>
      </c>
      <c r="I1754" t="str">
        <f>_xlfn.LET(_xlpm.v, IFERROR(VLOOKUP($A1754, manifest!$A:$E, 5, FALSE), ""), IF(OR(_xlpm.v=0, _xlpm.v=""), "", _xlpm.v))</f>
        <v>female</v>
      </c>
    </row>
    <row r="1755" spans="1:9" x14ac:dyDescent="0.6">
      <c r="A1755">
        <v>363</v>
      </c>
      <c r="B1755" t="s">
        <v>14</v>
      </c>
      <c r="C1755" t="s">
        <v>11</v>
      </c>
      <c r="D1755">
        <v>170.25</v>
      </c>
      <c r="E1755">
        <v>150.83000000000001</v>
      </c>
      <c r="F1755">
        <v>46140</v>
      </c>
      <c r="H1755">
        <f>_xlfn.LET(_xlpm.v, IFERROR(VLOOKUP($A1755, manifest!$A:$E, 3, FALSE), ""), IF(OR(_xlpm.v=0, _xlpm.v=""), "", _xlpm.v))</f>
        <v>65</v>
      </c>
      <c r="I1755" t="str">
        <f>_xlfn.LET(_xlpm.v, IFERROR(VLOOKUP($A1755, manifest!$A:$E, 5, FALSE), ""), IF(OR(_xlpm.v=0, _xlpm.v=""), "", _xlpm.v))</f>
        <v>female</v>
      </c>
    </row>
    <row r="1756" spans="1:9" x14ac:dyDescent="0.6">
      <c r="A1756">
        <v>363</v>
      </c>
      <c r="B1756" t="s">
        <v>14</v>
      </c>
      <c r="C1756" t="s">
        <v>12</v>
      </c>
      <c r="D1756">
        <v>179.14</v>
      </c>
      <c r="E1756">
        <v>183.82</v>
      </c>
      <c r="F1756">
        <v>68000</v>
      </c>
      <c r="H1756">
        <f>_xlfn.LET(_xlpm.v, IFERROR(VLOOKUP($A1756, manifest!$A:$E, 3, FALSE), ""), IF(OR(_xlpm.v=0, _xlpm.v=""), "", _xlpm.v))</f>
        <v>65</v>
      </c>
      <c r="I1756" t="str">
        <f>_xlfn.LET(_xlpm.v, IFERROR(VLOOKUP($A1756, manifest!$A:$E, 5, FALSE), ""), IF(OR(_xlpm.v=0, _xlpm.v=""), "", _xlpm.v))</f>
        <v>female</v>
      </c>
    </row>
    <row r="1757" spans="1:9" x14ac:dyDescent="0.6">
      <c r="A1757">
        <v>363</v>
      </c>
      <c r="B1757" t="s">
        <v>14</v>
      </c>
      <c r="C1757" t="s">
        <v>13</v>
      </c>
      <c r="D1757">
        <v>211.81</v>
      </c>
      <c r="E1757">
        <v>196.55</v>
      </c>
      <c r="F1757">
        <v>71281</v>
      </c>
      <c r="H1757">
        <f>_xlfn.LET(_xlpm.v, IFERROR(VLOOKUP($A1757, manifest!$A:$E, 3, FALSE), ""), IF(OR(_xlpm.v=0, _xlpm.v=""), "", _xlpm.v))</f>
        <v>65</v>
      </c>
      <c r="I1757" t="str">
        <f>_xlfn.LET(_xlpm.v, IFERROR(VLOOKUP($A1757, manifest!$A:$E, 5, FALSE), ""), IF(OR(_xlpm.v=0, _xlpm.v=""), "", _xlpm.v))</f>
        <v>female</v>
      </c>
    </row>
    <row r="1758" spans="1:9" x14ac:dyDescent="0.6">
      <c r="A1758">
        <v>374</v>
      </c>
      <c r="B1758" t="s">
        <v>14</v>
      </c>
      <c r="C1758" t="s">
        <v>8</v>
      </c>
      <c r="D1758">
        <v>207.98</v>
      </c>
      <c r="E1758">
        <v>164.54</v>
      </c>
      <c r="F1758">
        <v>33060</v>
      </c>
      <c r="G1758" t="s">
        <v>9</v>
      </c>
      <c r="H1758">
        <f>_xlfn.LET(_xlpm.v, IFERROR(VLOOKUP($A1758, manifest!$A:$E, 3, FALSE), ""), IF(OR(_xlpm.v=0, _xlpm.v=""), "", _xlpm.v))</f>
        <v>59</v>
      </c>
      <c r="I1758" t="str">
        <f>_xlfn.LET(_xlpm.v, IFERROR(VLOOKUP($A1758, manifest!$A:$E, 5, FALSE), ""), IF(OR(_xlpm.v=0, _xlpm.v=""), "", _xlpm.v))</f>
        <v>male</v>
      </c>
    </row>
    <row r="1759" spans="1:9" x14ac:dyDescent="0.6">
      <c r="A1759">
        <v>374</v>
      </c>
      <c r="B1759" t="s">
        <v>14</v>
      </c>
      <c r="C1759" t="s">
        <v>10</v>
      </c>
      <c r="D1759">
        <v>245.94</v>
      </c>
      <c r="E1759">
        <v>229.04</v>
      </c>
      <c r="F1759">
        <v>38152</v>
      </c>
      <c r="H1759">
        <f>_xlfn.LET(_xlpm.v, IFERROR(VLOOKUP($A1759, manifest!$A:$E, 3, FALSE), ""), IF(OR(_xlpm.v=0, _xlpm.v=""), "", _xlpm.v))</f>
        <v>59</v>
      </c>
      <c r="I1759" t="str">
        <f>_xlfn.LET(_xlpm.v, IFERROR(VLOOKUP($A1759, manifest!$A:$E, 5, FALSE), ""), IF(OR(_xlpm.v=0, _xlpm.v=""), "", _xlpm.v))</f>
        <v>male</v>
      </c>
    </row>
    <row r="1760" spans="1:9" x14ac:dyDescent="0.6">
      <c r="A1760">
        <v>374</v>
      </c>
      <c r="B1760" t="s">
        <v>14</v>
      </c>
      <c r="C1760" t="s">
        <v>11</v>
      </c>
      <c r="D1760">
        <v>242.99</v>
      </c>
      <c r="E1760">
        <v>227.96</v>
      </c>
      <c r="F1760">
        <v>39681</v>
      </c>
      <c r="H1760">
        <f>_xlfn.LET(_xlpm.v, IFERROR(VLOOKUP($A1760, manifest!$A:$E, 3, FALSE), ""), IF(OR(_xlpm.v=0, _xlpm.v=""), "", _xlpm.v))</f>
        <v>59</v>
      </c>
      <c r="I1760" t="str">
        <f>_xlfn.LET(_xlpm.v, IFERROR(VLOOKUP($A1760, manifest!$A:$E, 5, FALSE), ""), IF(OR(_xlpm.v=0, _xlpm.v=""), "", _xlpm.v))</f>
        <v>male</v>
      </c>
    </row>
    <row r="1761" spans="1:9" x14ac:dyDescent="0.6">
      <c r="A1761">
        <v>374</v>
      </c>
      <c r="B1761" t="s">
        <v>14</v>
      </c>
      <c r="C1761" t="s">
        <v>12</v>
      </c>
      <c r="D1761">
        <v>229.43</v>
      </c>
      <c r="E1761">
        <v>219.82</v>
      </c>
      <c r="F1761">
        <v>51034</v>
      </c>
      <c r="H1761">
        <f>_xlfn.LET(_xlpm.v, IFERROR(VLOOKUP($A1761, manifest!$A:$E, 3, FALSE), ""), IF(OR(_xlpm.v=0, _xlpm.v=""), "", _xlpm.v))</f>
        <v>59</v>
      </c>
      <c r="I1761" t="str">
        <f>_xlfn.LET(_xlpm.v, IFERROR(VLOOKUP($A1761, manifest!$A:$E, 5, FALSE), ""), IF(OR(_xlpm.v=0, _xlpm.v=""), "", _xlpm.v))</f>
        <v>male</v>
      </c>
    </row>
    <row r="1762" spans="1:9" x14ac:dyDescent="0.6">
      <c r="A1762">
        <v>374</v>
      </c>
      <c r="B1762" t="s">
        <v>14</v>
      </c>
      <c r="C1762" t="s">
        <v>13</v>
      </c>
      <c r="D1762">
        <v>220.96</v>
      </c>
      <c r="E1762">
        <v>153.5</v>
      </c>
      <c r="F1762">
        <v>52570</v>
      </c>
      <c r="H1762">
        <f>_xlfn.LET(_xlpm.v, IFERROR(VLOOKUP($A1762, manifest!$A:$E, 3, FALSE), ""), IF(OR(_xlpm.v=0, _xlpm.v=""), "", _xlpm.v))</f>
        <v>59</v>
      </c>
      <c r="I1762" t="str">
        <f>_xlfn.LET(_xlpm.v, IFERROR(VLOOKUP($A1762, manifest!$A:$E, 5, FALSE), ""), IF(OR(_xlpm.v=0, _xlpm.v=""), "", _xlpm.v))</f>
        <v>male</v>
      </c>
    </row>
    <row r="1763" spans="1:9" x14ac:dyDescent="0.6">
      <c r="A1763">
        <v>372</v>
      </c>
      <c r="B1763" t="s">
        <v>7</v>
      </c>
      <c r="C1763" t="s">
        <v>8</v>
      </c>
      <c r="D1763">
        <v>203.76</v>
      </c>
      <c r="E1763">
        <v>180.89</v>
      </c>
      <c r="F1763">
        <v>46728</v>
      </c>
      <c r="G1763" t="s">
        <v>9</v>
      </c>
      <c r="H1763">
        <f>_xlfn.LET(_xlpm.v, IFERROR(VLOOKUP($A1763, manifest!$A:$E, 3, FALSE), ""), IF(OR(_xlpm.v=0, _xlpm.v=""), "", _xlpm.v))</f>
        <v>54</v>
      </c>
      <c r="I1763" t="str">
        <f>_xlfn.LET(_xlpm.v, IFERROR(VLOOKUP($A1763, manifest!$A:$E, 5, FALSE), ""), IF(OR(_xlpm.v=0, _xlpm.v=""), "", _xlpm.v))</f>
        <v>male</v>
      </c>
    </row>
    <row r="1764" spans="1:9" x14ac:dyDescent="0.6">
      <c r="A1764">
        <v>372</v>
      </c>
      <c r="B1764" t="s">
        <v>7</v>
      </c>
      <c r="C1764" t="s">
        <v>10</v>
      </c>
      <c r="D1764">
        <v>216.95</v>
      </c>
      <c r="E1764">
        <v>193.28</v>
      </c>
      <c r="F1764">
        <v>40849</v>
      </c>
      <c r="H1764">
        <f>_xlfn.LET(_xlpm.v, IFERROR(VLOOKUP($A1764, manifest!$A:$E, 3, FALSE), ""), IF(OR(_xlpm.v=0, _xlpm.v=""), "", _xlpm.v))</f>
        <v>54</v>
      </c>
      <c r="I1764" t="str">
        <f>_xlfn.LET(_xlpm.v, IFERROR(VLOOKUP($A1764, manifest!$A:$E, 5, FALSE), ""), IF(OR(_xlpm.v=0, _xlpm.v=""), "", _xlpm.v))</f>
        <v>male</v>
      </c>
    </row>
    <row r="1765" spans="1:9" x14ac:dyDescent="0.6">
      <c r="A1765">
        <v>372</v>
      </c>
      <c r="B1765" t="s">
        <v>7</v>
      </c>
      <c r="C1765" t="s">
        <v>11</v>
      </c>
      <c r="D1765">
        <v>234.4</v>
      </c>
      <c r="E1765">
        <v>232.61</v>
      </c>
      <c r="F1765">
        <v>50950</v>
      </c>
      <c r="H1765">
        <f>_xlfn.LET(_xlpm.v, IFERROR(VLOOKUP($A1765, manifest!$A:$E, 3, FALSE), ""), IF(OR(_xlpm.v=0, _xlpm.v=""), "", _xlpm.v))</f>
        <v>54</v>
      </c>
      <c r="I1765" t="str">
        <f>_xlfn.LET(_xlpm.v, IFERROR(VLOOKUP($A1765, manifest!$A:$E, 5, FALSE), ""), IF(OR(_xlpm.v=0, _xlpm.v=""), "", _xlpm.v))</f>
        <v>male</v>
      </c>
    </row>
    <row r="1766" spans="1:9" x14ac:dyDescent="0.6">
      <c r="A1766">
        <v>372</v>
      </c>
      <c r="B1766" t="s">
        <v>7</v>
      </c>
      <c r="C1766" t="s">
        <v>12</v>
      </c>
      <c r="D1766">
        <v>212.16</v>
      </c>
      <c r="E1766">
        <v>175.43</v>
      </c>
      <c r="F1766">
        <v>72437</v>
      </c>
      <c r="H1766">
        <f>_xlfn.LET(_xlpm.v, IFERROR(VLOOKUP($A1766, manifest!$A:$E, 3, FALSE), ""), IF(OR(_xlpm.v=0, _xlpm.v=""), "", _xlpm.v))</f>
        <v>54</v>
      </c>
      <c r="I1766" t="str">
        <f>_xlfn.LET(_xlpm.v, IFERROR(VLOOKUP($A1766, manifest!$A:$E, 5, FALSE), ""), IF(OR(_xlpm.v=0, _xlpm.v=""), "", _xlpm.v))</f>
        <v>male</v>
      </c>
    </row>
    <row r="1767" spans="1:9" x14ac:dyDescent="0.6">
      <c r="A1767">
        <v>372</v>
      </c>
      <c r="B1767" t="s">
        <v>7</v>
      </c>
      <c r="C1767" t="s">
        <v>13</v>
      </c>
      <c r="D1767">
        <v>184.82</v>
      </c>
      <c r="E1767">
        <v>146.69999999999999</v>
      </c>
      <c r="F1767">
        <v>68745</v>
      </c>
      <c r="H1767">
        <f>_xlfn.LET(_xlpm.v, IFERROR(VLOOKUP($A1767, manifest!$A:$E, 3, FALSE), ""), IF(OR(_xlpm.v=0, _xlpm.v=""), "", _xlpm.v))</f>
        <v>54</v>
      </c>
      <c r="I1767" t="str">
        <f>_xlfn.LET(_xlpm.v, IFERROR(VLOOKUP($A1767, manifest!$A:$E, 5, FALSE), ""), IF(OR(_xlpm.v=0, _xlpm.v=""), "", _xlpm.v))</f>
        <v>male</v>
      </c>
    </row>
    <row r="1768" spans="1:9" x14ac:dyDescent="0.6">
      <c r="A1768">
        <v>382</v>
      </c>
      <c r="B1768" t="s">
        <v>7</v>
      </c>
      <c r="C1768" t="s">
        <v>8</v>
      </c>
      <c r="D1768">
        <v>169.14</v>
      </c>
      <c r="E1768">
        <v>126.56</v>
      </c>
      <c r="F1768">
        <v>17472</v>
      </c>
      <c r="G1768" t="s">
        <v>9</v>
      </c>
      <c r="H1768">
        <f>_xlfn.LET(_xlpm.v, IFERROR(VLOOKUP($A1768, manifest!$A:$E, 3, FALSE), ""), IF(OR(_xlpm.v=0, _xlpm.v=""), "", _xlpm.v))</f>
        <v>50</v>
      </c>
      <c r="I1768" t="str">
        <f>_xlfn.LET(_xlpm.v, IFERROR(VLOOKUP($A1768, manifest!$A:$E, 5, FALSE), ""), IF(OR(_xlpm.v=0, _xlpm.v=""), "", _xlpm.v))</f>
        <v>female</v>
      </c>
    </row>
    <row r="1769" spans="1:9" x14ac:dyDescent="0.6">
      <c r="A1769">
        <v>382</v>
      </c>
      <c r="B1769" t="s">
        <v>7</v>
      </c>
      <c r="C1769" t="s">
        <v>10</v>
      </c>
      <c r="D1769">
        <v>202.92</v>
      </c>
      <c r="E1769">
        <v>208.66</v>
      </c>
      <c r="F1769">
        <v>18658</v>
      </c>
      <c r="H1769">
        <f>_xlfn.LET(_xlpm.v, IFERROR(VLOOKUP($A1769, manifest!$A:$E, 3, FALSE), ""), IF(OR(_xlpm.v=0, _xlpm.v=""), "", _xlpm.v))</f>
        <v>50</v>
      </c>
      <c r="I1769" t="str">
        <f>_xlfn.LET(_xlpm.v, IFERROR(VLOOKUP($A1769, manifest!$A:$E, 5, FALSE), ""), IF(OR(_xlpm.v=0, _xlpm.v=""), "", _xlpm.v))</f>
        <v>female</v>
      </c>
    </row>
    <row r="1770" spans="1:9" x14ac:dyDescent="0.6">
      <c r="A1770">
        <v>382</v>
      </c>
      <c r="B1770" t="s">
        <v>7</v>
      </c>
      <c r="C1770" t="s">
        <v>11</v>
      </c>
      <c r="D1770">
        <v>222.29</v>
      </c>
      <c r="E1770">
        <v>239.13</v>
      </c>
      <c r="F1770">
        <v>19443</v>
      </c>
      <c r="H1770">
        <f>_xlfn.LET(_xlpm.v, IFERROR(VLOOKUP($A1770, manifest!$A:$E, 3, FALSE), ""), IF(OR(_xlpm.v=0, _xlpm.v=""), "", _xlpm.v))</f>
        <v>50</v>
      </c>
      <c r="I1770" t="str">
        <f>_xlfn.LET(_xlpm.v, IFERROR(VLOOKUP($A1770, manifest!$A:$E, 5, FALSE), ""), IF(OR(_xlpm.v=0, _xlpm.v=""), "", _xlpm.v))</f>
        <v>female</v>
      </c>
    </row>
    <row r="1771" spans="1:9" x14ac:dyDescent="0.6">
      <c r="A1771">
        <v>382</v>
      </c>
      <c r="B1771" t="s">
        <v>7</v>
      </c>
      <c r="C1771" t="s">
        <v>12</v>
      </c>
      <c r="D1771">
        <v>226.36</v>
      </c>
      <c r="E1771">
        <v>256.76</v>
      </c>
      <c r="F1771">
        <v>26626</v>
      </c>
      <c r="H1771">
        <f>_xlfn.LET(_xlpm.v, IFERROR(VLOOKUP($A1771, manifest!$A:$E, 3, FALSE), ""), IF(OR(_xlpm.v=0, _xlpm.v=""), "", _xlpm.v))</f>
        <v>50</v>
      </c>
      <c r="I1771" t="str">
        <f>_xlfn.LET(_xlpm.v, IFERROR(VLOOKUP($A1771, manifest!$A:$E, 5, FALSE), ""), IF(OR(_xlpm.v=0, _xlpm.v=""), "", _xlpm.v))</f>
        <v>female</v>
      </c>
    </row>
    <row r="1772" spans="1:9" x14ac:dyDescent="0.6">
      <c r="A1772">
        <v>382</v>
      </c>
      <c r="B1772" t="s">
        <v>7</v>
      </c>
      <c r="C1772" t="s">
        <v>13</v>
      </c>
      <c r="D1772">
        <v>207.26</v>
      </c>
      <c r="E1772">
        <v>221.47</v>
      </c>
      <c r="F1772">
        <v>30156</v>
      </c>
      <c r="H1772">
        <f>_xlfn.LET(_xlpm.v, IFERROR(VLOOKUP($A1772, manifest!$A:$E, 3, FALSE), ""), IF(OR(_xlpm.v=0, _xlpm.v=""), "", _xlpm.v))</f>
        <v>50</v>
      </c>
      <c r="I1772" t="str">
        <f>_xlfn.LET(_xlpm.v, IFERROR(VLOOKUP($A1772, manifest!$A:$E, 5, FALSE), ""), IF(OR(_xlpm.v=0, _xlpm.v=""), "", _xlpm.v))</f>
        <v>female</v>
      </c>
    </row>
    <row r="1773" spans="1:9" x14ac:dyDescent="0.6">
      <c r="A1773">
        <v>365</v>
      </c>
      <c r="B1773" t="s">
        <v>7</v>
      </c>
      <c r="C1773" t="s">
        <v>8</v>
      </c>
      <c r="D1773">
        <v>163.63</v>
      </c>
      <c r="E1773">
        <v>76.84</v>
      </c>
      <c r="F1773">
        <v>29020</v>
      </c>
      <c r="G1773" t="s">
        <v>9</v>
      </c>
      <c r="H1773">
        <f>_xlfn.LET(_xlpm.v, IFERROR(VLOOKUP($A1773, manifest!$A:$E, 3, FALSE), ""), IF(OR(_xlpm.v=0, _xlpm.v=""), "", _xlpm.v))</f>
        <v>52</v>
      </c>
      <c r="I1773" t="str">
        <f>_xlfn.LET(_xlpm.v, IFERROR(VLOOKUP($A1773, manifest!$A:$E, 5, FALSE), ""), IF(OR(_xlpm.v=0, _xlpm.v=""), "", _xlpm.v))</f>
        <v>female</v>
      </c>
    </row>
    <row r="1774" spans="1:9" x14ac:dyDescent="0.6">
      <c r="A1774">
        <v>365</v>
      </c>
      <c r="B1774" t="s">
        <v>7</v>
      </c>
      <c r="C1774" t="s">
        <v>10</v>
      </c>
      <c r="D1774">
        <v>177.43</v>
      </c>
      <c r="E1774">
        <v>109.07</v>
      </c>
      <c r="F1774">
        <v>34267</v>
      </c>
      <c r="H1774">
        <f>_xlfn.LET(_xlpm.v, IFERROR(VLOOKUP($A1774, manifest!$A:$E, 3, FALSE), ""), IF(OR(_xlpm.v=0, _xlpm.v=""), "", _xlpm.v))</f>
        <v>52</v>
      </c>
      <c r="I1774" t="str">
        <f>_xlfn.LET(_xlpm.v, IFERROR(VLOOKUP($A1774, manifest!$A:$E, 5, FALSE), ""), IF(OR(_xlpm.v=0, _xlpm.v=""), "", _xlpm.v))</f>
        <v>female</v>
      </c>
    </row>
    <row r="1775" spans="1:9" x14ac:dyDescent="0.6">
      <c r="A1775">
        <v>365</v>
      </c>
      <c r="B1775" t="s">
        <v>7</v>
      </c>
      <c r="C1775" t="s">
        <v>11</v>
      </c>
      <c r="D1775">
        <v>173.75</v>
      </c>
      <c r="E1775">
        <v>128.21</v>
      </c>
      <c r="F1775">
        <v>43696</v>
      </c>
      <c r="H1775">
        <f>_xlfn.LET(_xlpm.v, IFERROR(VLOOKUP($A1775, manifest!$A:$E, 3, FALSE), ""), IF(OR(_xlpm.v=0, _xlpm.v=""), "", _xlpm.v))</f>
        <v>52</v>
      </c>
      <c r="I1775" t="str">
        <f>_xlfn.LET(_xlpm.v, IFERROR(VLOOKUP($A1775, manifest!$A:$E, 5, FALSE), ""), IF(OR(_xlpm.v=0, _xlpm.v=""), "", _xlpm.v))</f>
        <v>female</v>
      </c>
    </row>
    <row r="1776" spans="1:9" x14ac:dyDescent="0.6">
      <c r="A1776">
        <v>365</v>
      </c>
      <c r="B1776" t="s">
        <v>7</v>
      </c>
      <c r="C1776" t="s">
        <v>12</v>
      </c>
      <c r="D1776">
        <v>168.18</v>
      </c>
      <c r="E1776">
        <v>122.93</v>
      </c>
      <c r="F1776">
        <v>51443</v>
      </c>
      <c r="H1776">
        <f>_xlfn.LET(_xlpm.v, IFERROR(VLOOKUP($A1776, manifest!$A:$E, 3, FALSE), ""), IF(OR(_xlpm.v=0, _xlpm.v=""), "", _xlpm.v))</f>
        <v>52</v>
      </c>
      <c r="I1776" t="str">
        <f>_xlfn.LET(_xlpm.v, IFERROR(VLOOKUP($A1776, manifest!$A:$E, 5, FALSE), ""), IF(OR(_xlpm.v=0, _xlpm.v=""), "", _xlpm.v))</f>
        <v>female</v>
      </c>
    </row>
    <row r="1777" spans="1:9" x14ac:dyDescent="0.6">
      <c r="A1777">
        <v>365</v>
      </c>
      <c r="B1777" t="s">
        <v>7</v>
      </c>
      <c r="C1777" t="s">
        <v>13</v>
      </c>
      <c r="D1777">
        <v>174.97</v>
      </c>
      <c r="E1777">
        <v>151.41999999999999</v>
      </c>
      <c r="F1777">
        <v>52038</v>
      </c>
      <c r="H1777">
        <f>_xlfn.LET(_xlpm.v, IFERROR(VLOOKUP($A1777, manifest!$A:$E, 3, FALSE), ""), IF(OR(_xlpm.v=0, _xlpm.v=""), "", _xlpm.v))</f>
        <v>52</v>
      </c>
      <c r="I1777" t="str">
        <f>_xlfn.LET(_xlpm.v, IFERROR(VLOOKUP($A1777, manifest!$A:$E, 5, FALSE), ""), IF(OR(_xlpm.v=0, _xlpm.v=""), "", _xlpm.v))</f>
        <v>female</v>
      </c>
    </row>
    <row r="1778" spans="1:9" x14ac:dyDescent="0.6">
      <c r="A1778">
        <v>388</v>
      </c>
      <c r="B1778" t="s">
        <v>7</v>
      </c>
      <c r="C1778" t="s">
        <v>8</v>
      </c>
      <c r="D1778">
        <v>196.79</v>
      </c>
      <c r="E1778">
        <v>105.1</v>
      </c>
      <c r="F1778">
        <v>24874</v>
      </c>
      <c r="G1778" t="s">
        <v>9</v>
      </c>
      <c r="H1778">
        <f>_xlfn.LET(_xlpm.v, IFERROR(VLOOKUP($A1778, manifest!$A:$E, 3, FALSE), ""), IF(OR(_xlpm.v=0, _xlpm.v=""), "", _xlpm.v))</f>
        <v>50</v>
      </c>
      <c r="I1778" t="str">
        <f>_xlfn.LET(_xlpm.v, IFERROR(VLOOKUP($A1778, manifest!$A:$E, 5, FALSE), ""), IF(OR(_xlpm.v=0, _xlpm.v=""), "", _xlpm.v))</f>
        <v>male</v>
      </c>
    </row>
    <row r="1779" spans="1:9" x14ac:dyDescent="0.6">
      <c r="A1779">
        <v>388</v>
      </c>
      <c r="B1779" t="s">
        <v>7</v>
      </c>
      <c r="C1779" t="s">
        <v>10</v>
      </c>
      <c r="D1779">
        <v>193.29</v>
      </c>
      <c r="E1779">
        <v>118.17</v>
      </c>
      <c r="F1779">
        <v>25203</v>
      </c>
      <c r="H1779">
        <f>_xlfn.LET(_xlpm.v, IFERROR(VLOOKUP($A1779, manifest!$A:$E, 3, FALSE), ""), IF(OR(_xlpm.v=0, _xlpm.v=""), "", _xlpm.v))</f>
        <v>50</v>
      </c>
      <c r="I1779" t="str">
        <f>_xlfn.LET(_xlpm.v, IFERROR(VLOOKUP($A1779, manifest!$A:$E, 5, FALSE), ""), IF(OR(_xlpm.v=0, _xlpm.v=""), "", _xlpm.v))</f>
        <v>male</v>
      </c>
    </row>
    <row r="1780" spans="1:9" x14ac:dyDescent="0.6">
      <c r="A1780">
        <v>388</v>
      </c>
      <c r="B1780" t="s">
        <v>7</v>
      </c>
      <c r="C1780" t="s">
        <v>11</v>
      </c>
      <c r="D1780">
        <v>195.42</v>
      </c>
      <c r="E1780">
        <v>120.81</v>
      </c>
      <c r="F1780">
        <v>30911</v>
      </c>
      <c r="H1780">
        <f>_xlfn.LET(_xlpm.v, IFERROR(VLOOKUP($A1780, manifest!$A:$E, 3, FALSE), ""), IF(OR(_xlpm.v=0, _xlpm.v=""), "", _xlpm.v))</f>
        <v>50</v>
      </c>
      <c r="I1780" t="str">
        <f>_xlfn.LET(_xlpm.v, IFERROR(VLOOKUP($A1780, manifest!$A:$E, 5, FALSE), ""), IF(OR(_xlpm.v=0, _xlpm.v=""), "", _xlpm.v))</f>
        <v>male</v>
      </c>
    </row>
    <row r="1781" spans="1:9" x14ac:dyDescent="0.6">
      <c r="A1781">
        <v>388</v>
      </c>
      <c r="B1781" t="s">
        <v>7</v>
      </c>
      <c r="C1781" t="s">
        <v>12</v>
      </c>
      <c r="D1781">
        <v>204.66</v>
      </c>
      <c r="E1781">
        <v>140.65</v>
      </c>
      <c r="F1781">
        <v>38167</v>
      </c>
      <c r="H1781">
        <f>_xlfn.LET(_xlpm.v, IFERROR(VLOOKUP($A1781, manifest!$A:$E, 3, FALSE), ""), IF(OR(_xlpm.v=0, _xlpm.v=""), "", _xlpm.v))</f>
        <v>50</v>
      </c>
      <c r="I1781" t="str">
        <f>_xlfn.LET(_xlpm.v, IFERROR(VLOOKUP($A1781, manifest!$A:$E, 5, FALSE), ""), IF(OR(_xlpm.v=0, _xlpm.v=""), "", _xlpm.v))</f>
        <v>male</v>
      </c>
    </row>
    <row r="1782" spans="1:9" x14ac:dyDescent="0.6">
      <c r="A1782">
        <v>388</v>
      </c>
      <c r="B1782" t="s">
        <v>7</v>
      </c>
      <c r="C1782" t="s">
        <v>13</v>
      </c>
      <c r="D1782">
        <v>203.72</v>
      </c>
      <c r="E1782">
        <v>133.94</v>
      </c>
      <c r="F1782">
        <v>42777</v>
      </c>
      <c r="H1782">
        <f>_xlfn.LET(_xlpm.v, IFERROR(VLOOKUP($A1782, manifest!$A:$E, 3, FALSE), ""), IF(OR(_xlpm.v=0, _xlpm.v=""), "", _xlpm.v))</f>
        <v>50</v>
      </c>
      <c r="I1782" t="str">
        <f>_xlfn.LET(_xlpm.v, IFERROR(VLOOKUP($A1782, manifest!$A:$E, 5, FALSE), ""), IF(OR(_xlpm.v=0, _xlpm.v=""), "", _xlpm.v))</f>
        <v>male</v>
      </c>
    </row>
    <row r="1783" spans="1:9" x14ac:dyDescent="0.6">
      <c r="A1783">
        <v>386</v>
      </c>
      <c r="B1783" t="s">
        <v>14</v>
      </c>
      <c r="C1783" t="s">
        <v>8</v>
      </c>
      <c r="D1783">
        <v>217.32</v>
      </c>
      <c r="E1783">
        <v>220.16</v>
      </c>
      <c r="F1783">
        <v>27705</v>
      </c>
      <c r="G1783" t="s">
        <v>9</v>
      </c>
      <c r="H1783">
        <f>_xlfn.LET(_xlpm.v, IFERROR(VLOOKUP($A1783, manifest!$A:$E, 3, FALSE), ""), IF(OR(_xlpm.v=0, _xlpm.v=""), "", _xlpm.v))</f>
        <v>56</v>
      </c>
      <c r="I1783" t="str">
        <f>_xlfn.LET(_xlpm.v, IFERROR(VLOOKUP($A1783, manifest!$A:$E, 5, FALSE), ""), IF(OR(_xlpm.v=0, _xlpm.v=""), "", _xlpm.v))</f>
        <v>female</v>
      </c>
    </row>
    <row r="1784" spans="1:9" x14ac:dyDescent="0.6">
      <c r="A1784">
        <v>386</v>
      </c>
      <c r="B1784" t="s">
        <v>14</v>
      </c>
      <c r="C1784" t="s">
        <v>10</v>
      </c>
      <c r="D1784">
        <v>231.59</v>
      </c>
      <c r="E1784">
        <v>236.1</v>
      </c>
      <c r="F1784">
        <v>30889</v>
      </c>
      <c r="H1784">
        <f>_xlfn.LET(_xlpm.v, IFERROR(VLOOKUP($A1784, manifest!$A:$E, 3, FALSE), ""), IF(OR(_xlpm.v=0, _xlpm.v=""), "", _xlpm.v))</f>
        <v>56</v>
      </c>
      <c r="I1784" t="str">
        <f>_xlfn.LET(_xlpm.v, IFERROR(VLOOKUP($A1784, manifest!$A:$E, 5, FALSE), ""), IF(OR(_xlpm.v=0, _xlpm.v=""), "", _xlpm.v))</f>
        <v>female</v>
      </c>
    </row>
    <row r="1785" spans="1:9" x14ac:dyDescent="0.6">
      <c r="A1785">
        <v>386</v>
      </c>
      <c r="B1785" t="s">
        <v>14</v>
      </c>
      <c r="C1785" t="s">
        <v>11</v>
      </c>
      <c r="D1785">
        <v>193.1</v>
      </c>
      <c r="E1785">
        <v>191.72</v>
      </c>
      <c r="F1785">
        <v>36625</v>
      </c>
      <c r="H1785">
        <f>_xlfn.LET(_xlpm.v, IFERROR(VLOOKUP($A1785, manifest!$A:$E, 3, FALSE), ""), IF(OR(_xlpm.v=0, _xlpm.v=""), "", _xlpm.v))</f>
        <v>56</v>
      </c>
      <c r="I1785" t="str">
        <f>_xlfn.LET(_xlpm.v, IFERROR(VLOOKUP($A1785, manifest!$A:$E, 5, FALSE), ""), IF(OR(_xlpm.v=0, _xlpm.v=""), "", _xlpm.v))</f>
        <v>female</v>
      </c>
    </row>
    <row r="1786" spans="1:9" x14ac:dyDescent="0.6">
      <c r="A1786">
        <v>386</v>
      </c>
      <c r="B1786" t="s">
        <v>14</v>
      </c>
      <c r="C1786" t="s">
        <v>12</v>
      </c>
      <c r="D1786">
        <v>178.34</v>
      </c>
      <c r="E1786">
        <v>174.91</v>
      </c>
      <c r="F1786">
        <v>41513</v>
      </c>
      <c r="H1786">
        <f>_xlfn.LET(_xlpm.v, IFERROR(VLOOKUP($A1786, manifest!$A:$E, 3, FALSE), ""), IF(OR(_xlpm.v=0, _xlpm.v=""), "", _xlpm.v))</f>
        <v>56</v>
      </c>
      <c r="I1786" t="str">
        <f>_xlfn.LET(_xlpm.v, IFERROR(VLOOKUP($A1786, manifest!$A:$E, 5, FALSE), ""), IF(OR(_xlpm.v=0, _xlpm.v=""), "", _xlpm.v))</f>
        <v>female</v>
      </c>
    </row>
    <row r="1787" spans="1:9" x14ac:dyDescent="0.6">
      <c r="A1787">
        <v>386</v>
      </c>
      <c r="B1787" t="s">
        <v>14</v>
      </c>
      <c r="C1787" t="s">
        <v>13</v>
      </c>
      <c r="D1787">
        <v>185.58</v>
      </c>
      <c r="E1787">
        <v>184.23</v>
      </c>
      <c r="F1787">
        <v>43733</v>
      </c>
      <c r="H1787">
        <f>_xlfn.LET(_xlpm.v, IFERROR(VLOOKUP($A1787, manifest!$A:$E, 3, FALSE), ""), IF(OR(_xlpm.v=0, _xlpm.v=""), "", _xlpm.v))</f>
        <v>56</v>
      </c>
      <c r="I1787" t="str">
        <f>_xlfn.LET(_xlpm.v, IFERROR(VLOOKUP($A1787, manifest!$A:$E, 5, FALSE), ""), IF(OR(_xlpm.v=0, _xlpm.v=""), "", _xlpm.v))</f>
        <v>female</v>
      </c>
    </row>
    <row r="1788" spans="1:9" x14ac:dyDescent="0.6">
      <c r="A1788">
        <v>384</v>
      </c>
      <c r="B1788" t="s">
        <v>14</v>
      </c>
      <c r="C1788" t="s">
        <v>8</v>
      </c>
      <c r="D1788">
        <v>113.02</v>
      </c>
      <c r="E1788">
        <v>102.59</v>
      </c>
      <c r="F1788">
        <v>33195</v>
      </c>
      <c r="G1788" t="s">
        <v>15</v>
      </c>
      <c r="H1788">
        <f>_xlfn.LET(_xlpm.v, IFERROR(VLOOKUP($A1788, manifest!$A:$E, 3, FALSE), ""), IF(OR(_xlpm.v=0, _xlpm.v=""), "", _xlpm.v))</f>
        <v>89</v>
      </c>
      <c r="I1788" t="str">
        <f>_xlfn.LET(_xlpm.v, IFERROR(VLOOKUP($A1788, manifest!$A:$E, 5, FALSE), ""), IF(OR(_xlpm.v=0, _xlpm.v=""), "", _xlpm.v))</f>
        <v>male</v>
      </c>
    </row>
    <row r="1789" spans="1:9" x14ac:dyDescent="0.6">
      <c r="A1789">
        <v>384</v>
      </c>
      <c r="B1789" t="s">
        <v>14</v>
      </c>
      <c r="C1789" t="s">
        <v>10</v>
      </c>
      <c r="D1789">
        <v>125.36</v>
      </c>
      <c r="E1789">
        <v>119.84</v>
      </c>
      <c r="F1789">
        <v>36397</v>
      </c>
      <c r="H1789">
        <f>_xlfn.LET(_xlpm.v, IFERROR(VLOOKUP($A1789, manifest!$A:$E, 3, FALSE), ""), IF(OR(_xlpm.v=0, _xlpm.v=""), "", _xlpm.v))</f>
        <v>89</v>
      </c>
      <c r="I1789" t="str">
        <f>_xlfn.LET(_xlpm.v, IFERROR(VLOOKUP($A1789, manifest!$A:$E, 5, FALSE), ""), IF(OR(_xlpm.v=0, _xlpm.v=""), "", _xlpm.v))</f>
        <v>male</v>
      </c>
    </row>
    <row r="1790" spans="1:9" x14ac:dyDescent="0.6">
      <c r="A1790">
        <v>384</v>
      </c>
      <c r="B1790" t="s">
        <v>14</v>
      </c>
      <c r="C1790" t="s">
        <v>11</v>
      </c>
      <c r="D1790">
        <v>117.37</v>
      </c>
      <c r="E1790">
        <v>119.63</v>
      </c>
      <c r="F1790">
        <v>45506</v>
      </c>
      <c r="H1790">
        <f>_xlfn.LET(_xlpm.v, IFERROR(VLOOKUP($A1790, manifest!$A:$E, 3, FALSE), ""), IF(OR(_xlpm.v=0, _xlpm.v=""), "", _xlpm.v))</f>
        <v>89</v>
      </c>
      <c r="I1790" t="str">
        <f>_xlfn.LET(_xlpm.v, IFERROR(VLOOKUP($A1790, manifest!$A:$E, 5, FALSE), ""), IF(OR(_xlpm.v=0, _xlpm.v=""), "", _xlpm.v))</f>
        <v>male</v>
      </c>
    </row>
    <row r="1791" spans="1:9" x14ac:dyDescent="0.6">
      <c r="A1791">
        <v>384</v>
      </c>
      <c r="B1791" t="s">
        <v>14</v>
      </c>
      <c r="C1791" t="s">
        <v>12</v>
      </c>
      <c r="D1791">
        <v>117.68</v>
      </c>
      <c r="E1791">
        <v>111.3</v>
      </c>
      <c r="F1791">
        <v>54225</v>
      </c>
      <c r="H1791">
        <f>_xlfn.LET(_xlpm.v, IFERROR(VLOOKUP($A1791, manifest!$A:$E, 3, FALSE), ""), IF(OR(_xlpm.v=0, _xlpm.v=""), "", _xlpm.v))</f>
        <v>89</v>
      </c>
      <c r="I1791" t="str">
        <f>_xlfn.LET(_xlpm.v, IFERROR(VLOOKUP($A1791, manifest!$A:$E, 5, FALSE), ""), IF(OR(_xlpm.v=0, _xlpm.v=""), "", _xlpm.v))</f>
        <v>male</v>
      </c>
    </row>
    <row r="1792" spans="1:9" x14ac:dyDescent="0.6">
      <c r="A1792">
        <v>384</v>
      </c>
      <c r="B1792" t="s">
        <v>14</v>
      </c>
      <c r="C1792" t="s">
        <v>13</v>
      </c>
      <c r="D1792">
        <v>116.14</v>
      </c>
      <c r="E1792">
        <v>122.57</v>
      </c>
      <c r="F1792">
        <v>60362</v>
      </c>
      <c r="H1792">
        <f>_xlfn.LET(_xlpm.v, IFERROR(VLOOKUP($A1792, manifest!$A:$E, 3, FALSE), ""), IF(OR(_xlpm.v=0, _xlpm.v=""), "", _xlpm.v))</f>
        <v>89</v>
      </c>
      <c r="I1792" t="str">
        <f>_xlfn.LET(_xlpm.v, IFERROR(VLOOKUP($A1792, manifest!$A:$E, 5, FALSE), ""), IF(OR(_xlpm.v=0, _xlpm.v=""), "", _xlpm.v))</f>
        <v>male</v>
      </c>
    </row>
    <row r="1793" spans="1:9" x14ac:dyDescent="0.6">
      <c r="A1793">
        <v>385</v>
      </c>
      <c r="B1793" t="s">
        <v>7</v>
      </c>
      <c r="C1793" t="s">
        <v>8</v>
      </c>
      <c r="D1793">
        <v>228.61</v>
      </c>
      <c r="E1793">
        <v>151.71</v>
      </c>
      <c r="F1793">
        <v>52981</v>
      </c>
      <c r="G1793" t="s">
        <v>9</v>
      </c>
      <c r="H1793">
        <f>_xlfn.LET(_xlpm.v, IFERROR(VLOOKUP($A1793, manifest!$A:$E, 3, FALSE), ""), IF(OR(_xlpm.v=0, _xlpm.v=""), "", _xlpm.v))</f>
        <v>64</v>
      </c>
      <c r="I1793" t="str">
        <f>_xlfn.LET(_xlpm.v, IFERROR(VLOOKUP($A1793, manifest!$A:$E, 5, FALSE), ""), IF(OR(_xlpm.v=0, _xlpm.v=""), "", _xlpm.v))</f>
        <v>male</v>
      </c>
    </row>
    <row r="1794" spans="1:9" x14ac:dyDescent="0.6">
      <c r="A1794">
        <v>385</v>
      </c>
      <c r="B1794" t="s">
        <v>7</v>
      </c>
      <c r="C1794" t="s">
        <v>10</v>
      </c>
      <c r="D1794">
        <v>209.84</v>
      </c>
      <c r="E1794">
        <v>123.08</v>
      </c>
      <c r="F1794">
        <v>62638</v>
      </c>
      <c r="H1794">
        <f>_xlfn.LET(_xlpm.v, IFERROR(VLOOKUP($A1794, manifest!$A:$E, 3, FALSE), ""), IF(OR(_xlpm.v=0, _xlpm.v=""), "", _xlpm.v))</f>
        <v>64</v>
      </c>
      <c r="I1794" t="str">
        <f>_xlfn.LET(_xlpm.v, IFERROR(VLOOKUP($A1794, manifest!$A:$E, 5, FALSE), ""), IF(OR(_xlpm.v=0, _xlpm.v=""), "", _xlpm.v))</f>
        <v>male</v>
      </c>
    </row>
    <row r="1795" spans="1:9" x14ac:dyDescent="0.6">
      <c r="A1795">
        <v>385</v>
      </c>
      <c r="B1795" t="s">
        <v>7</v>
      </c>
      <c r="C1795" t="s">
        <v>11</v>
      </c>
      <c r="D1795">
        <v>255.66</v>
      </c>
      <c r="E1795">
        <v>183.39</v>
      </c>
      <c r="F1795">
        <v>54536</v>
      </c>
      <c r="H1795">
        <f>_xlfn.LET(_xlpm.v, IFERROR(VLOOKUP($A1795, manifest!$A:$E, 3, FALSE), ""), IF(OR(_xlpm.v=0, _xlpm.v=""), "", _xlpm.v))</f>
        <v>64</v>
      </c>
      <c r="I1795" t="str">
        <f>_xlfn.LET(_xlpm.v, IFERROR(VLOOKUP($A1795, manifest!$A:$E, 5, FALSE), ""), IF(OR(_xlpm.v=0, _xlpm.v=""), "", _xlpm.v))</f>
        <v>male</v>
      </c>
    </row>
    <row r="1796" spans="1:9" x14ac:dyDescent="0.6">
      <c r="A1796">
        <v>385</v>
      </c>
      <c r="B1796" t="s">
        <v>7</v>
      </c>
      <c r="C1796" t="s">
        <v>12</v>
      </c>
      <c r="D1796">
        <v>279.36</v>
      </c>
      <c r="E1796">
        <v>198.56</v>
      </c>
      <c r="F1796">
        <v>63926</v>
      </c>
      <c r="H1796">
        <f>_xlfn.LET(_xlpm.v, IFERROR(VLOOKUP($A1796, manifest!$A:$E, 3, FALSE), ""), IF(OR(_xlpm.v=0, _xlpm.v=""), "", _xlpm.v))</f>
        <v>64</v>
      </c>
      <c r="I1796" t="str">
        <f>_xlfn.LET(_xlpm.v, IFERROR(VLOOKUP($A1796, manifest!$A:$E, 5, FALSE), ""), IF(OR(_xlpm.v=0, _xlpm.v=""), "", _xlpm.v))</f>
        <v>male</v>
      </c>
    </row>
    <row r="1797" spans="1:9" x14ac:dyDescent="0.6">
      <c r="A1797">
        <v>385</v>
      </c>
      <c r="B1797" t="s">
        <v>7</v>
      </c>
      <c r="C1797" t="s">
        <v>13</v>
      </c>
      <c r="D1797">
        <v>290.27</v>
      </c>
      <c r="E1797">
        <v>175.31</v>
      </c>
      <c r="F1797">
        <v>68036</v>
      </c>
      <c r="H1797">
        <f>_xlfn.LET(_xlpm.v, IFERROR(VLOOKUP($A1797, manifest!$A:$E, 3, FALSE), ""), IF(OR(_xlpm.v=0, _xlpm.v=""), "", _xlpm.v))</f>
        <v>64</v>
      </c>
      <c r="I1797" t="str">
        <f>_xlfn.LET(_xlpm.v, IFERROR(VLOOKUP($A1797, manifest!$A:$E, 5, FALSE), ""), IF(OR(_xlpm.v=0, _xlpm.v=""), "", _xlpm.v))</f>
        <v>male</v>
      </c>
    </row>
    <row r="1798" spans="1:9" x14ac:dyDescent="0.6">
      <c r="A1798">
        <v>378</v>
      </c>
      <c r="B1798" t="s">
        <v>14</v>
      </c>
      <c r="C1798" t="s">
        <v>8</v>
      </c>
      <c r="D1798">
        <v>311.94</v>
      </c>
      <c r="E1798">
        <v>167.41</v>
      </c>
      <c r="F1798">
        <v>21845</v>
      </c>
      <c r="G1798" t="s">
        <v>9</v>
      </c>
      <c r="H1798">
        <f>_xlfn.LET(_xlpm.v, IFERROR(VLOOKUP($A1798, manifest!$A:$E, 3, FALSE), ""), IF(OR(_xlpm.v=0, _xlpm.v=""), "", _xlpm.v))</f>
        <v>54</v>
      </c>
      <c r="I1798" t="str">
        <f>_xlfn.LET(_xlpm.v, IFERROR(VLOOKUP($A1798, manifest!$A:$E, 5, FALSE), ""), IF(OR(_xlpm.v=0, _xlpm.v=""), "", _xlpm.v))</f>
        <v>male</v>
      </c>
    </row>
    <row r="1799" spans="1:9" x14ac:dyDescent="0.6">
      <c r="A1799">
        <v>378</v>
      </c>
      <c r="B1799" t="s">
        <v>14</v>
      </c>
      <c r="C1799" t="s">
        <v>10</v>
      </c>
      <c r="D1799">
        <v>313.86</v>
      </c>
      <c r="E1799">
        <v>199.16</v>
      </c>
      <c r="F1799">
        <v>23629</v>
      </c>
      <c r="H1799">
        <f>_xlfn.LET(_xlpm.v, IFERROR(VLOOKUP($A1799, manifest!$A:$E, 3, FALSE), ""), IF(OR(_xlpm.v=0, _xlpm.v=""), "", _xlpm.v))</f>
        <v>54</v>
      </c>
      <c r="I1799" t="str">
        <f>_xlfn.LET(_xlpm.v, IFERROR(VLOOKUP($A1799, manifest!$A:$E, 5, FALSE), ""), IF(OR(_xlpm.v=0, _xlpm.v=""), "", _xlpm.v))</f>
        <v>male</v>
      </c>
    </row>
    <row r="1800" spans="1:9" x14ac:dyDescent="0.6">
      <c r="A1800">
        <v>378</v>
      </c>
      <c r="B1800" t="s">
        <v>14</v>
      </c>
      <c r="C1800" t="s">
        <v>11</v>
      </c>
      <c r="D1800">
        <v>308.23</v>
      </c>
      <c r="E1800">
        <v>200.17</v>
      </c>
      <c r="F1800">
        <v>27839</v>
      </c>
      <c r="H1800">
        <f>_xlfn.LET(_xlpm.v, IFERROR(VLOOKUP($A1800, manifest!$A:$E, 3, FALSE), ""), IF(OR(_xlpm.v=0, _xlpm.v=""), "", _xlpm.v))</f>
        <v>54</v>
      </c>
      <c r="I1800" t="str">
        <f>_xlfn.LET(_xlpm.v, IFERROR(VLOOKUP($A1800, manifest!$A:$E, 5, FALSE), ""), IF(OR(_xlpm.v=0, _xlpm.v=""), "", _xlpm.v))</f>
        <v>male</v>
      </c>
    </row>
    <row r="1801" spans="1:9" x14ac:dyDescent="0.6">
      <c r="A1801">
        <v>378</v>
      </c>
      <c r="B1801" t="s">
        <v>14</v>
      </c>
      <c r="C1801" t="s">
        <v>12</v>
      </c>
      <c r="D1801">
        <v>317.83</v>
      </c>
      <c r="E1801">
        <v>212.15</v>
      </c>
      <c r="F1801">
        <v>32875</v>
      </c>
      <c r="H1801">
        <f>_xlfn.LET(_xlpm.v, IFERROR(VLOOKUP($A1801, manifest!$A:$E, 3, FALSE), ""), IF(OR(_xlpm.v=0, _xlpm.v=""), "", _xlpm.v))</f>
        <v>54</v>
      </c>
      <c r="I1801" t="str">
        <f>_xlfn.LET(_xlpm.v, IFERROR(VLOOKUP($A1801, manifest!$A:$E, 5, FALSE), ""), IF(OR(_xlpm.v=0, _xlpm.v=""), "", _xlpm.v))</f>
        <v>male</v>
      </c>
    </row>
    <row r="1802" spans="1:9" x14ac:dyDescent="0.6">
      <c r="A1802">
        <v>378</v>
      </c>
      <c r="B1802" t="s">
        <v>14</v>
      </c>
      <c r="C1802" t="s">
        <v>13</v>
      </c>
      <c r="D1802">
        <v>302.76</v>
      </c>
      <c r="E1802">
        <v>175.89</v>
      </c>
      <c r="F1802">
        <v>33686</v>
      </c>
      <c r="H1802">
        <f>_xlfn.LET(_xlpm.v, IFERROR(VLOOKUP($A1802, manifest!$A:$E, 3, FALSE), ""), IF(OR(_xlpm.v=0, _xlpm.v=""), "", _xlpm.v))</f>
        <v>54</v>
      </c>
      <c r="I1802" t="str">
        <f>_xlfn.LET(_xlpm.v, IFERROR(VLOOKUP($A1802, manifest!$A:$E, 5, FALSE), ""), IF(OR(_xlpm.v=0, _xlpm.v=""), "", _xlpm.v))</f>
        <v>male</v>
      </c>
    </row>
    <row r="1803" spans="1:9" x14ac:dyDescent="0.6">
      <c r="A1803">
        <v>370</v>
      </c>
      <c r="B1803" t="s">
        <v>7</v>
      </c>
      <c r="C1803" t="s">
        <v>8</v>
      </c>
      <c r="D1803">
        <v>252.45</v>
      </c>
      <c r="E1803">
        <v>194.21</v>
      </c>
      <c r="F1803">
        <v>40338</v>
      </c>
      <c r="G1803" t="s">
        <v>9</v>
      </c>
      <c r="H1803">
        <f>_xlfn.LET(_xlpm.v, IFERROR(VLOOKUP($A1803, manifest!$A:$E, 3, FALSE), ""), IF(OR(_xlpm.v=0, _xlpm.v=""), "", _xlpm.v))</f>
        <v>50</v>
      </c>
      <c r="I1803" t="str">
        <f>_xlfn.LET(_xlpm.v, IFERROR(VLOOKUP($A1803, manifest!$A:$E, 5, FALSE), ""), IF(OR(_xlpm.v=0, _xlpm.v=""), "", _xlpm.v))</f>
        <v>male</v>
      </c>
    </row>
    <row r="1804" spans="1:9" x14ac:dyDescent="0.6">
      <c r="A1804">
        <v>370</v>
      </c>
      <c r="B1804" t="s">
        <v>7</v>
      </c>
      <c r="C1804" t="s">
        <v>10</v>
      </c>
      <c r="D1804">
        <v>265.73</v>
      </c>
      <c r="E1804">
        <v>251.78</v>
      </c>
      <c r="F1804">
        <v>42712</v>
      </c>
      <c r="H1804">
        <f>_xlfn.LET(_xlpm.v, IFERROR(VLOOKUP($A1804, manifest!$A:$E, 3, FALSE), ""), IF(OR(_xlpm.v=0, _xlpm.v=""), "", _xlpm.v))</f>
        <v>50</v>
      </c>
      <c r="I1804" t="str">
        <f>_xlfn.LET(_xlpm.v, IFERROR(VLOOKUP($A1804, manifest!$A:$E, 5, FALSE), ""), IF(OR(_xlpm.v=0, _xlpm.v=""), "", _xlpm.v))</f>
        <v>male</v>
      </c>
    </row>
    <row r="1805" spans="1:9" x14ac:dyDescent="0.6">
      <c r="A1805">
        <v>370</v>
      </c>
      <c r="B1805" t="s">
        <v>7</v>
      </c>
      <c r="C1805" t="s">
        <v>11</v>
      </c>
      <c r="D1805">
        <v>232.89</v>
      </c>
      <c r="E1805">
        <v>223.58</v>
      </c>
      <c r="F1805">
        <v>52790</v>
      </c>
      <c r="H1805">
        <f>_xlfn.LET(_xlpm.v, IFERROR(VLOOKUP($A1805, manifest!$A:$E, 3, FALSE), ""), IF(OR(_xlpm.v=0, _xlpm.v=""), "", _xlpm.v))</f>
        <v>50</v>
      </c>
      <c r="I1805" t="str">
        <f>_xlfn.LET(_xlpm.v, IFERROR(VLOOKUP($A1805, manifest!$A:$E, 5, FALSE), ""), IF(OR(_xlpm.v=0, _xlpm.v=""), "", _xlpm.v))</f>
        <v>male</v>
      </c>
    </row>
    <row r="1806" spans="1:9" x14ac:dyDescent="0.6">
      <c r="A1806">
        <v>370</v>
      </c>
      <c r="B1806" t="s">
        <v>7</v>
      </c>
      <c r="C1806" t="s">
        <v>12</v>
      </c>
      <c r="D1806">
        <v>231.57</v>
      </c>
      <c r="E1806">
        <v>223.47</v>
      </c>
      <c r="F1806">
        <v>63311</v>
      </c>
      <c r="H1806">
        <f>_xlfn.LET(_xlpm.v, IFERROR(VLOOKUP($A1806, manifest!$A:$E, 3, FALSE), ""), IF(OR(_xlpm.v=0, _xlpm.v=""), "", _xlpm.v))</f>
        <v>50</v>
      </c>
      <c r="I1806" t="str">
        <f>_xlfn.LET(_xlpm.v, IFERROR(VLOOKUP($A1806, manifest!$A:$E, 5, FALSE), ""), IF(OR(_xlpm.v=0, _xlpm.v=""), "", _xlpm.v))</f>
        <v>male</v>
      </c>
    </row>
    <row r="1807" spans="1:9" x14ac:dyDescent="0.6">
      <c r="A1807">
        <v>370</v>
      </c>
      <c r="B1807" t="s">
        <v>7</v>
      </c>
      <c r="C1807" t="s">
        <v>13</v>
      </c>
      <c r="D1807">
        <v>233.84</v>
      </c>
      <c r="E1807">
        <v>232.57</v>
      </c>
      <c r="F1807">
        <v>69403</v>
      </c>
      <c r="H1807">
        <f>_xlfn.LET(_xlpm.v, IFERROR(VLOOKUP($A1807, manifest!$A:$E, 3, FALSE), ""), IF(OR(_xlpm.v=0, _xlpm.v=""), "", _xlpm.v))</f>
        <v>50</v>
      </c>
      <c r="I1807" t="str">
        <f>_xlfn.LET(_xlpm.v, IFERROR(VLOOKUP($A1807, manifest!$A:$E, 5, FALSE), ""), IF(OR(_xlpm.v=0, _xlpm.v=""), "", _xlpm.v))</f>
        <v>male</v>
      </c>
    </row>
    <row r="1808" spans="1:9" x14ac:dyDescent="0.6">
      <c r="A1808">
        <v>364</v>
      </c>
      <c r="B1808" t="s">
        <v>14</v>
      </c>
      <c r="C1808" t="s">
        <v>8</v>
      </c>
      <c r="D1808">
        <v>186.53</v>
      </c>
      <c r="E1808">
        <v>154.35</v>
      </c>
      <c r="F1808">
        <v>28619</v>
      </c>
      <c r="G1808" t="s">
        <v>9</v>
      </c>
      <c r="H1808">
        <f>_xlfn.LET(_xlpm.v, IFERROR(VLOOKUP($A1808, manifest!$A:$E, 3, FALSE), ""), IF(OR(_xlpm.v=0, _xlpm.v=""), "", _xlpm.v))</f>
        <v>72</v>
      </c>
      <c r="I1808" t="str">
        <f>_xlfn.LET(_xlpm.v, IFERROR(VLOOKUP($A1808, manifest!$A:$E, 5, FALSE), ""), IF(OR(_xlpm.v=0, _xlpm.v=""), "", _xlpm.v))</f>
        <v>female</v>
      </c>
    </row>
    <row r="1809" spans="1:9" x14ac:dyDescent="0.6">
      <c r="A1809">
        <v>364</v>
      </c>
      <c r="B1809" t="s">
        <v>14</v>
      </c>
      <c r="C1809" t="s">
        <v>10</v>
      </c>
      <c r="D1809">
        <v>206.1</v>
      </c>
      <c r="E1809">
        <v>202.93</v>
      </c>
      <c r="F1809">
        <v>29678</v>
      </c>
      <c r="H1809">
        <f>_xlfn.LET(_xlpm.v, IFERROR(VLOOKUP($A1809, manifest!$A:$E, 3, FALSE), ""), IF(OR(_xlpm.v=0, _xlpm.v=""), "", _xlpm.v))</f>
        <v>72</v>
      </c>
      <c r="I1809" t="str">
        <f>_xlfn.LET(_xlpm.v, IFERROR(VLOOKUP($A1809, manifest!$A:$E, 5, FALSE), ""), IF(OR(_xlpm.v=0, _xlpm.v=""), "", _xlpm.v))</f>
        <v>female</v>
      </c>
    </row>
    <row r="1810" spans="1:9" x14ac:dyDescent="0.6">
      <c r="A1810">
        <v>364</v>
      </c>
      <c r="B1810" t="s">
        <v>14</v>
      </c>
      <c r="C1810" t="s">
        <v>11</v>
      </c>
      <c r="D1810">
        <v>395.26</v>
      </c>
      <c r="E1810">
        <v>261.02999999999997</v>
      </c>
      <c r="F1810">
        <v>32720</v>
      </c>
      <c r="H1810">
        <f>_xlfn.LET(_xlpm.v, IFERROR(VLOOKUP($A1810, manifest!$A:$E, 3, FALSE), ""), IF(OR(_xlpm.v=0, _xlpm.v=""), "", _xlpm.v))</f>
        <v>72</v>
      </c>
      <c r="I1810" t="str">
        <f>_xlfn.LET(_xlpm.v, IFERROR(VLOOKUP($A1810, manifest!$A:$E, 5, FALSE), ""), IF(OR(_xlpm.v=0, _xlpm.v=""), "", _xlpm.v))</f>
        <v>female</v>
      </c>
    </row>
    <row r="1811" spans="1:9" x14ac:dyDescent="0.6">
      <c r="A1811">
        <v>364</v>
      </c>
      <c r="B1811" t="s">
        <v>14</v>
      </c>
      <c r="C1811" t="s">
        <v>12</v>
      </c>
      <c r="D1811">
        <v>276.47000000000003</v>
      </c>
      <c r="E1811">
        <v>202.3</v>
      </c>
      <c r="F1811">
        <v>34574</v>
      </c>
      <c r="H1811">
        <f>_xlfn.LET(_xlpm.v, IFERROR(VLOOKUP($A1811, manifest!$A:$E, 3, FALSE), ""), IF(OR(_xlpm.v=0, _xlpm.v=""), "", _xlpm.v))</f>
        <v>72</v>
      </c>
      <c r="I1811" t="str">
        <f>_xlfn.LET(_xlpm.v, IFERROR(VLOOKUP($A1811, manifest!$A:$E, 5, FALSE), ""), IF(OR(_xlpm.v=0, _xlpm.v=""), "", _xlpm.v))</f>
        <v>female</v>
      </c>
    </row>
    <row r="1812" spans="1:9" x14ac:dyDescent="0.6">
      <c r="A1812">
        <v>364</v>
      </c>
      <c r="B1812" t="s">
        <v>14</v>
      </c>
      <c r="C1812" t="s">
        <v>13</v>
      </c>
      <c r="D1812">
        <v>229.12</v>
      </c>
      <c r="E1812">
        <v>191.19</v>
      </c>
      <c r="F1812">
        <v>48802</v>
      </c>
      <c r="H1812">
        <f>_xlfn.LET(_xlpm.v, IFERROR(VLOOKUP($A1812, manifest!$A:$E, 3, FALSE), ""), IF(OR(_xlpm.v=0, _xlpm.v=""), "", _xlpm.v))</f>
        <v>72</v>
      </c>
      <c r="I1812" t="str">
        <f>_xlfn.LET(_xlpm.v, IFERROR(VLOOKUP($A1812, manifest!$A:$E, 5, FALSE), ""), IF(OR(_xlpm.v=0, _xlpm.v=""), "", _xlpm.v))</f>
        <v>female</v>
      </c>
    </row>
    <row r="1813" spans="1:9" x14ac:dyDescent="0.6">
      <c r="A1813">
        <v>395</v>
      </c>
      <c r="B1813" t="s">
        <v>14</v>
      </c>
      <c r="C1813" t="s">
        <v>8</v>
      </c>
      <c r="D1813">
        <v>214.17</v>
      </c>
      <c r="E1813">
        <v>159.75</v>
      </c>
      <c r="F1813">
        <v>34826</v>
      </c>
      <c r="G1813" t="s">
        <v>9</v>
      </c>
      <c r="H1813">
        <f>_xlfn.LET(_xlpm.v, IFERROR(VLOOKUP($A1813, manifest!$A:$E, 3, FALSE), ""), IF(OR(_xlpm.v=0, _xlpm.v=""), "", _xlpm.v))</f>
        <v>55</v>
      </c>
      <c r="I1813" t="str">
        <f>_xlfn.LET(_xlpm.v, IFERROR(VLOOKUP($A1813, manifest!$A:$E, 5, FALSE), ""), IF(OR(_xlpm.v=0, _xlpm.v=""), "", _xlpm.v))</f>
        <v>female</v>
      </c>
    </row>
    <row r="1814" spans="1:9" x14ac:dyDescent="0.6">
      <c r="A1814">
        <v>395</v>
      </c>
      <c r="B1814" t="s">
        <v>14</v>
      </c>
      <c r="C1814" t="s">
        <v>10</v>
      </c>
      <c r="D1814">
        <v>207.8</v>
      </c>
      <c r="E1814">
        <v>159.06</v>
      </c>
      <c r="F1814">
        <v>39759</v>
      </c>
      <c r="H1814">
        <f>_xlfn.LET(_xlpm.v, IFERROR(VLOOKUP($A1814, manifest!$A:$E, 3, FALSE), ""), IF(OR(_xlpm.v=0, _xlpm.v=""), "", _xlpm.v))</f>
        <v>55</v>
      </c>
      <c r="I1814" t="str">
        <f>_xlfn.LET(_xlpm.v, IFERROR(VLOOKUP($A1814, manifest!$A:$E, 5, FALSE), ""), IF(OR(_xlpm.v=0, _xlpm.v=""), "", _xlpm.v))</f>
        <v>female</v>
      </c>
    </row>
    <row r="1815" spans="1:9" x14ac:dyDescent="0.6">
      <c r="A1815">
        <v>395</v>
      </c>
      <c r="B1815" t="s">
        <v>14</v>
      </c>
      <c r="C1815" t="s">
        <v>11</v>
      </c>
      <c r="D1815">
        <v>208.38</v>
      </c>
      <c r="E1815">
        <v>165.64</v>
      </c>
      <c r="F1815">
        <v>43804</v>
      </c>
      <c r="H1815">
        <f>_xlfn.LET(_xlpm.v, IFERROR(VLOOKUP($A1815, manifest!$A:$E, 3, FALSE), ""), IF(OR(_xlpm.v=0, _xlpm.v=""), "", _xlpm.v))</f>
        <v>55</v>
      </c>
      <c r="I1815" t="str">
        <f>_xlfn.LET(_xlpm.v, IFERROR(VLOOKUP($A1815, manifest!$A:$E, 5, FALSE), ""), IF(OR(_xlpm.v=0, _xlpm.v=""), "", _xlpm.v))</f>
        <v>female</v>
      </c>
    </row>
    <row r="1816" spans="1:9" x14ac:dyDescent="0.6">
      <c r="A1816">
        <v>395</v>
      </c>
      <c r="B1816" t="s">
        <v>14</v>
      </c>
      <c r="C1816" t="s">
        <v>12</v>
      </c>
      <c r="D1816">
        <v>204.28</v>
      </c>
      <c r="E1816">
        <v>150.91999999999999</v>
      </c>
      <c r="F1816">
        <v>43242</v>
      </c>
      <c r="H1816">
        <f>_xlfn.LET(_xlpm.v, IFERROR(VLOOKUP($A1816, manifest!$A:$E, 3, FALSE), ""), IF(OR(_xlpm.v=0, _xlpm.v=""), "", _xlpm.v))</f>
        <v>55</v>
      </c>
      <c r="I1816" t="str">
        <f>_xlfn.LET(_xlpm.v, IFERROR(VLOOKUP($A1816, manifest!$A:$E, 5, FALSE), ""), IF(OR(_xlpm.v=0, _xlpm.v=""), "", _xlpm.v))</f>
        <v>female</v>
      </c>
    </row>
    <row r="1817" spans="1:9" x14ac:dyDescent="0.6">
      <c r="A1817">
        <v>395</v>
      </c>
      <c r="B1817" t="s">
        <v>14</v>
      </c>
      <c r="C1817" t="s">
        <v>13</v>
      </c>
      <c r="D1817">
        <v>206.58</v>
      </c>
      <c r="E1817">
        <v>159.47</v>
      </c>
      <c r="F1817">
        <v>65537</v>
      </c>
      <c r="H1817">
        <f>_xlfn.LET(_xlpm.v, IFERROR(VLOOKUP($A1817, manifest!$A:$E, 3, FALSE), ""), IF(OR(_xlpm.v=0, _xlpm.v=""), "", _xlpm.v))</f>
        <v>55</v>
      </c>
      <c r="I1817" t="str">
        <f>_xlfn.LET(_xlpm.v, IFERROR(VLOOKUP($A1817, manifest!$A:$E, 5, FALSE), ""), IF(OR(_xlpm.v=0, _xlpm.v=""), "", _xlpm.v))</f>
        <v>female</v>
      </c>
    </row>
    <row r="1818" spans="1:9" x14ac:dyDescent="0.6">
      <c r="A1818">
        <v>392</v>
      </c>
      <c r="B1818" t="s">
        <v>14</v>
      </c>
      <c r="C1818" t="s">
        <v>8</v>
      </c>
      <c r="D1818">
        <v>128.88999999999999</v>
      </c>
      <c r="E1818">
        <v>99.94</v>
      </c>
      <c r="F1818">
        <v>45312</v>
      </c>
      <c r="G1818" t="s">
        <v>15</v>
      </c>
      <c r="H1818">
        <f>_xlfn.LET(_xlpm.v, IFERROR(VLOOKUP($A1818, manifest!$A:$E, 3, FALSE), ""), IF(OR(_xlpm.v=0, _xlpm.v=""), "", _xlpm.v))</f>
        <v>59</v>
      </c>
      <c r="I1818" t="str">
        <f>_xlfn.LET(_xlpm.v, IFERROR(VLOOKUP($A1818, manifest!$A:$E, 5, FALSE), ""), IF(OR(_xlpm.v=0, _xlpm.v=""), "", _xlpm.v))</f>
        <v>male</v>
      </c>
    </row>
    <row r="1819" spans="1:9" x14ac:dyDescent="0.6">
      <c r="A1819">
        <v>392</v>
      </c>
      <c r="B1819" t="s">
        <v>14</v>
      </c>
      <c r="C1819" t="s">
        <v>10</v>
      </c>
      <c r="D1819">
        <v>130.29</v>
      </c>
      <c r="E1819">
        <v>104.93</v>
      </c>
      <c r="F1819">
        <v>55487</v>
      </c>
      <c r="H1819">
        <f>_xlfn.LET(_xlpm.v, IFERROR(VLOOKUP($A1819, manifest!$A:$E, 3, FALSE), ""), IF(OR(_xlpm.v=0, _xlpm.v=""), "", _xlpm.v))</f>
        <v>59</v>
      </c>
      <c r="I1819" t="str">
        <f>_xlfn.LET(_xlpm.v, IFERROR(VLOOKUP($A1819, manifest!$A:$E, 5, FALSE), ""), IF(OR(_xlpm.v=0, _xlpm.v=""), "", _xlpm.v))</f>
        <v>male</v>
      </c>
    </row>
    <row r="1820" spans="1:9" x14ac:dyDescent="0.6">
      <c r="A1820">
        <v>392</v>
      </c>
      <c r="B1820" t="s">
        <v>14</v>
      </c>
      <c r="C1820" t="s">
        <v>11</v>
      </c>
      <c r="D1820">
        <v>146.47</v>
      </c>
      <c r="E1820">
        <v>136.02000000000001</v>
      </c>
      <c r="F1820">
        <v>49869</v>
      </c>
      <c r="H1820">
        <f>_xlfn.LET(_xlpm.v, IFERROR(VLOOKUP($A1820, manifest!$A:$E, 3, FALSE), ""), IF(OR(_xlpm.v=0, _xlpm.v=""), "", _xlpm.v))</f>
        <v>59</v>
      </c>
      <c r="I1820" t="str">
        <f>_xlfn.LET(_xlpm.v, IFERROR(VLOOKUP($A1820, manifest!$A:$E, 5, FALSE), ""), IF(OR(_xlpm.v=0, _xlpm.v=""), "", _xlpm.v))</f>
        <v>male</v>
      </c>
    </row>
    <row r="1821" spans="1:9" x14ac:dyDescent="0.6">
      <c r="A1821">
        <v>392</v>
      </c>
      <c r="B1821" t="s">
        <v>14</v>
      </c>
      <c r="C1821" t="s">
        <v>12</v>
      </c>
      <c r="D1821">
        <v>140.51</v>
      </c>
      <c r="E1821">
        <v>134.93</v>
      </c>
      <c r="F1821">
        <v>61958</v>
      </c>
      <c r="H1821">
        <f>_xlfn.LET(_xlpm.v, IFERROR(VLOOKUP($A1821, manifest!$A:$E, 3, FALSE), ""), IF(OR(_xlpm.v=0, _xlpm.v=""), "", _xlpm.v))</f>
        <v>59</v>
      </c>
      <c r="I1821" t="str">
        <f>_xlfn.LET(_xlpm.v, IFERROR(VLOOKUP($A1821, manifest!$A:$E, 5, FALSE), ""), IF(OR(_xlpm.v=0, _xlpm.v=""), "", _xlpm.v))</f>
        <v>male</v>
      </c>
    </row>
    <row r="1822" spans="1:9" x14ac:dyDescent="0.6">
      <c r="A1822">
        <v>392</v>
      </c>
      <c r="B1822" t="s">
        <v>14</v>
      </c>
      <c r="C1822" t="s">
        <v>13</v>
      </c>
      <c r="D1822">
        <v>128.88</v>
      </c>
      <c r="E1822">
        <v>113.11</v>
      </c>
      <c r="F1822">
        <v>69701</v>
      </c>
      <c r="H1822">
        <f>_xlfn.LET(_xlpm.v, IFERROR(VLOOKUP($A1822, manifest!$A:$E, 3, FALSE), ""), IF(OR(_xlpm.v=0, _xlpm.v=""), "", _xlpm.v))</f>
        <v>59</v>
      </c>
      <c r="I1822" t="str">
        <f>_xlfn.LET(_xlpm.v, IFERROR(VLOOKUP($A1822, manifest!$A:$E, 5, FALSE), ""), IF(OR(_xlpm.v=0, _xlpm.v=""), "", _xlpm.v))</f>
        <v>male</v>
      </c>
    </row>
    <row r="1823" spans="1:9" x14ac:dyDescent="0.6">
      <c r="A1823">
        <v>387</v>
      </c>
      <c r="B1823" t="s">
        <v>14</v>
      </c>
      <c r="C1823" t="s">
        <v>8</v>
      </c>
      <c r="D1823">
        <v>395.29</v>
      </c>
      <c r="E1823">
        <v>215.3</v>
      </c>
      <c r="F1823">
        <v>22417</v>
      </c>
      <c r="G1823" t="s">
        <v>9</v>
      </c>
      <c r="H1823">
        <f>_xlfn.LET(_xlpm.v, IFERROR(VLOOKUP($A1823, manifest!$A:$E, 3, FALSE), ""), IF(OR(_xlpm.v=0, _xlpm.v=""), "", _xlpm.v))</f>
        <v>55</v>
      </c>
      <c r="I1823" t="str">
        <f>_xlfn.LET(_xlpm.v, IFERROR(VLOOKUP($A1823, manifest!$A:$E, 5, FALSE), ""), IF(OR(_xlpm.v=0, _xlpm.v=""), "", _xlpm.v))</f>
        <v>female</v>
      </c>
    </row>
    <row r="1824" spans="1:9" x14ac:dyDescent="0.6">
      <c r="A1824">
        <v>387</v>
      </c>
      <c r="B1824" t="s">
        <v>14</v>
      </c>
      <c r="C1824" t="s">
        <v>10</v>
      </c>
      <c r="D1824">
        <v>404.66</v>
      </c>
      <c r="E1824">
        <v>232.66</v>
      </c>
      <c r="F1824">
        <v>23185</v>
      </c>
      <c r="H1824">
        <f>_xlfn.LET(_xlpm.v, IFERROR(VLOOKUP($A1824, manifest!$A:$E, 3, FALSE), ""), IF(OR(_xlpm.v=0, _xlpm.v=""), "", _xlpm.v))</f>
        <v>55</v>
      </c>
      <c r="I1824" t="str">
        <f>_xlfn.LET(_xlpm.v, IFERROR(VLOOKUP($A1824, manifest!$A:$E, 5, FALSE), ""), IF(OR(_xlpm.v=0, _xlpm.v=""), "", _xlpm.v))</f>
        <v>female</v>
      </c>
    </row>
    <row r="1825" spans="1:9" x14ac:dyDescent="0.6">
      <c r="A1825">
        <v>387</v>
      </c>
      <c r="B1825" t="s">
        <v>14</v>
      </c>
      <c r="C1825" t="s">
        <v>11</v>
      </c>
      <c r="D1825">
        <v>389.43</v>
      </c>
      <c r="E1825">
        <v>221.26</v>
      </c>
      <c r="F1825">
        <v>30287</v>
      </c>
      <c r="H1825">
        <f>_xlfn.LET(_xlpm.v, IFERROR(VLOOKUP($A1825, manifest!$A:$E, 3, FALSE), ""), IF(OR(_xlpm.v=0, _xlpm.v=""), "", _xlpm.v))</f>
        <v>55</v>
      </c>
      <c r="I1825" t="str">
        <f>_xlfn.LET(_xlpm.v, IFERROR(VLOOKUP($A1825, manifest!$A:$E, 5, FALSE), ""), IF(OR(_xlpm.v=0, _xlpm.v=""), "", _xlpm.v))</f>
        <v>female</v>
      </c>
    </row>
    <row r="1826" spans="1:9" x14ac:dyDescent="0.6">
      <c r="A1826">
        <v>387</v>
      </c>
      <c r="B1826" t="s">
        <v>14</v>
      </c>
      <c r="C1826" t="s">
        <v>12</v>
      </c>
      <c r="D1826">
        <v>395.08</v>
      </c>
      <c r="E1826">
        <v>229.89</v>
      </c>
      <c r="F1826">
        <v>36844</v>
      </c>
      <c r="H1826">
        <f>_xlfn.LET(_xlpm.v, IFERROR(VLOOKUP($A1826, manifest!$A:$E, 3, FALSE), ""), IF(OR(_xlpm.v=0, _xlpm.v=""), "", _xlpm.v))</f>
        <v>55</v>
      </c>
      <c r="I1826" t="str">
        <f>_xlfn.LET(_xlpm.v, IFERROR(VLOOKUP($A1826, manifest!$A:$E, 5, FALSE), ""), IF(OR(_xlpm.v=0, _xlpm.v=""), "", _xlpm.v))</f>
        <v>female</v>
      </c>
    </row>
    <row r="1827" spans="1:9" x14ac:dyDescent="0.6">
      <c r="A1827">
        <v>387</v>
      </c>
      <c r="B1827" t="s">
        <v>14</v>
      </c>
      <c r="C1827" t="s">
        <v>13</v>
      </c>
      <c r="D1827">
        <v>402.07</v>
      </c>
      <c r="E1827">
        <v>223.43</v>
      </c>
      <c r="F1827">
        <v>37209</v>
      </c>
      <c r="H1827">
        <f>_xlfn.LET(_xlpm.v, IFERROR(VLOOKUP($A1827, manifest!$A:$E, 3, FALSE), ""), IF(OR(_xlpm.v=0, _xlpm.v=""), "", _xlpm.v))</f>
        <v>55</v>
      </c>
      <c r="I1827" t="str">
        <f>_xlfn.LET(_xlpm.v, IFERROR(VLOOKUP($A1827, manifest!$A:$E, 5, FALSE), ""), IF(OR(_xlpm.v=0, _xlpm.v=""), "", _xlpm.v))</f>
        <v>female</v>
      </c>
    </row>
    <row r="1828" spans="1:9" x14ac:dyDescent="0.6">
      <c r="A1828">
        <v>375</v>
      </c>
      <c r="B1828" t="s">
        <v>7</v>
      </c>
      <c r="C1828" t="s">
        <v>8</v>
      </c>
      <c r="D1828">
        <v>225.57</v>
      </c>
      <c r="E1828">
        <v>174.09</v>
      </c>
      <c r="F1828">
        <v>31659</v>
      </c>
      <c r="G1828" t="s">
        <v>9</v>
      </c>
      <c r="H1828" t="str">
        <f>_xlfn.LET(_xlpm.v, IFERROR(VLOOKUP($A1828, manifest!$A:$E, 3, FALSE), ""), IF(OR(_xlpm.v=0, _xlpm.v=""), "", _xlpm.v))</f>
        <v/>
      </c>
      <c r="I1828" t="str">
        <f>_xlfn.LET(_xlpm.v, IFERROR(VLOOKUP($A1828, manifest!$A:$E, 5, FALSE), ""), IF(OR(_xlpm.v=0, _xlpm.v=""), "", _xlpm.v))</f>
        <v>male</v>
      </c>
    </row>
    <row r="1829" spans="1:9" x14ac:dyDescent="0.6">
      <c r="A1829">
        <v>375</v>
      </c>
      <c r="B1829" t="s">
        <v>7</v>
      </c>
      <c r="C1829" t="s">
        <v>10</v>
      </c>
      <c r="D1829">
        <v>257.98</v>
      </c>
      <c r="E1829">
        <v>198</v>
      </c>
      <c r="F1829">
        <v>34471</v>
      </c>
      <c r="H1829" t="str">
        <f>_xlfn.LET(_xlpm.v, IFERROR(VLOOKUP($A1829, manifest!$A:$E, 3, FALSE), ""), IF(OR(_xlpm.v=0, _xlpm.v=""), "", _xlpm.v))</f>
        <v/>
      </c>
      <c r="I1829" t="str">
        <f>_xlfn.LET(_xlpm.v, IFERROR(VLOOKUP($A1829, manifest!$A:$E, 5, FALSE), ""), IF(OR(_xlpm.v=0, _xlpm.v=""), "", _xlpm.v))</f>
        <v>male</v>
      </c>
    </row>
    <row r="1830" spans="1:9" x14ac:dyDescent="0.6">
      <c r="A1830">
        <v>375</v>
      </c>
      <c r="B1830" t="s">
        <v>7</v>
      </c>
      <c r="C1830" t="s">
        <v>11</v>
      </c>
      <c r="D1830">
        <v>233.85</v>
      </c>
      <c r="E1830">
        <v>175.88</v>
      </c>
      <c r="F1830">
        <v>42410</v>
      </c>
      <c r="H1830" t="str">
        <f>_xlfn.LET(_xlpm.v, IFERROR(VLOOKUP($A1830, manifest!$A:$E, 3, FALSE), ""), IF(OR(_xlpm.v=0, _xlpm.v=""), "", _xlpm.v))</f>
        <v/>
      </c>
      <c r="I1830" t="str">
        <f>_xlfn.LET(_xlpm.v, IFERROR(VLOOKUP($A1830, manifest!$A:$E, 5, FALSE), ""), IF(OR(_xlpm.v=0, _xlpm.v=""), "", _xlpm.v))</f>
        <v>male</v>
      </c>
    </row>
    <row r="1831" spans="1:9" x14ac:dyDescent="0.6">
      <c r="A1831">
        <v>375</v>
      </c>
      <c r="B1831" t="s">
        <v>7</v>
      </c>
      <c r="C1831" t="s">
        <v>12</v>
      </c>
      <c r="D1831">
        <v>224.43</v>
      </c>
      <c r="E1831">
        <v>165.64</v>
      </c>
      <c r="F1831">
        <v>50165</v>
      </c>
      <c r="H1831" t="str">
        <f>_xlfn.LET(_xlpm.v, IFERROR(VLOOKUP($A1831, manifest!$A:$E, 3, FALSE), ""), IF(OR(_xlpm.v=0, _xlpm.v=""), "", _xlpm.v))</f>
        <v/>
      </c>
      <c r="I1831" t="str">
        <f>_xlfn.LET(_xlpm.v, IFERROR(VLOOKUP($A1831, manifest!$A:$E, 5, FALSE), ""), IF(OR(_xlpm.v=0, _xlpm.v=""), "", _xlpm.v))</f>
        <v>male</v>
      </c>
    </row>
    <row r="1832" spans="1:9" x14ac:dyDescent="0.6">
      <c r="A1832">
        <v>375</v>
      </c>
      <c r="B1832" t="s">
        <v>7</v>
      </c>
      <c r="C1832" t="s">
        <v>13</v>
      </c>
      <c r="D1832">
        <v>263.07</v>
      </c>
      <c r="E1832">
        <v>212.36</v>
      </c>
      <c r="F1832">
        <v>48590</v>
      </c>
      <c r="H1832" t="str">
        <f>_xlfn.LET(_xlpm.v, IFERROR(VLOOKUP($A1832, manifest!$A:$E, 3, FALSE), ""), IF(OR(_xlpm.v=0, _xlpm.v=""), "", _xlpm.v))</f>
        <v/>
      </c>
      <c r="I1832" t="str">
        <f>_xlfn.LET(_xlpm.v, IFERROR(VLOOKUP($A1832, manifest!$A:$E, 5, FALSE), ""), IF(OR(_xlpm.v=0, _xlpm.v=""), "", _xlpm.v))</f>
        <v>male</v>
      </c>
    </row>
    <row r="1833" spans="1:9" x14ac:dyDescent="0.6">
      <c r="A1833">
        <v>393</v>
      </c>
      <c r="B1833" t="s">
        <v>14</v>
      </c>
      <c r="C1833" t="s">
        <v>8</v>
      </c>
      <c r="D1833">
        <v>235.74</v>
      </c>
      <c r="E1833">
        <v>161.78</v>
      </c>
      <c r="F1833">
        <v>28336</v>
      </c>
      <c r="G1833" t="s">
        <v>9</v>
      </c>
      <c r="H1833">
        <f>_xlfn.LET(_xlpm.v, IFERROR(VLOOKUP($A1833, manifest!$A:$E, 3, FALSE), ""), IF(OR(_xlpm.v=0, _xlpm.v=""), "", _xlpm.v))</f>
        <v>62</v>
      </c>
      <c r="I1833" t="str">
        <f>_xlfn.LET(_xlpm.v, IFERROR(VLOOKUP($A1833, manifest!$A:$E, 5, FALSE), ""), IF(OR(_xlpm.v=0, _xlpm.v=""), "", _xlpm.v))</f>
        <v>female</v>
      </c>
    </row>
    <row r="1834" spans="1:9" x14ac:dyDescent="0.6">
      <c r="A1834">
        <v>393</v>
      </c>
      <c r="B1834" t="s">
        <v>14</v>
      </c>
      <c r="C1834" t="s">
        <v>10</v>
      </c>
      <c r="D1834">
        <v>225.04</v>
      </c>
      <c r="E1834">
        <v>164.36</v>
      </c>
      <c r="F1834">
        <v>34743</v>
      </c>
      <c r="H1834">
        <f>_xlfn.LET(_xlpm.v, IFERROR(VLOOKUP($A1834, manifest!$A:$E, 3, FALSE), ""), IF(OR(_xlpm.v=0, _xlpm.v=""), "", _xlpm.v))</f>
        <v>62</v>
      </c>
      <c r="I1834" t="str">
        <f>_xlfn.LET(_xlpm.v, IFERROR(VLOOKUP($A1834, manifest!$A:$E, 5, FALSE), ""), IF(OR(_xlpm.v=0, _xlpm.v=""), "", _xlpm.v))</f>
        <v>female</v>
      </c>
    </row>
    <row r="1835" spans="1:9" x14ac:dyDescent="0.6">
      <c r="A1835">
        <v>393</v>
      </c>
      <c r="B1835" t="s">
        <v>14</v>
      </c>
      <c r="C1835" t="s">
        <v>11</v>
      </c>
      <c r="D1835">
        <v>227.23</v>
      </c>
      <c r="E1835">
        <v>189.1</v>
      </c>
      <c r="F1835">
        <v>40870</v>
      </c>
      <c r="H1835">
        <f>_xlfn.LET(_xlpm.v, IFERROR(VLOOKUP($A1835, manifest!$A:$E, 3, FALSE), ""), IF(OR(_xlpm.v=0, _xlpm.v=""), "", _xlpm.v))</f>
        <v>62</v>
      </c>
      <c r="I1835" t="str">
        <f>_xlfn.LET(_xlpm.v, IFERROR(VLOOKUP($A1835, manifest!$A:$E, 5, FALSE), ""), IF(OR(_xlpm.v=0, _xlpm.v=""), "", _xlpm.v))</f>
        <v>female</v>
      </c>
    </row>
    <row r="1836" spans="1:9" x14ac:dyDescent="0.6">
      <c r="A1836">
        <v>393</v>
      </c>
      <c r="B1836" t="s">
        <v>14</v>
      </c>
      <c r="C1836" t="s">
        <v>12</v>
      </c>
      <c r="D1836">
        <v>261.07</v>
      </c>
      <c r="E1836">
        <v>218.89</v>
      </c>
      <c r="F1836">
        <v>41835</v>
      </c>
      <c r="H1836">
        <f>_xlfn.LET(_xlpm.v, IFERROR(VLOOKUP($A1836, manifest!$A:$E, 3, FALSE), ""), IF(OR(_xlpm.v=0, _xlpm.v=""), "", _xlpm.v))</f>
        <v>62</v>
      </c>
      <c r="I1836" t="str">
        <f>_xlfn.LET(_xlpm.v, IFERROR(VLOOKUP($A1836, manifest!$A:$E, 5, FALSE), ""), IF(OR(_xlpm.v=0, _xlpm.v=""), "", _xlpm.v))</f>
        <v>female</v>
      </c>
    </row>
    <row r="1837" spans="1:9" x14ac:dyDescent="0.6">
      <c r="A1837">
        <v>393</v>
      </c>
      <c r="B1837" t="s">
        <v>14</v>
      </c>
      <c r="C1837" t="s">
        <v>13</v>
      </c>
      <c r="D1837">
        <v>271.27999999999997</v>
      </c>
      <c r="E1837">
        <v>192.51</v>
      </c>
      <c r="F1837">
        <v>45432</v>
      </c>
      <c r="H1837">
        <f>_xlfn.LET(_xlpm.v, IFERROR(VLOOKUP($A1837, manifest!$A:$E, 3, FALSE), ""), IF(OR(_xlpm.v=0, _xlpm.v=""), "", _xlpm.v))</f>
        <v>62</v>
      </c>
      <c r="I1837" t="str">
        <f>_xlfn.LET(_xlpm.v, IFERROR(VLOOKUP($A1837, manifest!$A:$E, 5, FALSE), ""), IF(OR(_xlpm.v=0, _xlpm.v=""), "", _xlpm.v))</f>
        <v>female</v>
      </c>
    </row>
    <row r="1838" spans="1:9" x14ac:dyDescent="0.6">
      <c r="A1838">
        <v>379</v>
      </c>
      <c r="B1838" t="s">
        <v>7</v>
      </c>
      <c r="C1838" t="s">
        <v>8</v>
      </c>
      <c r="D1838">
        <v>159.09</v>
      </c>
      <c r="E1838">
        <v>120.61</v>
      </c>
      <c r="F1838">
        <v>31305</v>
      </c>
      <c r="G1838" t="s">
        <v>15</v>
      </c>
      <c r="H1838">
        <f>_xlfn.LET(_xlpm.v, IFERROR(VLOOKUP($A1838, manifest!$A:$E, 3, FALSE), ""), IF(OR(_xlpm.v=0, _xlpm.v=""), "", _xlpm.v))</f>
        <v>57</v>
      </c>
      <c r="I1838" t="str">
        <f>_xlfn.LET(_xlpm.v, IFERROR(VLOOKUP($A1838, manifest!$A:$E, 5, FALSE), ""), IF(OR(_xlpm.v=0, _xlpm.v=""), "", _xlpm.v))</f>
        <v>female</v>
      </c>
    </row>
    <row r="1839" spans="1:9" x14ac:dyDescent="0.6">
      <c r="A1839">
        <v>379</v>
      </c>
      <c r="B1839" t="s">
        <v>7</v>
      </c>
      <c r="C1839" t="s">
        <v>10</v>
      </c>
      <c r="D1839">
        <v>169.13</v>
      </c>
      <c r="E1839">
        <v>149.51</v>
      </c>
      <c r="F1839">
        <v>31489</v>
      </c>
      <c r="H1839">
        <f>_xlfn.LET(_xlpm.v, IFERROR(VLOOKUP($A1839, manifest!$A:$E, 3, FALSE), ""), IF(OR(_xlpm.v=0, _xlpm.v=""), "", _xlpm.v))</f>
        <v>57</v>
      </c>
      <c r="I1839" t="str">
        <f>_xlfn.LET(_xlpm.v, IFERROR(VLOOKUP($A1839, manifest!$A:$E, 5, FALSE), ""), IF(OR(_xlpm.v=0, _xlpm.v=""), "", _xlpm.v))</f>
        <v>female</v>
      </c>
    </row>
    <row r="1840" spans="1:9" x14ac:dyDescent="0.6">
      <c r="A1840">
        <v>379</v>
      </c>
      <c r="B1840" t="s">
        <v>7</v>
      </c>
      <c r="C1840" t="s">
        <v>11</v>
      </c>
      <c r="D1840">
        <v>172.75</v>
      </c>
      <c r="E1840">
        <v>150.22999999999999</v>
      </c>
      <c r="F1840">
        <v>34660</v>
      </c>
      <c r="H1840">
        <f>_xlfn.LET(_xlpm.v, IFERROR(VLOOKUP($A1840, manifest!$A:$E, 3, FALSE), ""), IF(OR(_xlpm.v=0, _xlpm.v=""), "", _xlpm.v))</f>
        <v>57</v>
      </c>
      <c r="I1840" t="str">
        <f>_xlfn.LET(_xlpm.v, IFERROR(VLOOKUP($A1840, manifest!$A:$E, 5, FALSE), ""), IF(OR(_xlpm.v=0, _xlpm.v=""), "", _xlpm.v))</f>
        <v>female</v>
      </c>
    </row>
    <row r="1841" spans="1:9" x14ac:dyDescent="0.6">
      <c r="A1841">
        <v>379</v>
      </c>
      <c r="B1841" t="s">
        <v>7</v>
      </c>
      <c r="C1841" t="s">
        <v>12</v>
      </c>
      <c r="D1841">
        <v>174.86</v>
      </c>
      <c r="E1841">
        <v>159.03</v>
      </c>
      <c r="F1841">
        <v>38130</v>
      </c>
      <c r="H1841">
        <f>_xlfn.LET(_xlpm.v, IFERROR(VLOOKUP($A1841, manifest!$A:$E, 3, FALSE), ""), IF(OR(_xlpm.v=0, _xlpm.v=""), "", _xlpm.v))</f>
        <v>57</v>
      </c>
      <c r="I1841" t="str">
        <f>_xlfn.LET(_xlpm.v, IFERROR(VLOOKUP($A1841, manifest!$A:$E, 5, FALSE), ""), IF(OR(_xlpm.v=0, _xlpm.v=""), "", _xlpm.v))</f>
        <v>female</v>
      </c>
    </row>
    <row r="1842" spans="1:9" x14ac:dyDescent="0.6">
      <c r="A1842">
        <v>379</v>
      </c>
      <c r="B1842" t="s">
        <v>7</v>
      </c>
      <c r="C1842" t="s">
        <v>13</v>
      </c>
      <c r="D1842">
        <v>185.02</v>
      </c>
      <c r="E1842">
        <v>170.96</v>
      </c>
      <c r="F1842">
        <v>44148</v>
      </c>
      <c r="H1842">
        <f>_xlfn.LET(_xlpm.v, IFERROR(VLOOKUP($A1842, manifest!$A:$E, 3, FALSE), ""), IF(OR(_xlpm.v=0, _xlpm.v=""), "", _xlpm.v))</f>
        <v>57</v>
      </c>
      <c r="I1842" t="str">
        <f>_xlfn.LET(_xlpm.v, IFERROR(VLOOKUP($A1842, manifest!$A:$E, 5, FALSE), ""), IF(OR(_xlpm.v=0, _xlpm.v=""), "", _xlpm.v))</f>
        <v>female</v>
      </c>
    </row>
    <row r="1843" spans="1:9" x14ac:dyDescent="0.6">
      <c r="A1843">
        <v>389</v>
      </c>
      <c r="B1843" t="s">
        <v>7</v>
      </c>
      <c r="C1843" t="s">
        <v>8</v>
      </c>
      <c r="D1843">
        <v>219.42</v>
      </c>
      <c r="E1843">
        <v>85.61</v>
      </c>
      <c r="F1843">
        <v>30612</v>
      </c>
      <c r="G1843" t="s">
        <v>9</v>
      </c>
      <c r="H1843">
        <f>_xlfn.LET(_xlpm.v, IFERROR(VLOOKUP($A1843, manifest!$A:$E, 3, FALSE), ""), IF(OR(_xlpm.v=0, _xlpm.v=""), "", _xlpm.v))</f>
        <v>54</v>
      </c>
      <c r="I1843" t="str">
        <f>_xlfn.LET(_xlpm.v, IFERROR(VLOOKUP($A1843, manifest!$A:$E, 5, FALSE), ""), IF(OR(_xlpm.v=0, _xlpm.v=""), "", _xlpm.v))</f>
        <v>female</v>
      </c>
    </row>
    <row r="1844" spans="1:9" x14ac:dyDescent="0.6">
      <c r="A1844">
        <v>389</v>
      </c>
      <c r="B1844" t="s">
        <v>7</v>
      </c>
      <c r="C1844" t="s">
        <v>10</v>
      </c>
      <c r="D1844">
        <v>225.51</v>
      </c>
      <c r="E1844">
        <v>132.43</v>
      </c>
      <c r="F1844">
        <v>32011</v>
      </c>
      <c r="H1844">
        <f>_xlfn.LET(_xlpm.v, IFERROR(VLOOKUP($A1844, manifest!$A:$E, 3, FALSE), ""), IF(OR(_xlpm.v=0, _xlpm.v=""), "", _xlpm.v))</f>
        <v>54</v>
      </c>
      <c r="I1844" t="str">
        <f>_xlfn.LET(_xlpm.v, IFERROR(VLOOKUP($A1844, manifest!$A:$E, 5, FALSE), ""), IF(OR(_xlpm.v=0, _xlpm.v=""), "", _xlpm.v))</f>
        <v>female</v>
      </c>
    </row>
    <row r="1845" spans="1:9" x14ac:dyDescent="0.6">
      <c r="A1845">
        <v>389</v>
      </c>
      <c r="B1845" t="s">
        <v>7</v>
      </c>
      <c r="C1845" t="s">
        <v>11</v>
      </c>
      <c r="D1845">
        <v>205.66</v>
      </c>
      <c r="E1845">
        <v>108.75</v>
      </c>
      <c r="F1845">
        <v>34826</v>
      </c>
      <c r="H1845">
        <f>_xlfn.LET(_xlpm.v, IFERROR(VLOOKUP($A1845, manifest!$A:$E, 3, FALSE), ""), IF(OR(_xlpm.v=0, _xlpm.v=""), "", _xlpm.v))</f>
        <v>54</v>
      </c>
      <c r="I1845" t="str">
        <f>_xlfn.LET(_xlpm.v, IFERROR(VLOOKUP($A1845, manifest!$A:$E, 5, FALSE), ""), IF(OR(_xlpm.v=0, _xlpm.v=""), "", _xlpm.v))</f>
        <v>female</v>
      </c>
    </row>
    <row r="1846" spans="1:9" x14ac:dyDescent="0.6">
      <c r="A1846">
        <v>389</v>
      </c>
      <c r="B1846" t="s">
        <v>7</v>
      </c>
      <c r="C1846" t="s">
        <v>12</v>
      </c>
      <c r="D1846">
        <v>199.66</v>
      </c>
      <c r="E1846">
        <v>115.34</v>
      </c>
      <c r="F1846">
        <v>40723</v>
      </c>
      <c r="H1846">
        <f>_xlfn.LET(_xlpm.v, IFERROR(VLOOKUP($A1846, manifest!$A:$E, 3, FALSE), ""), IF(OR(_xlpm.v=0, _xlpm.v=""), "", _xlpm.v))</f>
        <v>54</v>
      </c>
      <c r="I1846" t="str">
        <f>_xlfn.LET(_xlpm.v, IFERROR(VLOOKUP($A1846, manifest!$A:$E, 5, FALSE), ""), IF(OR(_xlpm.v=0, _xlpm.v=""), "", _xlpm.v))</f>
        <v>female</v>
      </c>
    </row>
    <row r="1847" spans="1:9" x14ac:dyDescent="0.6">
      <c r="A1847">
        <v>389</v>
      </c>
      <c r="B1847" t="s">
        <v>7</v>
      </c>
      <c r="C1847" t="s">
        <v>13</v>
      </c>
      <c r="D1847">
        <v>197.68</v>
      </c>
      <c r="E1847">
        <v>127.45</v>
      </c>
      <c r="F1847">
        <v>45427</v>
      </c>
      <c r="H1847">
        <f>_xlfn.LET(_xlpm.v, IFERROR(VLOOKUP($A1847, manifest!$A:$E, 3, FALSE), ""), IF(OR(_xlpm.v=0, _xlpm.v=""), "", _xlpm.v))</f>
        <v>54</v>
      </c>
      <c r="I1847" t="str">
        <f>_xlfn.LET(_xlpm.v, IFERROR(VLOOKUP($A1847, manifest!$A:$E, 5, FALSE), ""), IF(OR(_xlpm.v=0, _xlpm.v=""), "", _xlpm.v))</f>
        <v>female</v>
      </c>
    </row>
    <row r="1848" spans="1:9" x14ac:dyDescent="0.6">
      <c r="A1848">
        <v>411</v>
      </c>
      <c r="B1848" t="s">
        <v>14</v>
      </c>
      <c r="C1848" t="s">
        <v>8</v>
      </c>
      <c r="D1848">
        <v>393.34</v>
      </c>
      <c r="E1848">
        <v>265.08</v>
      </c>
      <c r="F1848">
        <v>27883</v>
      </c>
      <c r="G1848" t="s">
        <v>9</v>
      </c>
      <c r="H1848" t="str">
        <f>_xlfn.LET(_xlpm.v, IFERROR(VLOOKUP($A1848, manifest!$A:$E, 3, FALSE), ""), IF(OR(_xlpm.v=0, _xlpm.v=""), "", _xlpm.v))</f>
        <v/>
      </c>
      <c r="I1848" t="str">
        <f>_xlfn.LET(_xlpm.v, IFERROR(VLOOKUP($A1848, manifest!$A:$E, 5, FALSE), ""), IF(OR(_xlpm.v=0, _xlpm.v=""), "", _xlpm.v))</f>
        <v>female</v>
      </c>
    </row>
    <row r="1849" spans="1:9" x14ac:dyDescent="0.6">
      <c r="A1849">
        <v>411</v>
      </c>
      <c r="B1849" t="s">
        <v>14</v>
      </c>
      <c r="C1849" t="s">
        <v>10</v>
      </c>
      <c r="D1849">
        <v>404.55</v>
      </c>
      <c r="E1849">
        <v>272.63</v>
      </c>
      <c r="F1849">
        <v>36378</v>
      </c>
      <c r="H1849" t="str">
        <f>_xlfn.LET(_xlpm.v, IFERROR(VLOOKUP($A1849, manifest!$A:$E, 3, FALSE), ""), IF(OR(_xlpm.v=0, _xlpm.v=""), "", _xlpm.v))</f>
        <v/>
      </c>
      <c r="I1849" t="str">
        <f>_xlfn.LET(_xlpm.v, IFERROR(VLOOKUP($A1849, manifest!$A:$E, 5, FALSE), ""), IF(OR(_xlpm.v=0, _xlpm.v=""), "", _xlpm.v))</f>
        <v>female</v>
      </c>
    </row>
    <row r="1850" spans="1:9" x14ac:dyDescent="0.6">
      <c r="A1850">
        <v>411</v>
      </c>
      <c r="B1850" t="s">
        <v>14</v>
      </c>
      <c r="C1850" t="s">
        <v>11</v>
      </c>
      <c r="D1850">
        <v>393.8</v>
      </c>
      <c r="E1850">
        <v>283.47000000000003</v>
      </c>
      <c r="F1850">
        <v>45035</v>
      </c>
      <c r="H1850" t="str">
        <f>_xlfn.LET(_xlpm.v, IFERROR(VLOOKUP($A1850, manifest!$A:$E, 3, FALSE), ""), IF(OR(_xlpm.v=0, _xlpm.v=""), "", _xlpm.v))</f>
        <v/>
      </c>
      <c r="I1850" t="str">
        <f>_xlfn.LET(_xlpm.v, IFERROR(VLOOKUP($A1850, manifest!$A:$E, 5, FALSE), ""), IF(OR(_xlpm.v=0, _xlpm.v=""), "", _xlpm.v))</f>
        <v>female</v>
      </c>
    </row>
    <row r="1851" spans="1:9" x14ac:dyDescent="0.6">
      <c r="A1851">
        <v>411</v>
      </c>
      <c r="B1851" t="s">
        <v>14</v>
      </c>
      <c r="C1851" t="s">
        <v>12</v>
      </c>
      <c r="D1851">
        <v>370.19</v>
      </c>
      <c r="E1851">
        <v>237.39</v>
      </c>
      <c r="F1851">
        <v>56289</v>
      </c>
      <c r="H1851" t="str">
        <f>_xlfn.LET(_xlpm.v, IFERROR(VLOOKUP($A1851, manifest!$A:$E, 3, FALSE), ""), IF(OR(_xlpm.v=0, _xlpm.v=""), "", _xlpm.v))</f>
        <v/>
      </c>
      <c r="I1851" t="str">
        <f>_xlfn.LET(_xlpm.v, IFERROR(VLOOKUP($A1851, manifest!$A:$E, 5, FALSE), ""), IF(OR(_xlpm.v=0, _xlpm.v=""), "", _xlpm.v))</f>
        <v>female</v>
      </c>
    </row>
    <row r="1852" spans="1:9" x14ac:dyDescent="0.6">
      <c r="A1852">
        <v>411</v>
      </c>
      <c r="B1852" t="s">
        <v>14</v>
      </c>
      <c r="C1852" t="s">
        <v>13</v>
      </c>
      <c r="D1852">
        <v>382.53</v>
      </c>
      <c r="E1852">
        <v>248.12</v>
      </c>
      <c r="F1852">
        <v>52408</v>
      </c>
      <c r="H1852" t="str">
        <f>_xlfn.LET(_xlpm.v, IFERROR(VLOOKUP($A1852, manifest!$A:$E, 3, FALSE), ""), IF(OR(_xlpm.v=0, _xlpm.v=""), "", _xlpm.v))</f>
        <v/>
      </c>
      <c r="I1852" t="str">
        <f>_xlfn.LET(_xlpm.v, IFERROR(VLOOKUP($A1852, manifest!$A:$E, 5, FALSE), ""), IF(OR(_xlpm.v=0, _xlpm.v=""), "", _xlpm.v))</f>
        <v>female</v>
      </c>
    </row>
    <row r="1853" spans="1:9" x14ac:dyDescent="0.6">
      <c r="A1853">
        <v>404</v>
      </c>
      <c r="B1853" t="s">
        <v>14</v>
      </c>
      <c r="C1853" t="s">
        <v>8</v>
      </c>
      <c r="D1853">
        <v>211.25</v>
      </c>
      <c r="E1853">
        <v>139.03</v>
      </c>
      <c r="F1853">
        <v>51309</v>
      </c>
      <c r="G1853" t="s">
        <v>9</v>
      </c>
      <c r="H1853">
        <f>_xlfn.LET(_xlpm.v, IFERROR(VLOOKUP($A1853, manifest!$A:$E, 3, FALSE), ""), IF(OR(_xlpm.v=0, _xlpm.v=""), "", _xlpm.v))</f>
        <v>60</v>
      </c>
      <c r="I1853" t="str">
        <f>_xlfn.LET(_xlpm.v, IFERROR(VLOOKUP($A1853, manifest!$A:$E, 5, FALSE), ""), IF(OR(_xlpm.v=0, _xlpm.v=""), "", _xlpm.v))</f>
        <v>male</v>
      </c>
    </row>
    <row r="1854" spans="1:9" x14ac:dyDescent="0.6">
      <c r="A1854">
        <v>404</v>
      </c>
      <c r="B1854" t="s">
        <v>14</v>
      </c>
      <c r="C1854" t="s">
        <v>10</v>
      </c>
      <c r="D1854">
        <v>215.71</v>
      </c>
      <c r="E1854">
        <v>143.01</v>
      </c>
      <c r="F1854">
        <v>56814</v>
      </c>
      <c r="H1854">
        <f>_xlfn.LET(_xlpm.v, IFERROR(VLOOKUP($A1854, manifest!$A:$E, 3, FALSE), ""), IF(OR(_xlpm.v=0, _xlpm.v=""), "", _xlpm.v))</f>
        <v>60</v>
      </c>
      <c r="I1854" t="str">
        <f>_xlfn.LET(_xlpm.v, IFERROR(VLOOKUP($A1854, manifest!$A:$E, 5, FALSE), ""), IF(OR(_xlpm.v=0, _xlpm.v=""), "", _xlpm.v))</f>
        <v>male</v>
      </c>
    </row>
    <row r="1855" spans="1:9" x14ac:dyDescent="0.6">
      <c r="A1855">
        <v>404</v>
      </c>
      <c r="B1855" t="s">
        <v>14</v>
      </c>
      <c r="C1855" t="s">
        <v>11</v>
      </c>
      <c r="D1855">
        <v>215.81</v>
      </c>
      <c r="E1855">
        <v>135.71</v>
      </c>
      <c r="F1855">
        <v>60809</v>
      </c>
      <c r="H1855">
        <f>_xlfn.LET(_xlpm.v, IFERROR(VLOOKUP($A1855, manifest!$A:$E, 3, FALSE), ""), IF(OR(_xlpm.v=0, _xlpm.v=""), "", _xlpm.v))</f>
        <v>60</v>
      </c>
      <c r="I1855" t="str">
        <f>_xlfn.LET(_xlpm.v, IFERROR(VLOOKUP($A1855, manifest!$A:$E, 5, FALSE), ""), IF(OR(_xlpm.v=0, _xlpm.v=""), "", _xlpm.v))</f>
        <v>male</v>
      </c>
    </row>
    <row r="1856" spans="1:9" x14ac:dyDescent="0.6">
      <c r="A1856">
        <v>404</v>
      </c>
      <c r="B1856" t="s">
        <v>14</v>
      </c>
      <c r="C1856" t="s">
        <v>12</v>
      </c>
      <c r="D1856">
        <v>214.65</v>
      </c>
      <c r="E1856">
        <v>138.16</v>
      </c>
      <c r="F1856">
        <v>74706</v>
      </c>
      <c r="H1856">
        <f>_xlfn.LET(_xlpm.v, IFERROR(VLOOKUP($A1856, manifest!$A:$E, 3, FALSE), ""), IF(OR(_xlpm.v=0, _xlpm.v=""), "", _xlpm.v))</f>
        <v>60</v>
      </c>
      <c r="I1856" t="str">
        <f>_xlfn.LET(_xlpm.v, IFERROR(VLOOKUP($A1856, manifest!$A:$E, 5, FALSE), ""), IF(OR(_xlpm.v=0, _xlpm.v=""), "", _xlpm.v))</f>
        <v>male</v>
      </c>
    </row>
    <row r="1857" spans="1:9" x14ac:dyDescent="0.6">
      <c r="A1857">
        <v>404</v>
      </c>
      <c r="B1857" t="s">
        <v>14</v>
      </c>
      <c r="C1857" t="s">
        <v>13</v>
      </c>
      <c r="D1857">
        <v>264.89</v>
      </c>
      <c r="E1857">
        <v>177.49</v>
      </c>
      <c r="F1857">
        <v>75602</v>
      </c>
      <c r="H1857">
        <f>_xlfn.LET(_xlpm.v, IFERROR(VLOOKUP($A1857, manifest!$A:$E, 3, FALSE), ""), IF(OR(_xlpm.v=0, _xlpm.v=""), "", _xlpm.v))</f>
        <v>60</v>
      </c>
      <c r="I1857" t="str">
        <f>_xlfn.LET(_xlpm.v, IFERROR(VLOOKUP($A1857, manifest!$A:$E, 5, FALSE), ""), IF(OR(_xlpm.v=0, _xlpm.v=""), "", _xlpm.v))</f>
        <v>male</v>
      </c>
    </row>
    <row r="1858" spans="1:9" x14ac:dyDescent="0.6">
      <c r="A1858">
        <v>391</v>
      </c>
      <c r="B1858" t="s">
        <v>7</v>
      </c>
      <c r="C1858" t="s">
        <v>8</v>
      </c>
      <c r="D1858">
        <v>213.91</v>
      </c>
      <c r="E1858">
        <v>116.62</v>
      </c>
      <c r="F1858">
        <v>40036</v>
      </c>
      <c r="G1858" t="s">
        <v>9</v>
      </c>
      <c r="H1858">
        <f>_xlfn.LET(_xlpm.v, IFERROR(VLOOKUP($A1858, manifest!$A:$E, 3, FALSE), ""), IF(OR(_xlpm.v=0, _xlpm.v=""), "", _xlpm.v))</f>
        <v>62</v>
      </c>
      <c r="I1858" t="str">
        <f>_xlfn.LET(_xlpm.v, IFERROR(VLOOKUP($A1858, manifest!$A:$E, 5, FALSE), ""), IF(OR(_xlpm.v=0, _xlpm.v=""), "", _xlpm.v))</f>
        <v>male</v>
      </c>
    </row>
    <row r="1859" spans="1:9" x14ac:dyDescent="0.6">
      <c r="A1859">
        <v>391</v>
      </c>
      <c r="B1859" t="s">
        <v>7</v>
      </c>
      <c r="C1859" t="s">
        <v>10</v>
      </c>
      <c r="D1859">
        <v>222.38</v>
      </c>
      <c r="E1859">
        <v>139.51</v>
      </c>
      <c r="F1859">
        <v>40306</v>
      </c>
      <c r="H1859">
        <f>_xlfn.LET(_xlpm.v, IFERROR(VLOOKUP($A1859, manifest!$A:$E, 3, FALSE), ""), IF(OR(_xlpm.v=0, _xlpm.v=""), "", _xlpm.v))</f>
        <v>62</v>
      </c>
      <c r="I1859" t="str">
        <f>_xlfn.LET(_xlpm.v, IFERROR(VLOOKUP($A1859, manifest!$A:$E, 5, FALSE), ""), IF(OR(_xlpm.v=0, _xlpm.v=""), "", _xlpm.v))</f>
        <v>male</v>
      </c>
    </row>
    <row r="1860" spans="1:9" x14ac:dyDescent="0.6">
      <c r="A1860">
        <v>391</v>
      </c>
      <c r="B1860" t="s">
        <v>7</v>
      </c>
      <c r="C1860" t="s">
        <v>11</v>
      </c>
      <c r="D1860">
        <v>221.13</v>
      </c>
      <c r="E1860">
        <v>156.13999999999999</v>
      </c>
      <c r="F1860">
        <v>43555</v>
      </c>
      <c r="H1860">
        <f>_xlfn.LET(_xlpm.v, IFERROR(VLOOKUP($A1860, manifest!$A:$E, 3, FALSE), ""), IF(OR(_xlpm.v=0, _xlpm.v=""), "", _xlpm.v))</f>
        <v>62</v>
      </c>
      <c r="I1860" t="str">
        <f>_xlfn.LET(_xlpm.v, IFERROR(VLOOKUP($A1860, manifest!$A:$E, 5, FALSE), ""), IF(OR(_xlpm.v=0, _xlpm.v=""), "", _xlpm.v))</f>
        <v>male</v>
      </c>
    </row>
    <row r="1861" spans="1:9" x14ac:dyDescent="0.6">
      <c r="A1861">
        <v>391</v>
      </c>
      <c r="B1861" t="s">
        <v>7</v>
      </c>
      <c r="C1861" t="s">
        <v>12</v>
      </c>
      <c r="D1861">
        <v>220.76</v>
      </c>
      <c r="E1861">
        <v>164.75</v>
      </c>
      <c r="F1861">
        <v>42827</v>
      </c>
      <c r="H1861">
        <f>_xlfn.LET(_xlpm.v, IFERROR(VLOOKUP($A1861, manifest!$A:$E, 3, FALSE), ""), IF(OR(_xlpm.v=0, _xlpm.v=""), "", _xlpm.v))</f>
        <v>62</v>
      </c>
      <c r="I1861" t="str">
        <f>_xlfn.LET(_xlpm.v, IFERROR(VLOOKUP($A1861, manifest!$A:$E, 5, FALSE), ""), IF(OR(_xlpm.v=0, _xlpm.v=""), "", _xlpm.v))</f>
        <v>male</v>
      </c>
    </row>
    <row r="1862" spans="1:9" x14ac:dyDescent="0.6">
      <c r="A1862">
        <v>391</v>
      </c>
      <c r="B1862" t="s">
        <v>7</v>
      </c>
      <c r="C1862" t="s">
        <v>13</v>
      </c>
      <c r="D1862">
        <v>220.55</v>
      </c>
      <c r="E1862">
        <v>160.88999999999999</v>
      </c>
      <c r="F1862">
        <v>50444</v>
      </c>
      <c r="H1862">
        <f>_xlfn.LET(_xlpm.v, IFERROR(VLOOKUP($A1862, manifest!$A:$E, 3, FALSE), ""), IF(OR(_xlpm.v=0, _xlpm.v=""), "", _xlpm.v))</f>
        <v>62</v>
      </c>
      <c r="I1862" t="str">
        <f>_xlfn.LET(_xlpm.v, IFERROR(VLOOKUP($A1862, manifest!$A:$E, 5, FALSE), ""), IF(OR(_xlpm.v=0, _xlpm.v=""), "", _xlpm.v))</f>
        <v>male</v>
      </c>
    </row>
    <row r="1863" spans="1:9" x14ac:dyDescent="0.6">
      <c r="A1863">
        <v>390</v>
      </c>
      <c r="B1863" t="s">
        <v>7</v>
      </c>
      <c r="C1863" t="s">
        <v>8</v>
      </c>
      <c r="D1863">
        <v>60.98</v>
      </c>
      <c r="E1863">
        <v>117.71</v>
      </c>
      <c r="F1863">
        <v>49552</v>
      </c>
      <c r="G1863" t="s">
        <v>17</v>
      </c>
      <c r="H1863">
        <f>_xlfn.LET(_xlpm.v, IFERROR(VLOOKUP($A1863, manifest!$A:$E, 3, FALSE), ""), IF(OR(_xlpm.v=0, _xlpm.v=""), "", _xlpm.v))</f>
        <v>77</v>
      </c>
      <c r="I1863" t="str">
        <f>_xlfn.LET(_xlpm.v, IFERROR(VLOOKUP($A1863, manifest!$A:$E, 5, FALSE), ""), IF(OR(_xlpm.v=0, _xlpm.v=""), "", _xlpm.v))</f>
        <v>female</v>
      </c>
    </row>
    <row r="1864" spans="1:9" x14ac:dyDescent="0.6">
      <c r="A1864">
        <v>390</v>
      </c>
      <c r="B1864" t="s">
        <v>7</v>
      </c>
      <c r="C1864" t="s">
        <v>10</v>
      </c>
      <c r="D1864">
        <v>66.78</v>
      </c>
      <c r="E1864">
        <v>138.16999999999999</v>
      </c>
      <c r="F1864">
        <v>51670</v>
      </c>
      <c r="H1864">
        <f>_xlfn.LET(_xlpm.v, IFERROR(VLOOKUP($A1864, manifest!$A:$E, 3, FALSE), ""), IF(OR(_xlpm.v=0, _xlpm.v=""), "", _xlpm.v))</f>
        <v>77</v>
      </c>
      <c r="I1864" t="str">
        <f>_xlfn.LET(_xlpm.v, IFERROR(VLOOKUP($A1864, manifest!$A:$E, 5, FALSE), ""), IF(OR(_xlpm.v=0, _xlpm.v=""), "", _xlpm.v))</f>
        <v>female</v>
      </c>
    </row>
    <row r="1865" spans="1:9" x14ac:dyDescent="0.6">
      <c r="A1865">
        <v>390</v>
      </c>
      <c r="B1865" t="s">
        <v>7</v>
      </c>
      <c r="C1865" t="s">
        <v>11</v>
      </c>
      <c r="D1865">
        <v>135.84</v>
      </c>
      <c r="E1865">
        <v>155.53</v>
      </c>
      <c r="F1865">
        <v>59805</v>
      </c>
      <c r="H1865">
        <f>_xlfn.LET(_xlpm.v, IFERROR(VLOOKUP($A1865, manifest!$A:$E, 3, FALSE), ""), IF(OR(_xlpm.v=0, _xlpm.v=""), "", _xlpm.v))</f>
        <v>77</v>
      </c>
      <c r="I1865" t="str">
        <f>_xlfn.LET(_xlpm.v, IFERROR(VLOOKUP($A1865, manifest!$A:$E, 5, FALSE), ""), IF(OR(_xlpm.v=0, _xlpm.v=""), "", _xlpm.v))</f>
        <v>female</v>
      </c>
    </row>
    <row r="1866" spans="1:9" x14ac:dyDescent="0.6">
      <c r="A1866">
        <v>390</v>
      </c>
      <c r="B1866" t="s">
        <v>7</v>
      </c>
      <c r="C1866" t="s">
        <v>12</v>
      </c>
      <c r="D1866">
        <v>130.65</v>
      </c>
      <c r="E1866">
        <v>139.01</v>
      </c>
      <c r="F1866">
        <v>85326</v>
      </c>
      <c r="H1866">
        <f>_xlfn.LET(_xlpm.v, IFERROR(VLOOKUP($A1866, manifest!$A:$E, 3, FALSE), ""), IF(OR(_xlpm.v=0, _xlpm.v=""), "", _xlpm.v))</f>
        <v>77</v>
      </c>
      <c r="I1866" t="str">
        <f>_xlfn.LET(_xlpm.v, IFERROR(VLOOKUP($A1866, manifest!$A:$E, 5, FALSE), ""), IF(OR(_xlpm.v=0, _xlpm.v=""), "", _xlpm.v))</f>
        <v>female</v>
      </c>
    </row>
    <row r="1867" spans="1:9" x14ac:dyDescent="0.6">
      <c r="A1867">
        <v>390</v>
      </c>
      <c r="B1867" t="s">
        <v>7</v>
      </c>
      <c r="C1867" t="s">
        <v>13</v>
      </c>
      <c r="D1867">
        <v>141.97999999999999</v>
      </c>
      <c r="E1867">
        <v>133.03</v>
      </c>
      <c r="F1867">
        <v>80179</v>
      </c>
      <c r="H1867">
        <f>_xlfn.LET(_xlpm.v, IFERROR(VLOOKUP($A1867, manifest!$A:$E, 3, FALSE), ""), IF(OR(_xlpm.v=0, _xlpm.v=""), "", _xlpm.v))</f>
        <v>77</v>
      </c>
      <c r="I1867" t="str">
        <f>_xlfn.LET(_xlpm.v, IFERROR(VLOOKUP($A1867, manifest!$A:$E, 5, FALSE), ""), IF(OR(_xlpm.v=0, _xlpm.v=""), "", _xlpm.v))</f>
        <v>female</v>
      </c>
    </row>
    <row r="1868" spans="1:9" x14ac:dyDescent="0.6">
      <c r="A1868">
        <v>377</v>
      </c>
      <c r="B1868" t="s">
        <v>7</v>
      </c>
      <c r="C1868" t="s">
        <v>8</v>
      </c>
      <c r="D1868">
        <v>192.95</v>
      </c>
      <c r="E1868">
        <v>126.26</v>
      </c>
      <c r="F1868">
        <v>42556</v>
      </c>
      <c r="G1868" t="s">
        <v>9</v>
      </c>
      <c r="H1868">
        <f>_xlfn.LET(_xlpm.v, IFERROR(VLOOKUP($A1868, manifest!$A:$E, 3, FALSE), ""), IF(OR(_xlpm.v=0, _xlpm.v=""), "", _xlpm.v))</f>
        <v>54</v>
      </c>
      <c r="I1868" t="str">
        <f>_xlfn.LET(_xlpm.v, IFERROR(VLOOKUP($A1868, manifest!$A:$E, 5, FALSE), ""), IF(OR(_xlpm.v=0, _xlpm.v=""), "", _xlpm.v))</f>
        <v>male</v>
      </c>
    </row>
    <row r="1869" spans="1:9" x14ac:dyDescent="0.6">
      <c r="A1869">
        <v>377</v>
      </c>
      <c r="B1869" t="s">
        <v>7</v>
      </c>
      <c r="C1869" t="s">
        <v>10</v>
      </c>
      <c r="D1869">
        <v>200.84</v>
      </c>
      <c r="E1869">
        <v>149.5</v>
      </c>
      <c r="F1869">
        <v>45463</v>
      </c>
      <c r="H1869">
        <f>_xlfn.LET(_xlpm.v, IFERROR(VLOOKUP($A1869, manifest!$A:$E, 3, FALSE), ""), IF(OR(_xlpm.v=0, _xlpm.v=""), "", _xlpm.v))</f>
        <v>54</v>
      </c>
      <c r="I1869" t="str">
        <f>_xlfn.LET(_xlpm.v, IFERROR(VLOOKUP($A1869, manifest!$A:$E, 5, FALSE), ""), IF(OR(_xlpm.v=0, _xlpm.v=""), "", _xlpm.v))</f>
        <v>male</v>
      </c>
    </row>
    <row r="1870" spans="1:9" x14ac:dyDescent="0.6">
      <c r="A1870">
        <v>377</v>
      </c>
      <c r="B1870" t="s">
        <v>7</v>
      </c>
      <c r="C1870" t="s">
        <v>11</v>
      </c>
      <c r="D1870">
        <v>187.03</v>
      </c>
      <c r="E1870">
        <v>144.4</v>
      </c>
      <c r="F1870">
        <v>48708</v>
      </c>
      <c r="H1870">
        <f>_xlfn.LET(_xlpm.v, IFERROR(VLOOKUP($A1870, manifest!$A:$E, 3, FALSE), ""), IF(OR(_xlpm.v=0, _xlpm.v=""), "", _xlpm.v))</f>
        <v>54</v>
      </c>
      <c r="I1870" t="str">
        <f>_xlfn.LET(_xlpm.v, IFERROR(VLOOKUP($A1870, manifest!$A:$E, 5, FALSE), ""), IF(OR(_xlpm.v=0, _xlpm.v=""), "", _xlpm.v))</f>
        <v>male</v>
      </c>
    </row>
    <row r="1871" spans="1:9" x14ac:dyDescent="0.6">
      <c r="A1871">
        <v>377</v>
      </c>
      <c r="B1871" t="s">
        <v>7</v>
      </c>
      <c r="C1871" t="s">
        <v>12</v>
      </c>
      <c r="D1871">
        <v>200.82</v>
      </c>
      <c r="E1871">
        <v>149.77000000000001</v>
      </c>
      <c r="F1871">
        <v>58357</v>
      </c>
      <c r="H1871">
        <f>_xlfn.LET(_xlpm.v, IFERROR(VLOOKUP($A1871, manifest!$A:$E, 3, FALSE), ""), IF(OR(_xlpm.v=0, _xlpm.v=""), "", _xlpm.v))</f>
        <v>54</v>
      </c>
      <c r="I1871" t="str">
        <f>_xlfn.LET(_xlpm.v, IFERROR(VLOOKUP($A1871, manifest!$A:$E, 5, FALSE), ""), IF(OR(_xlpm.v=0, _xlpm.v=""), "", _xlpm.v))</f>
        <v>male</v>
      </c>
    </row>
    <row r="1872" spans="1:9" x14ac:dyDescent="0.6">
      <c r="A1872">
        <v>377</v>
      </c>
      <c r="B1872" t="s">
        <v>7</v>
      </c>
      <c r="C1872" t="s">
        <v>13</v>
      </c>
      <c r="D1872">
        <v>240.61</v>
      </c>
      <c r="E1872">
        <v>173.46</v>
      </c>
      <c r="F1872">
        <v>59371</v>
      </c>
      <c r="H1872">
        <f>_xlfn.LET(_xlpm.v, IFERROR(VLOOKUP($A1872, manifest!$A:$E, 3, FALSE), ""), IF(OR(_xlpm.v=0, _xlpm.v=""), "", _xlpm.v))</f>
        <v>54</v>
      </c>
      <c r="I1872" t="str">
        <f>_xlfn.LET(_xlpm.v, IFERROR(VLOOKUP($A1872, manifest!$A:$E, 5, FALSE), ""), IF(OR(_xlpm.v=0, _xlpm.v=""), "", _xlpm.v))</f>
        <v>male</v>
      </c>
    </row>
    <row r="1873" spans="1:9" x14ac:dyDescent="0.6">
      <c r="A1873">
        <v>408</v>
      </c>
      <c r="B1873" t="s">
        <v>14</v>
      </c>
      <c r="C1873" t="s">
        <v>8</v>
      </c>
      <c r="D1873">
        <v>187.89</v>
      </c>
      <c r="E1873">
        <v>118.02</v>
      </c>
      <c r="F1873">
        <v>23151</v>
      </c>
      <c r="G1873" t="s">
        <v>9</v>
      </c>
      <c r="H1873">
        <f>_xlfn.LET(_xlpm.v, IFERROR(VLOOKUP($A1873, manifest!$A:$E, 3, FALSE), ""), IF(OR(_xlpm.v=0, _xlpm.v=""), "", _xlpm.v))</f>
        <v>60</v>
      </c>
      <c r="I1873" t="str">
        <f>_xlfn.LET(_xlpm.v, IFERROR(VLOOKUP($A1873, manifest!$A:$E, 5, FALSE), ""), IF(OR(_xlpm.v=0, _xlpm.v=""), "", _xlpm.v))</f>
        <v>female</v>
      </c>
    </row>
    <row r="1874" spans="1:9" x14ac:dyDescent="0.6">
      <c r="A1874">
        <v>408</v>
      </c>
      <c r="B1874" t="s">
        <v>14</v>
      </c>
      <c r="C1874" t="s">
        <v>10</v>
      </c>
      <c r="D1874">
        <v>199.24</v>
      </c>
      <c r="E1874">
        <v>143.13999999999999</v>
      </c>
      <c r="F1874">
        <v>24499</v>
      </c>
      <c r="H1874">
        <f>_xlfn.LET(_xlpm.v, IFERROR(VLOOKUP($A1874, manifest!$A:$E, 3, FALSE), ""), IF(OR(_xlpm.v=0, _xlpm.v=""), "", _xlpm.v))</f>
        <v>60</v>
      </c>
      <c r="I1874" t="str">
        <f>_xlfn.LET(_xlpm.v, IFERROR(VLOOKUP($A1874, manifest!$A:$E, 5, FALSE), ""), IF(OR(_xlpm.v=0, _xlpm.v=""), "", _xlpm.v))</f>
        <v>female</v>
      </c>
    </row>
    <row r="1875" spans="1:9" x14ac:dyDescent="0.6">
      <c r="A1875">
        <v>408</v>
      </c>
      <c r="B1875" t="s">
        <v>14</v>
      </c>
      <c r="C1875" t="s">
        <v>11</v>
      </c>
      <c r="D1875">
        <v>201.23</v>
      </c>
      <c r="E1875">
        <v>160.77000000000001</v>
      </c>
      <c r="F1875">
        <v>27321</v>
      </c>
      <c r="H1875">
        <f>_xlfn.LET(_xlpm.v, IFERROR(VLOOKUP($A1875, manifest!$A:$E, 3, FALSE), ""), IF(OR(_xlpm.v=0, _xlpm.v=""), "", _xlpm.v))</f>
        <v>60</v>
      </c>
      <c r="I1875" t="str">
        <f>_xlfn.LET(_xlpm.v, IFERROR(VLOOKUP($A1875, manifest!$A:$E, 5, FALSE), ""), IF(OR(_xlpm.v=0, _xlpm.v=""), "", _xlpm.v))</f>
        <v>female</v>
      </c>
    </row>
    <row r="1876" spans="1:9" x14ac:dyDescent="0.6">
      <c r="A1876">
        <v>408</v>
      </c>
      <c r="B1876" t="s">
        <v>14</v>
      </c>
      <c r="C1876" t="s">
        <v>12</v>
      </c>
      <c r="D1876">
        <v>185.96</v>
      </c>
      <c r="E1876">
        <v>141.37</v>
      </c>
      <c r="F1876">
        <v>28907</v>
      </c>
      <c r="H1876">
        <f>_xlfn.LET(_xlpm.v, IFERROR(VLOOKUP($A1876, manifest!$A:$E, 3, FALSE), ""), IF(OR(_xlpm.v=0, _xlpm.v=""), "", _xlpm.v))</f>
        <v>60</v>
      </c>
      <c r="I1876" t="str">
        <f>_xlfn.LET(_xlpm.v, IFERROR(VLOOKUP($A1876, manifest!$A:$E, 5, FALSE), ""), IF(OR(_xlpm.v=0, _xlpm.v=""), "", _xlpm.v))</f>
        <v>female</v>
      </c>
    </row>
    <row r="1877" spans="1:9" x14ac:dyDescent="0.6">
      <c r="A1877">
        <v>408</v>
      </c>
      <c r="B1877" t="s">
        <v>14</v>
      </c>
      <c r="C1877" t="s">
        <v>13</v>
      </c>
      <c r="D1877">
        <v>184.39</v>
      </c>
      <c r="E1877">
        <v>150.21</v>
      </c>
      <c r="F1877">
        <v>38397</v>
      </c>
      <c r="H1877">
        <f>_xlfn.LET(_xlpm.v, IFERROR(VLOOKUP($A1877, manifest!$A:$E, 3, FALSE), ""), IF(OR(_xlpm.v=0, _xlpm.v=""), "", _xlpm.v))</f>
        <v>60</v>
      </c>
      <c r="I1877" t="str">
        <f>_xlfn.LET(_xlpm.v, IFERROR(VLOOKUP($A1877, manifest!$A:$E, 5, FALSE), ""), IF(OR(_xlpm.v=0, _xlpm.v=""), "", _xlpm.v))</f>
        <v>female</v>
      </c>
    </row>
    <row r="1878" spans="1:9" x14ac:dyDescent="0.6">
      <c r="A1878">
        <v>397</v>
      </c>
      <c r="B1878" t="s">
        <v>7</v>
      </c>
      <c r="C1878" t="s">
        <v>8</v>
      </c>
      <c r="D1878">
        <v>185.92</v>
      </c>
      <c r="E1878">
        <v>134.49</v>
      </c>
      <c r="F1878">
        <v>31369</v>
      </c>
      <c r="G1878" t="s">
        <v>9</v>
      </c>
      <c r="H1878">
        <f>_xlfn.LET(_xlpm.v, IFERROR(VLOOKUP($A1878, manifest!$A:$E, 3, FALSE), ""), IF(OR(_xlpm.v=0, _xlpm.v=""), "", _xlpm.v))</f>
        <v>52</v>
      </c>
      <c r="I1878" t="str">
        <f>_xlfn.LET(_xlpm.v, IFERROR(VLOOKUP($A1878, manifest!$A:$E, 5, FALSE), ""), IF(OR(_xlpm.v=0, _xlpm.v=""), "", _xlpm.v))</f>
        <v>female</v>
      </c>
    </row>
    <row r="1879" spans="1:9" x14ac:dyDescent="0.6">
      <c r="A1879">
        <v>397</v>
      </c>
      <c r="B1879" t="s">
        <v>7</v>
      </c>
      <c r="C1879" t="s">
        <v>10</v>
      </c>
      <c r="D1879">
        <v>190.88</v>
      </c>
      <c r="E1879">
        <v>155.04</v>
      </c>
      <c r="F1879">
        <v>35820</v>
      </c>
      <c r="H1879">
        <f>_xlfn.LET(_xlpm.v, IFERROR(VLOOKUP($A1879, manifest!$A:$E, 3, FALSE), ""), IF(OR(_xlpm.v=0, _xlpm.v=""), "", _xlpm.v))</f>
        <v>52</v>
      </c>
      <c r="I1879" t="str">
        <f>_xlfn.LET(_xlpm.v, IFERROR(VLOOKUP($A1879, manifest!$A:$E, 5, FALSE), ""), IF(OR(_xlpm.v=0, _xlpm.v=""), "", _xlpm.v))</f>
        <v>female</v>
      </c>
    </row>
    <row r="1880" spans="1:9" x14ac:dyDescent="0.6">
      <c r="A1880">
        <v>397</v>
      </c>
      <c r="B1880" t="s">
        <v>7</v>
      </c>
      <c r="C1880" t="s">
        <v>11</v>
      </c>
      <c r="D1880">
        <v>179.65</v>
      </c>
      <c r="E1880">
        <v>159.49</v>
      </c>
      <c r="F1880">
        <v>36436</v>
      </c>
      <c r="H1880">
        <f>_xlfn.LET(_xlpm.v, IFERROR(VLOOKUP($A1880, manifest!$A:$E, 3, FALSE), ""), IF(OR(_xlpm.v=0, _xlpm.v=""), "", _xlpm.v))</f>
        <v>52</v>
      </c>
      <c r="I1880" t="str">
        <f>_xlfn.LET(_xlpm.v, IFERROR(VLOOKUP($A1880, manifest!$A:$E, 5, FALSE), ""), IF(OR(_xlpm.v=0, _xlpm.v=""), "", _xlpm.v))</f>
        <v>female</v>
      </c>
    </row>
    <row r="1881" spans="1:9" x14ac:dyDescent="0.6">
      <c r="A1881">
        <v>397</v>
      </c>
      <c r="B1881" t="s">
        <v>7</v>
      </c>
      <c r="C1881" t="s">
        <v>12</v>
      </c>
      <c r="D1881">
        <v>174.81</v>
      </c>
      <c r="E1881">
        <v>148.74</v>
      </c>
      <c r="F1881">
        <v>47890</v>
      </c>
      <c r="H1881">
        <f>_xlfn.LET(_xlpm.v, IFERROR(VLOOKUP($A1881, manifest!$A:$E, 3, FALSE), ""), IF(OR(_xlpm.v=0, _xlpm.v=""), "", _xlpm.v))</f>
        <v>52</v>
      </c>
      <c r="I1881" t="str">
        <f>_xlfn.LET(_xlpm.v, IFERROR(VLOOKUP($A1881, manifest!$A:$E, 5, FALSE), ""), IF(OR(_xlpm.v=0, _xlpm.v=""), "", _xlpm.v))</f>
        <v>female</v>
      </c>
    </row>
    <row r="1882" spans="1:9" x14ac:dyDescent="0.6">
      <c r="A1882">
        <v>397</v>
      </c>
      <c r="B1882" t="s">
        <v>7</v>
      </c>
      <c r="C1882" t="s">
        <v>13</v>
      </c>
      <c r="D1882">
        <v>210.96</v>
      </c>
      <c r="E1882">
        <v>188.85</v>
      </c>
      <c r="F1882">
        <v>47422</v>
      </c>
      <c r="H1882">
        <f>_xlfn.LET(_xlpm.v, IFERROR(VLOOKUP($A1882, manifest!$A:$E, 3, FALSE), ""), IF(OR(_xlpm.v=0, _xlpm.v=""), "", _xlpm.v))</f>
        <v>52</v>
      </c>
      <c r="I1882" t="str">
        <f>_xlfn.LET(_xlpm.v, IFERROR(VLOOKUP($A1882, manifest!$A:$E, 5, FALSE), ""), IF(OR(_xlpm.v=0, _xlpm.v=""), "", _xlpm.v))</f>
        <v>female</v>
      </c>
    </row>
    <row r="1883" spans="1:9" x14ac:dyDescent="0.6">
      <c r="A1883">
        <v>412</v>
      </c>
      <c r="B1883" t="s">
        <v>14</v>
      </c>
      <c r="C1883" t="s">
        <v>8</v>
      </c>
      <c r="D1883">
        <v>216.57</v>
      </c>
      <c r="E1883">
        <v>145</v>
      </c>
      <c r="F1883">
        <v>38076</v>
      </c>
      <c r="G1883" t="s">
        <v>9</v>
      </c>
      <c r="H1883" t="str">
        <f>_xlfn.LET(_xlpm.v, IFERROR(VLOOKUP($A1883, manifest!$A:$E, 3, FALSE), ""), IF(OR(_xlpm.v=0, _xlpm.v=""), "", _xlpm.v))</f>
        <v/>
      </c>
      <c r="I1883" t="str">
        <f>_xlfn.LET(_xlpm.v, IFERROR(VLOOKUP($A1883, manifest!$A:$E, 5, FALSE), ""), IF(OR(_xlpm.v=0, _xlpm.v=""), "", _xlpm.v))</f>
        <v>male</v>
      </c>
    </row>
    <row r="1884" spans="1:9" x14ac:dyDescent="0.6">
      <c r="A1884">
        <v>412</v>
      </c>
      <c r="B1884" t="s">
        <v>14</v>
      </c>
      <c r="C1884" t="s">
        <v>10</v>
      </c>
      <c r="D1884">
        <v>219.29</v>
      </c>
      <c r="E1884">
        <v>155.33000000000001</v>
      </c>
      <c r="F1884">
        <v>42051</v>
      </c>
      <c r="H1884" t="str">
        <f>_xlfn.LET(_xlpm.v, IFERROR(VLOOKUP($A1884, manifest!$A:$E, 3, FALSE), ""), IF(OR(_xlpm.v=0, _xlpm.v=""), "", _xlpm.v))</f>
        <v/>
      </c>
      <c r="I1884" t="str">
        <f>_xlfn.LET(_xlpm.v, IFERROR(VLOOKUP($A1884, manifest!$A:$E, 5, FALSE), ""), IF(OR(_xlpm.v=0, _xlpm.v=""), "", _xlpm.v))</f>
        <v>male</v>
      </c>
    </row>
    <row r="1885" spans="1:9" x14ac:dyDescent="0.6">
      <c r="A1885">
        <v>412</v>
      </c>
      <c r="B1885" t="s">
        <v>14</v>
      </c>
      <c r="C1885" t="s">
        <v>11</v>
      </c>
      <c r="D1885">
        <v>215.48</v>
      </c>
      <c r="E1885">
        <v>156.22999999999999</v>
      </c>
      <c r="F1885">
        <v>44547</v>
      </c>
      <c r="H1885" t="str">
        <f>_xlfn.LET(_xlpm.v, IFERROR(VLOOKUP($A1885, manifest!$A:$E, 3, FALSE), ""), IF(OR(_xlpm.v=0, _xlpm.v=""), "", _xlpm.v))</f>
        <v/>
      </c>
      <c r="I1885" t="str">
        <f>_xlfn.LET(_xlpm.v, IFERROR(VLOOKUP($A1885, manifest!$A:$E, 5, FALSE), ""), IF(OR(_xlpm.v=0, _xlpm.v=""), "", _xlpm.v))</f>
        <v>male</v>
      </c>
    </row>
    <row r="1886" spans="1:9" x14ac:dyDescent="0.6">
      <c r="A1886">
        <v>412</v>
      </c>
      <c r="B1886" t="s">
        <v>14</v>
      </c>
      <c r="C1886" t="s">
        <v>12</v>
      </c>
      <c r="D1886">
        <v>207.56</v>
      </c>
      <c r="E1886">
        <v>155.04</v>
      </c>
      <c r="F1886">
        <v>46052</v>
      </c>
      <c r="H1886" t="str">
        <f>_xlfn.LET(_xlpm.v, IFERROR(VLOOKUP($A1886, manifest!$A:$E, 3, FALSE), ""), IF(OR(_xlpm.v=0, _xlpm.v=""), "", _xlpm.v))</f>
        <v/>
      </c>
      <c r="I1886" t="str">
        <f>_xlfn.LET(_xlpm.v, IFERROR(VLOOKUP($A1886, manifest!$A:$E, 5, FALSE), ""), IF(OR(_xlpm.v=0, _xlpm.v=""), "", _xlpm.v))</f>
        <v>male</v>
      </c>
    </row>
    <row r="1887" spans="1:9" x14ac:dyDescent="0.6">
      <c r="A1887">
        <v>412</v>
      </c>
      <c r="B1887" t="s">
        <v>14</v>
      </c>
      <c r="C1887" t="s">
        <v>13</v>
      </c>
      <c r="D1887">
        <v>230.17</v>
      </c>
      <c r="E1887">
        <v>175.8</v>
      </c>
      <c r="F1887">
        <v>61304</v>
      </c>
      <c r="H1887" t="str">
        <f>_xlfn.LET(_xlpm.v, IFERROR(VLOOKUP($A1887, manifest!$A:$E, 3, FALSE), ""), IF(OR(_xlpm.v=0, _xlpm.v=""), "", _xlpm.v))</f>
        <v/>
      </c>
      <c r="I1887" t="str">
        <f>_xlfn.LET(_xlpm.v, IFERROR(VLOOKUP($A1887, manifest!$A:$E, 5, FALSE), ""), IF(OR(_xlpm.v=0, _xlpm.v=""), "", _xlpm.v))</f>
        <v>male</v>
      </c>
    </row>
    <row r="1888" spans="1:9" x14ac:dyDescent="0.6">
      <c r="A1888">
        <v>406</v>
      </c>
      <c r="B1888" t="s">
        <v>7</v>
      </c>
      <c r="C1888" t="s">
        <v>8</v>
      </c>
      <c r="D1888">
        <v>292.07</v>
      </c>
      <c r="E1888">
        <v>205.57</v>
      </c>
      <c r="F1888">
        <v>30691</v>
      </c>
      <c r="G1888" t="s">
        <v>9</v>
      </c>
      <c r="H1888" t="str">
        <f>_xlfn.LET(_xlpm.v, IFERROR(VLOOKUP($A1888, manifest!$A:$E, 3, FALSE), ""), IF(OR(_xlpm.v=0, _xlpm.v=""), "", _xlpm.v))</f>
        <v/>
      </c>
      <c r="I1888" t="str">
        <f>_xlfn.LET(_xlpm.v, IFERROR(VLOOKUP($A1888, manifest!$A:$E, 5, FALSE), ""), IF(OR(_xlpm.v=0, _xlpm.v=""), "", _xlpm.v))</f>
        <v>male</v>
      </c>
    </row>
    <row r="1889" spans="1:9" x14ac:dyDescent="0.6">
      <c r="A1889">
        <v>406</v>
      </c>
      <c r="B1889" t="s">
        <v>7</v>
      </c>
      <c r="C1889" t="s">
        <v>10</v>
      </c>
      <c r="D1889">
        <v>286.47000000000003</v>
      </c>
      <c r="E1889">
        <v>194.16</v>
      </c>
      <c r="F1889">
        <v>32498</v>
      </c>
      <c r="H1889" t="str">
        <f>_xlfn.LET(_xlpm.v, IFERROR(VLOOKUP($A1889, manifest!$A:$E, 3, FALSE), ""), IF(OR(_xlpm.v=0, _xlpm.v=""), "", _xlpm.v))</f>
        <v/>
      </c>
      <c r="I1889" t="str">
        <f>_xlfn.LET(_xlpm.v, IFERROR(VLOOKUP($A1889, manifest!$A:$E, 5, FALSE), ""), IF(OR(_xlpm.v=0, _xlpm.v=""), "", _xlpm.v))</f>
        <v>male</v>
      </c>
    </row>
    <row r="1890" spans="1:9" x14ac:dyDescent="0.6">
      <c r="A1890">
        <v>406</v>
      </c>
      <c r="B1890" t="s">
        <v>7</v>
      </c>
      <c r="C1890" t="s">
        <v>11</v>
      </c>
      <c r="D1890">
        <v>285.41000000000003</v>
      </c>
      <c r="E1890">
        <v>186.15</v>
      </c>
      <c r="F1890">
        <v>33656</v>
      </c>
      <c r="H1890" t="str">
        <f>_xlfn.LET(_xlpm.v, IFERROR(VLOOKUP($A1890, manifest!$A:$E, 3, FALSE), ""), IF(OR(_xlpm.v=0, _xlpm.v=""), "", _xlpm.v))</f>
        <v/>
      </c>
      <c r="I1890" t="str">
        <f>_xlfn.LET(_xlpm.v, IFERROR(VLOOKUP($A1890, manifest!$A:$E, 5, FALSE), ""), IF(OR(_xlpm.v=0, _xlpm.v=""), "", _xlpm.v))</f>
        <v>male</v>
      </c>
    </row>
    <row r="1891" spans="1:9" x14ac:dyDescent="0.6">
      <c r="A1891">
        <v>406</v>
      </c>
      <c r="B1891" t="s">
        <v>7</v>
      </c>
      <c r="C1891" t="s">
        <v>12</v>
      </c>
      <c r="D1891">
        <v>320.01</v>
      </c>
      <c r="E1891">
        <v>221.37</v>
      </c>
      <c r="F1891">
        <v>32555</v>
      </c>
      <c r="H1891" t="str">
        <f>_xlfn.LET(_xlpm.v, IFERROR(VLOOKUP($A1891, manifest!$A:$E, 3, FALSE), ""), IF(OR(_xlpm.v=0, _xlpm.v=""), "", _xlpm.v))</f>
        <v/>
      </c>
      <c r="I1891" t="str">
        <f>_xlfn.LET(_xlpm.v, IFERROR(VLOOKUP($A1891, manifest!$A:$E, 5, FALSE), ""), IF(OR(_xlpm.v=0, _xlpm.v=""), "", _xlpm.v))</f>
        <v>male</v>
      </c>
    </row>
    <row r="1892" spans="1:9" x14ac:dyDescent="0.6">
      <c r="A1892">
        <v>406</v>
      </c>
      <c r="B1892" t="s">
        <v>7</v>
      </c>
      <c r="C1892" t="s">
        <v>13</v>
      </c>
      <c r="D1892">
        <v>288.86</v>
      </c>
      <c r="E1892">
        <v>176.84</v>
      </c>
      <c r="F1892">
        <v>45562</v>
      </c>
      <c r="H1892" t="str">
        <f>_xlfn.LET(_xlpm.v, IFERROR(VLOOKUP($A1892, manifest!$A:$E, 3, FALSE), ""), IF(OR(_xlpm.v=0, _xlpm.v=""), "", _xlpm.v))</f>
        <v/>
      </c>
      <c r="I1892" t="str">
        <f>_xlfn.LET(_xlpm.v, IFERROR(VLOOKUP($A1892, manifest!$A:$E, 5, FALSE), ""), IF(OR(_xlpm.v=0, _xlpm.v=""), "", _xlpm.v))</f>
        <v>male</v>
      </c>
    </row>
    <row r="1893" spans="1:9" x14ac:dyDescent="0.6">
      <c r="A1893">
        <v>403</v>
      </c>
      <c r="B1893" t="s">
        <v>7</v>
      </c>
      <c r="C1893" t="s">
        <v>8</v>
      </c>
      <c r="D1893">
        <v>244.19</v>
      </c>
      <c r="E1893">
        <v>111.39</v>
      </c>
      <c r="F1893">
        <v>11221</v>
      </c>
      <c r="G1893" t="s">
        <v>9</v>
      </c>
      <c r="H1893" t="str">
        <f>_xlfn.LET(_xlpm.v, IFERROR(VLOOKUP($A1893, manifest!$A:$E, 3, FALSE), ""), IF(OR(_xlpm.v=0, _xlpm.v=""), "", _xlpm.v))</f>
        <v/>
      </c>
      <c r="I1893" t="str">
        <f>_xlfn.LET(_xlpm.v, IFERROR(VLOOKUP($A1893, manifest!$A:$E, 5, FALSE), ""), IF(OR(_xlpm.v=0, _xlpm.v=""), "", _xlpm.v))</f>
        <v>female</v>
      </c>
    </row>
    <row r="1894" spans="1:9" x14ac:dyDescent="0.6">
      <c r="A1894">
        <v>403</v>
      </c>
      <c r="B1894" t="s">
        <v>7</v>
      </c>
      <c r="C1894" t="s">
        <v>10</v>
      </c>
      <c r="D1894">
        <v>272.75</v>
      </c>
      <c r="E1894">
        <v>159.07</v>
      </c>
      <c r="F1894">
        <v>18074</v>
      </c>
      <c r="H1894" t="str">
        <f>_xlfn.LET(_xlpm.v, IFERROR(VLOOKUP($A1894, manifest!$A:$E, 3, FALSE), ""), IF(OR(_xlpm.v=0, _xlpm.v=""), "", _xlpm.v))</f>
        <v/>
      </c>
      <c r="I1894" t="str">
        <f>_xlfn.LET(_xlpm.v, IFERROR(VLOOKUP($A1894, manifest!$A:$E, 5, FALSE), ""), IF(OR(_xlpm.v=0, _xlpm.v=""), "", _xlpm.v))</f>
        <v>female</v>
      </c>
    </row>
    <row r="1895" spans="1:9" x14ac:dyDescent="0.6">
      <c r="A1895">
        <v>403</v>
      </c>
      <c r="B1895" t="s">
        <v>7</v>
      </c>
      <c r="C1895" t="s">
        <v>11</v>
      </c>
      <c r="D1895">
        <v>254.27</v>
      </c>
      <c r="E1895">
        <v>161.08000000000001</v>
      </c>
      <c r="F1895">
        <v>20605</v>
      </c>
      <c r="H1895" t="str">
        <f>_xlfn.LET(_xlpm.v, IFERROR(VLOOKUP($A1895, manifest!$A:$E, 3, FALSE), ""), IF(OR(_xlpm.v=0, _xlpm.v=""), "", _xlpm.v))</f>
        <v/>
      </c>
      <c r="I1895" t="str">
        <f>_xlfn.LET(_xlpm.v, IFERROR(VLOOKUP($A1895, manifest!$A:$E, 5, FALSE), ""), IF(OR(_xlpm.v=0, _xlpm.v=""), "", _xlpm.v))</f>
        <v>female</v>
      </c>
    </row>
    <row r="1896" spans="1:9" x14ac:dyDescent="0.6">
      <c r="A1896">
        <v>403</v>
      </c>
      <c r="B1896" t="s">
        <v>7</v>
      </c>
      <c r="C1896" t="s">
        <v>12</v>
      </c>
      <c r="D1896">
        <v>256.3</v>
      </c>
      <c r="E1896">
        <v>187.08</v>
      </c>
      <c r="F1896">
        <v>22522</v>
      </c>
      <c r="H1896" t="str">
        <f>_xlfn.LET(_xlpm.v, IFERROR(VLOOKUP($A1896, manifest!$A:$E, 3, FALSE), ""), IF(OR(_xlpm.v=0, _xlpm.v=""), "", _xlpm.v))</f>
        <v/>
      </c>
      <c r="I1896" t="str">
        <f>_xlfn.LET(_xlpm.v, IFERROR(VLOOKUP($A1896, manifest!$A:$E, 5, FALSE), ""), IF(OR(_xlpm.v=0, _xlpm.v=""), "", _xlpm.v))</f>
        <v>female</v>
      </c>
    </row>
    <row r="1897" spans="1:9" x14ac:dyDescent="0.6">
      <c r="A1897">
        <v>403</v>
      </c>
      <c r="B1897" t="s">
        <v>7</v>
      </c>
      <c r="C1897" t="s">
        <v>13</v>
      </c>
      <c r="D1897">
        <v>271</v>
      </c>
      <c r="E1897">
        <v>211.99</v>
      </c>
      <c r="F1897">
        <v>32945</v>
      </c>
      <c r="H1897" t="str">
        <f>_xlfn.LET(_xlpm.v, IFERROR(VLOOKUP($A1897, manifest!$A:$E, 3, FALSE), ""), IF(OR(_xlpm.v=0, _xlpm.v=""), "", _xlpm.v))</f>
        <v/>
      </c>
      <c r="I1897" t="str">
        <f>_xlfn.LET(_xlpm.v, IFERROR(VLOOKUP($A1897, manifest!$A:$E, 5, FALSE), ""), IF(OR(_xlpm.v=0, _xlpm.v=""), "", _xlpm.v))</f>
        <v>female</v>
      </c>
    </row>
    <row r="1898" spans="1:9" x14ac:dyDescent="0.6">
      <c r="A1898">
        <v>426</v>
      </c>
      <c r="B1898" t="s">
        <v>14</v>
      </c>
      <c r="C1898" t="s">
        <v>8</v>
      </c>
      <c r="D1898">
        <v>207.85</v>
      </c>
      <c r="E1898">
        <v>201.79</v>
      </c>
      <c r="F1898">
        <v>22607</v>
      </c>
      <c r="G1898" t="s">
        <v>9</v>
      </c>
      <c r="H1898">
        <f>_xlfn.LET(_xlpm.v, IFERROR(VLOOKUP($A1898, manifest!$A:$E, 3, FALSE), ""), IF(OR(_xlpm.v=0, _xlpm.v=""), "", _xlpm.v))</f>
        <v>70</v>
      </c>
      <c r="I1898" t="str">
        <f>_xlfn.LET(_xlpm.v, IFERROR(VLOOKUP($A1898, manifest!$A:$E, 5, FALSE), ""), IF(OR(_xlpm.v=0, _xlpm.v=""), "", _xlpm.v))</f>
        <v>female</v>
      </c>
    </row>
    <row r="1899" spans="1:9" x14ac:dyDescent="0.6">
      <c r="A1899">
        <v>426</v>
      </c>
      <c r="B1899" t="s">
        <v>14</v>
      </c>
      <c r="C1899" t="s">
        <v>10</v>
      </c>
      <c r="D1899">
        <v>214.74</v>
      </c>
      <c r="E1899">
        <v>224.68</v>
      </c>
      <c r="F1899">
        <v>26266</v>
      </c>
      <c r="H1899">
        <f>_xlfn.LET(_xlpm.v, IFERROR(VLOOKUP($A1899, manifest!$A:$E, 3, FALSE), ""), IF(OR(_xlpm.v=0, _xlpm.v=""), "", _xlpm.v))</f>
        <v>70</v>
      </c>
      <c r="I1899" t="str">
        <f>_xlfn.LET(_xlpm.v, IFERROR(VLOOKUP($A1899, manifest!$A:$E, 5, FALSE), ""), IF(OR(_xlpm.v=0, _xlpm.v=""), "", _xlpm.v))</f>
        <v>female</v>
      </c>
    </row>
    <row r="1900" spans="1:9" x14ac:dyDescent="0.6">
      <c r="A1900">
        <v>426</v>
      </c>
      <c r="B1900" t="s">
        <v>14</v>
      </c>
      <c r="C1900" t="s">
        <v>11</v>
      </c>
      <c r="D1900">
        <v>213.52</v>
      </c>
      <c r="E1900">
        <v>230.44</v>
      </c>
      <c r="F1900">
        <v>29450</v>
      </c>
      <c r="H1900">
        <f>_xlfn.LET(_xlpm.v, IFERROR(VLOOKUP($A1900, manifest!$A:$E, 3, FALSE), ""), IF(OR(_xlpm.v=0, _xlpm.v=""), "", _xlpm.v))</f>
        <v>70</v>
      </c>
      <c r="I1900" t="str">
        <f>_xlfn.LET(_xlpm.v, IFERROR(VLOOKUP($A1900, manifest!$A:$E, 5, FALSE), ""), IF(OR(_xlpm.v=0, _xlpm.v=""), "", _xlpm.v))</f>
        <v>female</v>
      </c>
    </row>
    <row r="1901" spans="1:9" x14ac:dyDescent="0.6">
      <c r="A1901">
        <v>426</v>
      </c>
      <c r="B1901" t="s">
        <v>14</v>
      </c>
      <c r="C1901" t="s">
        <v>12</v>
      </c>
      <c r="D1901">
        <v>210.69</v>
      </c>
      <c r="E1901">
        <v>245.21</v>
      </c>
      <c r="F1901">
        <v>32004</v>
      </c>
      <c r="H1901">
        <f>_xlfn.LET(_xlpm.v, IFERROR(VLOOKUP($A1901, manifest!$A:$E, 3, FALSE), ""), IF(OR(_xlpm.v=0, _xlpm.v=""), "", _xlpm.v))</f>
        <v>70</v>
      </c>
      <c r="I1901" t="str">
        <f>_xlfn.LET(_xlpm.v, IFERROR(VLOOKUP($A1901, manifest!$A:$E, 5, FALSE), ""), IF(OR(_xlpm.v=0, _xlpm.v=""), "", _xlpm.v))</f>
        <v>female</v>
      </c>
    </row>
    <row r="1902" spans="1:9" x14ac:dyDescent="0.6">
      <c r="A1902">
        <v>426</v>
      </c>
      <c r="B1902" t="s">
        <v>14</v>
      </c>
      <c r="C1902" t="s">
        <v>13</v>
      </c>
      <c r="D1902">
        <v>183.32</v>
      </c>
      <c r="E1902">
        <v>201.19</v>
      </c>
      <c r="F1902">
        <v>40580</v>
      </c>
      <c r="H1902">
        <f>_xlfn.LET(_xlpm.v, IFERROR(VLOOKUP($A1902, manifest!$A:$E, 3, FALSE), ""), IF(OR(_xlpm.v=0, _xlpm.v=""), "", _xlpm.v))</f>
        <v>70</v>
      </c>
      <c r="I1902" t="str">
        <f>_xlfn.LET(_xlpm.v, IFERROR(VLOOKUP($A1902, manifest!$A:$E, 5, FALSE), ""), IF(OR(_xlpm.v=0, _xlpm.v=""), "", _xlpm.v))</f>
        <v>female</v>
      </c>
    </row>
    <row r="1903" spans="1:9" x14ac:dyDescent="0.6">
      <c r="A1903">
        <v>413</v>
      </c>
      <c r="B1903" t="s">
        <v>7</v>
      </c>
      <c r="C1903" t="s">
        <v>8</v>
      </c>
      <c r="D1903">
        <v>244.59</v>
      </c>
      <c r="E1903">
        <v>181.47</v>
      </c>
      <c r="F1903">
        <v>25574</v>
      </c>
      <c r="G1903" t="s">
        <v>9</v>
      </c>
      <c r="H1903" t="str">
        <f>_xlfn.LET(_xlpm.v, IFERROR(VLOOKUP($A1903, manifest!$A:$E, 3, FALSE), ""), IF(OR(_xlpm.v=0, _xlpm.v=""), "", _xlpm.v))</f>
        <v/>
      </c>
      <c r="I1903" t="str">
        <f>_xlfn.LET(_xlpm.v, IFERROR(VLOOKUP($A1903, manifest!$A:$E, 5, FALSE), ""), IF(OR(_xlpm.v=0, _xlpm.v=""), "", _xlpm.v))</f>
        <v>female</v>
      </c>
    </row>
    <row r="1904" spans="1:9" x14ac:dyDescent="0.6">
      <c r="A1904">
        <v>413</v>
      </c>
      <c r="B1904" t="s">
        <v>7</v>
      </c>
      <c r="C1904" t="s">
        <v>10</v>
      </c>
      <c r="D1904">
        <v>299.11</v>
      </c>
      <c r="E1904">
        <v>283.62</v>
      </c>
      <c r="F1904">
        <v>31101</v>
      </c>
      <c r="H1904" t="str">
        <f>_xlfn.LET(_xlpm.v, IFERROR(VLOOKUP($A1904, manifest!$A:$E, 3, FALSE), ""), IF(OR(_xlpm.v=0, _xlpm.v=""), "", _xlpm.v))</f>
        <v/>
      </c>
      <c r="I1904" t="str">
        <f>_xlfn.LET(_xlpm.v, IFERROR(VLOOKUP($A1904, manifest!$A:$E, 5, FALSE), ""), IF(OR(_xlpm.v=0, _xlpm.v=""), "", _xlpm.v))</f>
        <v>female</v>
      </c>
    </row>
    <row r="1905" spans="1:9" x14ac:dyDescent="0.6">
      <c r="A1905">
        <v>413</v>
      </c>
      <c r="B1905" t="s">
        <v>7</v>
      </c>
      <c r="C1905" t="s">
        <v>11</v>
      </c>
      <c r="D1905">
        <v>293.99</v>
      </c>
      <c r="E1905">
        <v>283.60000000000002</v>
      </c>
      <c r="F1905">
        <v>30448</v>
      </c>
      <c r="H1905" t="str">
        <f>_xlfn.LET(_xlpm.v, IFERROR(VLOOKUP($A1905, manifest!$A:$E, 3, FALSE), ""), IF(OR(_xlpm.v=0, _xlpm.v=""), "", _xlpm.v))</f>
        <v/>
      </c>
      <c r="I1905" t="str">
        <f>_xlfn.LET(_xlpm.v, IFERROR(VLOOKUP($A1905, manifest!$A:$E, 5, FALSE), ""), IF(OR(_xlpm.v=0, _xlpm.v=""), "", _xlpm.v))</f>
        <v>female</v>
      </c>
    </row>
    <row r="1906" spans="1:9" x14ac:dyDescent="0.6">
      <c r="A1906">
        <v>413</v>
      </c>
      <c r="B1906" t="s">
        <v>7</v>
      </c>
      <c r="C1906" t="s">
        <v>12</v>
      </c>
      <c r="D1906">
        <v>263.64</v>
      </c>
      <c r="E1906">
        <v>217.82</v>
      </c>
      <c r="F1906">
        <v>39283</v>
      </c>
      <c r="H1906" t="str">
        <f>_xlfn.LET(_xlpm.v, IFERROR(VLOOKUP($A1906, manifest!$A:$E, 3, FALSE), ""), IF(OR(_xlpm.v=0, _xlpm.v=""), "", _xlpm.v))</f>
        <v/>
      </c>
      <c r="I1906" t="str">
        <f>_xlfn.LET(_xlpm.v, IFERROR(VLOOKUP($A1906, manifest!$A:$E, 5, FALSE), ""), IF(OR(_xlpm.v=0, _xlpm.v=""), "", _xlpm.v))</f>
        <v>female</v>
      </c>
    </row>
    <row r="1907" spans="1:9" x14ac:dyDescent="0.6">
      <c r="A1907">
        <v>413</v>
      </c>
      <c r="B1907" t="s">
        <v>7</v>
      </c>
      <c r="C1907" t="s">
        <v>13</v>
      </c>
      <c r="D1907">
        <v>291.64</v>
      </c>
      <c r="E1907">
        <v>241.22</v>
      </c>
      <c r="F1907">
        <v>45290</v>
      </c>
      <c r="H1907" t="str">
        <f>_xlfn.LET(_xlpm.v, IFERROR(VLOOKUP($A1907, manifest!$A:$E, 3, FALSE), ""), IF(OR(_xlpm.v=0, _xlpm.v=""), "", _xlpm.v))</f>
        <v/>
      </c>
      <c r="I1907" t="str">
        <f>_xlfn.LET(_xlpm.v, IFERROR(VLOOKUP($A1907, manifest!$A:$E, 5, FALSE), ""), IF(OR(_xlpm.v=0, _xlpm.v=""), "", _xlpm.v))</f>
        <v>female</v>
      </c>
    </row>
    <row r="1908" spans="1:9" x14ac:dyDescent="0.6">
      <c r="A1908">
        <v>396</v>
      </c>
      <c r="B1908" t="s">
        <v>7</v>
      </c>
      <c r="C1908" t="s">
        <v>8</v>
      </c>
      <c r="D1908">
        <v>218.7</v>
      </c>
      <c r="E1908">
        <v>138.41</v>
      </c>
      <c r="F1908">
        <v>36140</v>
      </c>
      <c r="G1908" t="s">
        <v>9</v>
      </c>
      <c r="H1908">
        <f>_xlfn.LET(_xlpm.v, IFERROR(VLOOKUP($A1908, manifest!$A:$E, 3, FALSE), ""), IF(OR(_xlpm.v=0, _xlpm.v=""), "", _xlpm.v))</f>
        <v>59</v>
      </c>
      <c r="I1908" t="str">
        <f>_xlfn.LET(_xlpm.v, IFERROR(VLOOKUP($A1908, manifest!$A:$E, 5, FALSE), ""), IF(OR(_xlpm.v=0, _xlpm.v=""), "", _xlpm.v))</f>
        <v>male</v>
      </c>
    </row>
    <row r="1909" spans="1:9" x14ac:dyDescent="0.6">
      <c r="A1909">
        <v>396</v>
      </c>
      <c r="B1909" t="s">
        <v>7</v>
      </c>
      <c r="C1909" t="s">
        <v>10</v>
      </c>
      <c r="D1909">
        <v>219.31</v>
      </c>
      <c r="E1909">
        <v>165.38</v>
      </c>
      <c r="F1909">
        <v>41509</v>
      </c>
      <c r="H1909">
        <f>_xlfn.LET(_xlpm.v, IFERROR(VLOOKUP($A1909, manifest!$A:$E, 3, FALSE), ""), IF(OR(_xlpm.v=0, _xlpm.v=""), "", _xlpm.v))</f>
        <v>59</v>
      </c>
      <c r="I1909" t="str">
        <f>_xlfn.LET(_xlpm.v, IFERROR(VLOOKUP($A1909, manifest!$A:$E, 5, FALSE), ""), IF(OR(_xlpm.v=0, _xlpm.v=""), "", _xlpm.v))</f>
        <v>male</v>
      </c>
    </row>
    <row r="1910" spans="1:9" x14ac:dyDescent="0.6">
      <c r="A1910">
        <v>396</v>
      </c>
      <c r="B1910" t="s">
        <v>7</v>
      </c>
      <c r="C1910" t="s">
        <v>11</v>
      </c>
      <c r="D1910">
        <v>214.59</v>
      </c>
      <c r="E1910">
        <v>161.16</v>
      </c>
      <c r="F1910">
        <v>44008</v>
      </c>
      <c r="H1910">
        <f>_xlfn.LET(_xlpm.v, IFERROR(VLOOKUP($A1910, manifest!$A:$E, 3, FALSE), ""), IF(OR(_xlpm.v=0, _xlpm.v=""), "", _xlpm.v))</f>
        <v>59</v>
      </c>
      <c r="I1910" t="str">
        <f>_xlfn.LET(_xlpm.v, IFERROR(VLOOKUP($A1910, manifest!$A:$E, 5, FALSE), ""), IF(OR(_xlpm.v=0, _xlpm.v=""), "", _xlpm.v))</f>
        <v>male</v>
      </c>
    </row>
    <row r="1911" spans="1:9" x14ac:dyDescent="0.6">
      <c r="A1911">
        <v>396</v>
      </c>
      <c r="B1911" t="s">
        <v>7</v>
      </c>
      <c r="C1911" t="s">
        <v>12</v>
      </c>
      <c r="D1911">
        <v>204.9</v>
      </c>
      <c r="E1911">
        <v>145.27000000000001</v>
      </c>
      <c r="F1911">
        <v>50032</v>
      </c>
      <c r="H1911">
        <f>_xlfn.LET(_xlpm.v, IFERROR(VLOOKUP($A1911, manifest!$A:$E, 3, FALSE), ""), IF(OR(_xlpm.v=0, _xlpm.v=""), "", _xlpm.v))</f>
        <v>59</v>
      </c>
      <c r="I1911" t="str">
        <f>_xlfn.LET(_xlpm.v, IFERROR(VLOOKUP($A1911, manifest!$A:$E, 5, FALSE), ""), IF(OR(_xlpm.v=0, _xlpm.v=""), "", _xlpm.v))</f>
        <v>male</v>
      </c>
    </row>
    <row r="1912" spans="1:9" x14ac:dyDescent="0.6">
      <c r="A1912">
        <v>396</v>
      </c>
      <c r="B1912" t="s">
        <v>7</v>
      </c>
      <c r="C1912" t="s">
        <v>13</v>
      </c>
      <c r="D1912">
        <v>209.84</v>
      </c>
      <c r="E1912">
        <v>158.56</v>
      </c>
      <c r="F1912">
        <v>64531</v>
      </c>
      <c r="H1912">
        <f>_xlfn.LET(_xlpm.v, IFERROR(VLOOKUP($A1912, manifest!$A:$E, 3, FALSE), ""), IF(OR(_xlpm.v=0, _xlpm.v=""), "", _xlpm.v))</f>
        <v>59</v>
      </c>
      <c r="I1912" t="str">
        <f>_xlfn.LET(_xlpm.v, IFERROR(VLOOKUP($A1912, manifest!$A:$E, 5, FALSE), ""), IF(OR(_xlpm.v=0, _xlpm.v=""), "", _xlpm.v))</f>
        <v>male</v>
      </c>
    </row>
    <row r="1913" spans="1:9" x14ac:dyDescent="0.6">
      <c r="A1913">
        <v>398</v>
      </c>
      <c r="B1913" t="s">
        <v>7</v>
      </c>
      <c r="C1913" t="s">
        <v>8</v>
      </c>
      <c r="D1913">
        <v>142.54</v>
      </c>
      <c r="E1913">
        <v>135.12</v>
      </c>
      <c r="F1913">
        <v>29370</v>
      </c>
      <c r="G1913" t="s">
        <v>15</v>
      </c>
      <c r="H1913">
        <f>_xlfn.LET(_xlpm.v, IFERROR(VLOOKUP($A1913, manifest!$A:$E, 3, FALSE), ""), IF(OR(_xlpm.v=0, _xlpm.v=""), "", _xlpm.v))</f>
        <v>66</v>
      </c>
      <c r="I1913" t="str">
        <f>_xlfn.LET(_xlpm.v, IFERROR(VLOOKUP($A1913, manifest!$A:$E, 5, FALSE), ""), IF(OR(_xlpm.v=0, _xlpm.v=""), "", _xlpm.v))</f>
        <v>female</v>
      </c>
    </row>
    <row r="1914" spans="1:9" x14ac:dyDescent="0.6">
      <c r="A1914">
        <v>398</v>
      </c>
      <c r="B1914" t="s">
        <v>7</v>
      </c>
      <c r="C1914" t="s">
        <v>10</v>
      </c>
      <c r="D1914">
        <v>160.34</v>
      </c>
      <c r="E1914">
        <v>157.97</v>
      </c>
      <c r="F1914">
        <v>30879</v>
      </c>
      <c r="H1914">
        <f>_xlfn.LET(_xlpm.v, IFERROR(VLOOKUP($A1914, manifest!$A:$E, 3, FALSE), ""), IF(OR(_xlpm.v=0, _xlpm.v=""), "", _xlpm.v))</f>
        <v>66</v>
      </c>
      <c r="I1914" t="str">
        <f>_xlfn.LET(_xlpm.v, IFERROR(VLOOKUP($A1914, manifest!$A:$E, 5, FALSE), ""), IF(OR(_xlpm.v=0, _xlpm.v=""), "", _xlpm.v))</f>
        <v>female</v>
      </c>
    </row>
    <row r="1915" spans="1:9" x14ac:dyDescent="0.6">
      <c r="A1915">
        <v>398</v>
      </c>
      <c r="B1915" t="s">
        <v>7</v>
      </c>
      <c r="C1915" t="s">
        <v>11</v>
      </c>
      <c r="D1915">
        <v>170.22</v>
      </c>
      <c r="E1915">
        <v>179.62</v>
      </c>
      <c r="F1915">
        <v>35344</v>
      </c>
      <c r="H1915">
        <f>_xlfn.LET(_xlpm.v, IFERROR(VLOOKUP($A1915, manifest!$A:$E, 3, FALSE), ""), IF(OR(_xlpm.v=0, _xlpm.v=""), "", _xlpm.v))</f>
        <v>66</v>
      </c>
      <c r="I1915" t="str">
        <f>_xlfn.LET(_xlpm.v, IFERROR(VLOOKUP($A1915, manifest!$A:$E, 5, FALSE), ""), IF(OR(_xlpm.v=0, _xlpm.v=""), "", _xlpm.v))</f>
        <v>female</v>
      </c>
    </row>
    <row r="1916" spans="1:9" x14ac:dyDescent="0.6">
      <c r="A1916">
        <v>398</v>
      </c>
      <c r="B1916" t="s">
        <v>7</v>
      </c>
      <c r="C1916" t="s">
        <v>12</v>
      </c>
      <c r="D1916">
        <v>171.24</v>
      </c>
      <c r="E1916">
        <v>183.21</v>
      </c>
      <c r="F1916">
        <v>40669</v>
      </c>
      <c r="H1916">
        <f>_xlfn.LET(_xlpm.v, IFERROR(VLOOKUP($A1916, manifest!$A:$E, 3, FALSE), ""), IF(OR(_xlpm.v=0, _xlpm.v=""), "", _xlpm.v))</f>
        <v>66</v>
      </c>
      <c r="I1916" t="str">
        <f>_xlfn.LET(_xlpm.v, IFERROR(VLOOKUP($A1916, manifest!$A:$E, 5, FALSE), ""), IF(OR(_xlpm.v=0, _xlpm.v=""), "", _xlpm.v))</f>
        <v>female</v>
      </c>
    </row>
    <row r="1917" spans="1:9" x14ac:dyDescent="0.6">
      <c r="A1917">
        <v>398</v>
      </c>
      <c r="B1917" t="s">
        <v>7</v>
      </c>
      <c r="C1917" t="s">
        <v>13</v>
      </c>
      <c r="D1917">
        <v>170.52</v>
      </c>
      <c r="E1917">
        <v>177.16</v>
      </c>
      <c r="F1917">
        <v>46112</v>
      </c>
      <c r="H1917">
        <f>_xlfn.LET(_xlpm.v, IFERROR(VLOOKUP($A1917, manifest!$A:$E, 3, FALSE), ""), IF(OR(_xlpm.v=0, _xlpm.v=""), "", _xlpm.v))</f>
        <v>66</v>
      </c>
      <c r="I1917" t="str">
        <f>_xlfn.LET(_xlpm.v, IFERROR(VLOOKUP($A1917, manifest!$A:$E, 5, FALSE), ""), IF(OR(_xlpm.v=0, _xlpm.v=""), "", _xlpm.v))</f>
        <v>female</v>
      </c>
    </row>
    <row r="1918" spans="1:9" x14ac:dyDescent="0.6">
      <c r="A1918">
        <v>424</v>
      </c>
      <c r="B1918" t="s">
        <v>14</v>
      </c>
      <c r="C1918" t="s">
        <v>8</v>
      </c>
      <c r="D1918">
        <v>273.2</v>
      </c>
      <c r="E1918">
        <v>201.68</v>
      </c>
      <c r="F1918">
        <v>23933</v>
      </c>
      <c r="G1918" t="s">
        <v>9</v>
      </c>
      <c r="H1918">
        <f>_xlfn.LET(_xlpm.v, IFERROR(VLOOKUP($A1918, manifest!$A:$E, 3, FALSE), ""), IF(OR(_xlpm.v=0, _xlpm.v=""), "", _xlpm.v))</f>
        <v>50</v>
      </c>
      <c r="I1918" t="str">
        <f>_xlfn.LET(_xlpm.v, IFERROR(VLOOKUP($A1918, manifest!$A:$E, 5, FALSE), ""), IF(OR(_xlpm.v=0, _xlpm.v=""), "", _xlpm.v))</f>
        <v>female</v>
      </c>
    </row>
    <row r="1919" spans="1:9" x14ac:dyDescent="0.6">
      <c r="A1919">
        <v>424</v>
      </c>
      <c r="B1919" t="s">
        <v>14</v>
      </c>
      <c r="C1919" t="s">
        <v>10</v>
      </c>
      <c r="D1919">
        <v>289.14</v>
      </c>
      <c r="E1919">
        <v>252.93</v>
      </c>
      <c r="F1919">
        <v>26964</v>
      </c>
      <c r="H1919">
        <f>_xlfn.LET(_xlpm.v, IFERROR(VLOOKUP($A1919, manifest!$A:$E, 3, FALSE), ""), IF(OR(_xlpm.v=0, _xlpm.v=""), "", _xlpm.v))</f>
        <v>50</v>
      </c>
      <c r="I1919" t="str">
        <f>_xlfn.LET(_xlpm.v, IFERROR(VLOOKUP($A1919, manifest!$A:$E, 5, FALSE), ""), IF(OR(_xlpm.v=0, _xlpm.v=""), "", _xlpm.v))</f>
        <v>female</v>
      </c>
    </row>
    <row r="1920" spans="1:9" x14ac:dyDescent="0.6">
      <c r="A1920">
        <v>424</v>
      </c>
      <c r="B1920" t="s">
        <v>14</v>
      </c>
      <c r="C1920" t="s">
        <v>11</v>
      </c>
      <c r="D1920">
        <v>313.22000000000003</v>
      </c>
      <c r="E1920">
        <v>275.64</v>
      </c>
      <c r="F1920">
        <v>29338</v>
      </c>
      <c r="H1920">
        <f>_xlfn.LET(_xlpm.v, IFERROR(VLOOKUP($A1920, manifest!$A:$E, 3, FALSE), ""), IF(OR(_xlpm.v=0, _xlpm.v=""), "", _xlpm.v))</f>
        <v>50</v>
      </c>
      <c r="I1920" t="str">
        <f>_xlfn.LET(_xlpm.v, IFERROR(VLOOKUP($A1920, manifest!$A:$E, 5, FALSE), ""), IF(OR(_xlpm.v=0, _xlpm.v=""), "", _xlpm.v))</f>
        <v>female</v>
      </c>
    </row>
    <row r="1921" spans="1:9" x14ac:dyDescent="0.6">
      <c r="A1921">
        <v>424</v>
      </c>
      <c r="B1921" t="s">
        <v>14</v>
      </c>
      <c r="C1921" t="s">
        <v>12</v>
      </c>
      <c r="D1921">
        <v>278.64</v>
      </c>
      <c r="E1921">
        <v>234.04</v>
      </c>
      <c r="F1921">
        <v>35759</v>
      </c>
      <c r="H1921">
        <f>_xlfn.LET(_xlpm.v, IFERROR(VLOOKUP($A1921, manifest!$A:$E, 3, FALSE), ""), IF(OR(_xlpm.v=0, _xlpm.v=""), "", _xlpm.v))</f>
        <v>50</v>
      </c>
      <c r="I1921" t="str">
        <f>_xlfn.LET(_xlpm.v, IFERROR(VLOOKUP($A1921, manifest!$A:$E, 5, FALSE), ""), IF(OR(_xlpm.v=0, _xlpm.v=""), "", _xlpm.v))</f>
        <v>female</v>
      </c>
    </row>
    <row r="1922" spans="1:9" x14ac:dyDescent="0.6">
      <c r="A1922">
        <v>424</v>
      </c>
      <c r="B1922" t="s">
        <v>14</v>
      </c>
      <c r="C1922" t="s">
        <v>13</v>
      </c>
      <c r="D1922">
        <v>297.45999999999998</v>
      </c>
      <c r="E1922">
        <v>234.99</v>
      </c>
      <c r="F1922">
        <v>40806</v>
      </c>
      <c r="H1922">
        <f>_xlfn.LET(_xlpm.v, IFERROR(VLOOKUP($A1922, manifest!$A:$E, 3, FALSE), ""), IF(OR(_xlpm.v=0, _xlpm.v=""), "", _xlpm.v))</f>
        <v>50</v>
      </c>
      <c r="I1922" t="str">
        <f>_xlfn.LET(_xlpm.v, IFERROR(VLOOKUP($A1922, manifest!$A:$E, 5, FALSE), ""), IF(OR(_xlpm.v=0, _xlpm.v=""), "", _xlpm.v))</f>
        <v>female</v>
      </c>
    </row>
    <row r="1923" spans="1:9" x14ac:dyDescent="0.6">
      <c r="A1923">
        <v>414</v>
      </c>
      <c r="B1923" t="s">
        <v>14</v>
      </c>
      <c r="C1923" t="s">
        <v>8</v>
      </c>
      <c r="D1923">
        <v>242.17</v>
      </c>
      <c r="E1923">
        <v>279.8</v>
      </c>
      <c r="F1923">
        <v>35391</v>
      </c>
      <c r="G1923" t="s">
        <v>9</v>
      </c>
      <c r="H1923" t="str">
        <f>_xlfn.LET(_xlpm.v, IFERROR(VLOOKUP($A1923, manifest!$A:$E, 3, FALSE), ""), IF(OR(_xlpm.v=0, _xlpm.v=""), "", _xlpm.v))</f>
        <v/>
      </c>
      <c r="I1923" t="str">
        <f>_xlfn.LET(_xlpm.v, IFERROR(VLOOKUP($A1923, manifest!$A:$E, 5, FALSE), ""), IF(OR(_xlpm.v=0, _xlpm.v=""), "", _xlpm.v))</f>
        <v>female</v>
      </c>
    </row>
    <row r="1924" spans="1:9" x14ac:dyDescent="0.6">
      <c r="A1924">
        <v>414</v>
      </c>
      <c r="B1924" t="s">
        <v>14</v>
      </c>
      <c r="C1924" t="s">
        <v>10</v>
      </c>
      <c r="D1924">
        <v>249.42</v>
      </c>
      <c r="E1924">
        <v>287.31</v>
      </c>
      <c r="F1924">
        <v>46588</v>
      </c>
      <c r="H1924" t="str">
        <f>_xlfn.LET(_xlpm.v, IFERROR(VLOOKUP($A1924, manifest!$A:$E, 3, FALSE), ""), IF(OR(_xlpm.v=0, _xlpm.v=""), "", _xlpm.v))</f>
        <v/>
      </c>
      <c r="I1924" t="str">
        <f>_xlfn.LET(_xlpm.v, IFERROR(VLOOKUP($A1924, manifest!$A:$E, 5, FALSE), ""), IF(OR(_xlpm.v=0, _xlpm.v=""), "", _xlpm.v))</f>
        <v>female</v>
      </c>
    </row>
    <row r="1925" spans="1:9" x14ac:dyDescent="0.6">
      <c r="A1925">
        <v>414</v>
      </c>
      <c r="B1925" t="s">
        <v>14</v>
      </c>
      <c r="C1925" t="s">
        <v>11</v>
      </c>
      <c r="D1925">
        <v>217.71</v>
      </c>
      <c r="E1925">
        <v>258.20999999999998</v>
      </c>
      <c r="F1925">
        <v>51145</v>
      </c>
      <c r="H1925" t="str">
        <f>_xlfn.LET(_xlpm.v, IFERROR(VLOOKUP($A1925, manifest!$A:$E, 3, FALSE), ""), IF(OR(_xlpm.v=0, _xlpm.v=""), "", _xlpm.v))</f>
        <v/>
      </c>
      <c r="I1925" t="str">
        <f>_xlfn.LET(_xlpm.v, IFERROR(VLOOKUP($A1925, manifest!$A:$E, 5, FALSE), ""), IF(OR(_xlpm.v=0, _xlpm.v=""), "", _xlpm.v))</f>
        <v>female</v>
      </c>
    </row>
    <row r="1926" spans="1:9" x14ac:dyDescent="0.6">
      <c r="A1926">
        <v>414</v>
      </c>
      <c r="B1926" t="s">
        <v>14</v>
      </c>
      <c r="C1926" t="s">
        <v>12</v>
      </c>
      <c r="D1926">
        <v>212.5</v>
      </c>
      <c r="E1926">
        <v>238.82</v>
      </c>
      <c r="F1926">
        <v>65208</v>
      </c>
      <c r="H1926" t="str">
        <f>_xlfn.LET(_xlpm.v, IFERROR(VLOOKUP($A1926, manifest!$A:$E, 3, FALSE), ""), IF(OR(_xlpm.v=0, _xlpm.v=""), "", _xlpm.v))</f>
        <v/>
      </c>
      <c r="I1926" t="str">
        <f>_xlfn.LET(_xlpm.v, IFERROR(VLOOKUP($A1926, manifest!$A:$E, 5, FALSE), ""), IF(OR(_xlpm.v=0, _xlpm.v=""), "", _xlpm.v))</f>
        <v>female</v>
      </c>
    </row>
    <row r="1927" spans="1:9" x14ac:dyDescent="0.6">
      <c r="A1927">
        <v>414</v>
      </c>
      <c r="B1927" t="s">
        <v>14</v>
      </c>
      <c r="C1927" t="s">
        <v>13</v>
      </c>
      <c r="D1927">
        <v>250.83</v>
      </c>
      <c r="E1927">
        <v>262.77</v>
      </c>
      <c r="F1927">
        <v>56756</v>
      </c>
      <c r="H1927" t="str">
        <f>_xlfn.LET(_xlpm.v, IFERROR(VLOOKUP($A1927, manifest!$A:$E, 3, FALSE), ""), IF(OR(_xlpm.v=0, _xlpm.v=""), "", _xlpm.v))</f>
        <v/>
      </c>
      <c r="I1927" t="str">
        <f>_xlfn.LET(_xlpm.v, IFERROR(VLOOKUP($A1927, manifest!$A:$E, 5, FALSE), ""), IF(OR(_xlpm.v=0, _xlpm.v=""), "", _xlpm.v))</f>
        <v>female</v>
      </c>
    </row>
    <row r="1928" spans="1:9" x14ac:dyDescent="0.6">
      <c r="A1928">
        <v>405</v>
      </c>
      <c r="B1928" t="s">
        <v>14</v>
      </c>
      <c r="C1928" t="s">
        <v>8</v>
      </c>
      <c r="D1928">
        <v>258.18</v>
      </c>
      <c r="E1928">
        <v>176.26</v>
      </c>
      <c r="F1928">
        <v>29914</v>
      </c>
      <c r="G1928" t="s">
        <v>9</v>
      </c>
      <c r="H1928">
        <f>_xlfn.LET(_xlpm.v, IFERROR(VLOOKUP($A1928, manifest!$A:$E, 3, FALSE), ""), IF(OR(_xlpm.v=0, _xlpm.v=""), "", _xlpm.v))</f>
        <v>60</v>
      </c>
      <c r="I1928" t="str">
        <f>_xlfn.LET(_xlpm.v, IFERROR(VLOOKUP($A1928, manifest!$A:$E, 5, FALSE), ""), IF(OR(_xlpm.v=0, _xlpm.v=""), "", _xlpm.v))</f>
        <v>male</v>
      </c>
    </row>
    <row r="1929" spans="1:9" x14ac:dyDescent="0.6">
      <c r="A1929">
        <v>405</v>
      </c>
      <c r="B1929" t="s">
        <v>14</v>
      </c>
      <c r="C1929" t="s">
        <v>10</v>
      </c>
      <c r="D1929">
        <v>267.58</v>
      </c>
      <c r="E1929">
        <v>211.72</v>
      </c>
      <c r="F1929">
        <v>44838</v>
      </c>
      <c r="H1929">
        <f>_xlfn.LET(_xlpm.v, IFERROR(VLOOKUP($A1929, manifest!$A:$E, 3, FALSE), ""), IF(OR(_xlpm.v=0, _xlpm.v=""), "", _xlpm.v))</f>
        <v>60</v>
      </c>
      <c r="I1929" t="str">
        <f>_xlfn.LET(_xlpm.v, IFERROR(VLOOKUP($A1929, manifest!$A:$E, 5, FALSE), ""), IF(OR(_xlpm.v=0, _xlpm.v=""), "", _xlpm.v))</f>
        <v>male</v>
      </c>
    </row>
    <row r="1930" spans="1:9" x14ac:dyDescent="0.6">
      <c r="A1930">
        <v>405</v>
      </c>
      <c r="B1930" t="s">
        <v>14</v>
      </c>
      <c r="C1930" t="s">
        <v>11</v>
      </c>
      <c r="D1930">
        <v>276.10000000000002</v>
      </c>
      <c r="E1930">
        <v>226.29</v>
      </c>
      <c r="F1930">
        <v>50334</v>
      </c>
      <c r="H1930">
        <f>_xlfn.LET(_xlpm.v, IFERROR(VLOOKUP($A1930, manifest!$A:$E, 3, FALSE), ""), IF(OR(_xlpm.v=0, _xlpm.v=""), "", _xlpm.v))</f>
        <v>60</v>
      </c>
      <c r="I1930" t="str">
        <f>_xlfn.LET(_xlpm.v, IFERROR(VLOOKUP($A1930, manifest!$A:$E, 5, FALSE), ""), IF(OR(_xlpm.v=0, _xlpm.v=""), "", _xlpm.v))</f>
        <v>male</v>
      </c>
    </row>
    <row r="1931" spans="1:9" x14ac:dyDescent="0.6">
      <c r="A1931">
        <v>405</v>
      </c>
      <c r="B1931" t="s">
        <v>14</v>
      </c>
      <c r="C1931" t="s">
        <v>12</v>
      </c>
      <c r="D1931">
        <v>248.34</v>
      </c>
      <c r="E1931">
        <v>208.41</v>
      </c>
      <c r="F1931">
        <v>42486</v>
      </c>
      <c r="H1931">
        <f>_xlfn.LET(_xlpm.v, IFERROR(VLOOKUP($A1931, manifest!$A:$E, 3, FALSE), ""), IF(OR(_xlpm.v=0, _xlpm.v=""), "", _xlpm.v))</f>
        <v>60</v>
      </c>
      <c r="I1931" t="str">
        <f>_xlfn.LET(_xlpm.v, IFERROR(VLOOKUP($A1931, manifest!$A:$E, 5, FALSE), ""), IF(OR(_xlpm.v=0, _xlpm.v=""), "", _xlpm.v))</f>
        <v>male</v>
      </c>
    </row>
    <row r="1932" spans="1:9" x14ac:dyDescent="0.6">
      <c r="A1932">
        <v>405</v>
      </c>
      <c r="B1932" t="s">
        <v>14</v>
      </c>
      <c r="C1932" t="s">
        <v>13</v>
      </c>
      <c r="D1932">
        <v>250.19</v>
      </c>
      <c r="E1932">
        <v>199.82</v>
      </c>
      <c r="F1932">
        <v>50465</v>
      </c>
      <c r="H1932">
        <f>_xlfn.LET(_xlpm.v, IFERROR(VLOOKUP($A1932, manifest!$A:$E, 3, FALSE), ""), IF(OR(_xlpm.v=0, _xlpm.v=""), "", _xlpm.v))</f>
        <v>60</v>
      </c>
      <c r="I1932" t="str">
        <f>_xlfn.LET(_xlpm.v, IFERROR(VLOOKUP($A1932, manifest!$A:$E, 5, FALSE), ""), IF(OR(_xlpm.v=0, _xlpm.v=""), "", _xlpm.v))</f>
        <v>male</v>
      </c>
    </row>
    <row r="1933" spans="1:9" x14ac:dyDescent="0.6">
      <c r="A1933">
        <v>399</v>
      </c>
      <c r="B1933" t="s">
        <v>14</v>
      </c>
      <c r="C1933" t="s">
        <v>8</v>
      </c>
      <c r="D1933">
        <v>218.85</v>
      </c>
      <c r="E1933">
        <v>142.37</v>
      </c>
      <c r="F1933">
        <v>25837</v>
      </c>
      <c r="G1933" t="s">
        <v>9</v>
      </c>
      <c r="H1933">
        <f>_xlfn.LET(_xlpm.v, IFERROR(VLOOKUP($A1933, manifest!$A:$E, 3, FALSE), ""), IF(OR(_xlpm.v=0, _xlpm.v=""), "", _xlpm.v))</f>
        <v>55</v>
      </c>
      <c r="I1933" t="str">
        <f>_xlfn.LET(_xlpm.v, IFERROR(VLOOKUP($A1933, manifest!$A:$E, 5, FALSE), ""), IF(OR(_xlpm.v=0, _xlpm.v=""), "", _xlpm.v))</f>
        <v>female</v>
      </c>
    </row>
    <row r="1934" spans="1:9" x14ac:dyDescent="0.6">
      <c r="A1934">
        <v>399</v>
      </c>
      <c r="B1934" t="s">
        <v>14</v>
      </c>
      <c r="C1934" t="s">
        <v>10</v>
      </c>
      <c r="D1934">
        <v>270.74</v>
      </c>
      <c r="E1934">
        <v>251.08</v>
      </c>
      <c r="F1934">
        <v>30815</v>
      </c>
      <c r="H1934">
        <f>_xlfn.LET(_xlpm.v, IFERROR(VLOOKUP($A1934, manifest!$A:$E, 3, FALSE), ""), IF(OR(_xlpm.v=0, _xlpm.v=""), "", _xlpm.v))</f>
        <v>55</v>
      </c>
      <c r="I1934" t="str">
        <f>_xlfn.LET(_xlpm.v, IFERROR(VLOOKUP($A1934, manifest!$A:$E, 5, FALSE), ""), IF(OR(_xlpm.v=0, _xlpm.v=""), "", _xlpm.v))</f>
        <v>female</v>
      </c>
    </row>
    <row r="1935" spans="1:9" x14ac:dyDescent="0.6">
      <c r="A1935">
        <v>399</v>
      </c>
      <c r="B1935" t="s">
        <v>14</v>
      </c>
      <c r="C1935" t="s">
        <v>11</v>
      </c>
      <c r="D1935">
        <v>248.5</v>
      </c>
      <c r="E1935">
        <v>222.46</v>
      </c>
      <c r="F1935">
        <v>36355</v>
      </c>
      <c r="H1935">
        <f>_xlfn.LET(_xlpm.v, IFERROR(VLOOKUP($A1935, manifest!$A:$E, 3, FALSE), ""), IF(OR(_xlpm.v=0, _xlpm.v=""), "", _xlpm.v))</f>
        <v>55</v>
      </c>
      <c r="I1935" t="str">
        <f>_xlfn.LET(_xlpm.v, IFERROR(VLOOKUP($A1935, manifest!$A:$E, 5, FALSE), ""), IF(OR(_xlpm.v=0, _xlpm.v=""), "", _xlpm.v))</f>
        <v>female</v>
      </c>
    </row>
    <row r="1936" spans="1:9" x14ac:dyDescent="0.6">
      <c r="A1936">
        <v>399</v>
      </c>
      <c r="B1936" t="s">
        <v>14</v>
      </c>
      <c r="C1936" t="s">
        <v>12</v>
      </c>
      <c r="D1936">
        <v>234.06</v>
      </c>
      <c r="E1936">
        <v>221.73</v>
      </c>
      <c r="F1936">
        <v>39260</v>
      </c>
      <c r="H1936">
        <f>_xlfn.LET(_xlpm.v, IFERROR(VLOOKUP($A1936, manifest!$A:$E, 3, FALSE), ""), IF(OR(_xlpm.v=0, _xlpm.v=""), "", _xlpm.v))</f>
        <v>55</v>
      </c>
      <c r="I1936" t="str">
        <f>_xlfn.LET(_xlpm.v, IFERROR(VLOOKUP($A1936, manifest!$A:$E, 5, FALSE), ""), IF(OR(_xlpm.v=0, _xlpm.v=""), "", _xlpm.v))</f>
        <v>female</v>
      </c>
    </row>
    <row r="1937" spans="1:9" x14ac:dyDescent="0.6">
      <c r="A1937">
        <v>399</v>
      </c>
      <c r="B1937" t="s">
        <v>14</v>
      </c>
      <c r="C1937" t="s">
        <v>13</v>
      </c>
      <c r="D1937">
        <v>219.21</v>
      </c>
      <c r="E1937">
        <v>184.97</v>
      </c>
      <c r="F1937">
        <v>49608</v>
      </c>
      <c r="H1937">
        <f>_xlfn.LET(_xlpm.v, IFERROR(VLOOKUP($A1937, manifest!$A:$E, 3, FALSE), ""), IF(OR(_xlpm.v=0, _xlpm.v=""), "", _xlpm.v))</f>
        <v>55</v>
      </c>
      <c r="I1937" t="str">
        <f>_xlfn.LET(_xlpm.v, IFERROR(VLOOKUP($A1937, manifest!$A:$E, 5, FALSE), ""), IF(OR(_xlpm.v=0, _xlpm.v=""), "", _xlpm.v))</f>
        <v>female</v>
      </c>
    </row>
    <row r="1938" spans="1:9" x14ac:dyDescent="0.6">
      <c r="A1938">
        <v>410</v>
      </c>
      <c r="B1938" t="s">
        <v>7</v>
      </c>
      <c r="C1938" t="s">
        <v>8</v>
      </c>
      <c r="D1938">
        <v>326.3</v>
      </c>
      <c r="E1938">
        <v>151.63</v>
      </c>
      <c r="F1938">
        <v>39362</v>
      </c>
      <c r="G1938" t="s">
        <v>9</v>
      </c>
      <c r="H1938" t="str">
        <f>_xlfn.LET(_xlpm.v, IFERROR(VLOOKUP($A1938, manifest!$A:$E, 3, FALSE), ""), IF(OR(_xlpm.v=0, _xlpm.v=""), "", _xlpm.v))</f>
        <v/>
      </c>
      <c r="I1938" t="str">
        <f>_xlfn.LET(_xlpm.v, IFERROR(VLOOKUP($A1938, manifest!$A:$E, 5, FALSE), ""), IF(OR(_xlpm.v=0, _xlpm.v=""), "", _xlpm.v))</f>
        <v>male</v>
      </c>
    </row>
    <row r="1939" spans="1:9" x14ac:dyDescent="0.6">
      <c r="A1939">
        <v>410</v>
      </c>
      <c r="B1939" t="s">
        <v>7</v>
      </c>
      <c r="C1939" t="s">
        <v>10</v>
      </c>
      <c r="D1939">
        <v>328.79</v>
      </c>
      <c r="E1939">
        <v>163.51</v>
      </c>
      <c r="F1939">
        <v>43952</v>
      </c>
      <c r="H1939" t="str">
        <f>_xlfn.LET(_xlpm.v, IFERROR(VLOOKUP($A1939, manifest!$A:$E, 3, FALSE), ""), IF(OR(_xlpm.v=0, _xlpm.v=""), "", _xlpm.v))</f>
        <v/>
      </c>
      <c r="I1939" t="str">
        <f>_xlfn.LET(_xlpm.v, IFERROR(VLOOKUP($A1939, manifest!$A:$E, 5, FALSE), ""), IF(OR(_xlpm.v=0, _xlpm.v=""), "", _xlpm.v))</f>
        <v>male</v>
      </c>
    </row>
    <row r="1940" spans="1:9" x14ac:dyDescent="0.6">
      <c r="A1940">
        <v>410</v>
      </c>
      <c r="B1940" t="s">
        <v>7</v>
      </c>
      <c r="C1940" t="s">
        <v>11</v>
      </c>
      <c r="D1940">
        <v>314.89</v>
      </c>
      <c r="E1940">
        <v>157.97</v>
      </c>
      <c r="F1940">
        <v>49889</v>
      </c>
      <c r="H1940" t="str">
        <f>_xlfn.LET(_xlpm.v, IFERROR(VLOOKUP($A1940, manifest!$A:$E, 3, FALSE), ""), IF(OR(_xlpm.v=0, _xlpm.v=""), "", _xlpm.v))</f>
        <v/>
      </c>
      <c r="I1940" t="str">
        <f>_xlfn.LET(_xlpm.v, IFERROR(VLOOKUP($A1940, manifest!$A:$E, 5, FALSE), ""), IF(OR(_xlpm.v=0, _xlpm.v=""), "", _xlpm.v))</f>
        <v>male</v>
      </c>
    </row>
    <row r="1941" spans="1:9" x14ac:dyDescent="0.6">
      <c r="A1941">
        <v>410</v>
      </c>
      <c r="B1941" t="s">
        <v>7</v>
      </c>
      <c r="C1941" t="s">
        <v>12</v>
      </c>
      <c r="D1941">
        <v>291.5</v>
      </c>
      <c r="E1941">
        <v>148.16999999999999</v>
      </c>
      <c r="F1941">
        <v>60870</v>
      </c>
      <c r="H1941" t="str">
        <f>_xlfn.LET(_xlpm.v, IFERROR(VLOOKUP($A1941, manifest!$A:$E, 3, FALSE), ""), IF(OR(_xlpm.v=0, _xlpm.v=""), "", _xlpm.v))</f>
        <v/>
      </c>
      <c r="I1941" t="str">
        <f>_xlfn.LET(_xlpm.v, IFERROR(VLOOKUP($A1941, manifest!$A:$E, 5, FALSE), ""), IF(OR(_xlpm.v=0, _xlpm.v=""), "", _xlpm.v))</f>
        <v>male</v>
      </c>
    </row>
    <row r="1942" spans="1:9" x14ac:dyDescent="0.6">
      <c r="A1942">
        <v>410</v>
      </c>
      <c r="B1942" t="s">
        <v>7</v>
      </c>
      <c r="C1942" t="s">
        <v>13</v>
      </c>
      <c r="D1942">
        <v>305.79000000000002</v>
      </c>
      <c r="E1942">
        <v>172.54</v>
      </c>
      <c r="F1942">
        <v>65454</v>
      </c>
      <c r="H1942" t="str">
        <f>_xlfn.LET(_xlpm.v, IFERROR(VLOOKUP($A1942, manifest!$A:$E, 3, FALSE), ""), IF(OR(_xlpm.v=0, _xlpm.v=""), "", _xlpm.v))</f>
        <v/>
      </c>
      <c r="I1942" t="str">
        <f>_xlfn.LET(_xlpm.v, IFERROR(VLOOKUP($A1942, manifest!$A:$E, 5, FALSE), ""), IF(OR(_xlpm.v=0, _xlpm.v=""), "", _xlpm.v))</f>
        <v>male</v>
      </c>
    </row>
    <row r="1943" spans="1:9" x14ac:dyDescent="0.6">
      <c r="A1943">
        <v>394</v>
      </c>
      <c r="B1943" t="s">
        <v>7</v>
      </c>
      <c r="C1943" t="s">
        <v>8</v>
      </c>
      <c r="D1943">
        <v>213.22</v>
      </c>
      <c r="E1943">
        <v>149.38999999999999</v>
      </c>
      <c r="F1943">
        <v>35082</v>
      </c>
      <c r="G1943" t="s">
        <v>9</v>
      </c>
      <c r="H1943">
        <f>_xlfn.LET(_xlpm.v, IFERROR(VLOOKUP($A1943, manifest!$A:$E, 3, FALSE), ""), IF(OR(_xlpm.v=0, _xlpm.v=""), "", _xlpm.v))</f>
        <v>55</v>
      </c>
      <c r="I1943" t="str">
        <f>_xlfn.LET(_xlpm.v, IFERROR(VLOOKUP($A1943, manifest!$A:$E, 5, FALSE), ""), IF(OR(_xlpm.v=0, _xlpm.v=""), "", _xlpm.v))</f>
        <v>male</v>
      </c>
    </row>
    <row r="1944" spans="1:9" x14ac:dyDescent="0.6">
      <c r="A1944">
        <v>394</v>
      </c>
      <c r="B1944" t="s">
        <v>7</v>
      </c>
      <c r="C1944" t="s">
        <v>10</v>
      </c>
      <c r="D1944">
        <v>222.3</v>
      </c>
      <c r="E1944">
        <v>167.08</v>
      </c>
      <c r="F1944">
        <v>31797</v>
      </c>
      <c r="H1944">
        <f>_xlfn.LET(_xlpm.v, IFERROR(VLOOKUP($A1944, manifest!$A:$E, 3, FALSE), ""), IF(OR(_xlpm.v=0, _xlpm.v=""), "", _xlpm.v))</f>
        <v>55</v>
      </c>
      <c r="I1944" t="str">
        <f>_xlfn.LET(_xlpm.v, IFERROR(VLOOKUP($A1944, manifest!$A:$E, 5, FALSE), ""), IF(OR(_xlpm.v=0, _xlpm.v=""), "", _xlpm.v))</f>
        <v>male</v>
      </c>
    </row>
    <row r="1945" spans="1:9" x14ac:dyDescent="0.6">
      <c r="A1945">
        <v>394</v>
      </c>
      <c r="B1945" t="s">
        <v>7</v>
      </c>
      <c r="C1945" t="s">
        <v>11</v>
      </c>
      <c r="D1945">
        <v>229.02</v>
      </c>
      <c r="E1945">
        <v>177.49</v>
      </c>
      <c r="F1945">
        <v>36610</v>
      </c>
      <c r="H1945">
        <f>_xlfn.LET(_xlpm.v, IFERROR(VLOOKUP($A1945, manifest!$A:$E, 3, FALSE), ""), IF(OR(_xlpm.v=0, _xlpm.v=""), "", _xlpm.v))</f>
        <v>55</v>
      </c>
      <c r="I1945" t="str">
        <f>_xlfn.LET(_xlpm.v, IFERROR(VLOOKUP($A1945, manifest!$A:$E, 5, FALSE), ""), IF(OR(_xlpm.v=0, _xlpm.v=""), "", _xlpm.v))</f>
        <v>male</v>
      </c>
    </row>
    <row r="1946" spans="1:9" x14ac:dyDescent="0.6">
      <c r="A1946">
        <v>394</v>
      </c>
      <c r="B1946" t="s">
        <v>7</v>
      </c>
      <c r="C1946" t="s">
        <v>12</v>
      </c>
      <c r="D1946">
        <v>213.85</v>
      </c>
      <c r="E1946">
        <v>143.91999999999999</v>
      </c>
      <c r="F1946">
        <v>38436</v>
      </c>
      <c r="H1946">
        <f>_xlfn.LET(_xlpm.v, IFERROR(VLOOKUP($A1946, manifest!$A:$E, 3, FALSE), ""), IF(OR(_xlpm.v=0, _xlpm.v=""), "", _xlpm.v))</f>
        <v>55</v>
      </c>
      <c r="I1946" t="str">
        <f>_xlfn.LET(_xlpm.v, IFERROR(VLOOKUP($A1946, manifest!$A:$E, 5, FALSE), ""), IF(OR(_xlpm.v=0, _xlpm.v=""), "", _xlpm.v))</f>
        <v>male</v>
      </c>
    </row>
    <row r="1947" spans="1:9" x14ac:dyDescent="0.6">
      <c r="A1947">
        <v>394</v>
      </c>
      <c r="B1947" t="s">
        <v>7</v>
      </c>
      <c r="C1947" t="s">
        <v>13</v>
      </c>
      <c r="D1947">
        <v>237.26</v>
      </c>
      <c r="E1947">
        <v>153.09</v>
      </c>
      <c r="F1947">
        <v>56151</v>
      </c>
      <c r="H1947">
        <f>_xlfn.LET(_xlpm.v, IFERROR(VLOOKUP($A1947, manifest!$A:$E, 3, FALSE), ""), IF(OR(_xlpm.v=0, _xlpm.v=""), "", _xlpm.v))</f>
        <v>55</v>
      </c>
      <c r="I1947" t="str">
        <f>_xlfn.LET(_xlpm.v, IFERROR(VLOOKUP($A1947, manifest!$A:$E, 5, FALSE), ""), IF(OR(_xlpm.v=0, _xlpm.v=""), "", _xlpm.v))</f>
        <v>male</v>
      </c>
    </row>
    <row r="1948" spans="1:9" x14ac:dyDescent="0.6">
      <c r="A1948">
        <v>418</v>
      </c>
      <c r="B1948" t="s">
        <v>7</v>
      </c>
      <c r="C1948" t="s">
        <v>8</v>
      </c>
      <c r="D1948">
        <v>302.79000000000002</v>
      </c>
      <c r="E1948">
        <v>232.33</v>
      </c>
      <c r="F1948">
        <v>33049</v>
      </c>
      <c r="G1948" t="s">
        <v>9</v>
      </c>
      <c r="H1948">
        <f>_xlfn.LET(_xlpm.v, IFERROR(VLOOKUP($A1948, manifest!$A:$E, 3, FALSE), ""), IF(OR(_xlpm.v=0, _xlpm.v=""), "", _xlpm.v))</f>
        <v>50</v>
      </c>
      <c r="I1948" t="str">
        <f>_xlfn.LET(_xlpm.v, IFERROR(VLOOKUP($A1948, manifest!$A:$E, 5, FALSE), ""), IF(OR(_xlpm.v=0, _xlpm.v=""), "", _xlpm.v))</f>
        <v>female</v>
      </c>
    </row>
    <row r="1949" spans="1:9" x14ac:dyDescent="0.6">
      <c r="A1949">
        <v>418</v>
      </c>
      <c r="B1949" t="s">
        <v>7</v>
      </c>
      <c r="C1949" t="s">
        <v>10</v>
      </c>
      <c r="D1949">
        <v>327.19</v>
      </c>
      <c r="E1949">
        <v>265.57</v>
      </c>
      <c r="F1949">
        <v>36611</v>
      </c>
      <c r="H1949">
        <f>_xlfn.LET(_xlpm.v, IFERROR(VLOOKUP($A1949, manifest!$A:$E, 3, FALSE), ""), IF(OR(_xlpm.v=0, _xlpm.v=""), "", _xlpm.v))</f>
        <v>50</v>
      </c>
      <c r="I1949" t="str">
        <f>_xlfn.LET(_xlpm.v, IFERROR(VLOOKUP($A1949, manifest!$A:$E, 5, FALSE), ""), IF(OR(_xlpm.v=0, _xlpm.v=""), "", _xlpm.v))</f>
        <v>female</v>
      </c>
    </row>
    <row r="1950" spans="1:9" x14ac:dyDescent="0.6">
      <c r="A1950">
        <v>418</v>
      </c>
      <c r="B1950" t="s">
        <v>7</v>
      </c>
      <c r="C1950" t="s">
        <v>11</v>
      </c>
      <c r="D1950">
        <v>336.85</v>
      </c>
      <c r="E1950">
        <v>268.95999999999998</v>
      </c>
      <c r="F1950">
        <v>39110</v>
      </c>
      <c r="H1950">
        <f>_xlfn.LET(_xlpm.v, IFERROR(VLOOKUP($A1950, manifest!$A:$E, 3, FALSE), ""), IF(OR(_xlpm.v=0, _xlpm.v=""), "", _xlpm.v))</f>
        <v>50</v>
      </c>
      <c r="I1950" t="str">
        <f>_xlfn.LET(_xlpm.v, IFERROR(VLOOKUP($A1950, manifest!$A:$E, 5, FALSE), ""), IF(OR(_xlpm.v=0, _xlpm.v=""), "", _xlpm.v))</f>
        <v>female</v>
      </c>
    </row>
    <row r="1951" spans="1:9" x14ac:dyDescent="0.6">
      <c r="A1951">
        <v>418</v>
      </c>
      <c r="B1951" t="s">
        <v>7</v>
      </c>
      <c r="C1951" t="s">
        <v>12</v>
      </c>
      <c r="D1951">
        <v>339.4</v>
      </c>
      <c r="E1951">
        <v>262.5</v>
      </c>
      <c r="F1951">
        <v>42851</v>
      </c>
      <c r="H1951">
        <f>_xlfn.LET(_xlpm.v, IFERROR(VLOOKUP($A1951, manifest!$A:$E, 3, FALSE), ""), IF(OR(_xlpm.v=0, _xlpm.v=""), "", _xlpm.v))</f>
        <v>50</v>
      </c>
      <c r="I1951" t="str">
        <f>_xlfn.LET(_xlpm.v, IFERROR(VLOOKUP($A1951, manifest!$A:$E, 5, FALSE), ""), IF(OR(_xlpm.v=0, _xlpm.v=""), "", _xlpm.v))</f>
        <v>female</v>
      </c>
    </row>
    <row r="1952" spans="1:9" x14ac:dyDescent="0.6">
      <c r="A1952">
        <v>418</v>
      </c>
      <c r="B1952" t="s">
        <v>7</v>
      </c>
      <c r="C1952" t="s">
        <v>13</v>
      </c>
      <c r="D1952">
        <v>316.86</v>
      </c>
      <c r="E1952">
        <v>224.17</v>
      </c>
      <c r="F1952">
        <v>52202</v>
      </c>
      <c r="H1952">
        <f>_xlfn.LET(_xlpm.v, IFERROR(VLOOKUP($A1952, manifest!$A:$E, 3, FALSE), ""), IF(OR(_xlpm.v=0, _xlpm.v=""), "", _xlpm.v))</f>
        <v>50</v>
      </c>
      <c r="I1952" t="str">
        <f>_xlfn.LET(_xlpm.v, IFERROR(VLOOKUP($A1952, manifest!$A:$E, 5, FALSE), ""), IF(OR(_xlpm.v=0, _xlpm.v=""), "", _xlpm.v))</f>
        <v>female</v>
      </c>
    </row>
    <row r="1953" spans="1:9" x14ac:dyDescent="0.6">
      <c r="A1953">
        <v>416</v>
      </c>
      <c r="B1953" t="s">
        <v>7</v>
      </c>
      <c r="C1953" t="s">
        <v>8</v>
      </c>
      <c r="D1953">
        <v>214.17</v>
      </c>
      <c r="E1953">
        <v>161.58000000000001</v>
      </c>
      <c r="F1953">
        <v>49493</v>
      </c>
      <c r="G1953" t="s">
        <v>9</v>
      </c>
      <c r="H1953">
        <f>_xlfn.LET(_xlpm.v, IFERROR(VLOOKUP($A1953, manifest!$A:$E, 3, FALSE), ""), IF(OR(_xlpm.v=0, _xlpm.v=""), "", _xlpm.v))</f>
        <v>50</v>
      </c>
      <c r="I1953" t="str">
        <f>_xlfn.LET(_xlpm.v, IFERROR(VLOOKUP($A1953, manifest!$A:$E, 5, FALSE), ""), IF(OR(_xlpm.v=0, _xlpm.v=""), "", _xlpm.v))</f>
        <v>male</v>
      </c>
    </row>
    <row r="1954" spans="1:9" x14ac:dyDescent="0.6">
      <c r="A1954">
        <v>416</v>
      </c>
      <c r="B1954" t="s">
        <v>7</v>
      </c>
      <c r="C1954" t="s">
        <v>10</v>
      </c>
      <c r="D1954">
        <v>241.14</v>
      </c>
      <c r="E1954">
        <v>187.76</v>
      </c>
      <c r="F1954">
        <v>52792</v>
      </c>
      <c r="H1954">
        <f>_xlfn.LET(_xlpm.v, IFERROR(VLOOKUP($A1954, manifest!$A:$E, 3, FALSE), ""), IF(OR(_xlpm.v=0, _xlpm.v=""), "", _xlpm.v))</f>
        <v>50</v>
      </c>
      <c r="I1954" t="str">
        <f>_xlfn.LET(_xlpm.v, IFERROR(VLOOKUP($A1954, manifest!$A:$E, 5, FALSE), ""), IF(OR(_xlpm.v=0, _xlpm.v=""), "", _xlpm.v))</f>
        <v>male</v>
      </c>
    </row>
    <row r="1955" spans="1:9" x14ac:dyDescent="0.6">
      <c r="A1955">
        <v>416</v>
      </c>
      <c r="B1955" t="s">
        <v>7</v>
      </c>
      <c r="C1955" t="s">
        <v>11</v>
      </c>
      <c r="D1955">
        <v>250.17</v>
      </c>
      <c r="E1955">
        <v>191.33</v>
      </c>
      <c r="F1955">
        <v>61532</v>
      </c>
      <c r="H1955">
        <f>_xlfn.LET(_xlpm.v, IFERROR(VLOOKUP($A1955, manifest!$A:$E, 3, FALSE), ""), IF(OR(_xlpm.v=0, _xlpm.v=""), "", _xlpm.v))</f>
        <v>50</v>
      </c>
      <c r="I1955" t="str">
        <f>_xlfn.LET(_xlpm.v, IFERROR(VLOOKUP($A1955, manifest!$A:$E, 5, FALSE), ""), IF(OR(_xlpm.v=0, _xlpm.v=""), "", _xlpm.v))</f>
        <v>male</v>
      </c>
    </row>
    <row r="1956" spans="1:9" x14ac:dyDescent="0.6">
      <c r="A1956">
        <v>416</v>
      </c>
      <c r="B1956" t="s">
        <v>7</v>
      </c>
      <c r="C1956" t="s">
        <v>12</v>
      </c>
      <c r="D1956">
        <v>237.04</v>
      </c>
      <c r="E1956">
        <v>186.53</v>
      </c>
      <c r="F1956">
        <v>74409</v>
      </c>
      <c r="H1956">
        <f>_xlfn.LET(_xlpm.v, IFERROR(VLOOKUP($A1956, manifest!$A:$E, 3, FALSE), ""), IF(OR(_xlpm.v=0, _xlpm.v=""), "", _xlpm.v))</f>
        <v>50</v>
      </c>
      <c r="I1956" t="str">
        <f>_xlfn.LET(_xlpm.v, IFERROR(VLOOKUP($A1956, manifest!$A:$E, 5, FALSE), ""), IF(OR(_xlpm.v=0, _xlpm.v=""), "", _xlpm.v))</f>
        <v>male</v>
      </c>
    </row>
    <row r="1957" spans="1:9" x14ac:dyDescent="0.6">
      <c r="A1957">
        <v>416</v>
      </c>
      <c r="B1957" t="s">
        <v>7</v>
      </c>
      <c r="C1957" t="s">
        <v>13</v>
      </c>
      <c r="D1957">
        <v>227.2</v>
      </c>
      <c r="E1957">
        <v>158.94999999999999</v>
      </c>
      <c r="F1957">
        <v>76687</v>
      </c>
      <c r="H1957">
        <f>_xlfn.LET(_xlpm.v, IFERROR(VLOOKUP($A1957, manifest!$A:$E, 3, FALSE), ""), IF(OR(_xlpm.v=0, _xlpm.v=""), "", _xlpm.v))</f>
        <v>50</v>
      </c>
      <c r="I1957" t="str">
        <f>_xlfn.LET(_xlpm.v, IFERROR(VLOOKUP($A1957, manifest!$A:$E, 5, FALSE), ""), IF(OR(_xlpm.v=0, _xlpm.v=""), "", _xlpm.v))</f>
        <v>male</v>
      </c>
    </row>
    <row r="1958" spans="1:9" x14ac:dyDescent="0.6">
      <c r="A1958">
        <v>420</v>
      </c>
      <c r="B1958" t="s">
        <v>7</v>
      </c>
      <c r="C1958" t="s">
        <v>8</v>
      </c>
      <c r="D1958">
        <v>262.14999999999998</v>
      </c>
      <c r="E1958">
        <v>173.16</v>
      </c>
      <c r="F1958">
        <v>19033</v>
      </c>
      <c r="G1958" t="s">
        <v>9</v>
      </c>
      <c r="H1958">
        <f>_xlfn.LET(_xlpm.v, IFERROR(VLOOKUP($A1958, manifest!$A:$E, 3, FALSE), ""), IF(OR(_xlpm.v=0, _xlpm.v=""), "", _xlpm.v))</f>
        <v>50</v>
      </c>
      <c r="I1958" t="str">
        <f>_xlfn.LET(_xlpm.v, IFERROR(VLOOKUP($A1958, manifest!$A:$E, 5, FALSE), ""), IF(OR(_xlpm.v=0, _xlpm.v=""), "", _xlpm.v))</f>
        <v>female</v>
      </c>
    </row>
    <row r="1959" spans="1:9" x14ac:dyDescent="0.6">
      <c r="A1959">
        <v>420</v>
      </c>
      <c r="B1959" t="s">
        <v>7</v>
      </c>
      <c r="C1959" t="s">
        <v>10</v>
      </c>
      <c r="D1959">
        <v>292.76</v>
      </c>
      <c r="E1959">
        <v>244.69</v>
      </c>
      <c r="F1959">
        <v>22269</v>
      </c>
      <c r="H1959">
        <f>_xlfn.LET(_xlpm.v, IFERROR(VLOOKUP($A1959, manifest!$A:$E, 3, FALSE), ""), IF(OR(_xlpm.v=0, _xlpm.v=""), "", _xlpm.v))</f>
        <v>50</v>
      </c>
      <c r="I1959" t="str">
        <f>_xlfn.LET(_xlpm.v, IFERROR(VLOOKUP($A1959, manifest!$A:$E, 5, FALSE), ""), IF(OR(_xlpm.v=0, _xlpm.v=""), "", _xlpm.v))</f>
        <v>female</v>
      </c>
    </row>
    <row r="1960" spans="1:9" x14ac:dyDescent="0.6">
      <c r="A1960">
        <v>420</v>
      </c>
      <c r="B1960" t="s">
        <v>7</v>
      </c>
      <c r="C1960" t="s">
        <v>11</v>
      </c>
      <c r="D1960">
        <v>279.66000000000003</v>
      </c>
      <c r="E1960">
        <v>247.31</v>
      </c>
      <c r="F1960">
        <v>25639</v>
      </c>
      <c r="H1960">
        <f>_xlfn.LET(_xlpm.v, IFERROR(VLOOKUP($A1960, manifest!$A:$E, 3, FALSE), ""), IF(OR(_xlpm.v=0, _xlpm.v=""), "", _xlpm.v))</f>
        <v>50</v>
      </c>
      <c r="I1960" t="str">
        <f>_xlfn.LET(_xlpm.v, IFERROR(VLOOKUP($A1960, manifest!$A:$E, 5, FALSE), ""), IF(OR(_xlpm.v=0, _xlpm.v=""), "", _xlpm.v))</f>
        <v>female</v>
      </c>
    </row>
    <row r="1961" spans="1:9" x14ac:dyDescent="0.6">
      <c r="A1961">
        <v>420</v>
      </c>
      <c r="B1961" t="s">
        <v>7</v>
      </c>
      <c r="C1961" t="s">
        <v>12</v>
      </c>
      <c r="D1961">
        <v>247.93</v>
      </c>
      <c r="E1961">
        <v>210.75</v>
      </c>
      <c r="F1961">
        <v>31370</v>
      </c>
      <c r="H1961">
        <f>_xlfn.LET(_xlpm.v, IFERROR(VLOOKUP($A1961, manifest!$A:$E, 3, FALSE), ""), IF(OR(_xlpm.v=0, _xlpm.v=""), "", _xlpm.v))</f>
        <v>50</v>
      </c>
      <c r="I1961" t="str">
        <f>_xlfn.LET(_xlpm.v, IFERROR(VLOOKUP($A1961, manifest!$A:$E, 5, FALSE), ""), IF(OR(_xlpm.v=0, _xlpm.v=""), "", _xlpm.v))</f>
        <v>female</v>
      </c>
    </row>
    <row r="1962" spans="1:9" x14ac:dyDescent="0.6">
      <c r="A1962">
        <v>420</v>
      </c>
      <c r="B1962" t="s">
        <v>7</v>
      </c>
      <c r="C1962" t="s">
        <v>13</v>
      </c>
      <c r="D1962">
        <v>214.71</v>
      </c>
      <c r="E1962">
        <v>152.53</v>
      </c>
      <c r="F1962">
        <v>32749</v>
      </c>
      <c r="H1962">
        <f>_xlfn.LET(_xlpm.v, IFERROR(VLOOKUP($A1962, manifest!$A:$E, 3, FALSE), ""), IF(OR(_xlpm.v=0, _xlpm.v=""), "", _xlpm.v))</f>
        <v>50</v>
      </c>
      <c r="I1962" t="str">
        <f>_xlfn.LET(_xlpm.v, IFERROR(VLOOKUP($A1962, manifest!$A:$E, 5, FALSE), ""), IF(OR(_xlpm.v=0, _xlpm.v=""), "", _xlpm.v))</f>
        <v>female</v>
      </c>
    </row>
    <row r="1963" spans="1:9" x14ac:dyDescent="0.6">
      <c r="A1963">
        <v>423</v>
      </c>
      <c r="B1963" t="s">
        <v>7</v>
      </c>
      <c r="C1963" t="s">
        <v>8</v>
      </c>
      <c r="D1963">
        <v>268.88</v>
      </c>
      <c r="E1963">
        <v>163.4</v>
      </c>
      <c r="F1963">
        <v>49002</v>
      </c>
      <c r="G1963" t="s">
        <v>9</v>
      </c>
      <c r="H1963">
        <f>_xlfn.LET(_xlpm.v, IFERROR(VLOOKUP($A1963, manifest!$A:$E, 3, FALSE), ""), IF(OR(_xlpm.v=0, _xlpm.v=""), "", _xlpm.v))</f>
        <v>50</v>
      </c>
      <c r="I1963" t="str">
        <f>_xlfn.LET(_xlpm.v, IFERROR(VLOOKUP($A1963, manifest!$A:$E, 5, FALSE), ""), IF(OR(_xlpm.v=0, _xlpm.v=""), "", _xlpm.v))</f>
        <v>male</v>
      </c>
    </row>
    <row r="1964" spans="1:9" x14ac:dyDescent="0.6">
      <c r="A1964">
        <v>423</v>
      </c>
      <c r="B1964" t="s">
        <v>7</v>
      </c>
      <c r="C1964" t="s">
        <v>10</v>
      </c>
      <c r="D1964">
        <v>294.72000000000003</v>
      </c>
      <c r="E1964">
        <v>193.31</v>
      </c>
      <c r="F1964">
        <v>50407</v>
      </c>
      <c r="H1964">
        <f>_xlfn.LET(_xlpm.v, IFERROR(VLOOKUP($A1964, manifest!$A:$E, 3, FALSE), ""), IF(OR(_xlpm.v=0, _xlpm.v=""), "", _xlpm.v))</f>
        <v>50</v>
      </c>
      <c r="I1964" t="str">
        <f>_xlfn.LET(_xlpm.v, IFERROR(VLOOKUP($A1964, manifest!$A:$E, 5, FALSE), ""), IF(OR(_xlpm.v=0, _xlpm.v=""), "", _xlpm.v))</f>
        <v>male</v>
      </c>
    </row>
    <row r="1965" spans="1:9" x14ac:dyDescent="0.6">
      <c r="A1965">
        <v>423</v>
      </c>
      <c r="B1965" t="s">
        <v>7</v>
      </c>
      <c r="C1965" t="s">
        <v>11</v>
      </c>
      <c r="D1965">
        <v>296.69</v>
      </c>
      <c r="E1965">
        <v>206.15</v>
      </c>
      <c r="F1965">
        <v>51179</v>
      </c>
      <c r="H1965">
        <f>_xlfn.LET(_xlpm.v, IFERROR(VLOOKUP($A1965, manifest!$A:$E, 3, FALSE), ""), IF(OR(_xlpm.v=0, _xlpm.v=""), "", _xlpm.v))</f>
        <v>50</v>
      </c>
      <c r="I1965" t="str">
        <f>_xlfn.LET(_xlpm.v, IFERROR(VLOOKUP($A1965, manifest!$A:$E, 5, FALSE), ""), IF(OR(_xlpm.v=0, _xlpm.v=""), "", _xlpm.v))</f>
        <v>male</v>
      </c>
    </row>
    <row r="1966" spans="1:9" x14ac:dyDescent="0.6">
      <c r="A1966">
        <v>423</v>
      </c>
      <c r="B1966" t="s">
        <v>7</v>
      </c>
      <c r="C1966" t="s">
        <v>12</v>
      </c>
      <c r="D1966">
        <v>268.85000000000002</v>
      </c>
      <c r="E1966">
        <v>174.99</v>
      </c>
      <c r="F1966">
        <v>63996</v>
      </c>
      <c r="H1966">
        <f>_xlfn.LET(_xlpm.v, IFERROR(VLOOKUP($A1966, manifest!$A:$E, 3, FALSE), ""), IF(OR(_xlpm.v=0, _xlpm.v=""), "", _xlpm.v))</f>
        <v>50</v>
      </c>
      <c r="I1966" t="str">
        <f>_xlfn.LET(_xlpm.v, IFERROR(VLOOKUP($A1966, manifest!$A:$E, 5, FALSE), ""), IF(OR(_xlpm.v=0, _xlpm.v=""), "", _xlpm.v))</f>
        <v>male</v>
      </c>
    </row>
    <row r="1967" spans="1:9" x14ac:dyDescent="0.6">
      <c r="A1967">
        <v>423</v>
      </c>
      <c r="B1967" t="s">
        <v>7</v>
      </c>
      <c r="C1967" t="s">
        <v>13</v>
      </c>
      <c r="D1967">
        <v>278.14999999999998</v>
      </c>
      <c r="E1967">
        <v>166.01</v>
      </c>
      <c r="F1967">
        <v>65762</v>
      </c>
      <c r="H1967">
        <f>_xlfn.LET(_xlpm.v, IFERROR(VLOOKUP($A1967, manifest!$A:$E, 3, FALSE), ""), IF(OR(_xlpm.v=0, _xlpm.v=""), "", _xlpm.v))</f>
        <v>50</v>
      </c>
      <c r="I1967" t="str">
        <f>_xlfn.LET(_xlpm.v, IFERROR(VLOOKUP($A1967, manifest!$A:$E, 5, FALSE), ""), IF(OR(_xlpm.v=0, _xlpm.v=""), "", _xlpm.v))</f>
        <v>male</v>
      </c>
    </row>
    <row r="1968" spans="1:9" x14ac:dyDescent="0.6">
      <c r="A1968">
        <v>417</v>
      </c>
      <c r="B1968" t="s">
        <v>7</v>
      </c>
      <c r="C1968" t="s">
        <v>8</v>
      </c>
      <c r="D1968">
        <v>150.81</v>
      </c>
      <c r="E1968">
        <v>91.54</v>
      </c>
      <c r="F1968">
        <v>17146</v>
      </c>
      <c r="G1968" t="s">
        <v>15</v>
      </c>
      <c r="H1968">
        <f>_xlfn.LET(_xlpm.v, IFERROR(VLOOKUP($A1968, manifest!$A:$E, 3, FALSE), ""), IF(OR(_xlpm.v=0, _xlpm.v=""), "", _xlpm.v))</f>
        <v>60</v>
      </c>
      <c r="I1968" t="str">
        <f>_xlfn.LET(_xlpm.v, IFERROR(VLOOKUP($A1968, manifest!$A:$E, 5, FALSE), ""), IF(OR(_xlpm.v=0, _xlpm.v=""), "", _xlpm.v))</f>
        <v>male</v>
      </c>
    </row>
    <row r="1969" spans="1:9" x14ac:dyDescent="0.6">
      <c r="A1969">
        <v>417</v>
      </c>
      <c r="B1969" t="s">
        <v>7</v>
      </c>
      <c r="C1969" t="s">
        <v>10</v>
      </c>
      <c r="D1969">
        <v>155.86000000000001</v>
      </c>
      <c r="E1969">
        <v>105.92</v>
      </c>
      <c r="F1969">
        <v>24136</v>
      </c>
      <c r="H1969">
        <f>_xlfn.LET(_xlpm.v, IFERROR(VLOOKUP($A1969, manifest!$A:$E, 3, FALSE), ""), IF(OR(_xlpm.v=0, _xlpm.v=""), "", _xlpm.v))</f>
        <v>60</v>
      </c>
      <c r="I1969" t="str">
        <f>_xlfn.LET(_xlpm.v, IFERROR(VLOOKUP($A1969, manifest!$A:$E, 5, FALSE), ""), IF(OR(_xlpm.v=0, _xlpm.v=""), "", _xlpm.v))</f>
        <v>male</v>
      </c>
    </row>
    <row r="1970" spans="1:9" x14ac:dyDescent="0.6">
      <c r="A1970">
        <v>417</v>
      </c>
      <c r="B1970" t="s">
        <v>7</v>
      </c>
      <c r="C1970" t="s">
        <v>11</v>
      </c>
      <c r="D1970">
        <v>148.63999999999999</v>
      </c>
      <c r="E1970">
        <v>112.3</v>
      </c>
      <c r="F1970">
        <v>27173</v>
      </c>
      <c r="H1970">
        <f>_xlfn.LET(_xlpm.v, IFERROR(VLOOKUP($A1970, manifest!$A:$E, 3, FALSE), ""), IF(OR(_xlpm.v=0, _xlpm.v=""), "", _xlpm.v))</f>
        <v>60</v>
      </c>
      <c r="I1970" t="str">
        <f>_xlfn.LET(_xlpm.v, IFERROR(VLOOKUP($A1970, manifest!$A:$E, 5, FALSE), ""), IF(OR(_xlpm.v=0, _xlpm.v=""), "", _xlpm.v))</f>
        <v>male</v>
      </c>
    </row>
    <row r="1971" spans="1:9" x14ac:dyDescent="0.6">
      <c r="A1971">
        <v>417</v>
      </c>
      <c r="B1971" t="s">
        <v>7</v>
      </c>
      <c r="C1971" t="s">
        <v>12</v>
      </c>
      <c r="D1971">
        <v>138.24</v>
      </c>
      <c r="E1971">
        <v>113.4</v>
      </c>
      <c r="F1971">
        <v>32435</v>
      </c>
      <c r="H1971">
        <f>_xlfn.LET(_xlpm.v, IFERROR(VLOOKUP($A1971, manifest!$A:$E, 3, FALSE), ""), IF(OR(_xlpm.v=0, _xlpm.v=""), "", _xlpm.v))</f>
        <v>60</v>
      </c>
      <c r="I1971" t="str">
        <f>_xlfn.LET(_xlpm.v, IFERROR(VLOOKUP($A1971, manifest!$A:$E, 5, FALSE), ""), IF(OR(_xlpm.v=0, _xlpm.v=""), "", _xlpm.v))</f>
        <v>male</v>
      </c>
    </row>
    <row r="1972" spans="1:9" x14ac:dyDescent="0.6">
      <c r="A1972">
        <v>417</v>
      </c>
      <c r="B1972" t="s">
        <v>7</v>
      </c>
      <c r="C1972" t="s">
        <v>13</v>
      </c>
      <c r="D1972">
        <v>186.55</v>
      </c>
      <c r="E1972">
        <v>180.3</v>
      </c>
      <c r="F1972">
        <v>35782</v>
      </c>
      <c r="H1972">
        <f>_xlfn.LET(_xlpm.v, IFERROR(VLOOKUP($A1972, manifest!$A:$E, 3, FALSE), ""), IF(OR(_xlpm.v=0, _xlpm.v=""), "", _xlpm.v))</f>
        <v>60</v>
      </c>
      <c r="I1972" t="str">
        <f>_xlfn.LET(_xlpm.v, IFERROR(VLOOKUP($A1972, manifest!$A:$E, 5, FALSE), ""), IF(OR(_xlpm.v=0, _xlpm.v=""), "", _xlpm.v))</f>
        <v>male</v>
      </c>
    </row>
    <row r="1973" spans="1:9" x14ac:dyDescent="0.6">
      <c r="A1973">
        <v>402</v>
      </c>
      <c r="B1973" t="s">
        <v>7</v>
      </c>
      <c r="C1973" t="s">
        <v>8</v>
      </c>
      <c r="D1973">
        <v>218.49</v>
      </c>
      <c r="E1973">
        <v>181.9</v>
      </c>
      <c r="F1973">
        <v>17543</v>
      </c>
      <c r="G1973" t="s">
        <v>9</v>
      </c>
      <c r="H1973">
        <f>_xlfn.LET(_xlpm.v, IFERROR(VLOOKUP($A1973, manifest!$A:$E, 3, FALSE), ""), IF(OR(_xlpm.v=0, _xlpm.v=""), "", _xlpm.v))</f>
        <v>60</v>
      </c>
      <c r="I1973" t="str">
        <f>_xlfn.LET(_xlpm.v, IFERROR(VLOOKUP($A1973, manifest!$A:$E, 5, FALSE), ""), IF(OR(_xlpm.v=0, _xlpm.v=""), "", _xlpm.v))</f>
        <v>female</v>
      </c>
    </row>
    <row r="1974" spans="1:9" x14ac:dyDescent="0.6">
      <c r="A1974">
        <v>402</v>
      </c>
      <c r="B1974" t="s">
        <v>7</v>
      </c>
      <c r="C1974" t="s">
        <v>10</v>
      </c>
      <c r="D1974">
        <v>245.05</v>
      </c>
      <c r="E1974">
        <v>188.89</v>
      </c>
      <c r="F1974">
        <v>25114</v>
      </c>
      <c r="H1974">
        <f>_xlfn.LET(_xlpm.v, IFERROR(VLOOKUP($A1974, manifest!$A:$E, 3, FALSE), ""), IF(OR(_xlpm.v=0, _xlpm.v=""), "", _xlpm.v))</f>
        <v>60</v>
      </c>
      <c r="I1974" t="str">
        <f>_xlfn.LET(_xlpm.v, IFERROR(VLOOKUP($A1974, manifest!$A:$E, 5, FALSE), ""), IF(OR(_xlpm.v=0, _xlpm.v=""), "", _xlpm.v))</f>
        <v>female</v>
      </c>
    </row>
    <row r="1975" spans="1:9" x14ac:dyDescent="0.6">
      <c r="A1975">
        <v>402</v>
      </c>
      <c r="B1975" t="s">
        <v>7</v>
      </c>
      <c r="C1975" t="s">
        <v>11</v>
      </c>
      <c r="D1975">
        <v>251.67</v>
      </c>
      <c r="E1975">
        <v>249.79</v>
      </c>
      <c r="F1975">
        <v>21269</v>
      </c>
      <c r="H1975">
        <f>_xlfn.LET(_xlpm.v, IFERROR(VLOOKUP($A1975, manifest!$A:$E, 3, FALSE), ""), IF(OR(_xlpm.v=0, _xlpm.v=""), "", _xlpm.v))</f>
        <v>60</v>
      </c>
      <c r="I1975" t="str">
        <f>_xlfn.LET(_xlpm.v, IFERROR(VLOOKUP($A1975, manifest!$A:$E, 5, FALSE), ""), IF(OR(_xlpm.v=0, _xlpm.v=""), "", _xlpm.v))</f>
        <v>female</v>
      </c>
    </row>
    <row r="1976" spans="1:9" x14ac:dyDescent="0.6">
      <c r="A1976">
        <v>402</v>
      </c>
      <c r="B1976" t="s">
        <v>7</v>
      </c>
      <c r="C1976" t="s">
        <v>12</v>
      </c>
      <c r="D1976">
        <v>265.01</v>
      </c>
      <c r="E1976">
        <v>276.33</v>
      </c>
      <c r="F1976">
        <v>26982</v>
      </c>
      <c r="H1976">
        <f>_xlfn.LET(_xlpm.v, IFERROR(VLOOKUP($A1976, manifest!$A:$E, 3, FALSE), ""), IF(OR(_xlpm.v=0, _xlpm.v=""), "", _xlpm.v))</f>
        <v>60</v>
      </c>
      <c r="I1976" t="str">
        <f>_xlfn.LET(_xlpm.v, IFERROR(VLOOKUP($A1976, manifest!$A:$E, 5, FALSE), ""), IF(OR(_xlpm.v=0, _xlpm.v=""), "", _xlpm.v))</f>
        <v>female</v>
      </c>
    </row>
    <row r="1977" spans="1:9" x14ac:dyDescent="0.6">
      <c r="A1977">
        <v>402</v>
      </c>
      <c r="B1977" t="s">
        <v>7</v>
      </c>
      <c r="C1977" t="s">
        <v>13</v>
      </c>
      <c r="D1977">
        <v>219.51</v>
      </c>
      <c r="E1977">
        <v>221.74</v>
      </c>
      <c r="F1977">
        <v>35564</v>
      </c>
      <c r="H1977">
        <f>_xlfn.LET(_xlpm.v, IFERROR(VLOOKUP($A1977, manifest!$A:$E, 3, FALSE), ""), IF(OR(_xlpm.v=0, _xlpm.v=""), "", _xlpm.v))</f>
        <v>60</v>
      </c>
      <c r="I1977" t="str">
        <f>_xlfn.LET(_xlpm.v, IFERROR(VLOOKUP($A1977, manifest!$A:$E, 5, FALSE), ""), IF(OR(_xlpm.v=0, _xlpm.v=""), "", _xlpm.v))</f>
        <v>female</v>
      </c>
    </row>
    <row r="1978" spans="1:9" x14ac:dyDescent="0.6">
      <c r="A1978">
        <v>401</v>
      </c>
      <c r="B1978" t="s">
        <v>14</v>
      </c>
      <c r="C1978" t="s">
        <v>8</v>
      </c>
      <c r="D1978">
        <v>156.26</v>
      </c>
      <c r="E1978">
        <v>84.8</v>
      </c>
      <c r="F1978">
        <v>40258</v>
      </c>
      <c r="G1978" t="s">
        <v>15</v>
      </c>
      <c r="H1978">
        <f>_xlfn.LET(_xlpm.v, IFERROR(VLOOKUP($A1978, manifest!$A:$E, 3, FALSE), ""), IF(OR(_xlpm.v=0, _xlpm.v=""), "", _xlpm.v))</f>
        <v>57</v>
      </c>
      <c r="I1978" t="str">
        <f>_xlfn.LET(_xlpm.v, IFERROR(VLOOKUP($A1978, manifest!$A:$E, 5, FALSE), ""), IF(OR(_xlpm.v=0, _xlpm.v=""), "", _xlpm.v))</f>
        <v>female</v>
      </c>
    </row>
    <row r="1979" spans="1:9" x14ac:dyDescent="0.6">
      <c r="A1979">
        <v>401</v>
      </c>
      <c r="B1979" t="s">
        <v>14</v>
      </c>
      <c r="C1979" t="s">
        <v>10</v>
      </c>
      <c r="D1979">
        <v>167.13</v>
      </c>
      <c r="E1979">
        <v>112.53</v>
      </c>
      <c r="F1979">
        <v>47196</v>
      </c>
      <c r="H1979">
        <f>_xlfn.LET(_xlpm.v, IFERROR(VLOOKUP($A1979, manifest!$A:$E, 3, FALSE), ""), IF(OR(_xlpm.v=0, _xlpm.v=""), "", _xlpm.v))</f>
        <v>57</v>
      </c>
      <c r="I1979" t="str">
        <f>_xlfn.LET(_xlpm.v, IFERROR(VLOOKUP($A1979, manifest!$A:$E, 5, FALSE), ""), IF(OR(_xlpm.v=0, _xlpm.v=""), "", _xlpm.v))</f>
        <v>female</v>
      </c>
    </row>
    <row r="1980" spans="1:9" x14ac:dyDescent="0.6">
      <c r="A1980">
        <v>401</v>
      </c>
      <c r="B1980" t="s">
        <v>14</v>
      </c>
      <c r="C1980" t="s">
        <v>11</v>
      </c>
      <c r="D1980">
        <v>166.4</v>
      </c>
      <c r="E1980">
        <v>126.4</v>
      </c>
      <c r="F1980">
        <v>50807</v>
      </c>
      <c r="H1980">
        <f>_xlfn.LET(_xlpm.v, IFERROR(VLOOKUP($A1980, manifest!$A:$E, 3, FALSE), ""), IF(OR(_xlpm.v=0, _xlpm.v=""), "", _xlpm.v))</f>
        <v>57</v>
      </c>
      <c r="I1980" t="str">
        <f>_xlfn.LET(_xlpm.v, IFERROR(VLOOKUP($A1980, manifest!$A:$E, 5, FALSE), ""), IF(OR(_xlpm.v=0, _xlpm.v=""), "", _xlpm.v))</f>
        <v>female</v>
      </c>
    </row>
    <row r="1981" spans="1:9" x14ac:dyDescent="0.6">
      <c r="A1981">
        <v>401</v>
      </c>
      <c r="B1981" t="s">
        <v>14</v>
      </c>
      <c r="C1981" t="s">
        <v>12</v>
      </c>
      <c r="D1981">
        <v>168.79</v>
      </c>
      <c r="E1981">
        <v>147.69999999999999</v>
      </c>
      <c r="F1981">
        <v>51104</v>
      </c>
      <c r="H1981">
        <f>_xlfn.LET(_xlpm.v, IFERROR(VLOOKUP($A1981, manifest!$A:$E, 3, FALSE), ""), IF(OR(_xlpm.v=0, _xlpm.v=""), "", _xlpm.v))</f>
        <v>57</v>
      </c>
      <c r="I1981" t="str">
        <f>_xlfn.LET(_xlpm.v, IFERROR(VLOOKUP($A1981, manifest!$A:$E, 5, FALSE), ""), IF(OR(_xlpm.v=0, _xlpm.v=""), "", _xlpm.v))</f>
        <v>female</v>
      </c>
    </row>
    <row r="1982" spans="1:9" x14ac:dyDescent="0.6">
      <c r="A1982">
        <v>401</v>
      </c>
      <c r="B1982" t="s">
        <v>14</v>
      </c>
      <c r="C1982" t="s">
        <v>13</v>
      </c>
      <c r="D1982">
        <v>161.79</v>
      </c>
      <c r="E1982">
        <v>160.26</v>
      </c>
      <c r="F1982">
        <v>56701</v>
      </c>
      <c r="H1982">
        <f>_xlfn.LET(_xlpm.v, IFERROR(VLOOKUP($A1982, manifest!$A:$E, 3, FALSE), ""), IF(OR(_xlpm.v=0, _xlpm.v=""), "", _xlpm.v))</f>
        <v>57</v>
      </c>
      <c r="I1982" t="str">
        <f>_xlfn.LET(_xlpm.v, IFERROR(VLOOKUP($A1982, manifest!$A:$E, 5, FALSE), ""), IF(OR(_xlpm.v=0, _xlpm.v=""), "", _xlpm.v))</f>
        <v>female</v>
      </c>
    </row>
    <row r="1983" spans="1:9" x14ac:dyDescent="0.6">
      <c r="A1983">
        <v>401</v>
      </c>
      <c r="B1983" t="s">
        <v>14</v>
      </c>
      <c r="C1983" t="s">
        <v>16</v>
      </c>
      <c r="D1983">
        <v>175.96</v>
      </c>
      <c r="E1983">
        <v>128.5</v>
      </c>
      <c r="F1983">
        <v>79937</v>
      </c>
      <c r="H1983">
        <f>_xlfn.LET(_xlpm.v, IFERROR(VLOOKUP($A1983, manifest!$A:$E, 3, FALSE), ""), IF(OR(_xlpm.v=0, _xlpm.v=""), "", _xlpm.v))</f>
        <v>57</v>
      </c>
      <c r="I1983" t="str">
        <f>_xlfn.LET(_xlpm.v, IFERROR(VLOOKUP($A1983, manifest!$A:$E, 5, FALSE), ""), IF(OR(_xlpm.v=0, _xlpm.v=""), "", _xlpm.v))</f>
        <v>female</v>
      </c>
    </row>
    <row r="1984" spans="1:9" x14ac:dyDescent="0.6">
      <c r="A1984">
        <v>409</v>
      </c>
      <c r="B1984" t="s">
        <v>7</v>
      </c>
      <c r="C1984" t="s">
        <v>8</v>
      </c>
      <c r="D1984">
        <v>260.05</v>
      </c>
      <c r="E1984">
        <v>191.55</v>
      </c>
      <c r="F1984">
        <v>23146</v>
      </c>
      <c r="G1984" t="s">
        <v>9</v>
      </c>
      <c r="H1984">
        <f>_xlfn.LET(_xlpm.v, IFERROR(VLOOKUP($A1984, manifest!$A:$E, 3, FALSE), ""), IF(OR(_xlpm.v=0, _xlpm.v=""), "", _xlpm.v))</f>
        <v>50</v>
      </c>
      <c r="I1984" t="str">
        <f>_xlfn.LET(_xlpm.v, IFERROR(VLOOKUP($A1984, manifest!$A:$E, 5, FALSE), ""), IF(OR(_xlpm.v=0, _xlpm.v=""), "", _xlpm.v))</f>
        <v>female</v>
      </c>
    </row>
    <row r="1985" spans="1:9" x14ac:dyDescent="0.6">
      <c r="A1985">
        <v>409</v>
      </c>
      <c r="B1985" t="s">
        <v>7</v>
      </c>
      <c r="C1985" t="s">
        <v>10</v>
      </c>
      <c r="D1985">
        <v>259.47000000000003</v>
      </c>
      <c r="E1985">
        <v>206.03</v>
      </c>
      <c r="F1985">
        <v>26342</v>
      </c>
      <c r="H1985">
        <f>_xlfn.LET(_xlpm.v, IFERROR(VLOOKUP($A1985, manifest!$A:$E, 3, FALSE), ""), IF(OR(_xlpm.v=0, _xlpm.v=""), "", _xlpm.v))</f>
        <v>50</v>
      </c>
      <c r="I1985" t="str">
        <f>_xlfn.LET(_xlpm.v, IFERROR(VLOOKUP($A1985, manifest!$A:$E, 5, FALSE), ""), IF(OR(_xlpm.v=0, _xlpm.v=""), "", _xlpm.v))</f>
        <v>female</v>
      </c>
    </row>
    <row r="1986" spans="1:9" x14ac:dyDescent="0.6">
      <c r="A1986">
        <v>409</v>
      </c>
      <c r="B1986" t="s">
        <v>7</v>
      </c>
      <c r="C1986" t="s">
        <v>11</v>
      </c>
      <c r="D1986">
        <v>254.01</v>
      </c>
      <c r="E1986">
        <v>214.75</v>
      </c>
      <c r="F1986">
        <v>30712</v>
      </c>
      <c r="H1986">
        <f>_xlfn.LET(_xlpm.v, IFERROR(VLOOKUP($A1986, manifest!$A:$E, 3, FALSE), ""), IF(OR(_xlpm.v=0, _xlpm.v=""), "", _xlpm.v))</f>
        <v>50</v>
      </c>
      <c r="I1986" t="str">
        <f>_xlfn.LET(_xlpm.v, IFERROR(VLOOKUP($A1986, manifest!$A:$E, 5, FALSE), ""), IF(OR(_xlpm.v=0, _xlpm.v=""), "", _xlpm.v))</f>
        <v>female</v>
      </c>
    </row>
    <row r="1987" spans="1:9" x14ac:dyDescent="0.6">
      <c r="A1987">
        <v>409</v>
      </c>
      <c r="B1987" t="s">
        <v>7</v>
      </c>
      <c r="C1987" t="s">
        <v>12</v>
      </c>
      <c r="D1987">
        <v>262.63</v>
      </c>
      <c r="E1987">
        <v>200.8</v>
      </c>
      <c r="F1987">
        <v>36391</v>
      </c>
      <c r="H1987">
        <f>_xlfn.LET(_xlpm.v, IFERROR(VLOOKUP($A1987, manifest!$A:$E, 3, FALSE), ""), IF(OR(_xlpm.v=0, _xlpm.v=""), "", _xlpm.v))</f>
        <v>50</v>
      </c>
      <c r="I1987" t="str">
        <f>_xlfn.LET(_xlpm.v, IFERROR(VLOOKUP($A1987, manifest!$A:$E, 5, FALSE), ""), IF(OR(_xlpm.v=0, _xlpm.v=""), "", _xlpm.v))</f>
        <v>female</v>
      </c>
    </row>
    <row r="1988" spans="1:9" x14ac:dyDescent="0.6">
      <c r="A1988">
        <v>409</v>
      </c>
      <c r="B1988" t="s">
        <v>7</v>
      </c>
      <c r="C1988" t="s">
        <v>13</v>
      </c>
      <c r="D1988">
        <v>308.58</v>
      </c>
      <c r="E1988">
        <v>234.77</v>
      </c>
      <c r="F1988">
        <v>27760</v>
      </c>
      <c r="H1988">
        <f>_xlfn.LET(_xlpm.v, IFERROR(VLOOKUP($A1988, manifest!$A:$E, 3, FALSE), ""), IF(OR(_xlpm.v=0, _xlpm.v=""), "", _xlpm.v))</f>
        <v>50</v>
      </c>
      <c r="I1988" t="str">
        <f>_xlfn.LET(_xlpm.v, IFERROR(VLOOKUP($A1988, manifest!$A:$E, 5, FALSE), ""), IF(OR(_xlpm.v=0, _xlpm.v=""), "", _xlpm.v))</f>
        <v>female</v>
      </c>
    </row>
    <row r="1989" spans="1:9" x14ac:dyDescent="0.6">
      <c r="A1989">
        <v>429</v>
      </c>
      <c r="B1989" t="s">
        <v>14</v>
      </c>
      <c r="C1989" t="s">
        <v>8</v>
      </c>
      <c r="D1989">
        <v>108.59</v>
      </c>
      <c r="E1989">
        <v>94.77</v>
      </c>
      <c r="F1989">
        <v>20397</v>
      </c>
      <c r="G1989" t="s">
        <v>17</v>
      </c>
      <c r="H1989">
        <f>_xlfn.LET(_xlpm.v, IFERROR(VLOOKUP($A1989, manifest!$A:$E, 3, FALSE), ""), IF(OR(_xlpm.v=0, _xlpm.v=""), "", _xlpm.v))</f>
        <v>70</v>
      </c>
      <c r="I1989" t="str">
        <f>_xlfn.LET(_xlpm.v, IFERROR(VLOOKUP($A1989, manifest!$A:$E, 5, FALSE), ""), IF(OR(_xlpm.v=0, _xlpm.v=""), "", _xlpm.v))</f>
        <v>female</v>
      </c>
    </row>
    <row r="1990" spans="1:9" x14ac:dyDescent="0.6">
      <c r="A1990">
        <v>429</v>
      </c>
      <c r="B1990" t="s">
        <v>14</v>
      </c>
      <c r="C1990" t="s">
        <v>10</v>
      </c>
      <c r="D1990">
        <v>113.72</v>
      </c>
      <c r="E1990">
        <v>118.86</v>
      </c>
      <c r="F1990">
        <v>22619</v>
      </c>
      <c r="H1990">
        <f>_xlfn.LET(_xlpm.v, IFERROR(VLOOKUP($A1990, manifest!$A:$E, 3, FALSE), ""), IF(OR(_xlpm.v=0, _xlpm.v=""), "", _xlpm.v))</f>
        <v>70</v>
      </c>
      <c r="I1990" t="str">
        <f>_xlfn.LET(_xlpm.v, IFERROR(VLOOKUP($A1990, manifest!$A:$E, 5, FALSE), ""), IF(OR(_xlpm.v=0, _xlpm.v=""), "", _xlpm.v))</f>
        <v>female</v>
      </c>
    </row>
    <row r="1991" spans="1:9" x14ac:dyDescent="0.6">
      <c r="A1991">
        <v>429</v>
      </c>
      <c r="B1991" t="s">
        <v>14</v>
      </c>
      <c r="C1991" t="s">
        <v>11</v>
      </c>
      <c r="D1991">
        <v>95.23</v>
      </c>
      <c r="E1991">
        <v>109.2</v>
      </c>
      <c r="F1991">
        <v>32714</v>
      </c>
      <c r="H1991">
        <f>_xlfn.LET(_xlpm.v, IFERROR(VLOOKUP($A1991, manifest!$A:$E, 3, FALSE), ""), IF(OR(_xlpm.v=0, _xlpm.v=""), "", _xlpm.v))</f>
        <v>70</v>
      </c>
      <c r="I1991" t="str">
        <f>_xlfn.LET(_xlpm.v, IFERROR(VLOOKUP($A1991, manifest!$A:$E, 5, FALSE), ""), IF(OR(_xlpm.v=0, _xlpm.v=""), "", _xlpm.v))</f>
        <v>female</v>
      </c>
    </row>
    <row r="1992" spans="1:9" x14ac:dyDescent="0.6">
      <c r="A1992">
        <v>429</v>
      </c>
      <c r="B1992" t="s">
        <v>14</v>
      </c>
      <c r="C1992" t="s">
        <v>12</v>
      </c>
      <c r="D1992">
        <v>181.86</v>
      </c>
      <c r="E1992">
        <v>146.03</v>
      </c>
      <c r="F1992">
        <v>31935</v>
      </c>
      <c r="H1992">
        <f>_xlfn.LET(_xlpm.v, IFERROR(VLOOKUP($A1992, manifest!$A:$E, 3, FALSE), ""), IF(OR(_xlpm.v=0, _xlpm.v=""), "", _xlpm.v))</f>
        <v>70</v>
      </c>
      <c r="I1992" t="str">
        <f>_xlfn.LET(_xlpm.v, IFERROR(VLOOKUP($A1992, manifest!$A:$E, 5, FALSE), ""), IF(OR(_xlpm.v=0, _xlpm.v=""), "", _xlpm.v))</f>
        <v>female</v>
      </c>
    </row>
    <row r="1993" spans="1:9" x14ac:dyDescent="0.6">
      <c r="A1993">
        <v>429</v>
      </c>
      <c r="B1993" t="s">
        <v>14</v>
      </c>
      <c r="C1993" t="s">
        <v>13</v>
      </c>
      <c r="D1993">
        <v>185.44</v>
      </c>
      <c r="E1993">
        <v>154.30000000000001</v>
      </c>
      <c r="F1993">
        <v>25771</v>
      </c>
      <c r="H1993">
        <f>_xlfn.LET(_xlpm.v, IFERROR(VLOOKUP($A1993, manifest!$A:$E, 3, FALSE), ""), IF(OR(_xlpm.v=0, _xlpm.v=""), "", _xlpm.v))</f>
        <v>70</v>
      </c>
      <c r="I1993" t="str">
        <f>_xlfn.LET(_xlpm.v, IFERROR(VLOOKUP($A1993, manifest!$A:$E, 5, FALSE), ""), IF(OR(_xlpm.v=0, _xlpm.v=""), "", _xlpm.v))</f>
        <v>female</v>
      </c>
    </row>
    <row r="1994" spans="1:9" x14ac:dyDescent="0.6">
      <c r="A1994">
        <v>441</v>
      </c>
      <c r="B1994" t="s">
        <v>14</v>
      </c>
      <c r="C1994" t="s">
        <v>8</v>
      </c>
      <c r="D1994">
        <v>163.89</v>
      </c>
      <c r="E1994">
        <v>117</v>
      </c>
      <c r="F1994">
        <v>24551</v>
      </c>
      <c r="G1994" t="s">
        <v>9</v>
      </c>
      <c r="H1994">
        <f>_xlfn.LET(_xlpm.v, IFERROR(VLOOKUP($A1994, manifest!$A:$E, 3, FALSE), ""), IF(OR(_xlpm.v=0, _xlpm.v=""), "", _xlpm.v))</f>
        <v>70</v>
      </c>
      <c r="I1994" t="str">
        <f>_xlfn.LET(_xlpm.v, IFERROR(VLOOKUP($A1994, manifest!$A:$E, 5, FALSE), ""), IF(OR(_xlpm.v=0, _xlpm.v=""), "", _xlpm.v))</f>
        <v>male</v>
      </c>
    </row>
    <row r="1995" spans="1:9" x14ac:dyDescent="0.6">
      <c r="A1995">
        <v>441</v>
      </c>
      <c r="B1995" t="s">
        <v>14</v>
      </c>
      <c r="C1995" t="s">
        <v>10</v>
      </c>
      <c r="D1995">
        <v>171</v>
      </c>
      <c r="E1995">
        <v>130.1</v>
      </c>
      <c r="F1995">
        <v>23657</v>
      </c>
      <c r="H1995">
        <f>_xlfn.LET(_xlpm.v, IFERROR(VLOOKUP($A1995, manifest!$A:$E, 3, FALSE), ""), IF(OR(_xlpm.v=0, _xlpm.v=""), "", _xlpm.v))</f>
        <v>70</v>
      </c>
      <c r="I1995" t="str">
        <f>_xlfn.LET(_xlpm.v, IFERROR(VLOOKUP($A1995, manifest!$A:$E, 5, FALSE), ""), IF(OR(_xlpm.v=0, _xlpm.v=""), "", _xlpm.v))</f>
        <v>male</v>
      </c>
    </row>
    <row r="1996" spans="1:9" x14ac:dyDescent="0.6">
      <c r="A1996">
        <v>441</v>
      </c>
      <c r="B1996" t="s">
        <v>14</v>
      </c>
      <c r="C1996" t="s">
        <v>11</v>
      </c>
      <c r="D1996">
        <v>175.85</v>
      </c>
      <c r="E1996">
        <v>130.34</v>
      </c>
      <c r="F1996">
        <v>28852</v>
      </c>
      <c r="H1996">
        <f>_xlfn.LET(_xlpm.v, IFERROR(VLOOKUP($A1996, manifest!$A:$E, 3, FALSE), ""), IF(OR(_xlpm.v=0, _xlpm.v=""), "", _xlpm.v))</f>
        <v>70</v>
      </c>
      <c r="I1996" t="str">
        <f>_xlfn.LET(_xlpm.v, IFERROR(VLOOKUP($A1996, manifest!$A:$E, 5, FALSE), ""), IF(OR(_xlpm.v=0, _xlpm.v=""), "", _xlpm.v))</f>
        <v>male</v>
      </c>
    </row>
    <row r="1997" spans="1:9" x14ac:dyDescent="0.6">
      <c r="A1997">
        <v>441</v>
      </c>
      <c r="B1997" t="s">
        <v>14</v>
      </c>
      <c r="C1997" t="s">
        <v>12</v>
      </c>
      <c r="D1997">
        <v>179.55</v>
      </c>
      <c r="E1997">
        <v>151.88999999999999</v>
      </c>
      <c r="F1997">
        <v>28121</v>
      </c>
      <c r="H1997">
        <f>_xlfn.LET(_xlpm.v, IFERROR(VLOOKUP($A1997, manifest!$A:$E, 3, FALSE), ""), IF(OR(_xlpm.v=0, _xlpm.v=""), "", _xlpm.v))</f>
        <v>70</v>
      </c>
      <c r="I1997" t="str">
        <f>_xlfn.LET(_xlpm.v, IFERROR(VLOOKUP($A1997, manifest!$A:$E, 5, FALSE), ""), IF(OR(_xlpm.v=0, _xlpm.v=""), "", _xlpm.v))</f>
        <v>male</v>
      </c>
    </row>
    <row r="1998" spans="1:9" x14ac:dyDescent="0.6">
      <c r="A1998">
        <v>441</v>
      </c>
      <c r="B1998" t="s">
        <v>14</v>
      </c>
      <c r="C1998" t="s">
        <v>13</v>
      </c>
      <c r="D1998">
        <v>157.41</v>
      </c>
      <c r="E1998">
        <v>125.67</v>
      </c>
      <c r="F1998">
        <v>46321</v>
      </c>
      <c r="H1998">
        <f>_xlfn.LET(_xlpm.v, IFERROR(VLOOKUP($A1998, manifest!$A:$E, 3, FALSE), ""), IF(OR(_xlpm.v=0, _xlpm.v=""), "", _xlpm.v))</f>
        <v>70</v>
      </c>
      <c r="I1998" t="str">
        <f>_xlfn.LET(_xlpm.v, IFERROR(VLOOKUP($A1998, manifest!$A:$E, 5, FALSE), ""), IF(OR(_xlpm.v=0, _xlpm.v=""), "", _xlpm.v))</f>
        <v>male</v>
      </c>
    </row>
    <row r="1999" spans="1:9" x14ac:dyDescent="0.6">
      <c r="A1999">
        <v>433</v>
      </c>
      <c r="B1999" t="s">
        <v>14</v>
      </c>
      <c r="C1999" t="s">
        <v>8</v>
      </c>
      <c r="D1999">
        <v>169.62</v>
      </c>
      <c r="E1999">
        <v>129.41</v>
      </c>
      <c r="F1999">
        <v>34333</v>
      </c>
      <c r="G1999" t="s">
        <v>9</v>
      </c>
      <c r="H1999">
        <f>_xlfn.LET(_xlpm.v, IFERROR(VLOOKUP($A1999, manifest!$A:$E, 3, FALSE), ""), IF(OR(_xlpm.v=0, _xlpm.v=""), "", _xlpm.v))</f>
        <v>60</v>
      </c>
      <c r="I1999" t="str">
        <f>_xlfn.LET(_xlpm.v, IFERROR(VLOOKUP($A1999, manifest!$A:$E, 5, FALSE), ""), IF(OR(_xlpm.v=0, _xlpm.v=""), "", _xlpm.v))</f>
        <v>female</v>
      </c>
    </row>
    <row r="2000" spans="1:9" x14ac:dyDescent="0.6">
      <c r="A2000">
        <v>433</v>
      </c>
      <c r="B2000" t="s">
        <v>14</v>
      </c>
      <c r="C2000" t="s">
        <v>10</v>
      </c>
      <c r="D2000">
        <v>171.71</v>
      </c>
      <c r="E2000">
        <v>139.35</v>
      </c>
      <c r="F2000">
        <v>42547</v>
      </c>
      <c r="H2000">
        <f>_xlfn.LET(_xlpm.v, IFERROR(VLOOKUP($A2000, manifest!$A:$E, 3, FALSE), ""), IF(OR(_xlpm.v=0, _xlpm.v=""), "", _xlpm.v))</f>
        <v>60</v>
      </c>
      <c r="I2000" t="str">
        <f>_xlfn.LET(_xlpm.v, IFERROR(VLOOKUP($A2000, manifest!$A:$E, 5, FALSE), ""), IF(OR(_xlpm.v=0, _xlpm.v=""), "", _xlpm.v))</f>
        <v>female</v>
      </c>
    </row>
    <row r="2001" spans="1:9" x14ac:dyDescent="0.6">
      <c r="A2001">
        <v>433</v>
      </c>
      <c r="B2001" t="s">
        <v>14</v>
      </c>
      <c r="C2001" t="s">
        <v>11</v>
      </c>
      <c r="D2001">
        <v>168.4</v>
      </c>
      <c r="E2001">
        <v>125.88</v>
      </c>
      <c r="F2001">
        <v>51374</v>
      </c>
      <c r="H2001">
        <f>_xlfn.LET(_xlpm.v, IFERROR(VLOOKUP($A2001, manifest!$A:$E, 3, FALSE), ""), IF(OR(_xlpm.v=0, _xlpm.v=""), "", _xlpm.v))</f>
        <v>60</v>
      </c>
      <c r="I2001" t="str">
        <f>_xlfn.LET(_xlpm.v, IFERROR(VLOOKUP($A2001, manifest!$A:$E, 5, FALSE), ""), IF(OR(_xlpm.v=0, _xlpm.v=""), "", _xlpm.v))</f>
        <v>female</v>
      </c>
    </row>
    <row r="2002" spans="1:9" x14ac:dyDescent="0.6">
      <c r="A2002">
        <v>433</v>
      </c>
      <c r="B2002" t="s">
        <v>14</v>
      </c>
      <c r="C2002" t="s">
        <v>12</v>
      </c>
      <c r="D2002">
        <v>173.78</v>
      </c>
      <c r="E2002">
        <v>144.58000000000001</v>
      </c>
      <c r="F2002">
        <v>48487</v>
      </c>
      <c r="H2002">
        <f>_xlfn.LET(_xlpm.v, IFERROR(VLOOKUP($A2002, manifest!$A:$E, 3, FALSE), ""), IF(OR(_xlpm.v=0, _xlpm.v=""), "", _xlpm.v))</f>
        <v>60</v>
      </c>
      <c r="I2002" t="str">
        <f>_xlfn.LET(_xlpm.v, IFERROR(VLOOKUP($A2002, manifest!$A:$E, 5, FALSE), ""), IF(OR(_xlpm.v=0, _xlpm.v=""), "", _xlpm.v))</f>
        <v>female</v>
      </c>
    </row>
    <row r="2003" spans="1:9" x14ac:dyDescent="0.6">
      <c r="A2003">
        <v>433</v>
      </c>
      <c r="B2003" t="s">
        <v>14</v>
      </c>
      <c r="C2003" t="s">
        <v>13</v>
      </c>
      <c r="D2003">
        <v>165.95</v>
      </c>
      <c r="E2003">
        <v>148.61000000000001</v>
      </c>
      <c r="F2003">
        <v>65187</v>
      </c>
      <c r="H2003">
        <f>_xlfn.LET(_xlpm.v, IFERROR(VLOOKUP($A2003, manifest!$A:$E, 3, FALSE), ""), IF(OR(_xlpm.v=0, _xlpm.v=""), "", _xlpm.v))</f>
        <v>60</v>
      </c>
      <c r="I2003" t="str">
        <f>_xlfn.LET(_xlpm.v, IFERROR(VLOOKUP($A2003, manifest!$A:$E, 5, FALSE), ""), IF(OR(_xlpm.v=0, _xlpm.v=""), "", _xlpm.v))</f>
        <v>female</v>
      </c>
    </row>
    <row r="2004" spans="1:9" x14ac:dyDescent="0.6">
      <c r="A2004">
        <v>430</v>
      </c>
      <c r="B2004" t="s">
        <v>14</v>
      </c>
      <c r="C2004" t="s">
        <v>8</v>
      </c>
      <c r="D2004">
        <v>90.49</v>
      </c>
      <c r="E2004">
        <v>84.35</v>
      </c>
      <c r="F2004">
        <v>21614</v>
      </c>
      <c r="G2004" t="s">
        <v>17</v>
      </c>
      <c r="H2004">
        <f>_xlfn.LET(_xlpm.v, IFERROR(VLOOKUP($A2004, manifest!$A:$E, 3, FALSE), ""), IF(OR(_xlpm.v=0, _xlpm.v=""), "", _xlpm.v))</f>
        <v>89</v>
      </c>
      <c r="I2004" t="str">
        <f>_xlfn.LET(_xlpm.v, IFERROR(VLOOKUP($A2004, manifest!$A:$E, 5, FALSE), ""), IF(OR(_xlpm.v=0, _xlpm.v=""), "", _xlpm.v))</f>
        <v>other</v>
      </c>
    </row>
    <row r="2005" spans="1:9" x14ac:dyDescent="0.6">
      <c r="A2005">
        <v>430</v>
      </c>
      <c r="B2005" t="s">
        <v>14</v>
      </c>
      <c r="C2005" t="s">
        <v>10</v>
      </c>
      <c r="D2005">
        <v>96.97</v>
      </c>
      <c r="E2005">
        <v>92.77</v>
      </c>
      <c r="F2005">
        <v>24336</v>
      </c>
      <c r="H2005">
        <f>_xlfn.LET(_xlpm.v, IFERROR(VLOOKUP($A2005, manifest!$A:$E, 3, FALSE), ""), IF(OR(_xlpm.v=0, _xlpm.v=""), "", _xlpm.v))</f>
        <v>89</v>
      </c>
      <c r="I2005" t="str">
        <f>_xlfn.LET(_xlpm.v, IFERROR(VLOOKUP($A2005, manifest!$A:$E, 5, FALSE), ""), IF(OR(_xlpm.v=0, _xlpm.v=""), "", _xlpm.v))</f>
        <v>other</v>
      </c>
    </row>
    <row r="2006" spans="1:9" x14ac:dyDescent="0.6">
      <c r="A2006">
        <v>430</v>
      </c>
      <c r="B2006" t="s">
        <v>14</v>
      </c>
      <c r="C2006" t="s">
        <v>11</v>
      </c>
      <c r="D2006">
        <v>97.51</v>
      </c>
      <c r="E2006">
        <v>106.32</v>
      </c>
      <c r="F2006">
        <v>31772</v>
      </c>
      <c r="H2006">
        <f>_xlfn.LET(_xlpm.v, IFERROR(VLOOKUP($A2006, manifest!$A:$E, 3, FALSE), ""), IF(OR(_xlpm.v=0, _xlpm.v=""), "", _xlpm.v))</f>
        <v>89</v>
      </c>
      <c r="I2006" t="str">
        <f>_xlfn.LET(_xlpm.v, IFERROR(VLOOKUP($A2006, manifest!$A:$E, 5, FALSE), ""), IF(OR(_xlpm.v=0, _xlpm.v=""), "", _xlpm.v))</f>
        <v>other</v>
      </c>
    </row>
    <row r="2007" spans="1:9" x14ac:dyDescent="0.6">
      <c r="A2007">
        <v>430</v>
      </c>
      <c r="B2007" t="s">
        <v>14</v>
      </c>
      <c r="C2007" t="s">
        <v>12</v>
      </c>
      <c r="D2007">
        <v>91.3</v>
      </c>
      <c r="E2007">
        <v>110.28</v>
      </c>
      <c r="F2007">
        <v>38658</v>
      </c>
      <c r="H2007">
        <f>_xlfn.LET(_xlpm.v, IFERROR(VLOOKUP($A2007, manifest!$A:$E, 3, FALSE), ""), IF(OR(_xlpm.v=0, _xlpm.v=""), "", _xlpm.v))</f>
        <v>89</v>
      </c>
      <c r="I2007" t="str">
        <f>_xlfn.LET(_xlpm.v, IFERROR(VLOOKUP($A2007, manifest!$A:$E, 5, FALSE), ""), IF(OR(_xlpm.v=0, _xlpm.v=""), "", _xlpm.v))</f>
        <v>other</v>
      </c>
    </row>
    <row r="2008" spans="1:9" x14ac:dyDescent="0.6">
      <c r="A2008">
        <v>430</v>
      </c>
      <c r="B2008" t="s">
        <v>14</v>
      </c>
      <c r="C2008" t="s">
        <v>13</v>
      </c>
      <c r="D2008">
        <v>98.33</v>
      </c>
      <c r="E2008">
        <v>118.22</v>
      </c>
      <c r="F2008">
        <v>44310</v>
      </c>
      <c r="H2008">
        <f>_xlfn.LET(_xlpm.v, IFERROR(VLOOKUP($A2008, manifest!$A:$E, 3, FALSE), ""), IF(OR(_xlpm.v=0, _xlpm.v=""), "", _xlpm.v))</f>
        <v>89</v>
      </c>
      <c r="I2008" t="str">
        <f>_xlfn.LET(_xlpm.v, IFERROR(VLOOKUP($A2008, manifest!$A:$E, 5, FALSE), ""), IF(OR(_xlpm.v=0, _xlpm.v=""), "", _xlpm.v))</f>
        <v>other</v>
      </c>
    </row>
    <row r="2009" spans="1:9" x14ac:dyDescent="0.6">
      <c r="A2009">
        <v>431</v>
      </c>
      <c r="B2009" t="s">
        <v>7</v>
      </c>
      <c r="C2009" t="s">
        <v>8</v>
      </c>
      <c r="D2009">
        <v>156.53</v>
      </c>
      <c r="E2009">
        <v>86.49</v>
      </c>
      <c r="F2009">
        <v>21201</v>
      </c>
      <c r="G2009" t="s">
        <v>15</v>
      </c>
      <c r="H2009">
        <f>_xlfn.LET(_xlpm.v, IFERROR(VLOOKUP($A2009, manifest!$A:$E, 3, FALSE), ""), IF(OR(_xlpm.v=0, _xlpm.v=""), "", _xlpm.v))</f>
        <v>70</v>
      </c>
      <c r="I2009" t="str">
        <f>_xlfn.LET(_xlpm.v, IFERROR(VLOOKUP($A2009, manifest!$A:$E, 5, FALSE), ""), IF(OR(_xlpm.v=0, _xlpm.v=""), "", _xlpm.v))</f>
        <v>female</v>
      </c>
    </row>
    <row r="2010" spans="1:9" x14ac:dyDescent="0.6">
      <c r="A2010">
        <v>431</v>
      </c>
      <c r="B2010" t="s">
        <v>7</v>
      </c>
      <c r="C2010" t="s">
        <v>10</v>
      </c>
      <c r="D2010">
        <v>168.2</v>
      </c>
      <c r="E2010">
        <v>117.62</v>
      </c>
      <c r="F2010">
        <v>20122</v>
      </c>
      <c r="H2010">
        <f>_xlfn.LET(_xlpm.v, IFERROR(VLOOKUP($A2010, manifest!$A:$E, 3, FALSE), ""), IF(OR(_xlpm.v=0, _xlpm.v=""), "", _xlpm.v))</f>
        <v>70</v>
      </c>
      <c r="I2010" t="str">
        <f>_xlfn.LET(_xlpm.v, IFERROR(VLOOKUP($A2010, manifest!$A:$E, 5, FALSE), ""), IF(OR(_xlpm.v=0, _xlpm.v=""), "", _xlpm.v))</f>
        <v>female</v>
      </c>
    </row>
    <row r="2011" spans="1:9" x14ac:dyDescent="0.6">
      <c r="A2011">
        <v>431</v>
      </c>
      <c r="B2011" t="s">
        <v>7</v>
      </c>
      <c r="C2011" t="s">
        <v>11</v>
      </c>
      <c r="D2011">
        <v>169.65</v>
      </c>
      <c r="E2011">
        <v>128</v>
      </c>
      <c r="F2011">
        <v>28576</v>
      </c>
      <c r="H2011">
        <f>_xlfn.LET(_xlpm.v, IFERROR(VLOOKUP($A2011, manifest!$A:$E, 3, FALSE), ""), IF(OR(_xlpm.v=0, _xlpm.v=""), "", _xlpm.v))</f>
        <v>70</v>
      </c>
      <c r="I2011" t="str">
        <f>_xlfn.LET(_xlpm.v, IFERROR(VLOOKUP($A2011, manifest!$A:$E, 5, FALSE), ""), IF(OR(_xlpm.v=0, _xlpm.v=""), "", _xlpm.v))</f>
        <v>female</v>
      </c>
    </row>
    <row r="2012" spans="1:9" x14ac:dyDescent="0.6">
      <c r="A2012">
        <v>431</v>
      </c>
      <c r="B2012" t="s">
        <v>7</v>
      </c>
      <c r="C2012" t="s">
        <v>12</v>
      </c>
      <c r="D2012">
        <v>170.54</v>
      </c>
      <c r="E2012">
        <v>119.11</v>
      </c>
      <c r="F2012">
        <v>32597</v>
      </c>
      <c r="H2012">
        <f>_xlfn.LET(_xlpm.v, IFERROR(VLOOKUP($A2012, manifest!$A:$E, 3, FALSE), ""), IF(OR(_xlpm.v=0, _xlpm.v=""), "", _xlpm.v))</f>
        <v>70</v>
      </c>
      <c r="I2012" t="str">
        <f>_xlfn.LET(_xlpm.v, IFERROR(VLOOKUP($A2012, manifest!$A:$E, 5, FALSE), ""), IF(OR(_xlpm.v=0, _xlpm.v=""), "", _xlpm.v))</f>
        <v>female</v>
      </c>
    </row>
    <row r="2013" spans="1:9" x14ac:dyDescent="0.6">
      <c r="A2013">
        <v>431</v>
      </c>
      <c r="B2013" t="s">
        <v>7</v>
      </c>
      <c r="C2013" t="s">
        <v>13</v>
      </c>
      <c r="D2013">
        <v>193.84</v>
      </c>
      <c r="E2013">
        <v>125.34</v>
      </c>
      <c r="F2013">
        <v>39143</v>
      </c>
      <c r="H2013">
        <f>_xlfn.LET(_xlpm.v, IFERROR(VLOOKUP($A2013, manifest!$A:$E, 3, FALSE), ""), IF(OR(_xlpm.v=0, _xlpm.v=""), "", _xlpm.v))</f>
        <v>70</v>
      </c>
      <c r="I2013" t="str">
        <f>_xlfn.LET(_xlpm.v, IFERROR(VLOOKUP($A2013, manifest!$A:$E, 5, FALSE), ""), IF(OR(_xlpm.v=0, _xlpm.v=""), "", _xlpm.v))</f>
        <v>female</v>
      </c>
    </row>
    <row r="2014" spans="1:9" x14ac:dyDescent="0.6">
      <c r="A2014">
        <v>421</v>
      </c>
      <c r="B2014" t="s">
        <v>14</v>
      </c>
      <c r="C2014" t="s">
        <v>8</v>
      </c>
      <c r="D2014">
        <v>228.22</v>
      </c>
      <c r="E2014">
        <v>194.02</v>
      </c>
      <c r="F2014">
        <v>50758</v>
      </c>
      <c r="G2014" t="s">
        <v>9</v>
      </c>
      <c r="H2014">
        <f>_xlfn.LET(_xlpm.v, IFERROR(VLOOKUP($A2014, manifest!$A:$E, 3, FALSE), ""), IF(OR(_xlpm.v=0, _xlpm.v=""), "", _xlpm.v))</f>
        <v>50</v>
      </c>
      <c r="I2014" t="str">
        <f>_xlfn.LET(_xlpm.v, IFERROR(VLOOKUP($A2014, manifest!$A:$E, 5, FALSE), ""), IF(OR(_xlpm.v=0, _xlpm.v=""), "", _xlpm.v))</f>
        <v>female</v>
      </c>
    </row>
    <row r="2015" spans="1:9" x14ac:dyDescent="0.6">
      <c r="A2015">
        <v>421</v>
      </c>
      <c r="B2015" t="s">
        <v>14</v>
      </c>
      <c r="C2015" t="s">
        <v>10</v>
      </c>
      <c r="D2015">
        <v>339.09</v>
      </c>
      <c r="E2015">
        <v>242.12</v>
      </c>
      <c r="F2015">
        <v>57016</v>
      </c>
      <c r="H2015">
        <f>_xlfn.LET(_xlpm.v, IFERROR(VLOOKUP($A2015, manifest!$A:$E, 3, FALSE), ""), IF(OR(_xlpm.v=0, _xlpm.v=""), "", _xlpm.v))</f>
        <v>50</v>
      </c>
      <c r="I2015" t="str">
        <f>_xlfn.LET(_xlpm.v, IFERROR(VLOOKUP($A2015, manifest!$A:$E, 5, FALSE), ""), IF(OR(_xlpm.v=0, _xlpm.v=""), "", _xlpm.v))</f>
        <v>female</v>
      </c>
    </row>
    <row r="2016" spans="1:9" x14ac:dyDescent="0.6">
      <c r="A2016">
        <v>421</v>
      </c>
      <c r="B2016" t="s">
        <v>14</v>
      </c>
      <c r="C2016" t="s">
        <v>11</v>
      </c>
      <c r="D2016">
        <v>331.94</v>
      </c>
      <c r="E2016">
        <v>243.6</v>
      </c>
      <c r="F2016">
        <v>42652</v>
      </c>
      <c r="H2016">
        <f>_xlfn.LET(_xlpm.v, IFERROR(VLOOKUP($A2016, manifest!$A:$E, 3, FALSE), ""), IF(OR(_xlpm.v=0, _xlpm.v=""), "", _xlpm.v))</f>
        <v>50</v>
      </c>
      <c r="I2016" t="str">
        <f>_xlfn.LET(_xlpm.v, IFERROR(VLOOKUP($A2016, manifest!$A:$E, 5, FALSE), ""), IF(OR(_xlpm.v=0, _xlpm.v=""), "", _xlpm.v))</f>
        <v>female</v>
      </c>
    </row>
    <row r="2017" spans="1:9" x14ac:dyDescent="0.6">
      <c r="A2017">
        <v>421</v>
      </c>
      <c r="B2017" t="s">
        <v>14</v>
      </c>
      <c r="C2017" t="s">
        <v>12</v>
      </c>
      <c r="D2017">
        <v>306.27999999999997</v>
      </c>
      <c r="E2017">
        <v>237</v>
      </c>
      <c r="F2017">
        <v>44893</v>
      </c>
      <c r="H2017">
        <f>_xlfn.LET(_xlpm.v, IFERROR(VLOOKUP($A2017, manifest!$A:$E, 3, FALSE), ""), IF(OR(_xlpm.v=0, _xlpm.v=""), "", _xlpm.v))</f>
        <v>50</v>
      </c>
      <c r="I2017" t="str">
        <f>_xlfn.LET(_xlpm.v, IFERROR(VLOOKUP($A2017, manifest!$A:$E, 5, FALSE), ""), IF(OR(_xlpm.v=0, _xlpm.v=""), "", _xlpm.v))</f>
        <v>female</v>
      </c>
    </row>
    <row r="2018" spans="1:9" x14ac:dyDescent="0.6">
      <c r="A2018">
        <v>421</v>
      </c>
      <c r="B2018" t="s">
        <v>14</v>
      </c>
      <c r="C2018" t="s">
        <v>13</v>
      </c>
      <c r="D2018">
        <v>273.77999999999997</v>
      </c>
      <c r="E2018">
        <v>223.15</v>
      </c>
      <c r="F2018">
        <v>61064</v>
      </c>
      <c r="H2018">
        <f>_xlfn.LET(_xlpm.v, IFERROR(VLOOKUP($A2018, manifest!$A:$E, 3, FALSE), ""), IF(OR(_xlpm.v=0, _xlpm.v=""), "", _xlpm.v))</f>
        <v>50</v>
      </c>
      <c r="I2018" t="str">
        <f>_xlfn.LET(_xlpm.v, IFERROR(VLOOKUP($A2018, manifest!$A:$E, 5, FALSE), ""), IF(OR(_xlpm.v=0, _xlpm.v=""), "", _xlpm.v))</f>
        <v>female</v>
      </c>
    </row>
    <row r="2019" spans="1:9" x14ac:dyDescent="0.6">
      <c r="A2019">
        <v>439</v>
      </c>
      <c r="B2019" t="s">
        <v>14</v>
      </c>
      <c r="C2019" t="s">
        <v>8</v>
      </c>
      <c r="D2019">
        <v>239.08</v>
      </c>
      <c r="E2019">
        <v>149.99</v>
      </c>
      <c r="F2019">
        <v>29501</v>
      </c>
      <c r="G2019" t="s">
        <v>9</v>
      </c>
      <c r="H2019">
        <f>_xlfn.LET(_xlpm.v, IFERROR(VLOOKUP($A2019, manifest!$A:$E, 3, FALSE), ""), IF(OR(_xlpm.v=0, _xlpm.v=""), "", _xlpm.v))</f>
        <v>60</v>
      </c>
      <c r="I2019" t="str">
        <f>_xlfn.LET(_xlpm.v, IFERROR(VLOOKUP($A2019, manifest!$A:$E, 5, FALSE), ""), IF(OR(_xlpm.v=0, _xlpm.v=""), "", _xlpm.v))</f>
        <v>female</v>
      </c>
    </row>
    <row r="2020" spans="1:9" x14ac:dyDescent="0.6">
      <c r="A2020">
        <v>439</v>
      </c>
      <c r="B2020" t="s">
        <v>14</v>
      </c>
      <c r="C2020" t="s">
        <v>10</v>
      </c>
      <c r="D2020">
        <v>243.27</v>
      </c>
      <c r="E2020">
        <v>179.54</v>
      </c>
      <c r="F2020">
        <v>34255</v>
      </c>
      <c r="H2020">
        <f>_xlfn.LET(_xlpm.v, IFERROR(VLOOKUP($A2020, manifest!$A:$E, 3, FALSE), ""), IF(OR(_xlpm.v=0, _xlpm.v=""), "", _xlpm.v))</f>
        <v>60</v>
      </c>
      <c r="I2020" t="str">
        <f>_xlfn.LET(_xlpm.v, IFERROR(VLOOKUP($A2020, manifest!$A:$E, 5, FALSE), ""), IF(OR(_xlpm.v=0, _xlpm.v=""), "", _xlpm.v))</f>
        <v>female</v>
      </c>
    </row>
    <row r="2021" spans="1:9" x14ac:dyDescent="0.6">
      <c r="A2021">
        <v>439</v>
      </c>
      <c r="B2021" t="s">
        <v>14</v>
      </c>
      <c r="C2021" t="s">
        <v>11</v>
      </c>
      <c r="D2021">
        <v>237.06</v>
      </c>
      <c r="E2021">
        <v>196.98</v>
      </c>
      <c r="F2021">
        <v>37319</v>
      </c>
      <c r="H2021">
        <f>_xlfn.LET(_xlpm.v, IFERROR(VLOOKUP($A2021, manifest!$A:$E, 3, FALSE), ""), IF(OR(_xlpm.v=0, _xlpm.v=""), "", _xlpm.v))</f>
        <v>60</v>
      </c>
      <c r="I2021" t="str">
        <f>_xlfn.LET(_xlpm.v, IFERROR(VLOOKUP($A2021, manifest!$A:$E, 5, FALSE), ""), IF(OR(_xlpm.v=0, _xlpm.v=""), "", _xlpm.v))</f>
        <v>female</v>
      </c>
    </row>
    <row r="2022" spans="1:9" x14ac:dyDescent="0.6">
      <c r="A2022">
        <v>439</v>
      </c>
      <c r="B2022" t="s">
        <v>14</v>
      </c>
      <c r="C2022" t="s">
        <v>12</v>
      </c>
      <c r="D2022">
        <v>231.85</v>
      </c>
      <c r="E2022">
        <v>188.28</v>
      </c>
      <c r="F2022">
        <v>50057</v>
      </c>
      <c r="H2022">
        <f>_xlfn.LET(_xlpm.v, IFERROR(VLOOKUP($A2022, manifest!$A:$E, 3, FALSE), ""), IF(OR(_xlpm.v=0, _xlpm.v=""), "", _xlpm.v))</f>
        <v>60</v>
      </c>
      <c r="I2022" t="str">
        <f>_xlfn.LET(_xlpm.v, IFERROR(VLOOKUP($A2022, manifest!$A:$E, 5, FALSE), ""), IF(OR(_xlpm.v=0, _xlpm.v=""), "", _xlpm.v))</f>
        <v>female</v>
      </c>
    </row>
    <row r="2023" spans="1:9" x14ac:dyDescent="0.6">
      <c r="A2023">
        <v>439</v>
      </c>
      <c r="B2023" t="s">
        <v>14</v>
      </c>
      <c r="C2023" t="s">
        <v>13</v>
      </c>
      <c r="D2023">
        <v>225.01</v>
      </c>
      <c r="E2023">
        <v>200.85</v>
      </c>
      <c r="F2023">
        <v>48012</v>
      </c>
      <c r="H2023">
        <f>_xlfn.LET(_xlpm.v, IFERROR(VLOOKUP($A2023, manifest!$A:$E, 3, FALSE), ""), IF(OR(_xlpm.v=0, _xlpm.v=""), "", _xlpm.v))</f>
        <v>60</v>
      </c>
      <c r="I2023" t="str">
        <f>_xlfn.LET(_xlpm.v, IFERROR(VLOOKUP($A2023, manifest!$A:$E, 5, FALSE), ""), IF(OR(_xlpm.v=0, _xlpm.v=""), "", _xlpm.v))</f>
        <v>female</v>
      </c>
    </row>
    <row r="2024" spans="1:9" x14ac:dyDescent="0.6">
      <c r="A2024">
        <v>407</v>
      </c>
      <c r="B2024" t="s">
        <v>7</v>
      </c>
      <c r="C2024" t="s">
        <v>8</v>
      </c>
      <c r="D2024">
        <v>265.92</v>
      </c>
      <c r="E2024">
        <v>196.25</v>
      </c>
      <c r="F2024">
        <v>31161</v>
      </c>
      <c r="G2024" t="s">
        <v>9</v>
      </c>
      <c r="H2024">
        <f>_xlfn.LET(_xlpm.v, IFERROR(VLOOKUP($A2024, manifest!$A:$E, 3, FALSE), ""), IF(OR(_xlpm.v=0, _xlpm.v=""), "", _xlpm.v))</f>
        <v>60</v>
      </c>
      <c r="I2024" t="str">
        <f>_xlfn.LET(_xlpm.v, IFERROR(VLOOKUP($A2024, manifest!$A:$E, 5, FALSE), ""), IF(OR(_xlpm.v=0, _xlpm.v=""), "", _xlpm.v))</f>
        <v>male</v>
      </c>
    </row>
    <row r="2025" spans="1:9" x14ac:dyDescent="0.6">
      <c r="A2025">
        <v>407</v>
      </c>
      <c r="B2025" t="s">
        <v>7</v>
      </c>
      <c r="C2025" t="s">
        <v>10</v>
      </c>
      <c r="D2025">
        <v>265.33999999999997</v>
      </c>
      <c r="E2025">
        <v>222.09</v>
      </c>
      <c r="F2025">
        <v>35709</v>
      </c>
      <c r="H2025">
        <f>_xlfn.LET(_xlpm.v, IFERROR(VLOOKUP($A2025, manifest!$A:$E, 3, FALSE), ""), IF(OR(_xlpm.v=0, _xlpm.v=""), "", _xlpm.v))</f>
        <v>60</v>
      </c>
      <c r="I2025" t="str">
        <f>_xlfn.LET(_xlpm.v, IFERROR(VLOOKUP($A2025, manifest!$A:$E, 5, FALSE), ""), IF(OR(_xlpm.v=0, _xlpm.v=""), "", _xlpm.v))</f>
        <v>male</v>
      </c>
    </row>
    <row r="2026" spans="1:9" x14ac:dyDescent="0.6">
      <c r="A2026">
        <v>407</v>
      </c>
      <c r="B2026" t="s">
        <v>7</v>
      </c>
      <c r="C2026" t="s">
        <v>11</v>
      </c>
      <c r="D2026">
        <v>262.48</v>
      </c>
      <c r="E2026">
        <v>231.32</v>
      </c>
      <c r="F2026">
        <v>41438</v>
      </c>
      <c r="H2026">
        <f>_xlfn.LET(_xlpm.v, IFERROR(VLOOKUP($A2026, manifest!$A:$E, 3, FALSE), ""), IF(OR(_xlpm.v=0, _xlpm.v=""), "", _xlpm.v))</f>
        <v>60</v>
      </c>
      <c r="I2026" t="str">
        <f>_xlfn.LET(_xlpm.v, IFERROR(VLOOKUP($A2026, manifest!$A:$E, 5, FALSE), ""), IF(OR(_xlpm.v=0, _xlpm.v=""), "", _xlpm.v))</f>
        <v>male</v>
      </c>
    </row>
    <row r="2027" spans="1:9" x14ac:dyDescent="0.6">
      <c r="A2027">
        <v>407</v>
      </c>
      <c r="B2027" t="s">
        <v>7</v>
      </c>
      <c r="C2027" t="s">
        <v>12</v>
      </c>
      <c r="D2027">
        <v>289.38</v>
      </c>
      <c r="E2027">
        <v>272.77999999999997</v>
      </c>
      <c r="F2027">
        <v>41776</v>
      </c>
      <c r="H2027">
        <f>_xlfn.LET(_xlpm.v, IFERROR(VLOOKUP($A2027, manifest!$A:$E, 3, FALSE), ""), IF(OR(_xlpm.v=0, _xlpm.v=""), "", _xlpm.v))</f>
        <v>60</v>
      </c>
      <c r="I2027" t="str">
        <f>_xlfn.LET(_xlpm.v, IFERROR(VLOOKUP($A2027, manifest!$A:$E, 5, FALSE), ""), IF(OR(_xlpm.v=0, _xlpm.v=""), "", _xlpm.v))</f>
        <v>male</v>
      </c>
    </row>
    <row r="2028" spans="1:9" x14ac:dyDescent="0.6">
      <c r="A2028">
        <v>407</v>
      </c>
      <c r="B2028" t="s">
        <v>7</v>
      </c>
      <c r="C2028" t="s">
        <v>13</v>
      </c>
      <c r="D2028">
        <v>267.70999999999998</v>
      </c>
      <c r="E2028">
        <v>255.89</v>
      </c>
      <c r="F2028">
        <v>52010</v>
      </c>
      <c r="H2028">
        <f>_xlfn.LET(_xlpm.v, IFERROR(VLOOKUP($A2028, manifest!$A:$E, 3, FALSE), ""), IF(OR(_xlpm.v=0, _xlpm.v=""), "", _xlpm.v))</f>
        <v>60</v>
      </c>
      <c r="I2028" t="str">
        <f>_xlfn.LET(_xlpm.v, IFERROR(VLOOKUP($A2028, manifest!$A:$E, 5, FALSE), ""), IF(OR(_xlpm.v=0, _xlpm.v=""), "", _xlpm.v))</f>
        <v>male</v>
      </c>
    </row>
    <row r="2029" spans="1:9" x14ac:dyDescent="0.6">
      <c r="A2029">
        <v>437</v>
      </c>
      <c r="B2029" t="s">
        <v>14</v>
      </c>
      <c r="C2029" t="s">
        <v>8</v>
      </c>
      <c r="D2029">
        <v>168.34</v>
      </c>
      <c r="E2029">
        <v>146.33000000000001</v>
      </c>
      <c r="F2029">
        <v>39943</v>
      </c>
      <c r="G2029" t="s">
        <v>9</v>
      </c>
      <c r="H2029">
        <f>_xlfn.LET(_xlpm.v, IFERROR(VLOOKUP($A2029, manifest!$A:$E, 3, FALSE), ""), IF(OR(_xlpm.v=0, _xlpm.v=""), "", _xlpm.v))</f>
        <v>60</v>
      </c>
      <c r="I2029" t="str">
        <f>_xlfn.LET(_xlpm.v, IFERROR(VLOOKUP($A2029, manifest!$A:$E, 5, FALSE), ""), IF(OR(_xlpm.v=0, _xlpm.v=""), "", _xlpm.v))</f>
        <v>female</v>
      </c>
    </row>
    <row r="2030" spans="1:9" x14ac:dyDescent="0.6">
      <c r="A2030">
        <v>437</v>
      </c>
      <c r="B2030" t="s">
        <v>14</v>
      </c>
      <c r="C2030" t="s">
        <v>10</v>
      </c>
      <c r="D2030">
        <v>164.46</v>
      </c>
      <c r="E2030">
        <v>160.04</v>
      </c>
      <c r="F2030">
        <v>41990</v>
      </c>
      <c r="H2030">
        <f>_xlfn.LET(_xlpm.v, IFERROR(VLOOKUP($A2030, manifest!$A:$E, 3, FALSE), ""), IF(OR(_xlpm.v=0, _xlpm.v=""), "", _xlpm.v))</f>
        <v>60</v>
      </c>
      <c r="I2030" t="str">
        <f>_xlfn.LET(_xlpm.v, IFERROR(VLOOKUP($A2030, manifest!$A:$E, 5, FALSE), ""), IF(OR(_xlpm.v=0, _xlpm.v=""), "", _xlpm.v))</f>
        <v>female</v>
      </c>
    </row>
    <row r="2031" spans="1:9" x14ac:dyDescent="0.6">
      <c r="A2031">
        <v>437</v>
      </c>
      <c r="B2031" t="s">
        <v>14</v>
      </c>
      <c r="C2031" t="s">
        <v>11</v>
      </c>
      <c r="D2031">
        <v>156.5</v>
      </c>
      <c r="E2031">
        <v>157.15</v>
      </c>
      <c r="F2031">
        <v>67201</v>
      </c>
      <c r="H2031">
        <f>_xlfn.LET(_xlpm.v, IFERROR(VLOOKUP($A2031, manifest!$A:$E, 3, FALSE), ""), IF(OR(_xlpm.v=0, _xlpm.v=""), "", _xlpm.v))</f>
        <v>60</v>
      </c>
      <c r="I2031" t="str">
        <f>_xlfn.LET(_xlpm.v, IFERROR(VLOOKUP($A2031, manifest!$A:$E, 5, FALSE), ""), IF(OR(_xlpm.v=0, _xlpm.v=""), "", _xlpm.v))</f>
        <v>female</v>
      </c>
    </row>
    <row r="2032" spans="1:9" x14ac:dyDescent="0.6">
      <c r="A2032">
        <v>437</v>
      </c>
      <c r="B2032" t="s">
        <v>14</v>
      </c>
      <c r="C2032" t="s">
        <v>12</v>
      </c>
      <c r="D2032">
        <v>203.75</v>
      </c>
      <c r="E2032">
        <v>232.67</v>
      </c>
      <c r="F2032">
        <v>64576</v>
      </c>
      <c r="H2032">
        <f>_xlfn.LET(_xlpm.v, IFERROR(VLOOKUP($A2032, manifest!$A:$E, 3, FALSE), ""), IF(OR(_xlpm.v=0, _xlpm.v=""), "", _xlpm.v))</f>
        <v>60</v>
      </c>
      <c r="I2032" t="str">
        <f>_xlfn.LET(_xlpm.v, IFERROR(VLOOKUP($A2032, manifest!$A:$E, 5, FALSE), ""), IF(OR(_xlpm.v=0, _xlpm.v=""), "", _xlpm.v))</f>
        <v>female</v>
      </c>
    </row>
    <row r="2033" spans="1:9" x14ac:dyDescent="0.6">
      <c r="A2033">
        <v>437</v>
      </c>
      <c r="B2033" t="s">
        <v>14</v>
      </c>
      <c r="C2033" t="s">
        <v>13</v>
      </c>
      <c r="D2033">
        <v>146.06</v>
      </c>
      <c r="E2033">
        <v>194.69</v>
      </c>
      <c r="F2033">
        <v>77275</v>
      </c>
      <c r="H2033">
        <f>_xlfn.LET(_xlpm.v, IFERROR(VLOOKUP($A2033, manifest!$A:$E, 3, FALSE), ""), IF(OR(_xlpm.v=0, _xlpm.v=""), "", _xlpm.v))</f>
        <v>60</v>
      </c>
      <c r="I2033" t="str">
        <f>_xlfn.LET(_xlpm.v, IFERROR(VLOOKUP($A2033, manifest!$A:$E, 5, FALSE), ""), IF(OR(_xlpm.v=0, _xlpm.v=""), "", _xlpm.v))</f>
        <v>female</v>
      </c>
    </row>
    <row r="2034" spans="1:9" x14ac:dyDescent="0.6">
      <c r="A2034">
        <v>422</v>
      </c>
      <c r="B2034" t="s">
        <v>14</v>
      </c>
      <c r="C2034" t="s">
        <v>8</v>
      </c>
      <c r="D2034">
        <v>233.86</v>
      </c>
      <c r="E2034">
        <v>217.03</v>
      </c>
      <c r="F2034">
        <v>24179</v>
      </c>
      <c r="G2034" t="s">
        <v>9</v>
      </c>
      <c r="H2034">
        <f>_xlfn.LET(_xlpm.v, IFERROR(VLOOKUP($A2034, manifest!$A:$E, 3, FALSE), ""), IF(OR(_xlpm.v=0, _xlpm.v=""), "", _xlpm.v))</f>
        <v>60</v>
      </c>
      <c r="I2034" t="str">
        <f>_xlfn.LET(_xlpm.v, IFERROR(VLOOKUP($A2034, manifest!$A:$E, 5, FALSE), ""), IF(OR(_xlpm.v=0, _xlpm.v=""), "", _xlpm.v))</f>
        <v>female</v>
      </c>
    </row>
    <row r="2035" spans="1:9" x14ac:dyDescent="0.6">
      <c r="A2035">
        <v>422</v>
      </c>
      <c r="B2035" t="s">
        <v>14</v>
      </c>
      <c r="C2035" t="s">
        <v>10</v>
      </c>
      <c r="D2035">
        <v>225.88</v>
      </c>
      <c r="E2035">
        <v>210.85</v>
      </c>
      <c r="F2035">
        <v>29272</v>
      </c>
      <c r="H2035">
        <f>_xlfn.LET(_xlpm.v, IFERROR(VLOOKUP($A2035, manifest!$A:$E, 3, FALSE), ""), IF(OR(_xlpm.v=0, _xlpm.v=""), "", _xlpm.v))</f>
        <v>60</v>
      </c>
      <c r="I2035" t="str">
        <f>_xlfn.LET(_xlpm.v, IFERROR(VLOOKUP($A2035, manifest!$A:$E, 5, FALSE), ""), IF(OR(_xlpm.v=0, _xlpm.v=""), "", _xlpm.v))</f>
        <v>female</v>
      </c>
    </row>
    <row r="2036" spans="1:9" x14ac:dyDescent="0.6">
      <c r="A2036">
        <v>422</v>
      </c>
      <c r="B2036" t="s">
        <v>14</v>
      </c>
      <c r="C2036" t="s">
        <v>11</v>
      </c>
      <c r="D2036">
        <v>213.58</v>
      </c>
      <c r="E2036">
        <v>203.4</v>
      </c>
      <c r="F2036">
        <v>43148</v>
      </c>
      <c r="H2036">
        <f>_xlfn.LET(_xlpm.v, IFERROR(VLOOKUP($A2036, manifest!$A:$E, 3, FALSE), ""), IF(OR(_xlpm.v=0, _xlpm.v=""), "", _xlpm.v))</f>
        <v>60</v>
      </c>
      <c r="I2036" t="str">
        <f>_xlfn.LET(_xlpm.v, IFERROR(VLOOKUP($A2036, manifest!$A:$E, 5, FALSE), ""), IF(OR(_xlpm.v=0, _xlpm.v=""), "", _xlpm.v))</f>
        <v>female</v>
      </c>
    </row>
    <row r="2037" spans="1:9" x14ac:dyDescent="0.6">
      <c r="A2037">
        <v>422</v>
      </c>
      <c r="B2037" t="s">
        <v>14</v>
      </c>
      <c r="C2037" t="s">
        <v>12</v>
      </c>
      <c r="D2037">
        <v>219.05</v>
      </c>
      <c r="E2037">
        <v>205.06</v>
      </c>
      <c r="F2037">
        <v>50460</v>
      </c>
      <c r="H2037">
        <f>_xlfn.LET(_xlpm.v, IFERROR(VLOOKUP($A2037, manifest!$A:$E, 3, FALSE), ""), IF(OR(_xlpm.v=0, _xlpm.v=""), "", _xlpm.v))</f>
        <v>60</v>
      </c>
      <c r="I2037" t="str">
        <f>_xlfn.LET(_xlpm.v, IFERROR(VLOOKUP($A2037, manifest!$A:$E, 5, FALSE), ""), IF(OR(_xlpm.v=0, _xlpm.v=""), "", _xlpm.v))</f>
        <v>female</v>
      </c>
    </row>
    <row r="2038" spans="1:9" x14ac:dyDescent="0.6">
      <c r="A2038">
        <v>422</v>
      </c>
      <c r="B2038" t="s">
        <v>14</v>
      </c>
      <c r="C2038" t="s">
        <v>13</v>
      </c>
      <c r="D2038">
        <v>206.5</v>
      </c>
      <c r="E2038">
        <v>168.89</v>
      </c>
      <c r="F2038">
        <v>51793</v>
      </c>
      <c r="H2038">
        <f>_xlfn.LET(_xlpm.v, IFERROR(VLOOKUP($A2038, manifest!$A:$E, 3, FALSE), ""), IF(OR(_xlpm.v=0, _xlpm.v=""), "", _xlpm.v))</f>
        <v>60</v>
      </c>
      <c r="I2038" t="str">
        <f>_xlfn.LET(_xlpm.v, IFERROR(VLOOKUP($A2038, manifest!$A:$E, 5, FALSE), ""), IF(OR(_xlpm.v=0, _xlpm.v=""), "", _xlpm.v))</f>
        <v>female</v>
      </c>
    </row>
    <row r="2039" spans="1:9" x14ac:dyDescent="0.6">
      <c r="A2039">
        <v>434</v>
      </c>
      <c r="B2039" t="s">
        <v>7</v>
      </c>
      <c r="C2039" t="s">
        <v>8</v>
      </c>
      <c r="D2039">
        <v>227.57</v>
      </c>
      <c r="E2039">
        <v>144.96</v>
      </c>
      <c r="F2039">
        <v>33876</v>
      </c>
      <c r="G2039" t="s">
        <v>9</v>
      </c>
      <c r="H2039">
        <f>_xlfn.LET(_xlpm.v, IFERROR(VLOOKUP($A2039, manifest!$A:$E, 3, FALSE), ""), IF(OR(_xlpm.v=0, _xlpm.v=""), "", _xlpm.v))</f>
        <v>50</v>
      </c>
      <c r="I2039" t="str">
        <f>_xlfn.LET(_xlpm.v, IFERROR(VLOOKUP($A2039, manifest!$A:$E, 5, FALSE), ""), IF(OR(_xlpm.v=0, _xlpm.v=""), "", _xlpm.v))</f>
        <v>male</v>
      </c>
    </row>
    <row r="2040" spans="1:9" x14ac:dyDescent="0.6">
      <c r="A2040">
        <v>434</v>
      </c>
      <c r="B2040" t="s">
        <v>7</v>
      </c>
      <c r="C2040" t="s">
        <v>10</v>
      </c>
      <c r="D2040">
        <v>244.96</v>
      </c>
      <c r="E2040">
        <v>177.72</v>
      </c>
      <c r="F2040">
        <v>37740</v>
      </c>
      <c r="H2040">
        <f>_xlfn.LET(_xlpm.v, IFERROR(VLOOKUP($A2040, manifest!$A:$E, 3, FALSE), ""), IF(OR(_xlpm.v=0, _xlpm.v=""), "", _xlpm.v))</f>
        <v>50</v>
      </c>
      <c r="I2040" t="str">
        <f>_xlfn.LET(_xlpm.v, IFERROR(VLOOKUP($A2040, manifest!$A:$E, 5, FALSE), ""), IF(OR(_xlpm.v=0, _xlpm.v=""), "", _xlpm.v))</f>
        <v>male</v>
      </c>
    </row>
    <row r="2041" spans="1:9" x14ac:dyDescent="0.6">
      <c r="A2041">
        <v>434</v>
      </c>
      <c r="B2041" t="s">
        <v>7</v>
      </c>
      <c r="C2041" t="s">
        <v>11</v>
      </c>
      <c r="D2041">
        <v>259.94</v>
      </c>
      <c r="E2041">
        <v>213.54</v>
      </c>
      <c r="F2041">
        <v>42545</v>
      </c>
      <c r="H2041">
        <f>_xlfn.LET(_xlpm.v, IFERROR(VLOOKUP($A2041, manifest!$A:$E, 3, FALSE), ""), IF(OR(_xlpm.v=0, _xlpm.v=""), "", _xlpm.v))</f>
        <v>50</v>
      </c>
      <c r="I2041" t="str">
        <f>_xlfn.LET(_xlpm.v, IFERROR(VLOOKUP($A2041, manifest!$A:$E, 5, FALSE), ""), IF(OR(_xlpm.v=0, _xlpm.v=""), "", _xlpm.v))</f>
        <v>male</v>
      </c>
    </row>
    <row r="2042" spans="1:9" x14ac:dyDescent="0.6">
      <c r="A2042">
        <v>434</v>
      </c>
      <c r="B2042" t="s">
        <v>7</v>
      </c>
      <c r="C2042" t="s">
        <v>12</v>
      </c>
      <c r="D2042">
        <v>277.16000000000003</v>
      </c>
      <c r="E2042">
        <v>212.22</v>
      </c>
      <c r="F2042">
        <v>39046</v>
      </c>
      <c r="H2042">
        <f>_xlfn.LET(_xlpm.v, IFERROR(VLOOKUP($A2042, manifest!$A:$E, 3, FALSE), ""), IF(OR(_xlpm.v=0, _xlpm.v=""), "", _xlpm.v))</f>
        <v>50</v>
      </c>
      <c r="I2042" t="str">
        <f>_xlfn.LET(_xlpm.v, IFERROR(VLOOKUP($A2042, manifest!$A:$E, 5, FALSE), ""), IF(OR(_xlpm.v=0, _xlpm.v=""), "", _xlpm.v))</f>
        <v>male</v>
      </c>
    </row>
    <row r="2043" spans="1:9" x14ac:dyDescent="0.6">
      <c r="A2043">
        <v>434</v>
      </c>
      <c r="B2043" t="s">
        <v>7</v>
      </c>
      <c r="C2043" t="s">
        <v>13</v>
      </c>
      <c r="D2043">
        <v>219.75</v>
      </c>
      <c r="E2043">
        <v>124.64</v>
      </c>
      <c r="F2043">
        <v>57252</v>
      </c>
      <c r="H2043">
        <f>_xlfn.LET(_xlpm.v, IFERROR(VLOOKUP($A2043, manifest!$A:$E, 3, FALSE), ""), IF(OR(_xlpm.v=0, _xlpm.v=""), "", _xlpm.v))</f>
        <v>50</v>
      </c>
      <c r="I2043" t="str">
        <f>_xlfn.LET(_xlpm.v, IFERROR(VLOOKUP($A2043, manifest!$A:$E, 5, FALSE), ""), IF(OR(_xlpm.v=0, _xlpm.v=""), "", _xlpm.v))</f>
        <v>male</v>
      </c>
    </row>
    <row r="2044" spans="1:9" x14ac:dyDescent="0.6">
      <c r="A2044">
        <v>425</v>
      </c>
      <c r="B2044" t="s">
        <v>7</v>
      </c>
      <c r="C2044" t="s">
        <v>8</v>
      </c>
      <c r="D2044">
        <v>167.05</v>
      </c>
      <c r="E2044">
        <v>188.12</v>
      </c>
      <c r="F2044">
        <v>44107</v>
      </c>
      <c r="G2044" t="s">
        <v>9</v>
      </c>
      <c r="H2044">
        <f>_xlfn.LET(_xlpm.v, IFERROR(VLOOKUP($A2044, manifest!$A:$E, 3, FALSE), ""), IF(OR(_xlpm.v=0, _xlpm.v=""), "", _xlpm.v))</f>
        <v>60</v>
      </c>
      <c r="I2044" t="str">
        <f>_xlfn.LET(_xlpm.v, IFERROR(VLOOKUP($A2044, manifest!$A:$E, 5, FALSE), ""), IF(OR(_xlpm.v=0, _xlpm.v=""), "", _xlpm.v))</f>
        <v>female</v>
      </c>
    </row>
    <row r="2045" spans="1:9" x14ac:dyDescent="0.6">
      <c r="A2045">
        <v>425</v>
      </c>
      <c r="B2045" t="s">
        <v>7</v>
      </c>
      <c r="C2045" t="s">
        <v>10</v>
      </c>
      <c r="D2045">
        <v>139.93</v>
      </c>
      <c r="E2045">
        <v>169.27</v>
      </c>
      <c r="F2045">
        <v>56244</v>
      </c>
      <c r="H2045">
        <f>_xlfn.LET(_xlpm.v, IFERROR(VLOOKUP($A2045, manifest!$A:$E, 3, FALSE), ""), IF(OR(_xlpm.v=0, _xlpm.v=""), "", _xlpm.v))</f>
        <v>60</v>
      </c>
      <c r="I2045" t="str">
        <f>_xlfn.LET(_xlpm.v, IFERROR(VLOOKUP($A2045, manifest!$A:$E, 5, FALSE), ""), IF(OR(_xlpm.v=0, _xlpm.v=""), "", _xlpm.v))</f>
        <v>female</v>
      </c>
    </row>
    <row r="2046" spans="1:9" x14ac:dyDescent="0.6">
      <c r="A2046">
        <v>425</v>
      </c>
      <c r="B2046" t="s">
        <v>7</v>
      </c>
      <c r="C2046" t="s">
        <v>11</v>
      </c>
      <c r="D2046">
        <v>125.02</v>
      </c>
      <c r="E2046">
        <v>137.69</v>
      </c>
      <c r="F2046">
        <v>61135</v>
      </c>
      <c r="H2046">
        <f>_xlfn.LET(_xlpm.v, IFERROR(VLOOKUP($A2046, manifest!$A:$E, 3, FALSE), ""), IF(OR(_xlpm.v=0, _xlpm.v=""), "", _xlpm.v))</f>
        <v>60</v>
      </c>
      <c r="I2046" t="str">
        <f>_xlfn.LET(_xlpm.v, IFERROR(VLOOKUP($A2046, manifest!$A:$E, 5, FALSE), ""), IF(OR(_xlpm.v=0, _xlpm.v=""), "", _xlpm.v))</f>
        <v>female</v>
      </c>
    </row>
    <row r="2047" spans="1:9" x14ac:dyDescent="0.6">
      <c r="A2047">
        <v>425</v>
      </c>
      <c r="B2047" t="s">
        <v>7</v>
      </c>
      <c r="C2047" t="s">
        <v>12</v>
      </c>
      <c r="D2047">
        <v>117.97</v>
      </c>
      <c r="E2047">
        <v>123.5</v>
      </c>
      <c r="F2047">
        <v>62681</v>
      </c>
      <c r="H2047">
        <f>_xlfn.LET(_xlpm.v, IFERROR(VLOOKUP($A2047, manifest!$A:$E, 3, FALSE), ""), IF(OR(_xlpm.v=0, _xlpm.v=""), "", _xlpm.v))</f>
        <v>60</v>
      </c>
      <c r="I2047" t="str">
        <f>_xlfn.LET(_xlpm.v, IFERROR(VLOOKUP($A2047, manifest!$A:$E, 5, FALSE), ""), IF(OR(_xlpm.v=0, _xlpm.v=""), "", _xlpm.v))</f>
        <v>female</v>
      </c>
    </row>
    <row r="2048" spans="1:9" x14ac:dyDescent="0.6">
      <c r="A2048">
        <v>425</v>
      </c>
      <c r="B2048" t="s">
        <v>7</v>
      </c>
      <c r="C2048" t="s">
        <v>13</v>
      </c>
      <c r="D2048">
        <v>123.3</v>
      </c>
      <c r="E2048">
        <v>133.97</v>
      </c>
      <c r="F2048">
        <v>63283</v>
      </c>
      <c r="H2048">
        <f>_xlfn.LET(_xlpm.v, IFERROR(VLOOKUP($A2048, manifest!$A:$E, 3, FALSE), ""), IF(OR(_xlpm.v=0, _xlpm.v=""), "", _xlpm.v))</f>
        <v>60</v>
      </c>
      <c r="I2048" t="str">
        <f>_xlfn.LET(_xlpm.v, IFERROR(VLOOKUP($A2048, manifest!$A:$E, 5, FALSE), ""), IF(OR(_xlpm.v=0, _xlpm.v=""), "", _xlpm.v))</f>
        <v>female</v>
      </c>
    </row>
    <row r="2049" spans="1:9" x14ac:dyDescent="0.6">
      <c r="A2049">
        <v>427</v>
      </c>
      <c r="B2049" t="s">
        <v>14</v>
      </c>
      <c r="C2049" t="s">
        <v>8</v>
      </c>
      <c r="D2049">
        <v>254.8</v>
      </c>
      <c r="E2049">
        <v>209.59</v>
      </c>
      <c r="F2049">
        <v>26186</v>
      </c>
      <c r="G2049" t="s">
        <v>9</v>
      </c>
      <c r="H2049">
        <f>_xlfn.LET(_xlpm.v, IFERROR(VLOOKUP($A2049, manifest!$A:$E, 3, FALSE), ""), IF(OR(_xlpm.v=0, _xlpm.v=""), "", _xlpm.v))</f>
        <v>60</v>
      </c>
      <c r="I2049" t="str">
        <f>_xlfn.LET(_xlpm.v, IFERROR(VLOOKUP($A2049, manifest!$A:$E, 5, FALSE), ""), IF(OR(_xlpm.v=0, _xlpm.v=""), "", _xlpm.v))</f>
        <v>female</v>
      </c>
    </row>
    <row r="2050" spans="1:9" x14ac:dyDescent="0.6">
      <c r="A2050">
        <v>427</v>
      </c>
      <c r="B2050" t="s">
        <v>14</v>
      </c>
      <c r="C2050" t="s">
        <v>10</v>
      </c>
      <c r="D2050">
        <v>258.13</v>
      </c>
      <c r="E2050">
        <v>199.41</v>
      </c>
      <c r="F2050">
        <v>38094</v>
      </c>
      <c r="H2050">
        <f>_xlfn.LET(_xlpm.v, IFERROR(VLOOKUP($A2050, manifest!$A:$E, 3, FALSE), ""), IF(OR(_xlpm.v=0, _xlpm.v=""), "", _xlpm.v))</f>
        <v>60</v>
      </c>
      <c r="I2050" t="str">
        <f>_xlfn.LET(_xlpm.v, IFERROR(VLOOKUP($A2050, manifest!$A:$E, 5, FALSE), ""), IF(OR(_xlpm.v=0, _xlpm.v=""), "", _xlpm.v))</f>
        <v>female</v>
      </c>
    </row>
    <row r="2051" spans="1:9" x14ac:dyDescent="0.6">
      <c r="A2051">
        <v>427</v>
      </c>
      <c r="B2051" t="s">
        <v>14</v>
      </c>
      <c r="C2051" t="s">
        <v>11</v>
      </c>
      <c r="D2051">
        <v>251.59</v>
      </c>
      <c r="E2051">
        <v>197.06</v>
      </c>
      <c r="F2051">
        <v>49349</v>
      </c>
      <c r="H2051">
        <f>_xlfn.LET(_xlpm.v, IFERROR(VLOOKUP($A2051, manifest!$A:$E, 3, FALSE), ""), IF(OR(_xlpm.v=0, _xlpm.v=""), "", _xlpm.v))</f>
        <v>60</v>
      </c>
      <c r="I2051" t="str">
        <f>_xlfn.LET(_xlpm.v, IFERROR(VLOOKUP($A2051, manifest!$A:$E, 5, FALSE), ""), IF(OR(_xlpm.v=0, _xlpm.v=""), "", _xlpm.v))</f>
        <v>female</v>
      </c>
    </row>
    <row r="2052" spans="1:9" x14ac:dyDescent="0.6">
      <c r="A2052">
        <v>427</v>
      </c>
      <c r="B2052" t="s">
        <v>14</v>
      </c>
      <c r="C2052" t="s">
        <v>12</v>
      </c>
      <c r="D2052">
        <v>251.49</v>
      </c>
      <c r="E2052">
        <v>192.42</v>
      </c>
      <c r="F2052">
        <v>44276</v>
      </c>
      <c r="H2052">
        <f>_xlfn.LET(_xlpm.v, IFERROR(VLOOKUP($A2052, manifest!$A:$E, 3, FALSE), ""), IF(OR(_xlpm.v=0, _xlpm.v=""), "", _xlpm.v))</f>
        <v>60</v>
      </c>
      <c r="I2052" t="str">
        <f>_xlfn.LET(_xlpm.v, IFERROR(VLOOKUP($A2052, manifest!$A:$E, 5, FALSE), ""), IF(OR(_xlpm.v=0, _xlpm.v=""), "", _xlpm.v))</f>
        <v>female</v>
      </c>
    </row>
    <row r="2053" spans="1:9" x14ac:dyDescent="0.6">
      <c r="A2053">
        <v>427</v>
      </c>
      <c r="B2053" t="s">
        <v>14</v>
      </c>
      <c r="C2053" t="s">
        <v>13</v>
      </c>
      <c r="D2053">
        <v>210.67</v>
      </c>
      <c r="E2053">
        <v>164.36</v>
      </c>
      <c r="F2053">
        <v>62105</v>
      </c>
      <c r="H2053">
        <f>_xlfn.LET(_xlpm.v, IFERROR(VLOOKUP($A2053, manifest!$A:$E, 3, FALSE), ""), IF(OR(_xlpm.v=0, _xlpm.v=""), "", _xlpm.v))</f>
        <v>60</v>
      </c>
      <c r="I2053" t="str">
        <f>_xlfn.LET(_xlpm.v, IFERROR(VLOOKUP($A2053, manifest!$A:$E, 5, FALSE), ""), IF(OR(_xlpm.v=0, _xlpm.v=""), "", _xlpm.v))</f>
        <v>female</v>
      </c>
    </row>
    <row r="2054" spans="1:9" x14ac:dyDescent="0.6">
      <c r="A2054">
        <v>442</v>
      </c>
      <c r="B2054" t="s">
        <v>14</v>
      </c>
      <c r="C2054" t="s">
        <v>8</v>
      </c>
      <c r="D2054">
        <v>143.44999999999999</v>
      </c>
      <c r="E2054">
        <v>90.2</v>
      </c>
      <c r="F2054">
        <v>33311</v>
      </c>
      <c r="G2054" t="s">
        <v>15</v>
      </c>
      <c r="H2054">
        <f>_xlfn.LET(_xlpm.v, IFERROR(VLOOKUP($A2054, manifest!$A:$E, 3, FALSE), ""), IF(OR(_xlpm.v=0, _xlpm.v=""), "", _xlpm.v))</f>
        <v>50</v>
      </c>
      <c r="I2054" t="str">
        <f>_xlfn.LET(_xlpm.v, IFERROR(VLOOKUP($A2054, manifest!$A:$E, 5, FALSE), ""), IF(OR(_xlpm.v=0, _xlpm.v=""), "", _xlpm.v))</f>
        <v>female</v>
      </c>
    </row>
    <row r="2055" spans="1:9" x14ac:dyDescent="0.6">
      <c r="A2055">
        <v>442</v>
      </c>
      <c r="B2055" t="s">
        <v>14</v>
      </c>
      <c r="C2055" t="s">
        <v>10</v>
      </c>
      <c r="D2055">
        <v>153.44</v>
      </c>
      <c r="E2055">
        <v>103.68</v>
      </c>
      <c r="F2055">
        <v>36922</v>
      </c>
      <c r="H2055">
        <f>_xlfn.LET(_xlpm.v, IFERROR(VLOOKUP($A2055, manifest!$A:$E, 3, FALSE), ""), IF(OR(_xlpm.v=0, _xlpm.v=""), "", _xlpm.v))</f>
        <v>50</v>
      </c>
      <c r="I2055" t="str">
        <f>_xlfn.LET(_xlpm.v, IFERROR(VLOOKUP($A2055, manifest!$A:$E, 5, FALSE), ""), IF(OR(_xlpm.v=0, _xlpm.v=""), "", _xlpm.v))</f>
        <v>female</v>
      </c>
    </row>
    <row r="2056" spans="1:9" x14ac:dyDescent="0.6">
      <c r="A2056">
        <v>442</v>
      </c>
      <c r="B2056" t="s">
        <v>14</v>
      </c>
      <c r="C2056" t="s">
        <v>11</v>
      </c>
      <c r="D2056">
        <v>152.6</v>
      </c>
      <c r="E2056">
        <v>122.64</v>
      </c>
      <c r="F2056">
        <v>35788</v>
      </c>
      <c r="H2056">
        <f>_xlfn.LET(_xlpm.v, IFERROR(VLOOKUP($A2056, manifest!$A:$E, 3, FALSE), ""), IF(OR(_xlpm.v=0, _xlpm.v=""), "", _xlpm.v))</f>
        <v>50</v>
      </c>
      <c r="I2056" t="str">
        <f>_xlfn.LET(_xlpm.v, IFERROR(VLOOKUP($A2056, manifest!$A:$E, 5, FALSE), ""), IF(OR(_xlpm.v=0, _xlpm.v=""), "", _xlpm.v))</f>
        <v>female</v>
      </c>
    </row>
    <row r="2057" spans="1:9" x14ac:dyDescent="0.6">
      <c r="A2057">
        <v>442</v>
      </c>
      <c r="B2057" t="s">
        <v>14</v>
      </c>
      <c r="C2057" t="s">
        <v>12</v>
      </c>
      <c r="D2057">
        <v>158.99</v>
      </c>
      <c r="E2057">
        <v>131.26</v>
      </c>
      <c r="F2057">
        <v>45862</v>
      </c>
      <c r="H2057">
        <f>_xlfn.LET(_xlpm.v, IFERROR(VLOOKUP($A2057, manifest!$A:$E, 3, FALSE), ""), IF(OR(_xlpm.v=0, _xlpm.v=""), "", _xlpm.v))</f>
        <v>50</v>
      </c>
      <c r="I2057" t="str">
        <f>_xlfn.LET(_xlpm.v, IFERROR(VLOOKUP($A2057, manifest!$A:$E, 5, FALSE), ""), IF(OR(_xlpm.v=0, _xlpm.v=""), "", _xlpm.v))</f>
        <v>female</v>
      </c>
    </row>
    <row r="2058" spans="1:9" x14ac:dyDescent="0.6">
      <c r="A2058">
        <v>442</v>
      </c>
      <c r="B2058" t="s">
        <v>14</v>
      </c>
      <c r="C2058" t="s">
        <v>13</v>
      </c>
      <c r="D2058">
        <v>181.45</v>
      </c>
      <c r="E2058">
        <v>158.74</v>
      </c>
      <c r="F2058">
        <v>54761</v>
      </c>
      <c r="H2058">
        <f>_xlfn.LET(_xlpm.v, IFERROR(VLOOKUP($A2058, manifest!$A:$E, 3, FALSE), ""), IF(OR(_xlpm.v=0, _xlpm.v=""), "", _xlpm.v))</f>
        <v>50</v>
      </c>
      <c r="I2058" t="str">
        <f>_xlfn.LET(_xlpm.v, IFERROR(VLOOKUP($A2058, manifest!$A:$E, 5, FALSE), ""), IF(OR(_xlpm.v=0, _xlpm.v=""), "", _xlpm.v))</f>
        <v>female</v>
      </c>
    </row>
    <row r="2059" spans="1:9" x14ac:dyDescent="0.6">
      <c r="A2059">
        <v>438</v>
      </c>
      <c r="B2059" t="s">
        <v>14</v>
      </c>
      <c r="C2059" t="s">
        <v>8</v>
      </c>
      <c r="D2059">
        <v>225.41</v>
      </c>
      <c r="E2059">
        <v>156.28</v>
      </c>
      <c r="F2059">
        <v>24444</v>
      </c>
      <c r="G2059" t="s">
        <v>9</v>
      </c>
      <c r="H2059">
        <f>_xlfn.LET(_xlpm.v, IFERROR(VLOOKUP($A2059, manifest!$A:$E, 3, FALSE), ""), IF(OR(_xlpm.v=0, _xlpm.v=""), "", _xlpm.v))</f>
        <v>60</v>
      </c>
      <c r="I2059" t="str">
        <f>_xlfn.LET(_xlpm.v, IFERROR(VLOOKUP($A2059, manifest!$A:$E, 5, FALSE), ""), IF(OR(_xlpm.v=0, _xlpm.v=""), "", _xlpm.v))</f>
        <v>female</v>
      </c>
    </row>
    <row r="2060" spans="1:9" x14ac:dyDescent="0.6">
      <c r="A2060">
        <v>438</v>
      </c>
      <c r="B2060" t="s">
        <v>14</v>
      </c>
      <c r="C2060" t="s">
        <v>10</v>
      </c>
      <c r="D2060">
        <v>238.47</v>
      </c>
      <c r="E2060">
        <v>184.09</v>
      </c>
      <c r="F2060">
        <v>26112</v>
      </c>
      <c r="H2060">
        <f>_xlfn.LET(_xlpm.v, IFERROR(VLOOKUP($A2060, manifest!$A:$E, 3, FALSE), ""), IF(OR(_xlpm.v=0, _xlpm.v=""), "", _xlpm.v))</f>
        <v>60</v>
      </c>
      <c r="I2060" t="str">
        <f>_xlfn.LET(_xlpm.v, IFERROR(VLOOKUP($A2060, manifest!$A:$E, 5, FALSE), ""), IF(OR(_xlpm.v=0, _xlpm.v=""), "", _xlpm.v))</f>
        <v>female</v>
      </c>
    </row>
    <row r="2061" spans="1:9" x14ac:dyDescent="0.6">
      <c r="A2061">
        <v>438</v>
      </c>
      <c r="B2061" t="s">
        <v>14</v>
      </c>
      <c r="C2061" t="s">
        <v>11</v>
      </c>
      <c r="D2061">
        <v>224.75</v>
      </c>
      <c r="E2061">
        <v>201.62</v>
      </c>
      <c r="F2061">
        <v>31195</v>
      </c>
      <c r="H2061">
        <f>_xlfn.LET(_xlpm.v, IFERROR(VLOOKUP($A2061, manifest!$A:$E, 3, FALSE), ""), IF(OR(_xlpm.v=0, _xlpm.v=""), "", _xlpm.v))</f>
        <v>60</v>
      </c>
      <c r="I2061" t="str">
        <f>_xlfn.LET(_xlpm.v, IFERROR(VLOOKUP($A2061, manifest!$A:$E, 5, FALSE), ""), IF(OR(_xlpm.v=0, _xlpm.v=""), "", _xlpm.v))</f>
        <v>female</v>
      </c>
    </row>
    <row r="2062" spans="1:9" x14ac:dyDescent="0.6">
      <c r="A2062">
        <v>438</v>
      </c>
      <c r="B2062" t="s">
        <v>14</v>
      </c>
      <c r="C2062" t="s">
        <v>12</v>
      </c>
      <c r="D2062">
        <v>228.3</v>
      </c>
      <c r="E2062">
        <v>214.95</v>
      </c>
      <c r="F2062">
        <v>34621</v>
      </c>
      <c r="H2062">
        <f>_xlfn.LET(_xlpm.v, IFERROR(VLOOKUP($A2062, manifest!$A:$E, 3, FALSE), ""), IF(OR(_xlpm.v=0, _xlpm.v=""), "", _xlpm.v))</f>
        <v>60</v>
      </c>
      <c r="I2062" t="str">
        <f>_xlfn.LET(_xlpm.v, IFERROR(VLOOKUP($A2062, manifest!$A:$E, 5, FALSE), ""), IF(OR(_xlpm.v=0, _xlpm.v=""), "", _xlpm.v))</f>
        <v>female</v>
      </c>
    </row>
    <row r="2063" spans="1:9" x14ac:dyDescent="0.6">
      <c r="A2063">
        <v>438</v>
      </c>
      <c r="B2063" t="s">
        <v>14</v>
      </c>
      <c r="C2063" t="s">
        <v>13</v>
      </c>
      <c r="D2063">
        <v>254.2</v>
      </c>
      <c r="E2063">
        <v>232.1</v>
      </c>
      <c r="F2063">
        <v>47833</v>
      </c>
      <c r="H2063">
        <f>_xlfn.LET(_xlpm.v, IFERROR(VLOOKUP($A2063, manifest!$A:$E, 3, FALSE), ""), IF(OR(_xlpm.v=0, _xlpm.v=""), "", _xlpm.v))</f>
        <v>60</v>
      </c>
      <c r="I2063" t="str">
        <f>_xlfn.LET(_xlpm.v, IFERROR(VLOOKUP($A2063, manifest!$A:$E, 5, FALSE), ""), IF(OR(_xlpm.v=0, _xlpm.v=""), "", _xlpm.v))</f>
        <v>female</v>
      </c>
    </row>
    <row r="2064" spans="1:9" x14ac:dyDescent="0.6">
      <c r="A2064">
        <v>443</v>
      </c>
      <c r="B2064" t="s">
        <v>7</v>
      </c>
      <c r="C2064" t="s">
        <v>8</v>
      </c>
      <c r="D2064">
        <v>240.56</v>
      </c>
      <c r="E2064">
        <v>136.76</v>
      </c>
      <c r="F2064">
        <v>28030</v>
      </c>
      <c r="G2064" t="s">
        <v>9</v>
      </c>
      <c r="H2064">
        <f>_xlfn.LET(_xlpm.v, IFERROR(VLOOKUP($A2064, manifest!$A:$E, 3, FALSE), ""), IF(OR(_xlpm.v=0, _xlpm.v=""), "", _xlpm.v))</f>
        <v>50</v>
      </c>
      <c r="I2064" t="str">
        <f>_xlfn.LET(_xlpm.v, IFERROR(VLOOKUP($A2064, manifest!$A:$E, 5, FALSE), ""), IF(OR(_xlpm.v=0, _xlpm.v=""), "", _xlpm.v))</f>
        <v>female</v>
      </c>
    </row>
    <row r="2065" spans="1:9" x14ac:dyDescent="0.6">
      <c r="A2065">
        <v>443</v>
      </c>
      <c r="B2065" t="s">
        <v>7</v>
      </c>
      <c r="C2065" t="s">
        <v>10</v>
      </c>
      <c r="D2065">
        <v>256.36</v>
      </c>
      <c r="E2065">
        <v>187.09</v>
      </c>
      <c r="F2065">
        <v>34554</v>
      </c>
      <c r="H2065">
        <f>_xlfn.LET(_xlpm.v, IFERROR(VLOOKUP($A2065, manifest!$A:$E, 3, FALSE), ""), IF(OR(_xlpm.v=0, _xlpm.v=""), "", _xlpm.v))</f>
        <v>50</v>
      </c>
      <c r="I2065" t="str">
        <f>_xlfn.LET(_xlpm.v, IFERROR(VLOOKUP($A2065, manifest!$A:$E, 5, FALSE), ""), IF(OR(_xlpm.v=0, _xlpm.v=""), "", _xlpm.v))</f>
        <v>female</v>
      </c>
    </row>
    <row r="2066" spans="1:9" x14ac:dyDescent="0.6">
      <c r="A2066">
        <v>443</v>
      </c>
      <c r="B2066" t="s">
        <v>7</v>
      </c>
      <c r="C2066" t="s">
        <v>11</v>
      </c>
      <c r="D2066">
        <v>275.58</v>
      </c>
      <c r="E2066">
        <v>211.53</v>
      </c>
      <c r="F2066">
        <v>33289</v>
      </c>
      <c r="H2066">
        <f>_xlfn.LET(_xlpm.v, IFERROR(VLOOKUP($A2066, manifest!$A:$E, 3, FALSE), ""), IF(OR(_xlpm.v=0, _xlpm.v=""), "", _xlpm.v))</f>
        <v>50</v>
      </c>
      <c r="I2066" t="str">
        <f>_xlfn.LET(_xlpm.v, IFERROR(VLOOKUP($A2066, manifest!$A:$E, 5, FALSE), ""), IF(OR(_xlpm.v=0, _xlpm.v=""), "", _xlpm.v))</f>
        <v>female</v>
      </c>
    </row>
    <row r="2067" spans="1:9" x14ac:dyDescent="0.6">
      <c r="A2067">
        <v>443</v>
      </c>
      <c r="B2067" t="s">
        <v>7</v>
      </c>
      <c r="C2067" t="s">
        <v>12</v>
      </c>
      <c r="D2067">
        <v>295.8</v>
      </c>
      <c r="E2067">
        <v>225.34</v>
      </c>
      <c r="F2067">
        <v>35941</v>
      </c>
      <c r="H2067">
        <f>_xlfn.LET(_xlpm.v, IFERROR(VLOOKUP($A2067, manifest!$A:$E, 3, FALSE), ""), IF(OR(_xlpm.v=0, _xlpm.v=""), "", _xlpm.v))</f>
        <v>50</v>
      </c>
      <c r="I2067" t="str">
        <f>_xlfn.LET(_xlpm.v, IFERROR(VLOOKUP($A2067, manifest!$A:$E, 5, FALSE), ""), IF(OR(_xlpm.v=0, _xlpm.v=""), "", _xlpm.v))</f>
        <v>female</v>
      </c>
    </row>
    <row r="2068" spans="1:9" x14ac:dyDescent="0.6">
      <c r="A2068">
        <v>443</v>
      </c>
      <c r="B2068" t="s">
        <v>7</v>
      </c>
      <c r="C2068" t="s">
        <v>13</v>
      </c>
      <c r="D2068">
        <v>289.31</v>
      </c>
      <c r="E2068">
        <v>211.4</v>
      </c>
      <c r="F2068">
        <v>41754</v>
      </c>
      <c r="H2068">
        <f>_xlfn.LET(_xlpm.v, IFERROR(VLOOKUP($A2068, manifest!$A:$E, 3, FALSE), ""), IF(OR(_xlpm.v=0, _xlpm.v=""), "", _xlpm.v))</f>
        <v>50</v>
      </c>
      <c r="I2068" t="str">
        <f>_xlfn.LET(_xlpm.v, IFERROR(VLOOKUP($A2068, manifest!$A:$E, 5, FALSE), ""), IF(OR(_xlpm.v=0, _xlpm.v=""), "", _xlpm.v))</f>
        <v>female</v>
      </c>
    </row>
    <row r="2069" spans="1:9" x14ac:dyDescent="0.6">
      <c r="A2069">
        <v>447</v>
      </c>
      <c r="B2069" t="s">
        <v>14</v>
      </c>
      <c r="C2069" t="s">
        <v>8</v>
      </c>
      <c r="D2069">
        <v>224.65</v>
      </c>
      <c r="E2069">
        <v>121.88</v>
      </c>
      <c r="F2069">
        <v>36882</v>
      </c>
      <c r="G2069" t="s">
        <v>9</v>
      </c>
      <c r="H2069">
        <f>_xlfn.LET(_xlpm.v, IFERROR(VLOOKUP($A2069, manifest!$A:$E, 3, FALSE), ""), IF(OR(_xlpm.v=0, _xlpm.v=""), "", _xlpm.v))</f>
        <v>60</v>
      </c>
      <c r="I2069" t="str">
        <f>_xlfn.LET(_xlpm.v, IFERROR(VLOOKUP($A2069, manifest!$A:$E, 5, FALSE), ""), IF(OR(_xlpm.v=0, _xlpm.v=""), "", _xlpm.v))</f>
        <v>female</v>
      </c>
    </row>
    <row r="2070" spans="1:9" x14ac:dyDescent="0.6">
      <c r="A2070">
        <v>447</v>
      </c>
      <c r="B2070" t="s">
        <v>14</v>
      </c>
      <c r="C2070" t="s">
        <v>10</v>
      </c>
      <c r="D2070">
        <v>238.53</v>
      </c>
      <c r="E2070">
        <v>139.16</v>
      </c>
      <c r="F2070">
        <v>41319</v>
      </c>
      <c r="H2070">
        <f>_xlfn.LET(_xlpm.v, IFERROR(VLOOKUP($A2070, manifest!$A:$E, 3, FALSE), ""), IF(OR(_xlpm.v=0, _xlpm.v=""), "", _xlpm.v))</f>
        <v>60</v>
      </c>
      <c r="I2070" t="str">
        <f>_xlfn.LET(_xlpm.v, IFERROR(VLOOKUP($A2070, manifest!$A:$E, 5, FALSE), ""), IF(OR(_xlpm.v=0, _xlpm.v=""), "", _xlpm.v))</f>
        <v>female</v>
      </c>
    </row>
    <row r="2071" spans="1:9" x14ac:dyDescent="0.6">
      <c r="A2071">
        <v>447</v>
      </c>
      <c r="B2071" t="s">
        <v>14</v>
      </c>
      <c r="C2071" t="s">
        <v>11</v>
      </c>
      <c r="D2071">
        <v>232.7</v>
      </c>
      <c r="E2071">
        <v>151.66999999999999</v>
      </c>
      <c r="F2071">
        <v>47814</v>
      </c>
      <c r="H2071">
        <f>_xlfn.LET(_xlpm.v, IFERROR(VLOOKUP($A2071, manifest!$A:$E, 3, FALSE), ""), IF(OR(_xlpm.v=0, _xlpm.v=""), "", _xlpm.v))</f>
        <v>60</v>
      </c>
      <c r="I2071" t="str">
        <f>_xlfn.LET(_xlpm.v, IFERROR(VLOOKUP($A2071, manifest!$A:$E, 5, FALSE), ""), IF(OR(_xlpm.v=0, _xlpm.v=""), "", _xlpm.v))</f>
        <v>female</v>
      </c>
    </row>
    <row r="2072" spans="1:9" x14ac:dyDescent="0.6">
      <c r="A2072">
        <v>447</v>
      </c>
      <c r="B2072" t="s">
        <v>14</v>
      </c>
      <c r="C2072" t="s">
        <v>12</v>
      </c>
      <c r="D2072">
        <v>227.91</v>
      </c>
      <c r="E2072">
        <v>151.12</v>
      </c>
      <c r="F2072">
        <v>52336</v>
      </c>
      <c r="H2072">
        <f>_xlfn.LET(_xlpm.v, IFERROR(VLOOKUP($A2072, manifest!$A:$E, 3, FALSE), ""), IF(OR(_xlpm.v=0, _xlpm.v=""), "", _xlpm.v))</f>
        <v>60</v>
      </c>
      <c r="I2072" t="str">
        <f>_xlfn.LET(_xlpm.v, IFERROR(VLOOKUP($A2072, manifest!$A:$E, 5, FALSE), ""), IF(OR(_xlpm.v=0, _xlpm.v=""), "", _xlpm.v))</f>
        <v>female</v>
      </c>
    </row>
    <row r="2073" spans="1:9" x14ac:dyDescent="0.6">
      <c r="A2073">
        <v>447</v>
      </c>
      <c r="B2073" t="s">
        <v>14</v>
      </c>
      <c r="C2073" t="s">
        <v>13</v>
      </c>
      <c r="D2073">
        <v>215.6</v>
      </c>
      <c r="E2073">
        <v>143.58000000000001</v>
      </c>
      <c r="F2073">
        <v>75858</v>
      </c>
      <c r="H2073">
        <f>_xlfn.LET(_xlpm.v, IFERROR(VLOOKUP($A2073, manifest!$A:$E, 3, FALSE), ""), IF(OR(_xlpm.v=0, _xlpm.v=""), "", _xlpm.v))</f>
        <v>60</v>
      </c>
      <c r="I2073" t="str">
        <f>_xlfn.LET(_xlpm.v, IFERROR(VLOOKUP($A2073, manifest!$A:$E, 5, FALSE), ""), IF(OR(_xlpm.v=0, _xlpm.v=""), "", _xlpm.v))</f>
        <v>female</v>
      </c>
    </row>
    <row r="2074" spans="1:9" x14ac:dyDescent="0.6">
      <c r="A2074">
        <v>419</v>
      </c>
      <c r="B2074" t="s">
        <v>7</v>
      </c>
      <c r="C2074" t="s">
        <v>8</v>
      </c>
      <c r="D2074">
        <v>269.36</v>
      </c>
      <c r="E2074">
        <v>169.84</v>
      </c>
      <c r="F2074">
        <v>45785</v>
      </c>
      <c r="G2074" t="s">
        <v>9</v>
      </c>
      <c r="H2074">
        <f>_xlfn.LET(_xlpm.v, IFERROR(VLOOKUP($A2074, manifest!$A:$E, 3, FALSE), ""), IF(OR(_xlpm.v=0, _xlpm.v=""), "", _xlpm.v))</f>
        <v>50</v>
      </c>
      <c r="I2074" t="str">
        <f>_xlfn.LET(_xlpm.v, IFERROR(VLOOKUP($A2074, manifest!$A:$E, 5, FALSE), ""), IF(OR(_xlpm.v=0, _xlpm.v=""), "", _xlpm.v))</f>
        <v>male</v>
      </c>
    </row>
    <row r="2075" spans="1:9" x14ac:dyDescent="0.6">
      <c r="A2075">
        <v>419</v>
      </c>
      <c r="B2075" t="s">
        <v>7</v>
      </c>
      <c r="C2075" t="s">
        <v>10</v>
      </c>
      <c r="D2075">
        <v>286.19</v>
      </c>
      <c r="E2075">
        <v>217.1</v>
      </c>
      <c r="F2075">
        <v>54050</v>
      </c>
      <c r="H2075">
        <f>_xlfn.LET(_xlpm.v, IFERROR(VLOOKUP($A2075, manifest!$A:$E, 3, FALSE), ""), IF(OR(_xlpm.v=0, _xlpm.v=""), "", _xlpm.v))</f>
        <v>50</v>
      </c>
      <c r="I2075" t="str">
        <f>_xlfn.LET(_xlpm.v, IFERROR(VLOOKUP($A2075, manifest!$A:$E, 5, FALSE), ""), IF(OR(_xlpm.v=0, _xlpm.v=""), "", _xlpm.v))</f>
        <v>male</v>
      </c>
    </row>
    <row r="2076" spans="1:9" x14ac:dyDescent="0.6">
      <c r="A2076">
        <v>419</v>
      </c>
      <c r="B2076" t="s">
        <v>7</v>
      </c>
      <c r="C2076" t="s">
        <v>11</v>
      </c>
      <c r="D2076">
        <v>295.85000000000002</v>
      </c>
      <c r="E2076">
        <v>237.39</v>
      </c>
      <c r="F2076">
        <v>55976</v>
      </c>
      <c r="H2076">
        <f>_xlfn.LET(_xlpm.v, IFERROR(VLOOKUP($A2076, manifest!$A:$E, 3, FALSE), ""), IF(OR(_xlpm.v=0, _xlpm.v=""), "", _xlpm.v))</f>
        <v>50</v>
      </c>
      <c r="I2076" t="str">
        <f>_xlfn.LET(_xlpm.v, IFERROR(VLOOKUP($A2076, manifest!$A:$E, 5, FALSE), ""), IF(OR(_xlpm.v=0, _xlpm.v=""), "", _xlpm.v))</f>
        <v>male</v>
      </c>
    </row>
    <row r="2077" spans="1:9" x14ac:dyDescent="0.6">
      <c r="A2077">
        <v>419</v>
      </c>
      <c r="B2077" t="s">
        <v>7</v>
      </c>
      <c r="C2077" t="s">
        <v>12</v>
      </c>
      <c r="D2077">
        <v>279.37</v>
      </c>
      <c r="E2077">
        <v>198.96</v>
      </c>
      <c r="F2077">
        <v>57845</v>
      </c>
      <c r="H2077">
        <f>_xlfn.LET(_xlpm.v, IFERROR(VLOOKUP($A2077, manifest!$A:$E, 3, FALSE), ""), IF(OR(_xlpm.v=0, _xlpm.v=""), "", _xlpm.v))</f>
        <v>50</v>
      </c>
      <c r="I2077" t="str">
        <f>_xlfn.LET(_xlpm.v, IFERROR(VLOOKUP($A2077, manifest!$A:$E, 5, FALSE), ""), IF(OR(_xlpm.v=0, _xlpm.v=""), "", _xlpm.v))</f>
        <v>male</v>
      </c>
    </row>
    <row r="2078" spans="1:9" x14ac:dyDescent="0.6">
      <c r="A2078">
        <v>419</v>
      </c>
      <c r="B2078" t="s">
        <v>7</v>
      </c>
      <c r="C2078" t="s">
        <v>13</v>
      </c>
      <c r="D2078">
        <v>263.7</v>
      </c>
      <c r="E2078">
        <v>191.39</v>
      </c>
      <c r="F2078">
        <v>77433</v>
      </c>
      <c r="H2078">
        <f>_xlfn.LET(_xlpm.v, IFERROR(VLOOKUP($A2078, manifest!$A:$E, 3, FALSE), ""), IF(OR(_xlpm.v=0, _xlpm.v=""), "", _xlpm.v))</f>
        <v>50</v>
      </c>
      <c r="I2078" t="str">
        <f>_xlfn.LET(_xlpm.v, IFERROR(VLOOKUP($A2078, manifest!$A:$E, 5, FALSE), ""), IF(OR(_xlpm.v=0, _xlpm.v=""), "", _xlpm.v))</f>
        <v>male</v>
      </c>
    </row>
    <row r="2079" spans="1:9" x14ac:dyDescent="0.6">
      <c r="A2079">
        <v>428</v>
      </c>
      <c r="B2079" t="s">
        <v>7</v>
      </c>
      <c r="C2079" t="s">
        <v>8</v>
      </c>
      <c r="D2079">
        <v>199.27</v>
      </c>
      <c r="E2079">
        <v>124.01</v>
      </c>
      <c r="F2079">
        <v>42235</v>
      </c>
      <c r="G2079" t="s">
        <v>9</v>
      </c>
      <c r="H2079">
        <f>_xlfn.LET(_xlpm.v, IFERROR(VLOOKUP($A2079, manifest!$A:$E, 3, FALSE), ""), IF(OR(_xlpm.v=0, _xlpm.v=""), "", _xlpm.v))</f>
        <v>50</v>
      </c>
      <c r="I2079" t="str">
        <f>_xlfn.LET(_xlpm.v, IFERROR(VLOOKUP($A2079, manifest!$A:$E, 5, FALSE), ""), IF(OR(_xlpm.v=0, _xlpm.v=""), "", _xlpm.v))</f>
        <v>male</v>
      </c>
    </row>
    <row r="2080" spans="1:9" x14ac:dyDescent="0.6">
      <c r="A2080">
        <v>428</v>
      </c>
      <c r="B2080" t="s">
        <v>7</v>
      </c>
      <c r="C2080" t="s">
        <v>10</v>
      </c>
      <c r="D2080">
        <v>240.89</v>
      </c>
      <c r="E2080">
        <v>185.76</v>
      </c>
      <c r="F2080">
        <v>43423</v>
      </c>
      <c r="H2080">
        <f>_xlfn.LET(_xlpm.v, IFERROR(VLOOKUP($A2080, manifest!$A:$E, 3, FALSE), ""), IF(OR(_xlpm.v=0, _xlpm.v=""), "", _xlpm.v))</f>
        <v>50</v>
      </c>
      <c r="I2080" t="str">
        <f>_xlfn.LET(_xlpm.v, IFERROR(VLOOKUP($A2080, manifest!$A:$E, 5, FALSE), ""), IF(OR(_xlpm.v=0, _xlpm.v=""), "", _xlpm.v))</f>
        <v>male</v>
      </c>
    </row>
    <row r="2081" spans="1:9" x14ac:dyDescent="0.6">
      <c r="A2081">
        <v>428</v>
      </c>
      <c r="B2081" t="s">
        <v>7</v>
      </c>
      <c r="C2081" t="s">
        <v>11</v>
      </c>
      <c r="D2081">
        <v>236.35</v>
      </c>
      <c r="E2081">
        <v>194.38</v>
      </c>
      <c r="F2081">
        <v>50410</v>
      </c>
      <c r="H2081">
        <f>_xlfn.LET(_xlpm.v, IFERROR(VLOOKUP($A2081, manifest!$A:$E, 3, FALSE), ""), IF(OR(_xlpm.v=0, _xlpm.v=""), "", _xlpm.v))</f>
        <v>50</v>
      </c>
      <c r="I2081" t="str">
        <f>_xlfn.LET(_xlpm.v, IFERROR(VLOOKUP($A2081, manifest!$A:$E, 5, FALSE), ""), IF(OR(_xlpm.v=0, _xlpm.v=""), "", _xlpm.v))</f>
        <v>male</v>
      </c>
    </row>
    <row r="2082" spans="1:9" x14ac:dyDescent="0.6">
      <c r="A2082">
        <v>428</v>
      </c>
      <c r="B2082" t="s">
        <v>7</v>
      </c>
      <c r="C2082" t="s">
        <v>12</v>
      </c>
      <c r="D2082">
        <v>235.03</v>
      </c>
      <c r="E2082">
        <v>176.25</v>
      </c>
      <c r="F2082">
        <v>63844</v>
      </c>
      <c r="H2082">
        <f>_xlfn.LET(_xlpm.v, IFERROR(VLOOKUP($A2082, manifest!$A:$E, 3, FALSE), ""), IF(OR(_xlpm.v=0, _xlpm.v=""), "", _xlpm.v))</f>
        <v>50</v>
      </c>
      <c r="I2082" t="str">
        <f>_xlfn.LET(_xlpm.v, IFERROR(VLOOKUP($A2082, manifest!$A:$E, 5, FALSE), ""), IF(OR(_xlpm.v=0, _xlpm.v=""), "", _xlpm.v))</f>
        <v>male</v>
      </c>
    </row>
    <row r="2083" spans="1:9" x14ac:dyDescent="0.6">
      <c r="A2083">
        <v>428</v>
      </c>
      <c r="B2083" t="s">
        <v>7</v>
      </c>
      <c r="C2083" t="s">
        <v>13</v>
      </c>
      <c r="D2083">
        <v>239.67</v>
      </c>
      <c r="E2083">
        <v>146.63</v>
      </c>
      <c r="F2083">
        <v>65579</v>
      </c>
      <c r="H2083">
        <f>_xlfn.LET(_xlpm.v, IFERROR(VLOOKUP($A2083, manifest!$A:$E, 3, FALSE), ""), IF(OR(_xlpm.v=0, _xlpm.v=""), "", _xlpm.v))</f>
        <v>50</v>
      </c>
      <c r="I2083" t="str">
        <f>_xlfn.LET(_xlpm.v, IFERROR(VLOOKUP($A2083, manifest!$A:$E, 5, FALSE), ""), IF(OR(_xlpm.v=0, _xlpm.v=""), "", _xlpm.v))</f>
        <v>male</v>
      </c>
    </row>
    <row r="2084" spans="1:9" x14ac:dyDescent="0.6">
      <c r="A2084">
        <v>474</v>
      </c>
      <c r="B2084" t="s">
        <v>14</v>
      </c>
      <c r="C2084" t="s">
        <v>8</v>
      </c>
      <c r="D2084">
        <v>261.19</v>
      </c>
      <c r="E2084">
        <v>116.6</v>
      </c>
      <c r="F2084">
        <v>6193</v>
      </c>
      <c r="G2084" t="s">
        <v>9</v>
      </c>
      <c r="H2084">
        <f>_xlfn.LET(_xlpm.v, IFERROR(VLOOKUP($A2084, manifest!$A:$E, 3, FALSE), ""), IF(OR(_xlpm.v=0, _xlpm.v=""), "", _xlpm.v))</f>
        <v>50</v>
      </c>
      <c r="I2084" t="str">
        <f>_xlfn.LET(_xlpm.v, IFERROR(VLOOKUP($A2084, manifest!$A:$E, 5, FALSE), ""), IF(OR(_xlpm.v=0, _xlpm.v=""), "", _xlpm.v))</f>
        <v>male</v>
      </c>
    </row>
    <row r="2085" spans="1:9" x14ac:dyDescent="0.6">
      <c r="A2085">
        <v>474</v>
      </c>
      <c r="B2085" t="s">
        <v>14</v>
      </c>
      <c r="C2085" t="s">
        <v>10</v>
      </c>
      <c r="D2085">
        <v>288.83</v>
      </c>
      <c r="E2085">
        <v>128.88</v>
      </c>
      <c r="F2085">
        <v>4725</v>
      </c>
      <c r="H2085">
        <f>_xlfn.LET(_xlpm.v, IFERROR(VLOOKUP($A2085, manifest!$A:$E, 3, FALSE), ""), IF(OR(_xlpm.v=0, _xlpm.v=""), "", _xlpm.v))</f>
        <v>50</v>
      </c>
      <c r="I2085" t="str">
        <f>_xlfn.LET(_xlpm.v, IFERROR(VLOOKUP($A2085, manifest!$A:$E, 5, FALSE), ""), IF(OR(_xlpm.v=0, _xlpm.v=""), "", _xlpm.v))</f>
        <v>male</v>
      </c>
    </row>
    <row r="2086" spans="1:9" x14ac:dyDescent="0.6">
      <c r="A2086">
        <v>474</v>
      </c>
      <c r="B2086" t="s">
        <v>14</v>
      </c>
      <c r="C2086" t="s">
        <v>11</v>
      </c>
      <c r="D2086">
        <v>295.25</v>
      </c>
      <c r="E2086">
        <v>157.76</v>
      </c>
      <c r="F2086">
        <v>4522</v>
      </c>
      <c r="H2086">
        <f>_xlfn.LET(_xlpm.v, IFERROR(VLOOKUP($A2086, manifest!$A:$E, 3, FALSE), ""), IF(OR(_xlpm.v=0, _xlpm.v=""), "", _xlpm.v))</f>
        <v>50</v>
      </c>
      <c r="I2086" t="str">
        <f>_xlfn.LET(_xlpm.v, IFERROR(VLOOKUP($A2086, manifest!$A:$E, 5, FALSE), ""), IF(OR(_xlpm.v=0, _xlpm.v=""), "", _xlpm.v))</f>
        <v>male</v>
      </c>
    </row>
    <row r="2087" spans="1:9" x14ac:dyDescent="0.6">
      <c r="A2087">
        <v>474</v>
      </c>
      <c r="B2087" t="s">
        <v>14</v>
      </c>
      <c r="C2087" t="s">
        <v>12</v>
      </c>
      <c r="D2087">
        <v>262.62</v>
      </c>
      <c r="E2087">
        <v>138.53</v>
      </c>
      <c r="F2087">
        <v>8611</v>
      </c>
      <c r="H2087">
        <f>_xlfn.LET(_xlpm.v, IFERROR(VLOOKUP($A2087, manifest!$A:$E, 3, FALSE), ""), IF(OR(_xlpm.v=0, _xlpm.v=""), "", _xlpm.v))</f>
        <v>50</v>
      </c>
      <c r="I2087" t="str">
        <f>_xlfn.LET(_xlpm.v, IFERROR(VLOOKUP($A2087, manifest!$A:$E, 5, FALSE), ""), IF(OR(_xlpm.v=0, _xlpm.v=""), "", _xlpm.v))</f>
        <v>male</v>
      </c>
    </row>
    <row r="2088" spans="1:9" x14ac:dyDescent="0.6">
      <c r="A2088">
        <v>474</v>
      </c>
      <c r="B2088" t="s">
        <v>14</v>
      </c>
      <c r="C2088" t="s">
        <v>13</v>
      </c>
      <c r="D2088">
        <v>276.55</v>
      </c>
      <c r="E2088">
        <v>120.71</v>
      </c>
      <c r="F2088">
        <v>7750</v>
      </c>
      <c r="H2088">
        <f>_xlfn.LET(_xlpm.v, IFERROR(VLOOKUP($A2088, manifest!$A:$E, 3, FALSE), ""), IF(OR(_xlpm.v=0, _xlpm.v=""), "", _xlpm.v))</f>
        <v>50</v>
      </c>
      <c r="I2088" t="str">
        <f>_xlfn.LET(_xlpm.v, IFERROR(VLOOKUP($A2088, manifest!$A:$E, 5, FALSE), ""), IF(OR(_xlpm.v=0, _xlpm.v=""), "", _xlpm.v))</f>
        <v>male</v>
      </c>
    </row>
    <row r="2089" spans="1:9" x14ac:dyDescent="0.6">
      <c r="A2089">
        <v>432</v>
      </c>
      <c r="B2089" t="s">
        <v>14</v>
      </c>
      <c r="C2089" t="s">
        <v>8</v>
      </c>
      <c r="D2089">
        <v>169.7</v>
      </c>
      <c r="E2089">
        <v>101.87</v>
      </c>
      <c r="F2089">
        <v>31391</v>
      </c>
      <c r="G2089" t="s">
        <v>9</v>
      </c>
      <c r="H2089">
        <f>_xlfn.LET(_xlpm.v, IFERROR(VLOOKUP($A2089, manifest!$A:$E, 3, FALSE), ""), IF(OR(_xlpm.v=0, _xlpm.v=""), "", _xlpm.v))</f>
        <v>60</v>
      </c>
      <c r="I2089" t="str">
        <f>_xlfn.LET(_xlpm.v, IFERROR(VLOOKUP($A2089, manifest!$A:$E, 5, FALSE), ""), IF(OR(_xlpm.v=0, _xlpm.v=""), "", _xlpm.v))</f>
        <v>male</v>
      </c>
    </row>
    <row r="2090" spans="1:9" x14ac:dyDescent="0.6">
      <c r="A2090">
        <v>432</v>
      </c>
      <c r="B2090" t="s">
        <v>14</v>
      </c>
      <c r="C2090" t="s">
        <v>10</v>
      </c>
      <c r="D2090">
        <v>183.73</v>
      </c>
      <c r="E2090">
        <v>121.08</v>
      </c>
      <c r="F2090">
        <v>31385</v>
      </c>
      <c r="H2090">
        <f>_xlfn.LET(_xlpm.v, IFERROR(VLOOKUP($A2090, manifest!$A:$E, 3, FALSE), ""), IF(OR(_xlpm.v=0, _xlpm.v=""), "", _xlpm.v))</f>
        <v>60</v>
      </c>
      <c r="I2090" t="str">
        <f>_xlfn.LET(_xlpm.v, IFERROR(VLOOKUP($A2090, manifest!$A:$E, 5, FALSE), ""), IF(OR(_xlpm.v=0, _xlpm.v=""), "", _xlpm.v))</f>
        <v>male</v>
      </c>
    </row>
    <row r="2091" spans="1:9" x14ac:dyDescent="0.6">
      <c r="A2091">
        <v>432</v>
      </c>
      <c r="B2091" t="s">
        <v>14</v>
      </c>
      <c r="C2091" t="s">
        <v>11</v>
      </c>
      <c r="D2091">
        <v>176.19</v>
      </c>
      <c r="E2091">
        <v>122.81</v>
      </c>
      <c r="F2091">
        <v>37271</v>
      </c>
      <c r="H2091">
        <f>_xlfn.LET(_xlpm.v, IFERROR(VLOOKUP($A2091, manifest!$A:$E, 3, FALSE), ""), IF(OR(_xlpm.v=0, _xlpm.v=""), "", _xlpm.v))</f>
        <v>60</v>
      </c>
      <c r="I2091" t="str">
        <f>_xlfn.LET(_xlpm.v, IFERROR(VLOOKUP($A2091, manifest!$A:$E, 5, FALSE), ""), IF(OR(_xlpm.v=0, _xlpm.v=""), "", _xlpm.v))</f>
        <v>male</v>
      </c>
    </row>
    <row r="2092" spans="1:9" x14ac:dyDescent="0.6">
      <c r="A2092">
        <v>432</v>
      </c>
      <c r="B2092" t="s">
        <v>14</v>
      </c>
      <c r="C2092" t="s">
        <v>12</v>
      </c>
      <c r="D2092">
        <v>164.88</v>
      </c>
      <c r="E2092">
        <v>113.41</v>
      </c>
      <c r="F2092">
        <v>42278</v>
      </c>
      <c r="H2092">
        <f>_xlfn.LET(_xlpm.v, IFERROR(VLOOKUP($A2092, manifest!$A:$E, 3, FALSE), ""), IF(OR(_xlpm.v=0, _xlpm.v=""), "", _xlpm.v))</f>
        <v>60</v>
      </c>
      <c r="I2092" t="str">
        <f>_xlfn.LET(_xlpm.v, IFERROR(VLOOKUP($A2092, manifest!$A:$E, 5, FALSE), ""), IF(OR(_xlpm.v=0, _xlpm.v=""), "", _xlpm.v))</f>
        <v>male</v>
      </c>
    </row>
    <row r="2093" spans="1:9" x14ac:dyDescent="0.6">
      <c r="A2093">
        <v>432</v>
      </c>
      <c r="B2093" t="s">
        <v>14</v>
      </c>
      <c r="C2093" t="s">
        <v>13</v>
      </c>
      <c r="D2093">
        <v>142.63</v>
      </c>
      <c r="E2093">
        <v>104.35</v>
      </c>
      <c r="F2093">
        <v>43589</v>
      </c>
      <c r="H2093">
        <f>_xlfn.LET(_xlpm.v, IFERROR(VLOOKUP($A2093, manifest!$A:$E, 3, FALSE), ""), IF(OR(_xlpm.v=0, _xlpm.v=""), "", _xlpm.v))</f>
        <v>60</v>
      </c>
      <c r="I2093" t="str">
        <f>_xlfn.LET(_xlpm.v, IFERROR(VLOOKUP($A2093, manifest!$A:$E, 5, FALSE), ""), IF(OR(_xlpm.v=0, _xlpm.v=""), "", _xlpm.v))</f>
        <v>male</v>
      </c>
    </row>
    <row r="2094" spans="1:9" x14ac:dyDescent="0.6">
      <c r="A2094">
        <v>477</v>
      </c>
      <c r="B2094" t="s">
        <v>14</v>
      </c>
      <c r="C2094" t="s">
        <v>8</v>
      </c>
      <c r="D2094">
        <v>144.33000000000001</v>
      </c>
      <c r="E2094">
        <v>117.34</v>
      </c>
      <c r="F2094">
        <v>11084</v>
      </c>
      <c r="G2094" t="s">
        <v>15</v>
      </c>
      <c r="H2094">
        <f>_xlfn.LET(_xlpm.v, IFERROR(VLOOKUP($A2094, manifest!$A:$E, 3, FALSE), ""), IF(OR(_xlpm.v=0, _xlpm.v=""), "", _xlpm.v))</f>
        <v>60</v>
      </c>
      <c r="I2094" t="str">
        <f>_xlfn.LET(_xlpm.v, IFERROR(VLOOKUP($A2094, manifest!$A:$E, 5, FALSE), ""), IF(OR(_xlpm.v=0, _xlpm.v=""), "", _xlpm.v))</f>
        <v>male</v>
      </c>
    </row>
    <row r="2095" spans="1:9" x14ac:dyDescent="0.6">
      <c r="A2095">
        <v>477</v>
      </c>
      <c r="B2095" t="s">
        <v>14</v>
      </c>
      <c r="C2095" t="s">
        <v>10</v>
      </c>
      <c r="D2095">
        <v>162.44</v>
      </c>
      <c r="E2095">
        <v>147.88</v>
      </c>
      <c r="F2095">
        <v>10926</v>
      </c>
      <c r="H2095">
        <f>_xlfn.LET(_xlpm.v, IFERROR(VLOOKUP($A2095, manifest!$A:$E, 3, FALSE), ""), IF(OR(_xlpm.v=0, _xlpm.v=""), "", _xlpm.v))</f>
        <v>60</v>
      </c>
      <c r="I2095" t="str">
        <f>_xlfn.LET(_xlpm.v, IFERROR(VLOOKUP($A2095, manifest!$A:$E, 5, FALSE), ""), IF(OR(_xlpm.v=0, _xlpm.v=""), "", _xlpm.v))</f>
        <v>male</v>
      </c>
    </row>
    <row r="2096" spans="1:9" x14ac:dyDescent="0.6">
      <c r="A2096">
        <v>477</v>
      </c>
      <c r="B2096" t="s">
        <v>14</v>
      </c>
      <c r="C2096" t="s">
        <v>11</v>
      </c>
      <c r="D2096">
        <v>154.80000000000001</v>
      </c>
      <c r="E2096">
        <v>133.68</v>
      </c>
      <c r="F2096">
        <v>12181</v>
      </c>
      <c r="H2096">
        <f>_xlfn.LET(_xlpm.v, IFERROR(VLOOKUP($A2096, manifest!$A:$E, 3, FALSE), ""), IF(OR(_xlpm.v=0, _xlpm.v=""), "", _xlpm.v))</f>
        <v>60</v>
      </c>
      <c r="I2096" t="str">
        <f>_xlfn.LET(_xlpm.v, IFERROR(VLOOKUP($A2096, manifest!$A:$E, 5, FALSE), ""), IF(OR(_xlpm.v=0, _xlpm.v=""), "", _xlpm.v))</f>
        <v>male</v>
      </c>
    </row>
    <row r="2097" spans="1:9" x14ac:dyDescent="0.6">
      <c r="A2097">
        <v>477</v>
      </c>
      <c r="B2097" t="s">
        <v>14</v>
      </c>
      <c r="C2097" t="s">
        <v>12</v>
      </c>
      <c r="D2097">
        <v>160.93</v>
      </c>
      <c r="E2097">
        <v>153.26</v>
      </c>
      <c r="F2097">
        <v>14254</v>
      </c>
      <c r="H2097">
        <f>_xlfn.LET(_xlpm.v, IFERROR(VLOOKUP($A2097, manifest!$A:$E, 3, FALSE), ""), IF(OR(_xlpm.v=0, _xlpm.v=""), "", _xlpm.v))</f>
        <v>60</v>
      </c>
      <c r="I2097" t="str">
        <f>_xlfn.LET(_xlpm.v, IFERROR(VLOOKUP($A2097, manifest!$A:$E, 5, FALSE), ""), IF(OR(_xlpm.v=0, _xlpm.v=""), "", _xlpm.v))</f>
        <v>male</v>
      </c>
    </row>
    <row r="2098" spans="1:9" x14ac:dyDescent="0.6">
      <c r="A2098">
        <v>477</v>
      </c>
      <c r="B2098" t="s">
        <v>14</v>
      </c>
      <c r="C2098" t="s">
        <v>13</v>
      </c>
      <c r="D2098">
        <v>181.1</v>
      </c>
      <c r="E2098">
        <v>158.87</v>
      </c>
      <c r="F2098">
        <v>12782</v>
      </c>
      <c r="H2098">
        <f>_xlfn.LET(_xlpm.v, IFERROR(VLOOKUP($A2098, manifest!$A:$E, 3, FALSE), ""), IF(OR(_xlpm.v=0, _xlpm.v=""), "", _xlpm.v))</f>
        <v>60</v>
      </c>
      <c r="I2098" t="str">
        <f>_xlfn.LET(_xlpm.v, IFERROR(VLOOKUP($A2098, manifest!$A:$E, 5, FALSE), ""), IF(OR(_xlpm.v=0, _xlpm.v=""), "", _xlpm.v))</f>
        <v>male</v>
      </c>
    </row>
    <row r="2099" spans="1:9" x14ac:dyDescent="0.6">
      <c r="A2099">
        <v>445</v>
      </c>
      <c r="B2099" t="s">
        <v>14</v>
      </c>
      <c r="C2099" t="s">
        <v>8</v>
      </c>
      <c r="D2099">
        <v>365.36</v>
      </c>
      <c r="E2099">
        <v>237.28</v>
      </c>
      <c r="F2099">
        <v>9025</v>
      </c>
      <c r="G2099" t="s">
        <v>9</v>
      </c>
      <c r="H2099">
        <f>_xlfn.LET(_xlpm.v, IFERROR(VLOOKUP($A2099, manifest!$A:$E, 3, FALSE), ""), IF(OR(_xlpm.v=0, _xlpm.v=""), "", _xlpm.v))</f>
        <v>50</v>
      </c>
      <c r="I2099" t="str">
        <f>_xlfn.LET(_xlpm.v, IFERROR(VLOOKUP($A2099, manifest!$A:$E, 5, FALSE), ""), IF(OR(_xlpm.v=0, _xlpm.v=""), "", _xlpm.v))</f>
        <v>female</v>
      </c>
    </row>
    <row r="2100" spans="1:9" x14ac:dyDescent="0.6">
      <c r="A2100">
        <v>445</v>
      </c>
      <c r="B2100" t="s">
        <v>14</v>
      </c>
      <c r="C2100" t="s">
        <v>10</v>
      </c>
      <c r="D2100">
        <v>372.49</v>
      </c>
      <c r="E2100">
        <v>255.62</v>
      </c>
      <c r="F2100">
        <v>9209</v>
      </c>
      <c r="H2100">
        <f>_xlfn.LET(_xlpm.v, IFERROR(VLOOKUP($A2100, manifest!$A:$E, 3, FALSE), ""), IF(OR(_xlpm.v=0, _xlpm.v=""), "", _xlpm.v))</f>
        <v>50</v>
      </c>
      <c r="I2100" t="str">
        <f>_xlfn.LET(_xlpm.v, IFERROR(VLOOKUP($A2100, manifest!$A:$E, 5, FALSE), ""), IF(OR(_xlpm.v=0, _xlpm.v=""), "", _xlpm.v))</f>
        <v>female</v>
      </c>
    </row>
    <row r="2101" spans="1:9" x14ac:dyDescent="0.6">
      <c r="A2101">
        <v>445</v>
      </c>
      <c r="B2101" t="s">
        <v>14</v>
      </c>
      <c r="C2101" t="s">
        <v>11</v>
      </c>
      <c r="D2101">
        <v>338.05</v>
      </c>
      <c r="E2101">
        <v>235.7</v>
      </c>
      <c r="F2101">
        <v>11618</v>
      </c>
      <c r="H2101">
        <f>_xlfn.LET(_xlpm.v, IFERROR(VLOOKUP($A2101, manifest!$A:$E, 3, FALSE), ""), IF(OR(_xlpm.v=0, _xlpm.v=""), "", _xlpm.v))</f>
        <v>50</v>
      </c>
      <c r="I2101" t="str">
        <f>_xlfn.LET(_xlpm.v, IFERROR(VLOOKUP($A2101, manifest!$A:$E, 5, FALSE), ""), IF(OR(_xlpm.v=0, _xlpm.v=""), "", _xlpm.v))</f>
        <v>female</v>
      </c>
    </row>
    <row r="2102" spans="1:9" x14ac:dyDescent="0.6">
      <c r="A2102">
        <v>445</v>
      </c>
      <c r="B2102" t="s">
        <v>14</v>
      </c>
      <c r="C2102" t="s">
        <v>12</v>
      </c>
      <c r="D2102">
        <v>347.4</v>
      </c>
      <c r="E2102">
        <v>253.3</v>
      </c>
      <c r="F2102">
        <v>15487</v>
      </c>
      <c r="H2102">
        <f>_xlfn.LET(_xlpm.v, IFERROR(VLOOKUP($A2102, manifest!$A:$E, 3, FALSE), ""), IF(OR(_xlpm.v=0, _xlpm.v=""), "", _xlpm.v))</f>
        <v>50</v>
      </c>
      <c r="I2102" t="str">
        <f>_xlfn.LET(_xlpm.v, IFERROR(VLOOKUP($A2102, manifest!$A:$E, 5, FALSE), ""), IF(OR(_xlpm.v=0, _xlpm.v=""), "", _xlpm.v))</f>
        <v>female</v>
      </c>
    </row>
    <row r="2103" spans="1:9" x14ac:dyDescent="0.6">
      <c r="A2103">
        <v>445</v>
      </c>
      <c r="B2103" t="s">
        <v>14</v>
      </c>
      <c r="C2103" t="s">
        <v>13</v>
      </c>
      <c r="D2103">
        <v>393.65</v>
      </c>
      <c r="E2103">
        <v>262.18</v>
      </c>
      <c r="F2103">
        <v>17385</v>
      </c>
      <c r="H2103">
        <f>_xlfn.LET(_xlpm.v, IFERROR(VLOOKUP($A2103, manifest!$A:$E, 3, FALSE), ""), IF(OR(_xlpm.v=0, _xlpm.v=""), "", _xlpm.v))</f>
        <v>50</v>
      </c>
      <c r="I2103" t="str">
        <f>_xlfn.LET(_xlpm.v, IFERROR(VLOOKUP($A2103, manifest!$A:$E, 5, FALSE), ""), IF(OR(_xlpm.v=0, _xlpm.v=""), "", _xlpm.v))</f>
        <v>female</v>
      </c>
    </row>
    <row r="2104" spans="1:9" x14ac:dyDescent="0.6">
      <c r="A2104">
        <v>440</v>
      </c>
      <c r="B2104" t="s">
        <v>14</v>
      </c>
      <c r="C2104" t="s">
        <v>8</v>
      </c>
      <c r="D2104">
        <v>228.91</v>
      </c>
      <c r="E2104">
        <v>199.14</v>
      </c>
      <c r="F2104">
        <v>33614</v>
      </c>
      <c r="G2104" t="s">
        <v>9</v>
      </c>
      <c r="H2104">
        <f>_xlfn.LET(_xlpm.v, IFERROR(VLOOKUP($A2104, manifest!$A:$E, 3, FALSE), ""), IF(OR(_xlpm.v=0, _xlpm.v=""), "", _xlpm.v))</f>
        <v>70</v>
      </c>
      <c r="I2104" t="str">
        <f>_xlfn.LET(_xlpm.v, IFERROR(VLOOKUP($A2104, manifest!$A:$E, 5, FALSE), ""), IF(OR(_xlpm.v=0, _xlpm.v=""), "", _xlpm.v))</f>
        <v>male</v>
      </c>
    </row>
    <row r="2105" spans="1:9" x14ac:dyDescent="0.6">
      <c r="A2105">
        <v>440</v>
      </c>
      <c r="B2105" t="s">
        <v>14</v>
      </c>
      <c r="C2105" t="s">
        <v>10</v>
      </c>
      <c r="D2105">
        <v>274.10000000000002</v>
      </c>
      <c r="E2105">
        <v>243.29</v>
      </c>
      <c r="F2105">
        <v>33084</v>
      </c>
      <c r="H2105">
        <f>_xlfn.LET(_xlpm.v, IFERROR(VLOOKUP($A2105, manifest!$A:$E, 3, FALSE), ""), IF(OR(_xlpm.v=0, _xlpm.v=""), "", _xlpm.v))</f>
        <v>70</v>
      </c>
      <c r="I2105" t="str">
        <f>_xlfn.LET(_xlpm.v, IFERROR(VLOOKUP($A2105, manifest!$A:$E, 5, FALSE), ""), IF(OR(_xlpm.v=0, _xlpm.v=""), "", _xlpm.v))</f>
        <v>male</v>
      </c>
    </row>
    <row r="2106" spans="1:9" x14ac:dyDescent="0.6">
      <c r="A2106">
        <v>440</v>
      </c>
      <c r="B2106" t="s">
        <v>14</v>
      </c>
      <c r="C2106" t="s">
        <v>11</v>
      </c>
      <c r="D2106">
        <v>267.97000000000003</v>
      </c>
      <c r="E2106">
        <v>252.87</v>
      </c>
      <c r="F2106">
        <v>42439</v>
      </c>
      <c r="H2106">
        <f>_xlfn.LET(_xlpm.v, IFERROR(VLOOKUP($A2106, manifest!$A:$E, 3, FALSE), ""), IF(OR(_xlpm.v=0, _xlpm.v=""), "", _xlpm.v))</f>
        <v>70</v>
      </c>
      <c r="I2106" t="str">
        <f>_xlfn.LET(_xlpm.v, IFERROR(VLOOKUP($A2106, manifest!$A:$E, 5, FALSE), ""), IF(OR(_xlpm.v=0, _xlpm.v=""), "", _xlpm.v))</f>
        <v>male</v>
      </c>
    </row>
    <row r="2107" spans="1:9" x14ac:dyDescent="0.6">
      <c r="A2107">
        <v>440</v>
      </c>
      <c r="B2107" t="s">
        <v>14</v>
      </c>
      <c r="C2107" t="s">
        <v>12</v>
      </c>
      <c r="D2107">
        <v>213.04</v>
      </c>
      <c r="E2107">
        <v>201.44</v>
      </c>
      <c r="F2107">
        <v>51813</v>
      </c>
      <c r="H2107">
        <f>_xlfn.LET(_xlpm.v, IFERROR(VLOOKUP($A2107, manifest!$A:$E, 3, FALSE), ""), IF(OR(_xlpm.v=0, _xlpm.v=""), "", _xlpm.v))</f>
        <v>70</v>
      </c>
      <c r="I2107" t="str">
        <f>_xlfn.LET(_xlpm.v, IFERROR(VLOOKUP($A2107, manifest!$A:$E, 5, FALSE), ""), IF(OR(_xlpm.v=0, _xlpm.v=""), "", _xlpm.v))</f>
        <v>male</v>
      </c>
    </row>
    <row r="2108" spans="1:9" x14ac:dyDescent="0.6">
      <c r="A2108">
        <v>440</v>
      </c>
      <c r="B2108" t="s">
        <v>14</v>
      </c>
      <c r="C2108" t="s">
        <v>13</v>
      </c>
      <c r="D2108">
        <v>236.39</v>
      </c>
      <c r="E2108">
        <v>213.85</v>
      </c>
      <c r="F2108">
        <v>54875</v>
      </c>
      <c r="H2108">
        <f>_xlfn.LET(_xlpm.v, IFERROR(VLOOKUP($A2108, manifest!$A:$E, 3, FALSE), ""), IF(OR(_xlpm.v=0, _xlpm.v=""), "", _xlpm.v))</f>
        <v>70</v>
      </c>
      <c r="I2108" t="str">
        <f>_xlfn.LET(_xlpm.v, IFERROR(VLOOKUP($A2108, manifest!$A:$E, 5, FALSE), ""), IF(OR(_xlpm.v=0, _xlpm.v=""), "", _xlpm.v))</f>
        <v>male</v>
      </c>
    </row>
    <row r="2109" spans="1:9" x14ac:dyDescent="0.6">
      <c r="A2109">
        <v>455</v>
      </c>
      <c r="B2109" t="s">
        <v>14</v>
      </c>
      <c r="C2109" t="s">
        <v>8</v>
      </c>
      <c r="D2109">
        <v>178.74</v>
      </c>
      <c r="E2109">
        <v>152.51</v>
      </c>
      <c r="F2109">
        <v>43494</v>
      </c>
      <c r="G2109" t="s">
        <v>9</v>
      </c>
      <c r="H2109">
        <f>_xlfn.LET(_xlpm.v, IFERROR(VLOOKUP($A2109, manifest!$A:$E, 3, FALSE), ""), IF(OR(_xlpm.v=0, _xlpm.v=""), "", _xlpm.v))</f>
        <v>50</v>
      </c>
      <c r="I2109" t="str">
        <f>_xlfn.LET(_xlpm.v, IFERROR(VLOOKUP($A2109, manifest!$A:$E, 5, FALSE), ""), IF(OR(_xlpm.v=0, _xlpm.v=""), "", _xlpm.v))</f>
        <v>male</v>
      </c>
    </row>
    <row r="2110" spans="1:9" x14ac:dyDescent="0.6">
      <c r="A2110">
        <v>455</v>
      </c>
      <c r="B2110" t="s">
        <v>14</v>
      </c>
      <c r="C2110" t="s">
        <v>10</v>
      </c>
      <c r="D2110">
        <v>194.03</v>
      </c>
      <c r="E2110">
        <v>171.7</v>
      </c>
      <c r="F2110">
        <v>47365</v>
      </c>
      <c r="H2110">
        <f>_xlfn.LET(_xlpm.v, IFERROR(VLOOKUP($A2110, manifest!$A:$E, 3, FALSE), ""), IF(OR(_xlpm.v=0, _xlpm.v=""), "", _xlpm.v))</f>
        <v>50</v>
      </c>
      <c r="I2110" t="str">
        <f>_xlfn.LET(_xlpm.v, IFERROR(VLOOKUP($A2110, manifest!$A:$E, 5, FALSE), ""), IF(OR(_xlpm.v=0, _xlpm.v=""), "", _xlpm.v))</f>
        <v>male</v>
      </c>
    </row>
    <row r="2111" spans="1:9" x14ac:dyDescent="0.6">
      <c r="A2111">
        <v>455</v>
      </c>
      <c r="B2111" t="s">
        <v>14</v>
      </c>
      <c r="C2111" t="s">
        <v>11</v>
      </c>
      <c r="D2111">
        <v>194.33</v>
      </c>
      <c r="E2111">
        <v>197.38</v>
      </c>
      <c r="F2111">
        <v>52128</v>
      </c>
      <c r="H2111">
        <f>_xlfn.LET(_xlpm.v, IFERROR(VLOOKUP($A2111, manifest!$A:$E, 3, FALSE), ""), IF(OR(_xlpm.v=0, _xlpm.v=""), "", _xlpm.v))</f>
        <v>50</v>
      </c>
      <c r="I2111" t="str">
        <f>_xlfn.LET(_xlpm.v, IFERROR(VLOOKUP($A2111, manifest!$A:$E, 5, FALSE), ""), IF(OR(_xlpm.v=0, _xlpm.v=""), "", _xlpm.v))</f>
        <v>male</v>
      </c>
    </row>
    <row r="2112" spans="1:9" x14ac:dyDescent="0.6">
      <c r="A2112">
        <v>455</v>
      </c>
      <c r="B2112" t="s">
        <v>14</v>
      </c>
      <c r="C2112" t="s">
        <v>12</v>
      </c>
      <c r="D2112">
        <v>178.95</v>
      </c>
      <c r="E2112">
        <v>190.62</v>
      </c>
      <c r="F2112">
        <v>57606</v>
      </c>
      <c r="H2112">
        <f>_xlfn.LET(_xlpm.v, IFERROR(VLOOKUP($A2112, manifest!$A:$E, 3, FALSE), ""), IF(OR(_xlpm.v=0, _xlpm.v=""), "", _xlpm.v))</f>
        <v>50</v>
      </c>
      <c r="I2112" t="str">
        <f>_xlfn.LET(_xlpm.v, IFERROR(VLOOKUP($A2112, manifest!$A:$E, 5, FALSE), ""), IF(OR(_xlpm.v=0, _xlpm.v=""), "", _xlpm.v))</f>
        <v>male</v>
      </c>
    </row>
    <row r="2113" spans="1:9" x14ac:dyDescent="0.6">
      <c r="A2113">
        <v>455</v>
      </c>
      <c r="B2113" t="s">
        <v>14</v>
      </c>
      <c r="C2113" t="s">
        <v>13</v>
      </c>
      <c r="D2113">
        <v>198.8</v>
      </c>
      <c r="E2113">
        <v>194.93</v>
      </c>
      <c r="F2113">
        <v>67734</v>
      </c>
      <c r="H2113">
        <f>_xlfn.LET(_xlpm.v, IFERROR(VLOOKUP($A2113, manifest!$A:$E, 3, FALSE), ""), IF(OR(_xlpm.v=0, _xlpm.v=""), "", _xlpm.v))</f>
        <v>50</v>
      </c>
      <c r="I2113" t="str">
        <f>_xlfn.LET(_xlpm.v, IFERROR(VLOOKUP($A2113, manifest!$A:$E, 5, FALSE), ""), IF(OR(_xlpm.v=0, _xlpm.v=""), "", _xlpm.v))</f>
        <v>male</v>
      </c>
    </row>
    <row r="2114" spans="1:9" x14ac:dyDescent="0.6">
      <c r="A2114">
        <v>454</v>
      </c>
      <c r="B2114" t="s">
        <v>14</v>
      </c>
      <c r="C2114" t="s">
        <v>8</v>
      </c>
      <c r="D2114">
        <v>237.36</v>
      </c>
      <c r="E2114">
        <v>155.53</v>
      </c>
      <c r="F2114">
        <v>22119</v>
      </c>
      <c r="G2114" t="s">
        <v>9</v>
      </c>
      <c r="H2114">
        <f>_xlfn.LET(_xlpm.v, IFERROR(VLOOKUP($A2114, manifest!$A:$E, 3, FALSE), ""), IF(OR(_xlpm.v=0, _xlpm.v=""), "", _xlpm.v))</f>
        <v>60</v>
      </c>
      <c r="I2114" t="str">
        <f>_xlfn.LET(_xlpm.v, IFERROR(VLOOKUP($A2114, manifest!$A:$E, 5, FALSE), ""), IF(OR(_xlpm.v=0, _xlpm.v=""), "", _xlpm.v))</f>
        <v>female</v>
      </c>
    </row>
    <row r="2115" spans="1:9" x14ac:dyDescent="0.6">
      <c r="A2115">
        <v>454</v>
      </c>
      <c r="B2115" t="s">
        <v>14</v>
      </c>
      <c r="C2115" t="s">
        <v>10</v>
      </c>
      <c r="D2115">
        <v>256.73</v>
      </c>
      <c r="E2115">
        <v>200.55</v>
      </c>
      <c r="F2115">
        <v>21125</v>
      </c>
      <c r="H2115">
        <f>_xlfn.LET(_xlpm.v, IFERROR(VLOOKUP($A2115, manifest!$A:$E, 3, FALSE), ""), IF(OR(_xlpm.v=0, _xlpm.v=""), "", _xlpm.v))</f>
        <v>60</v>
      </c>
      <c r="I2115" t="str">
        <f>_xlfn.LET(_xlpm.v, IFERROR(VLOOKUP($A2115, manifest!$A:$E, 5, FALSE), ""), IF(OR(_xlpm.v=0, _xlpm.v=""), "", _xlpm.v))</f>
        <v>female</v>
      </c>
    </row>
    <row r="2116" spans="1:9" x14ac:dyDescent="0.6">
      <c r="A2116">
        <v>454</v>
      </c>
      <c r="B2116" t="s">
        <v>14</v>
      </c>
      <c r="C2116" t="s">
        <v>11</v>
      </c>
      <c r="D2116">
        <v>256.7</v>
      </c>
      <c r="E2116">
        <v>190.75</v>
      </c>
      <c r="F2116">
        <v>24936</v>
      </c>
      <c r="H2116">
        <f>_xlfn.LET(_xlpm.v, IFERROR(VLOOKUP($A2116, manifest!$A:$E, 3, FALSE), ""), IF(OR(_xlpm.v=0, _xlpm.v=""), "", _xlpm.v))</f>
        <v>60</v>
      </c>
      <c r="I2116" t="str">
        <f>_xlfn.LET(_xlpm.v, IFERROR(VLOOKUP($A2116, manifest!$A:$E, 5, FALSE), ""), IF(OR(_xlpm.v=0, _xlpm.v=""), "", _xlpm.v))</f>
        <v>female</v>
      </c>
    </row>
    <row r="2117" spans="1:9" x14ac:dyDescent="0.6">
      <c r="A2117">
        <v>454</v>
      </c>
      <c r="B2117" t="s">
        <v>14</v>
      </c>
      <c r="C2117" t="s">
        <v>12</v>
      </c>
      <c r="D2117">
        <v>256.48</v>
      </c>
      <c r="E2117">
        <v>197.53</v>
      </c>
      <c r="F2117">
        <v>33352</v>
      </c>
      <c r="H2117">
        <f>_xlfn.LET(_xlpm.v, IFERROR(VLOOKUP($A2117, manifest!$A:$E, 3, FALSE), ""), IF(OR(_xlpm.v=0, _xlpm.v=""), "", _xlpm.v))</f>
        <v>60</v>
      </c>
      <c r="I2117" t="str">
        <f>_xlfn.LET(_xlpm.v, IFERROR(VLOOKUP($A2117, manifest!$A:$E, 5, FALSE), ""), IF(OR(_xlpm.v=0, _xlpm.v=""), "", _xlpm.v))</f>
        <v>female</v>
      </c>
    </row>
    <row r="2118" spans="1:9" x14ac:dyDescent="0.6">
      <c r="A2118">
        <v>454</v>
      </c>
      <c r="B2118" t="s">
        <v>14</v>
      </c>
      <c r="C2118" t="s">
        <v>13</v>
      </c>
      <c r="D2118">
        <v>314.73</v>
      </c>
      <c r="E2118">
        <v>223.15</v>
      </c>
      <c r="F2118">
        <v>34047</v>
      </c>
      <c r="H2118">
        <f>_xlfn.LET(_xlpm.v, IFERROR(VLOOKUP($A2118, manifest!$A:$E, 3, FALSE), ""), IF(OR(_xlpm.v=0, _xlpm.v=""), "", _xlpm.v))</f>
        <v>60</v>
      </c>
      <c r="I2118" t="str">
        <f>_xlfn.LET(_xlpm.v, IFERROR(VLOOKUP($A2118, manifest!$A:$E, 5, FALSE), ""), IF(OR(_xlpm.v=0, _xlpm.v=""), "", _xlpm.v))</f>
        <v>female</v>
      </c>
    </row>
    <row r="2119" spans="1:9" x14ac:dyDescent="0.6">
      <c r="A2119">
        <v>435</v>
      </c>
      <c r="B2119" t="s">
        <v>7</v>
      </c>
      <c r="C2119" t="s">
        <v>8</v>
      </c>
      <c r="D2119">
        <v>297.32</v>
      </c>
      <c r="E2119">
        <v>163.62</v>
      </c>
      <c r="F2119">
        <v>32324</v>
      </c>
      <c r="G2119" t="s">
        <v>9</v>
      </c>
      <c r="H2119">
        <f>_xlfn.LET(_xlpm.v, IFERROR(VLOOKUP($A2119, manifest!$A:$E, 3, FALSE), ""), IF(OR(_xlpm.v=0, _xlpm.v=""), "", _xlpm.v))</f>
        <v>50</v>
      </c>
      <c r="I2119" t="str">
        <f>_xlfn.LET(_xlpm.v, IFERROR(VLOOKUP($A2119, manifest!$A:$E, 5, FALSE), ""), IF(OR(_xlpm.v=0, _xlpm.v=""), "", _xlpm.v))</f>
        <v>female</v>
      </c>
    </row>
    <row r="2120" spans="1:9" x14ac:dyDescent="0.6">
      <c r="A2120">
        <v>435</v>
      </c>
      <c r="B2120" t="s">
        <v>7</v>
      </c>
      <c r="C2120" t="s">
        <v>10</v>
      </c>
      <c r="D2120">
        <v>322.57</v>
      </c>
      <c r="E2120">
        <v>221.15</v>
      </c>
      <c r="F2120">
        <v>37053</v>
      </c>
      <c r="H2120">
        <f>_xlfn.LET(_xlpm.v, IFERROR(VLOOKUP($A2120, manifest!$A:$E, 3, FALSE), ""), IF(OR(_xlpm.v=0, _xlpm.v=""), "", _xlpm.v))</f>
        <v>50</v>
      </c>
      <c r="I2120" t="str">
        <f>_xlfn.LET(_xlpm.v, IFERROR(VLOOKUP($A2120, manifest!$A:$E, 5, FALSE), ""), IF(OR(_xlpm.v=0, _xlpm.v=""), "", _xlpm.v))</f>
        <v>female</v>
      </c>
    </row>
    <row r="2121" spans="1:9" x14ac:dyDescent="0.6">
      <c r="A2121">
        <v>435</v>
      </c>
      <c r="B2121" t="s">
        <v>7</v>
      </c>
      <c r="C2121" t="s">
        <v>11</v>
      </c>
      <c r="D2121">
        <v>339.75</v>
      </c>
      <c r="E2121">
        <v>236.82</v>
      </c>
      <c r="F2121">
        <v>38660</v>
      </c>
      <c r="H2121">
        <f>_xlfn.LET(_xlpm.v, IFERROR(VLOOKUP($A2121, manifest!$A:$E, 3, FALSE), ""), IF(OR(_xlpm.v=0, _xlpm.v=""), "", _xlpm.v))</f>
        <v>50</v>
      </c>
      <c r="I2121" t="str">
        <f>_xlfn.LET(_xlpm.v, IFERROR(VLOOKUP($A2121, manifest!$A:$E, 5, FALSE), ""), IF(OR(_xlpm.v=0, _xlpm.v=""), "", _xlpm.v))</f>
        <v>female</v>
      </c>
    </row>
    <row r="2122" spans="1:9" x14ac:dyDescent="0.6">
      <c r="A2122">
        <v>435</v>
      </c>
      <c r="B2122" t="s">
        <v>7</v>
      </c>
      <c r="C2122" t="s">
        <v>12</v>
      </c>
      <c r="D2122">
        <v>333.31</v>
      </c>
      <c r="E2122">
        <v>216.31</v>
      </c>
      <c r="F2122">
        <v>47857</v>
      </c>
      <c r="H2122">
        <f>_xlfn.LET(_xlpm.v, IFERROR(VLOOKUP($A2122, manifest!$A:$E, 3, FALSE), ""), IF(OR(_xlpm.v=0, _xlpm.v=""), "", _xlpm.v))</f>
        <v>50</v>
      </c>
      <c r="I2122" t="str">
        <f>_xlfn.LET(_xlpm.v, IFERROR(VLOOKUP($A2122, manifest!$A:$E, 5, FALSE), ""), IF(OR(_xlpm.v=0, _xlpm.v=""), "", _xlpm.v))</f>
        <v>female</v>
      </c>
    </row>
    <row r="2123" spans="1:9" x14ac:dyDescent="0.6">
      <c r="A2123">
        <v>435</v>
      </c>
      <c r="B2123" t="s">
        <v>7</v>
      </c>
      <c r="C2123" t="s">
        <v>13</v>
      </c>
      <c r="D2123">
        <v>308.58</v>
      </c>
      <c r="E2123">
        <v>190.74</v>
      </c>
      <c r="F2123">
        <v>60465</v>
      </c>
      <c r="H2123">
        <f>_xlfn.LET(_xlpm.v, IFERROR(VLOOKUP($A2123, manifest!$A:$E, 3, FALSE), ""), IF(OR(_xlpm.v=0, _xlpm.v=""), "", _xlpm.v))</f>
        <v>50</v>
      </c>
      <c r="I2123" t="str">
        <f>_xlfn.LET(_xlpm.v, IFERROR(VLOOKUP($A2123, manifest!$A:$E, 5, FALSE), ""), IF(OR(_xlpm.v=0, _xlpm.v=""), "", _xlpm.v))</f>
        <v>female</v>
      </c>
    </row>
    <row r="2124" spans="1:9" x14ac:dyDescent="0.6">
      <c r="A2124">
        <v>444</v>
      </c>
      <c r="B2124" t="s">
        <v>14</v>
      </c>
      <c r="C2124" t="s">
        <v>8</v>
      </c>
      <c r="D2124">
        <v>170.82</v>
      </c>
      <c r="E2124">
        <v>121.66</v>
      </c>
      <c r="F2124">
        <v>32696</v>
      </c>
      <c r="G2124" t="s">
        <v>9</v>
      </c>
      <c r="H2124">
        <f>_xlfn.LET(_xlpm.v, IFERROR(VLOOKUP($A2124, manifest!$A:$E, 3, FALSE), ""), IF(OR(_xlpm.v=0, _xlpm.v=""), "", _xlpm.v))</f>
        <v>50</v>
      </c>
      <c r="I2124" t="str">
        <f>_xlfn.LET(_xlpm.v, IFERROR(VLOOKUP($A2124, manifest!$A:$E, 5, FALSE), ""), IF(OR(_xlpm.v=0, _xlpm.v=""), "", _xlpm.v))</f>
        <v>female</v>
      </c>
    </row>
    <row r="2125" spans="1:9" x14ac:dyDescent="0.6">
      <c r="A2125">
        <v>444</v>
      </c>
      <c r="B2125" t="s">
        <v>14</v>
      </c>
      <c r="C2125" t="s">
        <v>10</v>
      </c>
      <c r="D2125">
        <v>180.65</v>
      </c>
      <c r="E2125">
        <v>146.25</v>
      </c>
      <c r="F2125">
        <v>36167</v>
      </c>
      <c r="H2125">
        <f>_xlfn.LET(_xlpm.v, IFERROR(VLOOKUP($A2125, manifest!$A:$E, 3, FALSE), ""), IF(OR(_xlpm.v=0, _xlpm.v=""), "", _xlpm.v))</f>
        <v>50</v>
      </c>
      <c r="I2125" t="str">
        <f>_xlfn.LET(_xlpm.v, IFERROR(VLOOKUP($A2125, manifest!$A:$E, 5, FALSE), ""), IF(OR(_xlpm.v=0, _xlpm.v=""), "", _xlpm.v))</f>
        <v>female</v>
      </c>
    </row>
    <row r="2126" spans="1:9" x14ac:dyDescent="0.6">
      <c r="A2126">
        <v>444</v>
      </c>
      <c r="B2126" t="s">
        <v>14</v>
      </c>
      <c r="C2126" t="s">
        <v>11</v>
      </c>
      <c r="D2126">
        <v>188.85</v>
      </c>
      <c r="E2126">
        <v>175.4</v>
      </c>
      <c r="F2126">
        <v>45317</v>
      </c>
      <c r="H2126">
        <f>_xlfn.LET(_xlpm.v, IFERROR(VLOOKUP($A2126, manifest!$A:$E, 3, FALSE), ""), IF(OR(_xlpm.v=0, _xlpm.v=""), "", _xlpm.v))</f>
        <v>50</v>
      </c>
      <c r="I2126" t="str">
        <f>_xlfn.LET(_xlpm.v, IFERROR(VLOOKUP($A2126, manifest!$A:$E, 5, FALSE), ""), IF(OR(_xlpm.v=0, _xlpm.v=""), "", _xlpm.v))</f>
        <v>female</v>
      </c>
    </row>
    <row r="2127" spans="1:9" x14ac:dyDescent="0.6">
      <c r="A2127">
        <v>444</v>
      </c>
      <c r="B2127" t="s">
        <v>14</v>
      </c>
      <c r="C2127" t="s">
        <v>12</v>
      </c>
      <c r="D2127">
        <v>188.7</v>
      </c>
      <c r="E2127">
        <v>181.9</v>
      </c>
      <c r="F2127">
        <v>57460</v>
      </c>
      <c r="H2127">
        <f>_xlfn.LET(_xlpm.v, IFERROR(VLOOKUP($A2127, manifest!$A:$E, 3, FALSE), ""), IF(OR(_xlpm.v=0, _xlpm.v=""), "", _xlpm.v))</f>
        <v>50</v>
      </c>
      <c r="I2127" t="str">
        <f>_xlfn.LET(_xlpm.v, IFERROR(VLOOKUP($A2127, manifest!$A:$E, 5, FALSE), ""), IF(OR(_xlpm.v=0, _xlpm.v=""), "", _xlpm.v))</f>
        <v>female</v>
      </c>
    </row>
    <row r="2128" spans="1:9" x14ac:dyDescent="0.6">
      <c r="A2128">
        <v>444</v>
      </c>
      <c r="B2128" t="s">
        <v>14</v>
      </c>
      <c r="C2128" t="s">
        <v>13</v>
      </c>
      <c r="D2128">
        <v>178.19</v>
      </c>
      <c r="E2128">
        <v>144.29</v>
      </c>
      <c r="F2128">
        <v>54145</v>
      </c>
      <c r="H2128">
        <f>_xlfn.LET(_xlpm.v, IFERROR(VLOOKUP($A2128, manifest!$A:$E, 3, FALSE), ""), IF(OR(_xlpm.v=0, _xlpm.v=""), "", _xlpm.v))</f>
        <v>50</v>
      </c>
      <c r="I2128" t="str">
        <f>_xlfn.LET(_xlpm.v, IFERROR(VLOOKUP($A2128, manifest!$A:$E, 5, FALSE), ""), IF(OR(_xlpm.v=0, _xlpm.v=""), "", _xlpm.v))</f>
        <v>female</v>
      </c>
    </row>
    <row r="2129" spans="1:9" x14ac:dyDescent="0.6">
      <c r="A2129">
        <v>436</v>
      </c>
      <c r="B2129" t="s">
        <v>14</v>
      </c>
      <c r="C2129" t="s">
        <v>8</v>
      </c>
      <c r="D2129">
        <v>225.77</v>
      </c>
      <c r="E2129">
        <v>154.37</v>
      </c>
      <c r="F2129">
        <v>31803</v>
      </c>
      <c r="G2129" t="s">
        <v>9</v>
      </c>
      <c r="H2129">
        <f>_xlfn.LET(_xlpm.v, IFERROR(VLOOKUP($A2129, manifest!$A:$E, 3, FALSE), ""), IF(OR(_xlpm.v=0, _xlpm.v=""), "", _xlpm.v))</f>
        <v>60</v>
      </c>
      <c r="I2129" t="str">
        <f>_xlfn.LET(_xlpm.v, IFERROR(VLOOKUP($A2129, manifest!$A:$E, 5, FALSE), ""), IF(OR(_xlpm.v=0, _xlpm.v=""), "", _xlpm.v))</f>
        <v>female</v>
      </c>
    </row>
    <row r="2130" spans="1:9" x14ac:dyDescent="0.6">
      <c r="A2130">
        <v>436</v>
      </c>
      <c r="B2130" t="s">
        <v>14</v>
      </c>
      <c r="C2130" t="s">
        <v>10</v>
      </c>
      <c r="D2130">
        <v>261.89999999999998</v>
      </c>
      <c r="E2130">
        <v>226.56</v>
      </c>
      <c r="F2130">
        <v>38005</v>
      </c>
      <c r="H2130">
        <f>_xlfn.LET(_xlpm.v, IFERROR(VLOOKUP($A2130, manifest!$A:$E, 3, FALSE), ""), IF(OR(_xlpm.v=0, _xlpm.v=""), "", _xlpm.v))</f>
        <v>60</v>
      </c>
      <c r="I2130" t="str">
        <f>_xlfn.LET(_xlpm.v, IFERROR(VLOOKUP($A2130, manifest!$A:$E, 5, FALSE), ""), IF(OR(_xlpm.v=0, _xlpm.v=""), "", _xlpm.v))</f>
        <v>female</v>
      </c>
    </row>
    <row r="2131" spans="1:9" x14ac:dyDescent="0.6">
      <c r="A2131">
        <v>436</v>
      </c>
      <c r="B2131" t="s">
        <v>14</v>
      </c>
      <c r="C2131" t="s">
        <v>11</v>
      </c>
      <c r="D2131">
        <v>259.79000000000002</v>
      </c>
      <c r="E2131">
        <v>213.98</v>
      </c>
      <c r="F2131">
        <v>43666</v>
      </c>
      <c r="H2131">
        <f>_xlfn.LET(_xlpm.v, IFERROR(VLOOKUP($A2131, manifest!$A:$E, 3, FALSE), ""), IF(OR(_xlpm.v=0, _xlpm.v=""), "", _xlpm.v))</f>
        <v>60</v>
      </c>
      <c r="I2131" t="str">
        <f>_xlfn.LET(_xlpm.v, IFERROR(VLOOKUP($A2131, manifest!$A:$E, 5, FALSE), ""), IF(OR(_xlpm.v=0, _xlpm.v=""), "", _xlpm.v))</f>
        <v>female</v>
      </c>
    </row>
    <row r="2132" spans="1:9" x14ac:dyDescent="0.6">
      <c r="A2132">
        <v>436</v>
      </c>
      <c r="B2132" t="s">
        <v>14</v>
      </c>
      <c r="C2132" t="s">
        <v>12</v>
      </c>
      <c r="D2132">
        <v>235.52</v>
      </c>
      <c r="E2132">
        <v>198.85</v>
      </c>
      <c r="F2132">
        <v>55705</v>
      </c>
      <c r="H2132">
        <f>_xlfn.LET(_xlpm.v, IFERROR(VLOOKUP($A2132, manifest!$A:$E, 3, FALSE), ""), IF(OR(_xlpm.v=0, _xlpm.v=""), "", _xlpm.v))</f>
        <v>60</v>
      </c>
      <c r="I2132" t="str">
        <f>_xlfn.LET(_xlpm.v, IFERROR(VLOOKUP($A2132, manifest!$A:$E, 5, FALSE), ""), IF(OR(_xlpm.v=0, _xlpm.v=""), "", _xlpm.v))</f>
        <v>female</v>
      </c>
    </row>
    <row r="2133" spans="1:9" x14ac:dyDescent="0.6">
      <c r="A2133">
        <v>436</v>
      </c>
      <c r="B2133" t="s">
        <v>14</v>
      </c>
      <c r="C2133" t="s">
        <v>13</v>
      </c>
      <c r="D2133">
        <v>233.44</v>
      </c>
      <c r="E2133">
        <v>191.73</v>
      </c>
      <c r="F2133">
        <v>56035</v>
      </c>
      <c r="H2133">
        <f>_xlfn.LET(_xlpm.v, IFERROR(VLOOKUP($A2133, manifest!$A:$E, 3, FALSE), ""), IF(OR(_xlpm.v=0, _xlpm.v=""), "", _xlpm.v))</f>
        <v>60</v>
      </c>
      <c r="I2133" t="str">
        <f>_xlfn.LET(_xlpm.v, IFERROR(VLOOKUP($A2133, manifest!$A:$E, 5, FALSE), ""), IF(OR(_xlpm.v=0, _xlpm.v=""), "", _xlpm.v))</f>
        <v>female</v>
      </c>
    </row>
    <row r="2134" spans="1:9" x14ac:dyDescent="0.6">
      <c r="A2134">
        <v>449</v>
      </c>
      <c r="B2134" t="s">
        <v>7</v>
      </c>
      <c r="C2134" t="s">
        <v>8</v>
      </c>
      <c r="D2134">
        <v>158.31</v>
      </c>
      <c r="E2134">
        <v>163.86</v>
      </c>
      <c r="F2134">
        <v>60160</v>
      </c>
      <c r="G2134" t="s">
        <v>15</v>
      </c>
      <c r="H2134">
        <f>_xlfn.LET(_xlpm.v, IFERROR(VLOOKUP($A2134, manifest!$A:$E, 3, FALSE), ""), IF(OR(_xlpm.v=0, _xlpm.v=""), "", _xlpm.v))</f>
        <v>70</v>
      </c>
      <c r="I2134" t="str">
        <f>_xlfn.LET(_xlpm.v, IFERROR(VLOOKUP($A2134, manifest!$A:$E, 5, FALSE), ""), IF(OR(_xlpm.v=0, _xlpm.v=""), "", _xlpm.v))</f>
        <v>male</v>
      </c>
    </row>
    <row r="2135" spans="1:9" x14ac:dyDescent="0.6">
      <c r="A2135">
        <v>449</v>
      </c>
      <c r="B2135" t="s">
        <v>7</v>
      </c>
      <c r="C2135" t="s">
        <v>10</v>
      </c>
      <c r="D2135">
        <v>143.56</v>
      </c>
      <c r="E2135">
        <v>134.19</v>
      </c>
      <c r="F2135">
        <v>49644</v>
      </c>
      <c r="H2135">
        <f>_xlfn.LET(_xlpm.v, IFERROR(VLOOKUP($A2135, manifest!$A:$E, 3, FALSE), ""), IF(OR(_xlpm.v=0, _xlpm.v=""), "", _xlpm.v))</f>
        <v>70</v>
      </c>
      <c r="I2135" t="str">
        <f>_xlfn.LET(_xlpm.v, IFERROR(VLOOKUP($A2135, manifest!$A:$E, 5, FALSE), ""), IF(OR(_xlpm.v=0, _xlpm.v=""), "", _xlpm.v))</f>
        <v>male</v>
      </c>
    </row>
    <row r="2136" spans="1:9" x14ac:dyDescent="0.6">
      <c r="A2136">
        <v>449</v>
      </c>
      <c r="B2136" t="s">
        <v>7</v>
      </c>
      <c r="C2136" t="s">
        <v>11</v>
      </c>
      <c r="D2136">
        <v>173.32</v>
      </c>
      <c r="E2136">
        <v>214.14</v>
      </c>
      <c r="F2136">
        <v>57653</v>
      </c>
      <c r="H2136">
        <f>_xlfn.LET(_xlpm.v, IFERROR(VLOOKUP($A2136, manifest!$A:$E, 3, FALSE), ""), IF(OR(_xlpm.v=0, _xlpm.v=""), "", _xlpm.v))</f>
        <v>70</v>
      </c>
      <c r="I2136" t="str">
        <f>_xlfn.LET(_xlpm.v, IFERROR(VLOOKUP($A2136, manifest!$A:$E, 5, FALSE), ""), IF(OR(_xlpm.v=0, _xlpm.v=""), "", _xlpm.v))</f>
        <v>male</v>
      </c>
    </row>
    <row r="2137" spans="1:9" x14ac:dyDescent="0.6">
      <c r="A2137">
        <v>449</v>
      </c>
      <c r="B2137" t="s">
        <v>7</v>
      </c>
      <c r="C2137" t="s">
        <v>12</v>
      </c>
      <c r="D2137">
        <v>192.23</v>
      </c>
      <c r="E2137">
        <v>210.19</v>
      </c>
      <c r="F2137">
        <v>76470</v>
      </c>
      <c r="H2137">
        <f>_xlfn.LET(_xlpm.v, IFERROR(VLOOKUP($A2137, manifest!$A:$E, 3, FALSE), ""), IF(OR(_xlpm.v=0, _xlpm.v=""), "", _xlpm.v))</f>
        <v>70</v>
      </c>
      <c r="I2137" t="str">
        <f>_xlfn.LET(_xlpm.v, IFERROR(VLOOKUP($A2137, manifest!$A:$E, 5, FALSE), ""), IF(OR(_xlpm.v=0, _xlpm.v=""), "", _xlpm.v))</f>
        <v>male</v>
      </c>
    </row>
    <row r="2138" spans="1:9" x14ac:dyDescent="0.6">
      <c r="A2138">
        <v>449</v>
      </c>
      <c r="B2138" t="s">
        <v>7</v>
      </c>
      <c r="C2138" t="s">
        <v>13</v>
      </c>
      <c r="D2138">
        <v>187.84</v>
      </c>
      <c r="E2138">
        <v>173.73</v>
      </c>
      <c r="F2138">
        <v>51661</v>
      </c>
      <c r="H2138">
        <f>_xlfn.LET(_xlpm.v, IFERROR(VLOOKUP($A2138, manifest!$A:$E, 3, FALSE), ""), IF(OR(_xlpm.v=0, _xlpm.v=""), "", _xlpm.v))</f>
        <v>70</v>
      </c>
      <c r="I2138" t="str">
        <f>_xlfn.LET(_xlpm.v, IFERROR(VLOOKUP($A2138, manifest!$A:$E, 5, FALSE), ""), IF(OR(_xlpm.v=0, _xlpm.v=""), "", _xlpm.v))</f>
        <v>male</v>
      </c>
    </row>
    <row r="2139" spans="1:9" x14ac:dyDescent="0.6">
      <c r="A2139">
        <v>458</v>
      </c>
      <c r="B2139" t="s">
        <v>7</v>
      </c>
      <c r="C2139" t="s">
        <v>8</v>
      </c>
      <c r="D2139">
        <v>231.88</v>
      </c>
      <c r="E2139">
        <v>144.31</v>
      </c>
      <c r="F2139">
        <v>38754</v>
      </c>
      <c r="G2139" t="s">
        <v>9</v>
      </c>
      <c r="H2139">
        <f>_xlfn.LET(_xlpm.v, IFERROR(VLOOKUP($A2139, manifest!$A:$E, 3, FALSE), ""), IF(OR(_xlpm.v=0, _xlpm.v=""), "", _xlpm.v))</f>
        <v>50</v>
      </c>
      <c r="I2139" t="str">
        <f>_xlfn.LET(_xlpm.v, IFERROR(VLOOKUP($A2139, manifest!$A:$E, 5, FALSE), ""), IF(OR(_xlpm.v=0, _xlpm.v=""), "", _xlpm.v))</f>
        <v>male</v>
      </c>
    </row>
    <row r="2140" spans="1:9" x14ac:dyDescent="0.6">
      <c r="A2140">
        <v>458</v>
      </c>
      <c r="B2140" t="s">
        <v>7</v>
      </c>
      <c r="C2140" t="s">
        <v>10</v>
      </c>
      <c r="D2140">
        <v>247.47</v>
      </c>
      <c r="E2140">
        <v>177.05</v>
      </c>
      <c r="F2140">
        <v>37699</v>
      </c>
      <c r="H2140">
        <f>_xlfn.LET(_xlpm.v, IFERROR(VLOOKUP($A2140, manifest!$A:$E, 3, FALSE), ""), IF(OR(_xlpm.v=0, _xlpm.v=""), "", _xlpm.v))</f>
        <v>50</v>
      </c>
      <c r="I2140" t="str">
        <f>_xlfn.LET(_xlpm.v, IFERROR(VLOOKUP($A2140, manifest!$A:$E, 5, FALSE), ""), IF(OR(_xlpm.v=0, _xlpm.v=""), "", _xlpm.v))</f>
        <v>male</v>
      </c>
    </row>
    <row r="2141" spans="1:9" x14ac:dyDescent="0.6">
      <c r="A2141">
        <v>458</v>
      </c>
      <c r="B2141" t="s">
        <v>7</v>
      </c>
      <c r="C2141" t="s">
        <v>11</v>
      </c>
      <c r="D2141">
        <v>244.44</v>
      </c>
      <c r="E2141">
        <v>206.7</v>
      </c>
      <c r="F2141">
        <v>38843</v>
      </c>
      <c r="H2141">
        <f>_xlfn.LET(_xlpm.v, IFERROR(VLOOKUP($A2141, manifest!$A:$E, 3, FALSE), ""), IF(OR(_xlpm.v=0, _xlpm.v=""), "", _xlpm.v))</f>
        <v>50</v>
      </c>
      <c r="I2141" t="str">
        <f>_xlfn.LET(_xlpm.v, IFERROR(VLOOKUP($A2141, manifest!$A:$E, 5, FALSE), ""), IF(OR(_xlpm.v=0, _xlpm.v=""), "", _xlpm.v))</f>
        <v>male</v>
      </c>
    </row>
    <row r="2142" spans="1:9" x14ac:dyDescent="0.6">
      <c r="A2142">
        <v>458</v>
      </c>
      <c r="B2142" t="s">
        <v>7</v>
      </c>
      <c r="C2142" t="s">
        <v>12</v>
      </c>
      <c r="D2142">
        <v>222.11</v>
      </c>
      <c r="E2142">
        <v>176.41</v>
      </c>
      <c r="F2142">
        <v>45346</v>
      </c>
      <c r="H2142">
        <f>_xlfn.LET(_xlpm.v, IFERROR(VLOOKUP($A2142, manifest!$A:$E, 3, FALSE), ""), IF(OR(_xlpm.v=0, _xlpm.v=""), "", _xlpm.v))</f>
        <v>50</v>
      </c>
      <c r="I2142" t="str">
        <f>_xlfn.LET(_xlpm.v, IFERROR(VLOOKUP($A2142, manifest!$A:$E, 5, FALSE), ""), IF(OR(_xlpm.v=0, _xlpm.v=""), "", _xlpm.v))</f>
        <v>male</v>
      </c>
    </row>
    <row r="2143" spans="1:9" x14ac:dyDescent="0.6">
      <c r="A2143">
        <v>458</v>
      </c>
      <c r="B2143" t="s">
        <v>7</v>
      </c>
      <c r="C2143" t="s">
        <v>13</v>
      </c>
      <c r="D2143">
        <v>230.09</v>
      </c>
      <c r="E2143">
        <v>156.41999999999999</v>
      </c>
      <c r="F2143">
        <v>47822</v>
      </c>
      <c r="H2143">
        <f>_xlfn.LET(_xlpm.v, IFERROR(VLOOKUP($A2143, manifest!$A:$E, 3, FALSE), ""), IF(OR(_xlpm.v=0, _xlpm.v=""), "", _xlpm.v))</f>
        <v>50</v>
      </c>
      <c r="I2143" t="str">
        <f>_xlfn.LET(_xlpm.v, IFERROR(VLOOKUP($A2143, manifest!$A:$E, 5, FALSE), ""), IF(OR(_xlpm.v=0, _xlpm.v=""), "", _xlpm.v))</f>
        <v>male</v>
      </c>
    </row>
    <row r="2144" spans="1:9" x14ac:dyDescent="0.6">
      <c r="A2144">
        <v>453</v>
      </c>
      <c r="B2144" t="s">
        <v>7</v>
      </c>
      <c r="C2144" t="s">
        <v>8</v>
      </c>
      <c r="D2144">
        <v>139.81</v>
      </c>
      <c r="E2144">
        <v>108.43</v>
      </c>
      <c r="F2144">
        <v>34367</v>
      </c>
      <c r="G2144" t="s">
        <v>15</v>
      </c>
      <c r="H2144">
        <f>_xlfn.LET(_xlpm.v, IFERROR(VLOOKUP($A2144, manifest!$A:$E, 3, FALSE), ""), IF(OR(_xlpm.v=0, _xlpm.v=""), "", _xlpm.v))</f>
        <v>50</v>
      </c>
      <c r="I2144" t="str">
        <f>_xlfn.LET(_xlpm.v, IFERROR(VLOOKUP($A2144, manifest!$A:$E, 5, FALSE), ""), IF(OR(_xlpm.v=0, _xlpm.v=""), "", _xlpm.v))</f>
        <v>female</v>
      </c>
    </row>
    <row r="2145" spans="1:9" x14ac:dyDescent="0.6">
      <c r="A2145">
        <v>453</v>
      </c>
      <c r="B2145" t="s">
        <v>7</v>
      </c>
      <c r="C2145" t="s">
        <v>10</v>
      </c>
      <c r="D2145">
        <v>170.33</v>
      </c>
      <c r="E2145">
        <v>180.63</v>
      </c>
      <c r="F2145">
        <v>36447</v>
      </c>
      <c r="H2145">
        <f>_xlfn.LET(_xlpm.v, IFERROR(VLOOKUP($A2145, manifest!$A:$E, 3, FALSE), ""), IF(OR(_xlpm.v=0, _xlpm.v=""), "", _xlpm.v))</f>
        <v>50</v>
      </c>
      <c r="I2145" t="str">
        <f>_xlfn.LET(_xlpm.v, IFERROR(VLOOKUP($A2145, manifest!$A:$E, 5, FALSE), ""), IF(OR(_xlpm.v=0, _xlpm.v=""), "", _xlpm.v))</f>
        <v>female</v>
      </c>
    </row>
    <row r="2146" spans="1:9" x14ac:dyDescent="0.6">
      <c r="A2146">
        <v>453</v>
      </c>
      <c r="B2146" t="s">
        <v>7</v>
      </c>
      <c r="C2146" t="s">
        <v>11</v>
      </c>
      <c r="D2146">
        <v>197</v>
      </c>
      <c r="E2146">
        <v>219.22</v>
      </c>
      <c r="F2146">
        <v>38388</v>
      </c>
      <c r="H2146">
        <f>_xlfn.LET(_xlpm.v, IFERROR(VLOOKUP($A2146, manifest!$A:$E, 3, FALSE), ""), IF(OR(_xlpm.v=0, _xlpm.v=""), "", _xlpm.v))</f>
        <v>50</v>
      </c>
      <c r="I2146" t="str">
        <f>_xlfn.LET(_xlpm.v, IFERROR(VLOOKUP($A2146, manifest!$A:$E, 5, FALSE), ""), IF(OR(_xlpm.v=0, _xlpm.v=""), "", _xlpm.v))</f>
        <v>female</v>
      </c>
    </row>
    <row r="2147" spans="1:9" x14ac:dyDescent="0.6">
      <c r="A2147">
        <v>453</v>
      </c>
      <c r="B2147" t="s">
        <v>7</v>
      </c>
      <c r="C2147" t="s">
        <v>12</v>
      </c>
      <c r="D2147">
        <v>197.48</v>
      </c>
      <c r="E2147">
        <v>229.9</v>
      </c>
      <c r="F2147">
        <v>37117</v>
      </c>
      <c r="H2147">
        <f>_xlfn.LET(_xlpm.v, IFERROR(VLOOKUP($A2147, manifest!$A:$E, 3, FALSE), ""), IF(OR(_xlpm.v=0, _xlpm.v=""), "", _xlpm.v))</f>
        <v>50</v>
      </c>
      <c r="I2147" t="str">
        <f>_xlfn.LET(_xlpm.v, IFERROR(VLOOKUP($A2147, manifest!$A:$E, 5, FALSE), ""), IF(OR(_xlpm.v=0, _xlpm.v=""), "", _xlpm.v))</f>
        <v>female</v>
      </c>
    </row>
    <row r="2148" spans="1:9" x14ac:dyDescent="0.6">
      <c r="A2148">
        <v>453</v>
      </c>
      <c r="B2148" t="s">
        <v>7</v>
      </c>
      <c r="C2148" t="s">
        <v>13</v>
      </c>
      <c r="D2148">
        <v>186.56</v>
      </c>
      <c r="E2148">
        <v>190.17</v>
      </c>
      <c r="F2148">
        <v>45454</v>
      </c>
      <c r="H2148">
        <f>_xlfn.LET(_xlpm.v, IFERROR(VLOOKUP($A2148, manifest!$A:$E, 3, FALSE), ""), IF(OR(_xlpm.v=0, _xlpm.v=""), "", _xlpm.v))</f>
        <v>50</v>
      </c>
      <c r="I2148" t="str">
        <f>_xlfn.LET(_xlpm.v, IFERROR(VLOOKUP($A2148, manifest!$A:$E, 5, FALSE), ""), IF(OR(_xlpm.v=0, _xlpm.v=""), "", _xlpm.v))</f>
        <v>female</v>
      </c>
    </row>
    <row r="2149" spans="1:9" x14ac:dyDescent="0.6">
      <c r="A2149">
        <v>452</v>
      </c>
      <c r="B2149" t="s">
        <v>14</v>
      </c>
      <c r="C2149" t="s">
        <v>8</v>
      </c>
      <c r="D2149">
        <v>181.47</v>
      </c>
      <c r="E2149">
        <v>118.59</v>
      </c>
      <c r="F2149">
        <v>42994</v>
      </c>
      <c r="G2149" t="s">
        <v>9</v>
      </c>
      <c r="H2149">
        <f>_xlfn.LET(_xlpm.v, IFERROR(VLOOKUP($A2149, manifest!$A:$E, 3, FALSE), ""), IF(OR(_xlpm.v=0, _xlpm.v=""), "", _xlpm.v))</f>
        <v>60</v>
      </c>
      <c r="I2149" t="str">
        <f>_xlfn.LET(_xlpm.v, IFERROR(VLOOKUP($A2149, manifest!$A:$E, 5, FALSE), ""), IF(OR(_xlpm.v=0, _xlpm.v=""), "", _xlpm.v))</f>
        <v>female</v>
      </c>
    </row>
    <row r="2150" spans="1:9" x14ac:dyDescent="0.6">
      <c r="A2150">
        <v>452</v>
      </c>
      <c r="B2150" t="s">
        <v>14</v>
      </c>
      <c r="C2150" t="s">
        <v>10</v>
      </c>
      <c r="D2150">
        <v>196.75</v>
      </c>
      <c r="E2150">
        <v>179.37</v>
      </c>
      <c r="F2150">
        <v>47538</v>
      </c>
      <c r="H2150">
        <f>_xlfn.LET(_xlpm.v, IFERROR(VLOOKUP($A2150, manifest!$A:$E, 3, FALSE), ""), IF(OR(_xlpm.v=0, _xlpm.v=""), "", _xlpm.v))</f>
        <v>60</v>
      </c>
      <c r="I2150" t="str">
        <f>_xlfn.LET(_xlpm.v, IFERROR(VLOOKUP($A2150, manifest!$A:$E, 5, FALSE), ""), IF(OR(_xlpm.v=0, _xlpm.v=""), "", _xlpm.v))</f>
        <v>female</v>
      </c>
    </row>
    <row r="2151" spans="1:9" x14ac:dyDescent="0.6">
      <c r="A2151">
        <v>452</v>
      </c>
      <c r="B2151" t="s">
        <v>14</v>
      </c>
      <c r="C2151" t="s">
        <v>11</v>
      </c>
      <c r="D2151">
        <v>189.58</v>
      </c>
      <c r="E2151">
        <v>179.32</v>
      </c>
      <c r="F2151">
        <v>53473</v>
      </c>
      <c r="H2151">
        <f>_xlfn.LET(_xlpm.v, IFERROR(VLOOKUP($A2151, manifest!$A:$E, 3, FALSE), ""), IF(OR(_xlpm.v=0, _xlpm.v=""), "", _xlpm.v))</f>
        <v>60</v>
      </c>
      <c r="I2151" t="str">
        <f>_xlfn.LET(_xlpm.v, IFERROR(VLOOKUP($A2151, manifest!$A:$E, 5, FALSE), ""), IF(OR(_xlpm.v=0, _xlpm.v=""), "", _xlpm.v))</f>
        <v>female</v>
      </c>
    </row>
    <row r="2152" spans="1:9" x14ac:dyDescent="0.6">
      <c r="A2152">
        <v>452</v>
      </c>
      <c r="B2152" t="s">
        <v>14</v>
      </c>
      <c r="C2152" t="s">
        <v>12</v>
      </c>
      <c r="D2152">
        <v>182.68</v>
      </c>
      <c r="E2152">
        <v>167.71</v>
      </c>
      <c r="F2152">
        <v>57218</v>
      </c>
      <c r="H2152">
        <f>_xlfn.LET(_xlpm.v, IFERROR(VLOOKUP($A2152, manifest!$A:$E, 3, FALSE), ""), IF(OR(_xlpm.v=0, _xlpm.v=""), "", _xlpm.v))</f>
        <v>60</v>
      </c>
      <c r="I2152" t="str">
        <f>_xlfn.LET(_xlpm.v, IFERROR(VLOOKUP($A2152, manifest!$A:$E, 5, FALSE), ""), IF(OR(_xlpm.v=0, _xlpm.v=""), "", _xlpm.v))</f>
        <v>female</v>
      </c>
    </row>
    <row r="2153" spans="1:9" x14ac:dyDescent="0.6">
      <c r="A2153">
        <v>452</v>
      </c>
      <c r="B2153" t="s">
        <v>14</v>
      </c>
      <c r="C2153" t="s">
        <v>13</v>
      </c>
      <c r="D2153">
        <v>206.78</v>
      </c>
      <c r="E2153">
        <v>170.94</v>
      </c>
      <c r="F2153">
        <v>55133</v>
      </c>
      <c r="H2153">
        <f>_xlfn.LET(_xlpm.v, IFERROR(VLOOKUP($A2153, manifest!$A:$E, 3, FALSE), ""), IF(OR(_xlpm.v=0, _xlpm.v=""), "", _xlpm.v))</f>
        <v>60</v>
      </c>
      <c r="I2153" t="str">
        <f>_xlfn.LET(_xlpm.v, IFERROR(VLOOKUP($A2153, manifest!$A:$E, 5, FALSE), ""), IF(OR(_xlpm.v=0, _xlpm.v=""), "", _xlpm.v))</f>
        <v>female</v>
      </c>
    </row>
    <row r="2154" spans="1:9" x14ac:dyDescent="0.6">
      <c r="A2154">
        <v>460</v>
      </c>
      <c r="B2154" t="s">
        <v>7</v>
      </c>
      <c r="C2154" t="s">
        <v>8</v>
      </c>
      <c r="D2154">
        <v>144.02000000000001</v>
      </c>
      <c r="E2154">
        <v>126.81</v>
      </c>
      <c r="F2154">
        <v>27182</v>
      </c>
      <c r="G2154" t="s">
        <v>15</v>
      </c>
      <c r="H2154">
        <f>_xlfn.LET(_xlpm.v, IFERROR(VLOOKUP($A2154, manifest!$A:$E, 3, FALSE), ""), IF(OR(_xlpm.v=0, _xlpm.v=""), "", _xlpm.v))</f>
        <v>70</v>
      </c>
      <c r="I2154" t="str">
        <f>_xlfn.LET(_xlpm.v, IFERROR(VLOOKUP($A2154, manifest!$A:$E, 5, FALSE), ""), IF(OR(_xlpm.v=0, _xlpm.v=""), "", _xlpm.v))</f>
        <v>female</v>
      </c>
    </row>
    <row r="2155" spans="1:9" x14ac:dyDescent="0.6">
      <c r="A2155">
        <v>460</v>
      </c>
      <c r="B2155" t="s">
        <v>7</v>
      </c>
      <c r="C2155" t="s">
        <v>10</v>
      </c>
      <c r="D2155">
        <v>144.12</v>
      </c>
      <c r="E2155">
        <v>144.63</v>
      </c>
      <c r="F2155">
        <v>28571</v>
      </c>
      <c r="H2155">
        <f>_xlfn.LET(_xlpm.v, IFERROR(VLOOKUP($A2155, manifest!$A:$E, 3, FALSE), ""), IF(OR(_xlpm.v=0, _xlpm.v=""), "", _xlpm.v))</f>
        <v>70</v>
      </c>
      <c r="I2155" t="str">
        <f>_xlfn.LET(_xlpm.v, IFERROR(VLOOKUP($A2155, manifest!$A:$E, 5, FALSE), ""), IF(OR(_xlpm.v=0, _xlpm.v=""), "", _xlpm.v))</f>
        <v>female</v>
      </c>
    </row>
    <row r="2156" spans="1:9" x14ac:dyDescent="0.6">
      <c r="A2156">
        <v>460</v>
      </c>
      <c r="B2156" t="s">
        <v>7</v>
      </c>
      <c r="C2156" t="s">
        <v>11</v>
      </c>
      <c r="D2156">
        <v>143.29</v>
      </c>
      <c r="E2156">
        <v>139.13999999999999</v>
      </c>
      <c r="F2156">
        <v>34570</v>
      </c>
      <c r="H2156">
        <f>_xlfn.LET(_xlpm.v, IFERROR(VLOOKUP($A2156, manifest!$A:$E, 3, FALSE), ""), IF(OR(_xlpm.v=0, _xlpm.v=""), "", _xlpm.v))</f>
        <v>70</v>
      </c>
      <c r="I2156" t="str">
        <f>_xlfn.LET(_xlpm.v, IFERROR(VLOOKUP($A2156, manifest!$A:$E, 5, FALSE), ""), IF(OR(_xlpm.v=0, _xlpm.v=""), "", _xlpm.v))</f>
        <v>female</v>
      </c>
    </row>
    <row r="2157" spans="1:9" x14ac:dyDescent="0.6">
      <c r="A2157">
        <v>460</v>
      </c>
      <c r="B2157" t="s">
        <v>7</v>
      </c>
      <c r="C2157" t="s">
        <v>12</v>
      </c>
      <c r="D2157">
        <v>160.86000000000001</v>
      </c>
      <c r="E2157">
        <v>158.59</v>
      </c>
      <c r="F2157">
        <v>31395</v>
      </c>
      <c r="H2157">
        <f>_xlfn.LET(_xlpm.v, IFERROR(VLOOKUP($A2157, manifest!$A:$E, 3, FALSE), ""), IF(OR(_xlpm.v=0, _xlpm.v=""), "", _xlpm.v))</f>
        <v>70</v>
      </c>
      <c r="I2157" t="str">
        <f>_xlfn.LET(_xlpm.v, IFERROR(VLOOKUP($A2157, manifest!$A:$E, 5, FALSE), ""), IF(OR(_xlpm.v=0, _xlpm.v=""), "", _xlpm.v))</f>
        <v>female</v>
      </c>
    </row>
    <row r="2158" spans="1:9" x14ac:dyDescent="0.6">
      <c r="A2158">
        <v>460</v>
      </c>
      <c r="B2158" t="s">
        <v>7</v>
      </c>
      <c r="C2158" t="s">
        <v>13</v>
      </c>
      <c r="D2158">
        <v>179.78</v>
      </c>
      <c r="E2158">
        <v>106.09</v>
      </c>
      <c r="F2158">
        <v>36436</v>
      </c>
      <c r="H2158">
        <f>_xlfn.LET(_xlpm.v, IFERROR(VLOOKUP($A2158, manifest!$A:$E, 3, FALSE), ""), IF(OR(_xlpm.v=0, _xlpm.v=""), "", _xlpm.v))</f>
        <v>70</v>
      </c>
      <c r="I2158" t="str">
        <f>_xlfn.LET(_xlpm.v, IFERROR(VLOOKUP($A2158, manifest!$A:$E, 5, FALSE), ""), IF(OR(_xlpm.v=0, _xlpm.v=""), "", _xlpm.v))</f>
        <v>female</v>
      </c>
    </row>
    <row r="2159" spans="1:9" x14ac:dyDescent="0.6">
      <c r="A2159">
        <v>451</v>
      </c>
      <c r="B2159" t="s">
        <v>7</v>
      </c>
      <c r="C2159" t="s">
        <v>8</v>
      </c>
      <c r="D2159">
        <v>263.45</v>
      </c>
      <c r="E2159">
        <v>156.76</v>
      </c>
      <c r="F2159">
        <v>34602</v>
      </c>
      <c r="G2159" t="s">
        <v>9</v>
      </c>
      <c r="H2159">
        <f>_xlfn.LET(_xlpm.v, IFERROR(VLOOKUP($A2159, manifest!$A:$E, 3, FALSE), ""), IF(OR(_xlpm.v=0, _xlpm.v=""), "", _xlpm.v))</f>
        <v>60</v>
      </c>
      <c r="I2159" t="str">
        <f>_xlfn.LET(_xlpm.v, IFERROR(VLOOKUP($A2159, manifest!$A:$E, 5, FALSE), ""), IF(OR(_xlpm.v=0, _xlpm.v=""), "", _xlpm.v))</f>
        <v>male</v>
      </c>
    </row>
    <row r="2160" spans="1:9" x14ac:dyDescent="0.6">
      <c r="A2160">
        <v>451</v>
      </c>
      <c r="B2160" t="s">
        <v>7</v>
      </c>
      <c r="C2160" t="s">
        <v>10</v>
      </c>
      <c r="D2160">
        <v>281.81</v>
      </c>
      <c r="E2160">
        <v>203.15</v>
      </c>
      <c r="F2160">
        <v>36901</v>
      </c>
      <c r="H2160">
        <f>_xlfn.LET(_xlpm.v, IFERROR(VLOOKUP($A2160, manifest!$A:$E, 3, FALSE), ""), IF(OR(_xlpm.v=0, _xlpm.v=""), "", _xlpm.v))</f>
        <v>60</v>
      </c>
      <c r="I2160" t="str">
        <f>_xlfn.LET(_xlpm.v, IFERROR(VLOOKUP($A2160, manifest!$A:$E, 5, FALSE), ""), IF(OR(_xlpm.v=0, _xlpm.v=""), "", _xlpm.v))</f>
        <v>male</v>
      </c>
    </row>
    <row r="2161" spans="1:9" x14ac:dyDescent="0.6">
      <c r="A2161">
        <v>451</v>
      </c>
      <c r="B2161" t="s">
        <v>7</v>
      </c>
      <c r="C2161" t="s">
        <v>11</v>
      </c>
      <c r="D2161">
        <v>247.31</v>
      </c>
      <c r="E2161">
        <v>176.23</v>
      </c>
      <c r="F2161">
        <v>47831</v>
      </c>
      <c r="H2161">
        <f>_xlfn.LET(_xlpm.v, IFERROR(VLOOKUP($A2161, manifest!$A:$E, 3, FALSE), ""), IF(OR(_xlpm.v=0, _xlpm.v=""), "", _xlpm.v))</f>
        <v>60</v>
      </c>
      <c r="I2161" t="str">
        <f>_xlfn.LET(_xlpm.v, IFERROR(VLOOKUP($A2161, manifest!$A:$E, 5, FALSE), ""), IF(OR(_xlpm.v=0, _xlpm.v=""), "", _xlpm.v))</f>
        <v>male</v>
      </c>
    </row>
    <row r="2162" spans="1:9" x14ac:dyDescent="0.6">
      <c r="A2162">
        <v>451</v>
      </c>
      <c r="B2162" t="s">
        <v>7</v>
      </c>
      <c r="C2162" t="s">
        <v>12</v>
      </c>
      <c r="D2162">
        <v>236.27</v>
      </c>
      <c r="E2162">
        <v>169.68</v>
      </c>
      <c r="F2162">
        <v>58567</v>
      </c>
      <c r="H2162">
        <f>_xlfn.LET(_xlpm.v, IFERROR(VLOOKUP($A2162, manifest!$A:$E, 3, FALSE), ""), IF(OR(_xlpm.v=0, _xlpm.v=""), "", _xlpm.v))</f>
        <v>60</v>
      </c>
      <c r="I2162" t="str">
        <f>_xlfn.LET(_xlpm.v, IFERROR(VLOOKUP($A2162, manifest!$A:$E, 5, FALSE), ""), IF(OR(_xlpm.v=0, _xlpm.v=""), "", _xlpm.v))</f>
        <v>male</v>
      </c>
    </row>
    <row r="2163" spans="1:9" x14ac:dyDescent="0.6">
      <c r="A2163">
        <v>451</v>
      </c>
      <c r="B2163" t="s">
        <v>7</v>
      </c>
      <c r="C2163" t="s">
        <v>13</v>
      </c>
      <c r="D2163">
        <v>225.77</v>
      </c>
      <c r="E2163">
        <v>142.66999999999999</v>
      </c>
      <c r="F2163">
        <v>65211</v>
      </c>
      <c r="H2163">
        <f>_xlfn.LET(_xlpm.v, IFERROR(VLOOKUP($A2163, manifest!$A:$E, 3, FALSE), ""), IF(OR(_xlpm.v=0, _xlpm.v=""), "", _xlpm.v))</f>
        <v>60</v>
      </c>
      <c r="I2163" t="str">
        <f>_xlfn.LET(_xlpm.v, IFERROR(VLOOKUP($A2163, manifest!$A:$E, 5, FALSE), ""), IF(OR(_xlpm.v=0, _xlpm.v=""), "", _xlpm.v))</f>
        <v>male</v>
      </c>
    </row>
    <row r="2164" spans="1:9" x14ac:dyDescent="0.6">
      <c r="A2164">
        <v>448</v>
      </c>
      <c r="B2164" t="s">
        <v>7</v>
      </c>
      <c r="C2164" t="s">
        <v>8</v>
      </c>
      <c r="D2164">
        <v>243.99</v>
      </c>
      <c r="E2164">
        <v>152.53</v>
      </c>
      <c r="F2164">
        <v>18026</v>
      </c>
      <c r="G2164" t="s">
        <v>9</v>
      </c>
      <c r="H2164">
        <f>_xlfn.LET(_xlpm.v, IFERROR(VLOOKUP($A2164, manifest!$A:$E, 3, FALSE), ""), IF(OR(_xlpm.v=0, _xlpm.v=""), "", _xlpm.v))</f>
        <v>50</v>
      </c>
      <c r="I2164" t="str">
        <f>_xlfn.LET(_xlpm.v, IFERROR(VLOOKUP($A2164, manifest!$A:$E, 5, FALSE), ""), IF(OR(_xlpm.v=0, _xlpm.v=""), "", _xlpm.v))</f>
        <v>female</v>
      </c>
    </row>
    <row r="2165" spans="1:9" x14ac:dyDescent="0.6">
      <c r="A2165">
        <v>448</v>
      </c>
      <c r="B2165" t="s">
        <v>7</v>
      </c>
      <c r="C2165" t="s">
        <v>10</v>
      </c>
      <c r="D2165">
        <v>286.67</v>
      </c>
      <c r="E2165">
        <v>225.37</v>
      </c>
      <c r="F2165">
        <v>24080</v>
      </c>
      <c r="H2165">
        <f>_xlfn.LET(_xlpm.v, IFERROR(VLOOKUP($A2165, manifest!$A:$E, 3, FALSE), ""), IF(OR(_xlpm.v=0, _xlpm.v=""), "", _xlpm.v))</f>
        <v>50</v>
      </c>
      <c r="I2165" t="str">
        <f>_xlfn.LET(_xlpm.v, IFERROR(VLOOKUP($A2165, manifest!$A:$E, 5, FALSE), ""), IF(OR(_xlpm.v=0, _xlpm.v=""), "", _xlpm.v))</f>
        <v>female</v>
      </c>
    </row>
    <row r="2166" spans="1:9" x14ac:dyDescent="0.6">
      <c r="A2166">
        <v>448</v>
      </c>
      <c r="B2166" t="s">
        <v>7</v>
      </c>
      <c r="C2166" t="s">
        <v>11</v>
      </c>
      <c r="D2166">
        <v>299.33999999999997</v>
      </c>
      <c r="E2166">
        <v>215.83</v>
      </c>
      <c r="F2166">
        <v>28409</v>
      </c>
      <c r="H2166">
        <f>_xlfn.LET(_xlpm.v, IFERROR(VLOOKUP($A2166, manifest!$A:$E, 3, FALSE), ""), IF(OR(_xlpm.v=0, _xlpm.v=""), "", _xlpm.v))</f>
        <v>50</v>
      </c>
      <c r="I2166" t="str">
        <f>_xlfn.LET(_xlpm.v, IFERROR(VLOOKUP($A2166, manifest!$A:$E, 5, FALSE), ""), IF(OR(_xlpm.v=0, _xlpm.v=""), "", _xlpm.v))</f>
        <v>female</v>
      </c>
    </row>
    <row r="2167" spans="1:9" x14ac:dyDescent="0.6">
      <c r="A2167">
        <v>448</v>
      </c>
      <c r="B2167" t="s">
        <v>7</v>
      </c>
      <c r="C2167" t="s">
        <v>12</v>
      </c>
      <c r="D2167">
        <v>341.44</v>
      </c>
      <c r="E2167">
        <v>249.74</v>
      </c>
      <c r="F2167">
        <v>27632</v>
      </c>
      <c r="H2167">
        <f>_xlfn.LET(_xlpm.v, IFERROR(VLOOKUP($A2167, manifest!$A:$E, 3, FALSE), ""), IF(OR(_xlpm.v=0, _xlpm.v=""), "", _xlpm.v))</f>
        <v>50</v>
      </c>
      <c r="I2167" t="str">
        <f>_xlfn.LET(_xlpm.v, IFERROR(VLOOKUP($A2167, manifest!$A:$E, 5, FALSE), ""), IF(OR(_xlpm.v=0, _xlpm.v=""), "", _xlpm.v))</f>
        <v>female</v>
      </c>
    </row>
    <row r="2168" spans="1:9" x14ac:dyDescent="0.6">
      <c r="A2168">
        <v>448</v>
      </c>
      <c r="B2168" t="s">
        <v>7</v>
      </c>
      <c r="C2168" t="s">
        <v>13</v>
      </c>
      <c r="D2168">
        <v>334.51</v>
      </c>
      <c r="E2168">
        <v>231.31</v>
      </c>
      <c r="F2168">
        <v>38013</v>
      </c>
      <c r="H2168">
        <f>_xlfn.LET(_xlpm.v, IFERROR(VLOOKUP($A2168, manifest!$A:$E, 3, FALSE), ""), IF(OR(_xlpm.v=0, _xlpm.v=""), "", _xlpm.v))</f>
        <v>50</v>
      </c>
      <c r="I2168" t="str">
        <f>_xlfn.LET(_xlpm.v, IFERROR(VLOOKUP($A2168, manifest!$A:$E, 5, FALSE), ""), IF(OR(_xlpm.v=0, _xlpm.v=""), "", _xlpm.v))</f>
        <v>female</v>
      </c>
    </row>
    <row r="2169" spans="1:9" x14ac:dyDescent="0.6">
      <c r="A2169">
        <v>462</v>
      </c>
      <c r="B2169" t="s">
        <v>7</v>
      </c>
      <c r="C2169" t="s">
        <v>8</v>
      </c>
      <c r="D2169">
        <v>337.64</v>
      </c>
      <c r="E2169">
        <v>196.09</v>
      </c>
      <c r="F2169">
        <v>20517</v>
      </c>
      <c r="G2169" t="s">
        <v>9</v>
      </c>
      <c r="H2169">
        <f>_xlfn.LET(_xlpm.v, IFERROR(VLOOKUP($A2169, manifest!$A:$E, 3, FALSE), ""), IF(OR(_xlpm.v=0, _xlpm.v=""), "", _xlpm.v))</f>
        <v>60</v>
      </c>
      <c r="I2169" t="str">
        <f>_xlfn.LET(_xlpm.v, IFERROR(VLOOKUP($A2169, manifest!$A:$E, 5, FALSE), ""), IF(OR(_xlpm.v=0, _xlpm.v=""), "", _xlpm.v))</f>
        <v>female</v>
      </c>
    </row>
    <row r="2170" spans="1:9" x14ac:dyDescent="0.6">
      <c r="A2170">
        <v>462</v>
      </c>
      <c r="B2170" t="s">
        <v>7</v>
      </c>
      <c r="C2170" t="s">
        <v>10</v>
      </c>
      <c r="D2170">
        <v>338.16</v>
      </c>
      <c r="E2170">
        <v>200.55</v>
      </c>
      <c r="F2170">
        <v>21286</v>
      </c>
      <c r="H2170">
        <f>_xlfn.LET(_xlpm.v, IFERROR(VLOOKUP($A2170, manifest!$A:$E, 3, FALSE), ""), IF(OR(_xlpm.v=0, _xlpm.v=""), "", _xlpm.v))</f>
        <v>60</v>
      </c>
      <c r="I2170" t="str">
        <f>_xlfn.LET(_xlpm.v, IFERROR(VLOOKUP($A2170, manifest!$A:$E, 5, FALSE), ""), IF(OR(_xlpm.v=0, _xlpm.v=""), "", _xlpm.v))</f>
        <v>female</v>
      </c>
    </row>
    <row r="2171" spans="1:9" x14ac:dyDescent="0.6">
      <c r="A2171">
        <v>462</v>
      </c>
      <c r="B2171" t="s">
        <v>7</v>
      </c>
      <c r="C2171" t="s">
        <v>11</v>
      </c>
      <c r="D2171">
        <v>299.42</v>
      </c>
      <c r="E2171">
        <v>182.3</v>
      </c>
      <c r="F2171">
        <v>24966</v>
      </c>
      <c r="H2171">
        <f>_xlfn.LET(_xlpm.v, IFERROR(VLOOKUP($A2171, manifest!$A:$E, 3, FALSE), ""), IF(OR(_xlpm.v=0, _xlpm.v=""), "", _xlpm.v))</f>
        <v>60</v>
      </c>
      <c r="I2171" t="str">
        <f>_xlfn.LET(_xlpm.v, IFERROR(VLOOKUP($A2171, manifest!$A:$E, 5, FALSE), ""), IF(OR(_xlpm.v=0, _xlpm.v=""), "", _xlpm.v))</f>
        <v>female</v>
      </c>
    </row>
    <row r="2172" spans="1:9" x14ac:dyDescent="0.6">
      <c r="A2172">
        <v>462</v>
      </c>
      <c r="B2172" t="s">
        <v>7</v>
      </c>
      <c r="C2172" t="s">
        <v>12</v>
      </c>
      <c r="D2172">
        <v>288.52</v>
      </c>
      <c r="E2172">
        <v>164.36</v>
      </c>
      <c r="F2172">
        <v>34055</v>
      </c>
      <c r="H2172">
        <f>_xlfn.LET(_xlpm.v, IFERROR(VLOOKUP($A2172, manifest!$A:$E, 3, FALSE), ""), IF(OR(_xlpm.v=0, _xlpm.v=""), "", _xlpm.v))</f>
        <v>60</v>
      </c>
      <c r="I2172" t="str">
        <f>_xlfn.LET(_xlpm.v, IFERROR(VLOOKUP($A2172, manifest!$A:$E, 5, FALSE), ""), IF(OR(_xlpm.v=0, _xlpm.v=""), "", _xlpm.v))</f>
        <v>female</v>
      </c>
    </row>
    <row r="2173" spans="1:9" x14ac:dyDescent="0.6">
      <c r="A2173">
        <v>462</v>
      </c>
      <c r="B2173" t="s">
        <v>7</v>
      </c>
      <c r="C2173" t="s">
        <v>13</v>
      </c>
      <c r="D2173">
        <v>305.45999999999998</v>
      </c>
      <c r="E2173">
        <v>175.91</v>
      </c>
      <c r="F2173">
        <v>30960</v>
      </c>
      <c r="H2173">
        <f>_xlfn.LET(_xlpm.v, IFERROR(VLOOKUP($A2173, manifest!$A:$E, 3, FALSE), ""), IF(OR(_xlpm.v=0, _xlpm.v=""), "", _xlpm.v))</f>
        <v>60</v>
      </c>
      <c r="I2173" t="str">
        <f>_xlfn.LET(_xlpm.v, IFERROR(VLOOKUP($A2173, manifest!$A:$E, 5, FALSE), ""), IF(OR(_xlpm.v=0, _xlpm.v=""), "", _xlpm.v))</f>
        <v>female</v>
      </c>
    </row>
    <row r="2174" spans="1:9" x14ac:dyDescent="0.6">
      <c r="A2174">
        <v>450</v>
      </c>
      <c r="B2174" t="s">
        <v>7</v>
      </c>
      <c r="C2174" t="s">
        <v>8</v>
      </c>
      <c r="D2174">
        <v>218.73</v>
      </c>
      <c r="E2174">
        <v>151.09</v>
      </c>
      <c r="F2174">
        <v>28616</v>
      </c>
      <c r="G2174" t="s">
        <v>9</v>
      </c>
      <c r="H2174">
        <f>_xlfn.LET(_xlpm.v, IFERROR(VLOOKUP($A2174, manifest!$A:$E, 3, FALSE), ""), IF(OR(_xlpm.v=0, _xlpm.v=""), "", _xlpm.v))</f>
        <v>60</v>
      </c>
      <c r="I2174" t="str">
        <f>_xlfn.LET(_xlpm.v, IFERROR(VLOOKUP($A2174, manifest!$A:$E, 5, FALSE), ""), IF(OR(_xlpm.v=0, _xlpm.v=""), "", _xlpm.v))</f>
        <v>male</v>
      </c>
    </row>
    <row r="2175" spans="1:9" x14ac:dyDescent="0.6">
      <c r="A2175">
        <v>450</v>
      </c>
      <c r="B2175" t="s">
        <v>7</v>
      </c>
      <c r="C2175" t="s">
        <v>10</v>
      </c>
      <c r="D2175">
        <v>206.71</v>
      </c>
      <c r="E2175">
        <v>157.84</v>
      </c>
      <c r="F2175">
        <v>34902</v>
      </c>
      <c r="H2175">
        <f>_xlfn.LET(_xlpm.v, IFERROR(VLOOKUP($A2175, manifest!$A:$E, 3, FALSE), ""), IF(OR(_xlpm.v=0, _xlpm.v=""), "", _xlpm.v))</f>
        <v>60</v>
      </c>
      <c r="I2175" t="str">
        <f>_xlfn.LET(_xlpm.v, IFERROR(VLOOKUP($A2175, manifest!$A:$E, 5, FALSE), ""), IF(OR(_xlpm.v=0, _xlpm.v=""), "", _xlpm.v))</f>
        <v>male</v>
      </c>
    </row>
    <row r="2176" spans="1:9" x14ac:dyDescent="0.6">
      <c r="A2176">
        <v>450</v>
      </c>
      <c r="B2176" t="s">
        <v>7</v>
      </c>
      <c r="C2176" t="s">
        <v>11</v>
      </c>
      <c r="D2176">
        <v>194.13</v>
      </c>
      <c r="E2176">
        <v>148.30000000000001</v>
      </c>
      <c r="F2176">
        <v>48002</v>
      </c>
      <c r="H2176">
        <f>_xlfn.LET(_xlpm.v, IFERROR(VLOOKUP($A2176, manifest!$A:$E, 3, FALSE), ""), IF(OR(_xlpm.v=0, _xlpm.v=""), "", _xlpm.v))</f>
        <v>60</v>
      </c>
      <c r="I2176" t="str">
        <f>_xlfn.LET(_xlpm.v, IFERROR(VLOOKUP($A2176, manifest!$A:$E, 5, FALSE), ""), IF(OR(_xlpm.v=0, _xlpm.v=""), "", _xlpm.v))</f>
        <v>male</v>
      </c>
    </row>
    <row r="2177" spans="1:9" x14ac:dyDescent="0.6">
      <c r="A2177">
        <v>450</v>
      </c>
      <c r="B2177" t="s">
        <v>7</v>
      </c>
      <c r="C2177" t="s">
        <v>12</v>
      </c>
      <c r="D2177">
        <v>197.18</v>
      </c>
      <c r="E2177">
        <v>143.31</v>
      </c>
      <c r="F2177">
        <v>54831</v>
      </c>
      <c r="H2177">
        <f>_xlfn.LET(_xlpm.v, IFERROR(VLOOKUP($A2177, manifest!$A:$E, 3, FALSE), ""), IF(OR(_xlpm.v=0, _xlpm.v=""), "", _xlpm.v))</f>
        <v>60</v>
      </c>
      <c r="I2177" t="str">
        <f>_xlfn.LET(_xlpm.v, IFERROR(VLOOKUP($A2177, manifest!$A:$E, 5, FALSE), ""), IF(OR(_xlpm.v=0, _xlpm.v=""), "", _xlpm.v))</f>
        <v>male</v>
      </c>
    </row>
    <row r="2178" spans="1:9" x14ac:dyDescent="0.6">
      <c r="A2178">
        <v>450</v>
      </c>
      <c r="B2178" t="s">
        <v>7</v>
      </c>
      <c r="C2178" t="s">
        <v>13</v>
      </c>
      <c r="D2178">
        <v>194.57</v>
      </c>
      <c r="E2178">
        <v>138.43</v>
      </c>
      <c r="F2178">
        <v>58225</v>
      </c>
      <c r="H2178">
        <f>_xlfn.LET(_xlpm.v, IFERROR(VLOOKUP($A2178, manifest!$A:$E, 3, FALSE), ""), IF(OR(_xlpm.v=0, _xlpm.v=""), "", _xlpm.v))</f>
        <v>60</v>
      </c>
      <c r="I2178" t="str">
        <f>_xlfn.LET(_xlpm.v, IFERROR(VLOOKUP($A2178, manifest!$A:$E, 5, FALSE), ""), IF(OR(_xlpm.v=0, _xlpm.v=""), "", _xlpm.v))</f>
        <v>male</v>
      </c>
    </row>
    <row r="2179" spans="1:9" x14ac:dyDescent="0.6">
      <c r="A2179">
        <v>457</v>
      </c>
      <c r="B2179" t="s">
        <v>14</v>
      </c>
      <c r="C2179" t="s">
        <v>8</v>
      </c>
      <c r="D2179">
        <v>122.69</v>
      </c>
      <c r="E2179">
        <v>96.8</v>
      </c>
      <c r="F2179">
        <v>30363</v>
      </c>
      <c r="G2179" t="s">
        <v>15</v>
      </c>
      <c r="H2179">
        <f>_xlfn.LET(_xlpm.v, IFERROR(VLOOKUP($A2179, manifest!$A:$E, 3, FALSE), ""), IF(OR(_xlpm.v=0, _xlpm.v=""), "", _xlpm.v))</f>
        <v>50</v>
      </c>
      <c r="I2179" t="str">
        <f>_xlfn.LET(_xlpm.v, IFERROR(VLOOKUP($A2179, manifest!$A:$E, 5, FALSE), ""), IF(OR(_xlpm.v=0, _xlpm.v=""), "", _xlpm.v))</f>
        <v>male</v>
      </c>
    </row>
    <row r="2180" spans="1:9" x14ac:dyDescent="0.6">
      <c r="A2180">
        <v>457</v>
      </c>
      <c r="B2180" t="s">
        <v>14</v>
      </c>
      <c r="C2180" t="s">
        <v>10</v>
      </c>
      <c r="D2180">
        <v>126.58</v>
      </c>
      <c r="E2180">
        <v>139.1</v>
      </c>
      <c r="F2180">
        <v>33748</v>
      </c>
      <c r="H2180">
        <f>_xlfn.LET(_xlpm.v, IFERROR(VLOOKUP($A2180, manifest!$A:$E, 3, FALSE), ""), IF(OR(_xlpm.v=0, _xlpm.v=""), "", _xlpm.v))</f>
        <v>50</v>
      </c>
      <c r="I2180" t="str">
        <f>_xlfn.LET(_xlpm.v, IFERROR(VLOOKUP($A2180, manifest!$A:$E, 5, FALSE), ""), IF(OR(_xlpm.v=0, _xlpm.v=""), "", _xlpm.v))</f>
        <v>male</v>
      </c>
    </row>
    <row r="2181" spans="1:9" x14ac:dyDescent="0.6">
      <c r="A2181">
        <v>457</v>
      </c>
      <c r="B2181" t="s">
        <v>14</v>
      </c>
      <c r="C2181" t="s">
        <v>11</v>
      </c>
      <c r="D2181">
        <v>250.55</v>
      </c>
      <c r="E2181">
        <v>193.03</v>
      </c>
      <c r="F2181">
        <v>46469</v>
      </c>
      <c r="H2181">
        <f>_xlfn.LET(_xlpm.v, IFERROR(VLOOKUP($A2181, manifest!$A:$E, 3, FALSE), ""), IF(OR(_xlpm.v=0, _xlpm.v=""), "", _xlpm.v))</f>
        <v>50</v>
      </c>
      <c r="I2181" t="str">
        <f>_xlfn.LET(_xlpm.v, IFERROR(VLOOKUP($A2181, manifest!$A:$E, 5, FALSE), ""), IF(OR(_xlpm.v=0, _xlpm.v=""), "", _xlpm.v))</f>
        <v>male</v>
      </c>
    </row>
    <row r="2182" spans="1:9" x14ac:dyDescent="0.6">
      <c r="A2182">
        <v>457</v>
      </c>
      <c r="B2182" t="s">
        <v>14</v>
      </c>
      <c r="C2182" t="s">
        <v>12</v>
      </c>
      <c r="D2182">
        <v>278.14999999999998</v>
      </c>
      <c r="E2182">
        <v>175.99</v>
      </c>
      <c r="F2182">
        <v>45152</v>
      </c>
      <c r="H2182">
        <f>_xlfn.LET(_xlpm.v, IFERROR(VLOOKUP($A2182, manifest!$A:$E, 3, FALSE), ""), IF(OR(_xlpm.v=0, _xlpm.v=""), "", _xlpm.v))</f>
        <v>50</v>
      </c>
      <c r="I2182" t="str">
        <f>_xlfn.LET(_xlpm.v, IFERROR(VLOOKUP($A2182, manifest!$A:$E, 5, FALSE), ""), IF(OR(_xlpm.v=0, _xlpm.v=""), "", _xlpm.v))</f>
        <v>male</v>
      </c>
    </row>
    <row r="2183" spans="1:9" x14ac:dyDescent="0.6">
      <c r="A2183">
        <v>457</v>
      </c>
      <c r="B2183" t="s">
        <v>14</v>
      </c>
      <c r="C2183" t="s">
        <v>13</v>
      </c>
      <c r="D2183">
        <v>244.32</v>
      </c>
      <c r="E2183">
        <v>164.95</v>
      </c>
      <c r="F2183">
        <v>49412</v>
      </c>
      <c r="H2183">
        <f>_xlfn.LET(_xlpm.v, IFERROR(VLOOKUP($A2183, manifest!$A:$E, 3, FALSE), ""), IF(OR(_xlpm.v=0, _xlpm.v=""), "", _xlpm.v))</f>
        <v>50</v>
      </c>
      <c r="I2183" t="str">
        <f>_xlfn.LET(_xlpm.v, IFERROR(VLOOKUP($A2183, manifest!$A:$E, 5, FALSE), ""), IF(OR(_xlpm.v=0, _xlpm.v=""), "", _xlpm.v))</f>
        <v>male</v>
      </c>
    </row>
    <row r="2184" spans="1:9" x14ac:dyDescent="0.6">
      <c r="A2184">
        <v>461</v>
      </c>
      <c r="B2184" t="s">
        <v>14</v>
      </c>
      <c r="C2184" t="s">
        <v>8</v>
      </c>
      <c r="D2184">
        <v>276.27</v>
      </c>
      <c r="E2184">
        <v>140.22</v>
      </c>
      <c r="F2184">
        <v>23067</v>
      </c>
      <c r="G2184" t="s">
        <v>9</v>
      </c>
      <c r="H2184">
        <f>_xlfn.LET(_xlpm.v, IFERROR(VLOOKUP($A2184, manifest!$A:$E, 3, FALSE), ""), IF(OR(_xlpm.v=0, _xlpm.v=""), "", _xlpm.v))</f>
        <v>60</v>
      </c>
      <c r="I2184" t="str">
        <f>_xlfn.LET(_xlpm.v, IFERROR(VLOOKUP($A2184, manifest!$A:$E, 5, FALSE), ""), IF(OR(_xlpm.v=0, _xlpm.v=""), "", _xlpm.v))</f>
        <v>female</v>
      </c>
    </row>
    <row r="2185" spans="1:9" x14ac:dyDescent="0.6">
      <c r="A2185">
        <v>461</v>
      </c>
      <c r="B2185" t="s">
        <v>14</v>
      </c>
      <c r="C2185" t="s">
        <v>10</v>
      </c>
      <c r="D2185">
        <v>306.49</v>
      </c>
      <c r="E2185">
        <v>195.53</v>
      </c>
      <c r="F2185">
        <v>24584</v>
      </c>
      <c r="H2185">
        <f>_xlfn.LET(_xlpm.v, IFERROR(VLOOKUP($A2185, manifest!$A:$E, 3, FALSE), ""), IF(OR(_xlpm.v=0, _xlpm.v=""), "", _xlpm.v))</f>
        <v>60</v>
      </c>
      <c r="I2185" t="str">
        <f>_xlfn.LET(_xlpm.v, IFERROR(VLOOKUP($A2185, manifest!$A:$E, 5, FALSE), ""), IF(OR(_xlpm.v=0, _xlpm.v=""), "", _xlpm.v))</f>
        <v>female</v>
      </c>
    </row>
    <row r="2186" spans="1:9" x14ac:dyDescent="0.6">
      <c r="A2186">
        <v>461</v>
      </c>
      <c r="B2186" t="s">
        <v>14</v>
      </c>
      <c r="C2186" t="s">
        <v>11</v>
      </c>
      <c r="D2186">
        <v>301.17</v>
      </c>
      <c r="E2186">
        <v>209.38</v>
      </c>
      <c r="F2186">
        <v>27597</v>
      </c>
      <c r="H2186">
        <f>_xlfn.LET(_xlpm.v, IFERROR(VLOOKUP($A2186, manifest!$A:$E, 3, FALSE), ""), IF(OR(_xlpm.v=0, _xlpm.v=""), "", _xlpm.v))</f>
        <v>60</v>
      </c>
      <c r="I2186" t="str">
        <f>_xlfn.LET(_xlpm.v, IFERROR(VLOOKUP($A2186, manifest!$A:$E, 5, FALSE), ""), IF(OR(_xlpm.v=0, _xlpm.v=""), "", _xlpm.v))</f>
        <v>female</v>
      </c>
    </row>
    <row r="2187" spans="1:9" x14ac:dyDescent="0.6">
      <c r="A2187">
        <v>461</v>
      </c>
      <c r="B2187" t="s">
        <v>14</v>
      </c>
      <c r="C2187" t="s">
        <v>12</v>
      </c>
      <c r="D2187">
        <v>301.70999999999998</v>
      </c>
      <c r="E2187">
        <v>238.14</v>
      </c>
      <c r="F2187">
        <v>35100</v>
      </c>
      <c r="H2187">
        <f>_xlfn.LET(_xlpm.v, IFERROR(VLOOKUP($A2187, manifest!$A:$E, 3, FALSE), ""), IF(OR(_xlpm.v=0, _xlpm.v=""), "", _xlpm.v))</f>
        <v>60</v>
      </c>
      <c r="I2187" t="str">
        <f>_xlfn.LET(_xlpm.v, IFERROR(VLOOKUP($A2187, manifest!$A:$E, 5, FALSE), ""), IF(OR(_xlpm.v=0, _xlpm.v=""), "", _xlpm.v))</f>
        <v>female</v>
      </c>
    </row>
    <row r="2188" spans="1:9" x14ac:dyDescent="0.6">
      <c r="A2188">
        <v>461</v>
      </c>
      <c r="B2188" t="s">
        <v>14</v>
      </c>
      <c r="C2188" t="s">
        <v>13</v>
      </c>
      <c r="D2188">
        <v>372.91</v>
      </c>
      <c r="E2188">
        <v>263.20999999999998</v>
      </c>
      <c r="F2188">
        <v>34160</v>
      </c>
      <c r="H2188">
        <f>_xlfn.LET(_xlpm.v, IFERROR(VLOOKUP($A2188, manifest!$A:$E, 3, FALSE), ""), IF(OR(_xlpm.v=0, _xlpm.v=""), "", _xlpm.v))</f>
        <v>60</v>
      </c>
      <c r="I2188" t="str">
        <f>_xlfn.LET(_xlpm.v, IFERROR(VLOOKUP($A2188, manifest!$A:$E, 5, FALSE), ""), IF(OR(_xlpm.v=0, _xlpm.v=""), "", _xlpm.v))</f>
        <v>female</v>
      </c>
    </row>
    <row r="2189" spans="1:9" x14ac:dyDescent="0.6">
      <c r="A2189">
        <v>459</v>
      </c>
      <c r="B2189" t="s">
        <v>14</v>
      </c>
      <c r="C2189" t="s">
        <v>8</v>
      </c>
      <c r="D2189">
        <v>190.92</v>
      </c>
      <c r="E2189">
        <v>154.25</v>
      </c>
      <c r="F2189">
        <v>49222</v>
      </c>
      <c r="G2189" t="s">
        <v>9</v>
      </c>
      <c r="H2189">
        <f>_xlfn.LET(_xlpm.v, IFERROR(VLOOKUP($A2189, manifest!$A:$E, 3, FALSE), ""), IF(OR(_xlpm.v=0, _xlpm.v=""), "", _xlpm.v))</f>
        <v>50</v>
      </c>
      <c r="I2189" t="str">
        <f>_xlfn.LET(_xlpm.v, IFERROR(VLOOKUP($A2189, manifest!$A:$E, 5, FALSE), ""), IF(OR(_xlpm.v=0, _xlpm.v=""), "", _xlpm.v))</f>
        <v>male</v>
      </c>
    </row>
    <row r="2190" spans="1:9" x14ac:dyDescent="0.6">
      <c r="A2190">
        <v>459</v>
      </c>
      <c r="B2190" t="s">
        <v>14</v>
      </c>
      <c r="C2190" t="s">
        <v>10</v>
      </c>
      <c r="D2190">
        <v>201.08</v>
      </c>
      <c r="E2190">
        <v>181.46</v>
      </c>
      <c r="F2190">
        <v>48317</v>
      </c>
      <c r="H2190">
        <f>_xlfn.LET(_xlpm.v, IFERROR(VLOOKUP($A2190, manifest!$A:$E, 3, FALSE), ""), IF(OR(_xlpm.v=0, _xlpm.v=""), "", _xlpm.v))</f>
        <v>50</v>
      </c>
      <c r="I2190" t="str">
        <f>_xlfn.LET(_xlpm.v, IFERROR(VLOOKUP($A2190, manifest!$A:$E, 5, FALSE), ""), IF(OR(_xlpm.v=0, _xlpm.v=""), "", _xlpm.v))</f>
        <v>male</v>
      </c>
    </row>
    <row r="2191" spans="1:9" x14ac:dyDescent="0.6">
      <c r="A2191">
        <v>459</v>
      </c>
      <c r="B2191" t="s">
        <v>14</v>
      </c>
      <c r="C2191" t="s">
        <v>11</v>
      </c>
      <c r="D2191">
        <v>204.73</v>
      </c>
      <c r="E2191">
        <v>173.29</v>
      </c>
      <c r="F2191">
        <v>56377</v>
      </c>
      <c r="H2191">
        <f>_xlfn.LET(_xlpm.v, IFERROR(VLOOKUP($A2191, manifest!$A:$E, 3, FALSE), ""), IF(OR(_xlpm.v=0, _xlpm.v=""), "", _xlpm.v))</f>
        <v>50</v>
      </c>
      <c r="I2191" t="str">
        <f>_xlfn.LET(_xlpm.v, IFERROR(VLOOKUP($A2191, manifest!$A:$E, 5, FALSE), ""), IF(OR(_xlpm.v=0, _xlpm.v=""), "", _xlpm.v))</f>
        <v>male</v>
      </c>
    </row>
    <row r="2192" spans="1:9" x14ac:dyDescent="0.6">
      <c r="A2192">
        <v>459</v>
      </c>
      <c r="B2192" t="s">
        <v>14</v>
      </c>
      <c r="C2192" t="s">
        <v>12</v>
      </c>
      <c r="D2192">
        <v>192.77</v>
      </c>
      <c r="E2192">
        <v>160.44</v>
      </c>
      <c r="F2192">
        <v>72110</v>
      </c>
      <c r="H2192">
        <f>_xlfn.LET(_xlpm.v, IFERROR(VLOOKUP($A2192, manifest!$A:$E, 3, FALSE), ""), IF(OR(_xlpm.v=0, _xlpm.v=""), "", _xlpm.v))</f>
        <v>50</v>
      </c>
      <c r="I2192" t="str">
        <f>_xlfn.LET(_xlpm.v, IFERROR(VLOOKUP($A2192, manifest!$A:$E, 5, FALSE), ""), IF(OR(_xlpm.v=0, _xlpm.v=""), "", _xlpm.v))</f>
        <v>male</v>
      </c>
    </row>
    <row r="2193" spans="1:9" x14ac:dyDescent="0.6">
      <c r="A2193">
        <v>459</v>
      </c>
      <c r="B2193" t="s">
        <v>14</v>
      </c>
      <c r="C2193" t="s">
        <v>13</v>
      </c>
      <c r="D2193">
        <v>219.51</v>
      </c>
      <c r="E2193">
        <v>152.58000000000001</v>
      </c>
      <c r="F2193">
        <v>74677</v>
      </c>
      <c r="H2193">
        <f>_xlfn.LET(_xlpm.v, IFERROR(VLOOKUP($A2193, manifest!$A:$E, 3, FALSE), ""), IF(OR(_xlpm.v=0, _xlpm.v=""), "", _xlpm.v))</f>
        <v>50</v>
      </c>
      <c r="I2193" t="str">
        <f>_xlfn.LET(_xlpm.v, IFERROR(VLOOKUP($A2193, manifest!$A:$E, 5, FALSE), ""), IF(OR(_xlpm.v=0, _xlpm.v=""), "", _xlpm.v))</f>
        <v>male</v>
      </c>
    </row>
    <row r="2194" spans="1:9" x14ac:dyDescent="0.6">
      <c r="A2194">
        <v>481</v>
      </c>
      <c r="B2194" t="s">
        <v>7</v>
      </c>
      <c r="C2194" t="s">
        <v>8</v>
      </c>
      <c r="D2194">
        <v>188.02</v>
      </c>
      <c r="E2194">
        <v>106.64</v>
      </c>
      <c r="F2194">
        <v>29089</v>
      </c>
      <c r="G2194" t="s">
        <v>9</v>
      </c>
      <c r="H2194">
        <f>_xlfn.LET(_xlpm.v, IFERROR(VLOOKUP($A2194, manifest!$A:$E, 3, FALSE), ""), IF(OR(_xlpm.v=0, _xlpm.v=""), "", _xlpm.v))</f>
        <v>50</v>
      </c>
      <c r="I2194" t="str">
        <f>_xlfn.LET(_xlpm.v, IFERROR(VLOOKUP($A2194, manifest!$A:$E, 5, FALSE), ""), IF(OR(_xlpm.v=0, _xlpm.v=""), "", _xlpm.v))</f>
        <v>female</v>
      </c>
    </row>
    <row r="2195" spans="1:9" x14ac:dyDescent="0.6">
      <c r="A2195">
        <v>481</v>
      </c>
      <c r="B2195" t="s">
        <v>7</v>
      </c>
      <c r="C2195" t="s">
        <v>10</v>
      </c>
      <c r="D2195">
        <v>208.17</v>
      </c>
      <c r="E2195">
        <v>147.61000000000001</v>
      </c>
      <c r="F2195">
        <v>33452</v>
      </c>
      <c r="H2195">
        <f>_xlfn.LET(_xlpm.v, IFERROR(VLOOKUP($A2195, manifest!$A:$E, 3, FALSE), ""), IF(OR(_xlpm.v=0, _xlpm.v=""), "", _xlpm.v))</f>
        <v>50</v>
      </c>
      <c r="I2195" t="str">
        <f>_xlfn.LET(_xlpm.v, IFERROR(VLOOKUP($A2195, manifest!$A:$E, 5, FALSE), ""), IF(OR(_xlpm.v=0, _xlpm.v=""), "", _xlpm.v))</f>
        <v>female</v>
      </c>
    </row>
    <row r="2196" spans="1:9" x14ac:dyDescent="0.6">
      <c r="A2196">
        <v>481</v>
      </c>
      <c r="B2196" t="s">
        <v>7</v>
      </c>
      <c r="C2196" t="s">
        <v>11</v>
      </c>
      <c r="D2196">
        <v>217.89</v>
      </c>
      <c r="E2196">
        <v>172.17</v>
      </c>
      <c r="F2196">
        <v>34873</v>
      </c>
      <c r="H2196">
        <f>_xlfn.LET(_xlpm.v, IFERROR(VLOOKUP($A2196, manifest!$A:$E, 3, FALSE), ""), IF(OR(_xlpm.v=0, _xlpm.v=""), "", _xlpm.v))</f>
        <v>50</v>
      </c>
      <c r="I2196" t="str">
        <f>_xlfn.LET(_xlpm.v, IFERROR(VLOOKUP($A2196, manifest!$A:$E, 5, FALSE), ""), IF(OR(_xlpm.v=0, _xlpm.v=""), "", _xlpm.v))</f>
        <v>female</v>
      </c>
    </row>
    <row r="2197" spans="1:9" x14ac:dyDescent="0.6">
      <c r="A2197">
        <v>481</v>
      </c>
      <c r="B2197" t="s">
        <v>7</v>
      </c>
      <c r="C2197" t="s">
        <v>12</v>
      </c>
      <c r="D2197">
        <v>211.23</v>
      </c>
      <c r="E2197">
        <v>169.64</v>
      </c>
      <c r="F2197">
        <v>39548</v>
      </c>
      <c r="H2197">
        <f>_xlfn.LET(_xlpm.v, IFERROR(VLOOKUP($A2197, manifest!$A:$E, 3, FALSE), ""), IF(OR(_xlpm.v=0, _xlpm.v=""), "", _xlpm.v))</f>
        <v>50</v>
      </c>
      <c r="I2197" t="str">
        <f>_xlfn.LET(_xlpm.v, IFERROR(VLOOKUP($A2197, manifest!$A:$E, 5, FALSE), ""), IF(OR(_xlpm.v=0, _xlpm.v=""), "", _xlpm.v))</f>
        <v>female</v>
      </c>
    </row>
    <row r="2198" spans="1:9" x14ac:dyDescent="0.6">
      <c r="A2198">
        <v>481</v>
      </c>
      <c r="B2198" t="s">
        <v>7</v>
      </c>
      <c r="C2198" t="s">
        <v>13</v>
      </c>
      <c r="D2198">
        <v>227.43</v>
      </c>
      <c r="E2198">
        <v>166.95</v>
      </c>
      <c r="F2198">
        <v>44186</v>
      </c>
      <c r="H2198">
        <f>_xlfn.LET(_xlpm.v, IFERROR(VLOOKUP($A2198, manifest!$A:$E, 3, FALSE), ""), IF(OR(_xlpm.v=0, _xlpm.v=""), "", _xlpm.v))</f>
        <v>50</v>
      </c>
      <c r="I2198" t="str">
        <f>_xlfn.LET(_xlpm.v, IFERROR(VLOOKUP($A2198, manifest!$A:$E, 5, FALSE), ""), IF(OR(_xlpm.v=0, _xlpm.v=""), "", _xlpm.v))</f>
        <v>female</v>
      </c>
    </row>
    <row r="2199" spans="1:9" x14ac:dyDescent="0.6">
      <c r="A2199">
        <v>485</v>
      </c>
      <c r="B2199" t="s">
        <v>14</v>
      </c>
      <c r="C2199" t="s">
        <v>8</v>
      </c>
      <c r="D2199">
        <v>81.64</v>
      </c>
      <c r="E2199">
        <v>82.66</v>
      </c>
      <c r="F2199">
        <v>20342</v>
      </c>
      <c r="G2199" t="s">
        <v>17</v>
      </c>
      <c r="H2199" t="str">
        <f>_xlfn.LET(_xlpm.v, IFERROR(VLOOKUP($A2199, manifest!$A:$E, 3, FALSE), ""), IF(OR(_xlpm.v=0, _xlpm.v=""), "", _xlpm.v))</f>
        <v/>
      </c>
      <c r="I2199" t="str">
        <f>_xlfn.LET(_xlpm.v, IFERROR(VLOOKUP($A2199, manifest!$A:$E, 5, FALSE), ""), IF(OR(_xlpm.v=0, _xlpm.v=""), "", _xlpm.v))</f>
        <v>female</v>
      </c>
    </row>
    <row r="2200" spans="1:9" x14ac:dyDescent="0.6">
      <c r="A2200">
        <v>485</v>
      </c>
      <c r="B2200" t="s">
        <v>14</v>
      </c>
      <c r="C2200" t="s">
        <v>10</v>
      </c>
      <c r="D2200">
        <v>106.37</v>
      </c>
      <c r="E2200">
        <v>129.38</v>
      </c>
      <c r="F2200">
        <v>21851</v>
      </c>
      <c r="H2200" t="str">
        <f>_xlfn.LET(_xlpm.v, IFERROR(VLOOKUP($A2200, manifest!$A:$E, 3, FALSE), ""), IF(OR(_xlpm.v=0, _xlpm.v=""), "", _xlpm.v))</f>
        <v/>
      </c>
      <c r="I2200" t="str">
        <f>_xlfn.LET(_xlpm.v, IFERROR(VLOOKUP($A2200, manifest!$A:$E, 5, FALSE), ""), IF(OR(_xlpm.v=0, _xlpm.v=""), "", _xlpm.v))</f>
        <v>female</v>
      </c>
    </row>
    <row r="2201" spans="1:9" x14ac:dyDescent="0.6">
      <c r="A2201">
        <v>485</v>
      </c>
      <c r="B2201" t="s">
        <v>14</v>
      </c>
      <c r="C2201" t="s">
        <v>11</v>
      </c>
      <c r="D2201">
        <v>108.73</v>
      </c>
      <c r="E2201">
        <v>146.53</v>
      </c>
      <c r="F2201">
        <v>22920</v>
      </c>
      <c r="H2201" t="str">
        <f>_xlfn.LET(_xlpm.v, IFERROR(VLOOKUP($A2201, manifest!$A:$E, 3, FALSE), ""), IF(OR(_xlpm.v=0, _xlpm.v=""), "", _xlpm.v))</f>
        <v/>
      </c>
      <c r="I2201" t="str">
        <f>_xlfn.LET(_xlpm.v, IFERROR(VLOOKUP($A2201, manifest!$A:$E, 5, FALSE), ""), IF(OR(_xlpm.v=0, _xlpm.v=""), "", _xlpm.v))</f>
        <v>female</v>
      </c>
    </row>
    <row r="2202" spans="1:9" x14ac:dyDescent="0.6">
      <c r="A2202">
        <v>485</v>
      </c>
      <c r="B2202" t="s">
        <v>14</v>
      </c>
      <c r="C2202" t="s">
        <v>12</v>
      </c>
      <c r="D2202">
        <v>105.76</v>
      </c>
      <c r="E2202">
        <v>131.69999999999999</v>
      </c>
      <c r="F2202">
        <v>23984</v>
      </c>
      <c r="H2202" t="str">
        <f>_xlfn.LET(_xlpm.v, IFERROR(VLOOKUP($A2202, manifest!$A:$E, 3, FALSE), ""), IF(OR(_xlpm.v=0, _xlpm.v=""), "", _xlpm.v))</f>
        <v/>
      </c>
      <c r="I2202" t="str">
        <f>_xlfn.LET(_xlpm.v, IFERROR(VLOOKUP($A2202, manifest!$A:$E, 5, FALSE), ""), IF(OR(_xlpm.v=0, _xlpm.v=""), "", _xlpm.v))</f>
        <v>female</v>
      </c>
    </row>
    <row r="2203" spans="1:9" x14ac:dyDescent="0.6">
      <c r="A2203">
        <v>485</v>
      </c>
      <c r="B2203" t="s">
        <v>14</v>
      </c>
      <c r="C2203" t="s">
        <v>13</v>
      </c>
      <c r="D2203">
        <v>117.63</v>
      </c>
      <c r="E2203">
        <v>161.16999999999999</v>
      </c>
      <c r="F2203">
        <v>28932</v>
      </c>
      <c r="H2203" t="str">
        <f>_xlfn.LET(_xlpm.v, IFERROR(VLOOKUP($A2203, manifest!$A:$E, 3, FALSE), ""), IF(OR(_xlpm.v=0, _xlpm.v=""), "", _xlpm.v))</f>
        <v/>
      </c>
      <c r="I2203" t="str">
        <f>_xlfn.LET(_xlpm.v, IFERROR(VLOOKUP($A2203, manifest!$A:$E, 5, FALSE), ""), IF(OR(_xlpm.v=0, _xlpm.v=""), "", _xlpm.v))</f>
        <v>female</v>
      </c>
    </row>
    <row r="2204" spans="1:9" x14ac:dyDescent="0.6">
      <c r="A2204">
        <v>464</v>
      </c>
      <c r="B2204" t="s">
        <v>14</v>
      </c>
      <c r="C2204" t="s">
        <v>8</v>
      </c>
      <c r="D2204">
        <v>175.55</v>
      </c>
      <c r="E2204">
        <v>120.44</v>
      </c>
      <c r="F2204">
        <v>36948</v>
      </c>
      <c r="G2204" t="s">
        <v>9</v>
      </c>
      <c r="H2204">
        <f>_xlfn.LET(_xlpm.v, IFERROR(VLOOKUP($A2204, manifest!$A:$E, 3, FALSE), ""), IF(OR(_xlpm.v=0, _xlpm.v=""), "", _xlpm.v))</f>
        <v>70</v>
      </c>
      <c r="I2204" t="str">
        <f>_xlfn.LET(_xlpm.v, IFERROR(VLOOKUP($A2204, manifest!$A:$E, 5, FALSE), ""), IF(OR(_xlpm.v=0, _xlpm.v=""), "", _xlpm.v))</f>
        <v>female</v>
      </c>
    </row>
    <row r="2205" spans="1:9" x14ac:dyDescent="0.6">
      <c r="A2205">
        <v>464</v>
      </c>
      <c r="B2205" t="s">
        <v>14</v>
      </c>
      <c r="C2205" t="s">
        <v>10</v>
      </c>
      <c r="D2205">
        <v>217.37</v>
      </c>
      <c r="E2205">
        <v>208.06</v>
      </c>
      <c r="F2205">
        <v>37232</v>
      </c>
      <c r="H2205">
        <f>_xlfn.LET(_xlpm.v, IFERROR(VLOOKUP($A2205, manifest!$A:$E, 3, FALSE), ""), IF(OR(_xlpm.v=0, _xlpm.v=""), "", _xlpm.v))</f>
        <v>70</v>
      </c>
      <c r="I2205" t="str">
        <f>_xlfn.LET(_xlpm.v, IFERROR(VLOOKUP($A2205, manifest!$A:$E, 5, FALSE), ""), IF(OR(_xlpm.v=0, _xlpm.v=""), "", _xlpm.v))</f>
        <v>female</v>
      </c>
    </row>
    <row r="2206" spans="1:9" x14ac:dyDescent="0.6">
      <c r="A2206">
        <v>464</v>
      </c>
      <c r="B2206" t="s">
        <v>14</v>
      </c>
      <c r="C2206" t="s">
        <v>11</v>
      </c>
      <c r="D2206">
        <v>189.68</v>
      </c>
      <c r="E2206">
        <v>165.52</v>
      </c>
      <c r="F2206">
        <v>42549</v>
      </c>
      <c r="H2206">
        <f>_xlfn.LET(_xlpm.v, IFERROR(VLOOKUP($A2206, manifest!$A:$E, 3, FALSE), ""), IF(OR(_xlpm.v=0, _xlpm.v=""), "", _xlpm.v))</f>
        <v>70</v>
      </c>
      <c r="I2206" t="str">
        <f>_xlfn.LET(_xlpm.v, IFERROR(VLOOKUP($A2206, manifest!$A:$E, 5, FALSE), ""), IF(OR(_xlpm.v=0, _xlpm.v=""), "", _xlpm.v))</f>
        <v>female</v>
      </c>
    </row>
    <row r="2207" spans="1:9" x14ac:dyDescent="0.6">
      <c r="A2207">
        <v>464</v>
      </c>
      <c r="B2207" t="s">
        <v>14</v>
      </c>
      <c r="C2207" t="s">
        <v>12</v>
      </c>
      <c r="D2207">
        <v>206.39</v>
      </c>
      <c r="E2207">
        <v>148.33000000000001</v>
      </c>
      <c r="F2207">
        <v>45630</v>
      </c>
      <c r="H2207">
        <f>_xlfn.LET(_xlpm.v, IFERROR(VLOOKUP($A2207, manifest!$A:$E, 3, FALSE), ""), IF(OR(_xlpm.v=0, _xlpm.v=""), "", _xlpm.v))</f>
        <v>70</v>
      </c>
      <c r="I2207" t="str">
        <f>_xlfn.LET(_xlpm.v, IFERROR(VLOOKUP($A2207, manifest!$A:$E, 5, FALSE), ""), IF(OR(_xlpm.v=0, _xlpm.v=""), "", _xlpm.v))</f>
        <v>female</v>
      </c>
    </row>
    <row r="2208" spans="1:9" x14ac:dyDescent="0.6">
      <c r="A2208">
        <v>464</v>
      </c>
      <c r="B2208" t="s">
        <v>14</v>
      </c>
      <c r="C2208" t="s">
        <v>13</v>
      </c>
      <c r="D2208">
        <v>235.18</v>
      </c>
      <c r="E2208">
        <v>166.83</v>
      </c>
      <c r="F2208">
        <v>47662</v>
      </c>
      <c r="H2208">
        <f>_xlfn.LET(_xlpm.v, IFERROR(VLOOKUP($A2208, manifest!$A:$E, 3, FALSE), ""), IF(OR(_xlpm.v=0, _xlpm.v=""), "", _xlpm.v))</f>
        <v>70</v>
      </c>
      <c r="I2208" t="str">
        <f>_xlfn.LET(_xlpm.v, IFERROR(VLOOKUP($A2208, manifest!$A:$E, 5, FALSE), ""), IF(OR(_xlpm.v=0, _xlpm.v=""), "", _xlpm.v))</f>
        <v>female</v>
      </c>
    </row>
    <row r="2209" spans="1:9" x14ac:dyDescent="0.6">
      <c r="A2209">
        <v>466</v>
      </c>
      <c r="B2209" t="s">
        <v>7</v>
      </c>
      <c r="C2209" t="s">
        <v>8</v>
      </c>
      <c r="D2209">
        <v>178.12</v>
      </c>
      <c r="E2209">
        <v>172.65</v>
      </c>
      <c r="F2209">
        <v>32087</v>
      </c>
      <c r="G2209" t="s">
        <v>9</v>
      </c>
      <c r="H2209">
        <f>_xlfn.LET(_xlpm.v, IFERROR(VLOOKUP($A2209, manifest!$A:$E, 3, FALSE), ""), IF(OR(_xlpm.v=0, _xlpm.v=""), "", _xlpm.v))</f>
        <v>60</v>
      </c>
      <c r="I2209" t="str">
        <f>_xlfn.LET(_xlpm.v, IFERROR(VLOOKUP($A2209, manifest!$A:$E, 5, FALSE), ""), IF(OR(_xlpm.v=0, _xlpm.v=""), "", _xlpm.v))</f>
        <v>male</v>
      </c>
    </row>
    <row r="2210" spans="1:9" x14ac:dyDescent="0.6">
      <c r="A2210">
        <v>466</v>
      </c>
      <c r="B2210" t="s">
        <v>7</v>
      </c>
      <c r="C2210" t="s">
        <v>10</v>
      </c>
      <c r="D2210">
        <v>195.52</v>
      </c>
      <c r="E2210">
        <v>195.63</v>
      </c>
      <c r="F2210">
        <v>32655</v>
      </c>
      <c r="H2210">
        <f>_xlfn.LET(_xlpm.v, IFERROR(VLOOKUP($A2210, manifest!$A:$E, 3, FALSE), ""), IF(OR(_xlpm.v=0, _xlpm.v=""), "", _xlpm.v))</f>
        <v>60</v>
      </c>
      <c r="I2210" t="str">
        <f>_xlfn.LET(_xlpm.v, IFERROR(VLOOKUP($A2210, manifest!$A:$E, 5, FALSE), ""), IF(OR(_xlpm.v=0, _xlpm.v=""), "", _xlpm.v))</f>
        <v>male</v>
      </c>
    </row>
    <row r="2211" spans="1:9" x14ac:dyDescent="0.6">
      <c r="A2211">
        <v>466</v>
      </c>
      <c r="B2211" t="s">
        <v>7</v>
      </c>
      <c r="C2211" t="s">
        <v>11</v>
      </c>
      <c r="D2211">
        <v>191.17</v>
      </c>
      <c r="E2211">
        <v>190.43</v>
      </c>
      <c r="F2211">
        <v>45983</v>
      </c>
      <c r="H2211">
        <f>_xlfn.LET(_xlpm.v, IFERROR(VLOOKUP($A2211, manifest!$A:$E, 3, FALSE), ""), IF(OR(_xlpm.v=0, _xlpm.v=""), "", _xlpm.v))</f>
        <v>60</v>
      </c>
      <c r="I2211" t="str">
        <f>_xlfn.LET(_xlpm.v, IFERROR(VLOOKUP($A2211, manifest!$A:$E, 5, FALSE), ""), IF(OR(_xlpm.v=0, _xlpm.v=""), "", _xlpm.v))</f>
        <v>male</v>
      </c>
    </row>
    <row r="2212" spans="1:9" x14ac:dyDescent="0.6">
      <c r="A2212">
        <v>466</v>
      </c>
      <c r="B2212" t="s">
        <v>7</v>
      </c>
      <c r="C2212" t="s">
        <v>12</v>
      </c>
      <c r="D2212">
        <v>222.99</v>
      </c>
      <c r="E2212">
        <v>218.13</v>
      </c>
      <c r="F2212">
        <v>51971</v>
      </c>
      <c r="H2212">
        <f>_xlfn.LET(_xlpm.v, IFERROR(VLOOKUP($A2212, manifest!$A:$E, 3, FALSE), ""), IF(OR(_xlpm.v=0, _xlpm.v=""), "", _xlpm.v))</f>
        <v>60</v>
      </c>
      <c r="I2212" t="str">
        <f>_xlfn.LET(_xlpm.v, IFERROR(VLOOKUP($A2212, manifest!$A:$E, 5, FALSE), ""), IF(OR(_xlpm.v=0, _xlpm.v=""), "", _xlpm.v))</f>
        <v>male</v>
      </c>
    </row>
    <row r="2213" spans="1:9" x14ac:dyDescent="0.6">
      <c r="A2213">
        <v>466</v>
      </c>
      <c r="B2213" t="s">
        <v>7</v>
      </c>
      <c r="C2213" t="s">
        <v>13</v>
      </c>
      <c r="D2213">
        <v>264.45</v>
      </c>
      <c r="E2213">
        <v>217.28</v>
      </c>
      <c r="F2213">
        <v>51150</v>
      </c>
      <c r="H2213">
        <f>_xlfn.LET(_xlpm.v, IFERROR(VLOOKUP($A2213, manifest!$A:$E, 3, FALSE), ""), IF(OR(_xlpm.v=0, _xlpm.v=""), "", _xlpm.v))</f>
        <v>60</v>
      </c>
      <c r="I2213" t="str">
        <f>_xlfn.LET(_xlpm.v, IFERROR(VLOOKUP($A2213, manifest!$A:$E, 5, FALSE), ""), IF(OR(_xlpm.v=0, _xlpm.v=""), "", _xlpm.v))</f>
        <v>male</v>
      </c>
    </row>
    <row r="2214" spans="1:9" x14ac:dyDescent="0.6">
      <c r="A2214">
        <v>465</v>
      </c>
      <c r="B2214" t="s">
        <v>14</v>
      </c>
      <c r="C2214" t="s">
        <v>8</v>
      </c>
      <c r="D2214">
        <v>288.47000000000003</v>
      </c>
      <c r="E2214">
        <v>165.11</v>
      </c>
      <c r="F2214">
        <v>41504</v>
      </c>
      <c r="G2214" t="s">
        <v>9</v>
      </c>
      <c r="H2214">
        <f>_xlfn.LET(_xlpm.v, IFERROR(VLOOKUP($A2214, manifest!$A:$E, 3, FALSE), ""), IF(OR(_xlpm.v=0, _xlpm.v=""), "", _xlpm.v))</f>
        <v>70</v>
      </c>
      <c r="I2214" t="str">
        <f>_xlfn.LET(_xlpm.v, IFERROR(VLOOKUP($A2214, manifest!$A:$E, 5, FALSE), ""), IF(OR(_xlpm.v=0, _xlpm.v=""), "", _xlpm.v))</f>
        <v>female</v>
      </c>
    </row>
    <row r="2215" spans="1:9" x14ac:dyDescent="0.6">
      <c r="A2215">
        <v>465</v>
      </c>
      <c r="B2215" t="s">
        <v>14</v>
      </c>
      <c r="C2215" t="s">
        <v>10</v>
      </c>
      <c r="D2215">
        <v>387.11</v>
      </c>
      <c r="E2215">
        <v>234.13</v>
      </c>
      <c r="F2215">
        <v>38182</v>
      </c>
      <c r="H2215">
        <f>_xlfn.LET(_xlpm.v, IFERROR(VLOOKUP($A2215, manifest!$A:$E, 3, FALSE), ""), IF(OR(_xlpm.v=0, _xlpm.v=""), "", _xlpm.v))</f>
        <v>70</v>
      </c>
      <c r="I2215" t="str">
        <f>_xlfn.LET(_xlpm.v, IFERROR(VLOOKUP($A2215, manifest!$A:$E, 5, FALSE), ""), IF(OR(_xlpm.v=0, _xlpm.v=""), "", _xlpm.v))</f>
        <v>female</v>
      </c>
    </row>
    <row r="2216" spans="1:9" x14ac:dyDescent="0.6">
      <c r="A2216">
        <v>465</v>
      </c>
      <c r="B2216" t="s">
        <v>14</v>
      </c>
      <c r="C2216" t="s">
        <v>11</v>
      </c>
      <c r="D2216">
        <v>290.27999999999997</v>
      </c>
      <c r="E2216">
        <v>181.22</v>
      </c>
      <c r="F2216">
        <v>50067</v>
      </c>
      <c r="H2216">
        <f>_xlfn.LET(_xlpm.v, IFERROR(VLOOKUP($A2216, manifest!$A:$E, 3, FALSE), ""), IF(OR(_xlpm.v=0, _xlpm.v=""), "", _xlpm.v))</f>
        <v>70</v>
      </c>
      <c r="I2216" t="str">
        <f>_xlfn.LET(_xlpm.v, IFERROR(VLOOKUP($A2216, manifest!$A:$E, 5, FALSE), ""), IF(OR(_xlpm.v=0, _xlpm.v=""), "", _xlpm.v))</f>
        <v>female</v>
      </c>
    </row>
    <row r="2217" spans="1:9" x14ac:dyDescent="0.6">
      <c r="A2217">
        <v>465</v>
      </c>
      <c r="B2217" t="s">
        <v>14</v>
      </c>
      <c r="C2217" t="s">
        <v>12</v>
      </c>
      <c r="D2217">
        <v>263.33</v>
      </c>
      <c r="E2217">
        <v>195.61</v>
      </c>
      <c r="F2217">
        <v>51922</v>
      </c>
      <c r="H2217">
        <f>_xlfn.LET(_xlpm.v, IFERROR(VLOOKUP($A2217, manifest!$A:$E, 3, FALSE), ""), IF(OR(_xlpm.v=0, _xlpm.v=""), "", _xlpm.v))</f>
        <v>70</v>
      </c>
      <c r="I2217" t="str">
        <f>_xlfn.LET(_xlpm.v, IFERROR(VLOOKUP($A2217, manifest!$A:$E, 5, FALSE), ""), IF(OR(_xlpm.v=0, _xlpm.v=""), "", _xlpm.v))</f>
        <v>female</v>
      </c>
    </row>
    <row r="2218" spans="1:9" x14ac:dyDescent="0.6">
      <c r="A2218">
        <v>465</v>
      </c>
      <c r="B2218" t="s">
        <v>14</v>
      </c>
      <c r="C2218" t="s">
        <v>13</v>
      </c>
      <c r="D2218">
        <v>325.41000000000003</v>
      </c>
      <c r="E2218">
        <v>180.45</v>
      </c>
      <c r="F2218">
        <v>56304</v>
      </c>
      <c r="H2218">
        <f>_xlfn.LET(_xlpm.v, IFERROR(VLOOKUP($A2218, manifest!$A:$E, 3, FALSE), ""), IF(OR(_xlpm.v=0, _xlpm.v=""), "", _xlpm.v))</f>
        <v>70</v>
      </c>
      <c r="I2218" t="str">
        <f>_xlfn.LET(_xlpm.v, IFERROR(VLOOKUP($A2218, manifest!$A:$E, 5, FALSE), ""), IF(OR(_xlpm.v=0, _xlpm.v=""), "", _xlpm.v))</f>
        <v>female</v>
      </c>
    </row>
    <row r="2219" spans="1:9" x14ac:dyDescent="0.6">
      <c r="A2219">
        <v>467</v>
      </c>
      <c r="B2219" t="s">
        <v>14</v>
      </c>
      <c r="C2219" t="s">
        <v>8</v>
      </c>
      <c r="D2219">
        <v>154.65</v>
      </c>
      <c r="E2219">
        <v>87.08</v>
      </c>
      <c r="F2219">
        <v>17047</v>
      </c>
      <c r="G2219" t="s">
        <v>15</v>
      </c>
      <c r="H2219">
        <f>_xlfn.LET(_xlpm.v, IFERROR(VLOOKUP($A2219, manifest!$A:$E, 3, FALSE), ""), IF(OR(_xlpm.v=0, _xlpm.v=""), "", _xlpm.v))</f>
        <v>60</v>
      </c>
      <c r="I2219" t="str">
        <f>_xlfn.LET(_xlpm.v, IFERROR(VLOOKUP($A2219, manifest!$A:$E, 5, FALSE), ""), IF(OR(_xlpm.v=0, _xlpm.v=""), "", _xlpm.v))</f>
        <v>female</v>
      </c>
    </row>
    <row r="2220" spans="1:9" x14ac:dyDescent="0.6">
      <c r="A2220">
        <v>467</v>
      </c>
      <c r="B2220" t="s">
        <v>14</v>
      </c>
      <c r="C2220" t="s">
        <v>10</v>
      </c>
      <c r="D2220">
        <v>163.38999999999999</v>
      </c>
      <c r="E2220">
        <v>113.12</v>
      </c>
      <c r="F2220">
        <v>17579</v>
      </c>
      <c r="H2220">
        <f>_xlfn.LET(_xlpm.v, IFERROR(VLOOKUP($A2220, manifest!$A:$E, 3, FALSE), ""), IF(OR(_xlpm.v=0, _xlpm.v=""), "", _xlpm.v))</f>
        <v>60</v>
      </c>
      <c r="I2220" t="str">
        <f>_xlfn.LET(_xlpm.v, IFERROR(VLOOKUP($A2220, manifest!$A:$E, 5, FALSE), ""), IF(OR(_xlpm.v=0, _xlpm.v=""), "", _xlpm.v))</f>
        <v>female</v>
      </c>
    </row>
    <row r="2221" spans="1:9" x14ac:dyDescent="0.6">
      <c r="A2221">
        <v>467</v>
      </c>
      <c r="B2221" t="s">
        <v>14</v>
      </c>
      <c r="C2221" t="s">
        <v>11</v>
      </c>
      <c r="D2221">
        <v>159.93</v>
      </c>
      <c r="E2221">
        <v>116.38</v>
      </c>
      <c r="F2221">
        <v>19375</v>
      </c>
      <c r="H2221">
        <f>_xlfn.LET(_xlpm.v, IFERROR(VLOOKUP($A2221, manifest!$A:$E, 3, FALSE), ""), IF(OR(_xlpm.v=0, _xlpm.v=""), "", _xlpm.v))</f>
        <v>60</v>
      </c>
      <c r="I2221" t="str">
        <f>_xlfn.LET(_xlpm.v, IFERROR(VLOOKUP($A2221, manifest!$A:$E, 5, FALSE), ""), IF(OR(_xlpm.v=0, _xlpm.v=""), "", _xlpm.v))</f>
        <v>female</v>
      </c>
    </row>
    <row r="2222" spans="1:9" x14ac:dyDescent="0.6">
      <c r="A2222">
        <v>467</v>
      </c>
      <c r="B2222" t="s">
        <v>14</v>
      </c>
      <c r="C2222" t="s">
        <v>12</v>
      </c>
      <c r="D2222">
        <v>164.86</v>
      </c>
      <c r="E2222">
        <v>136.72999999999999</v>
      </c>
      <c r="F2222">
        <v>28042</v>
      </c>
      <c r="H2222">
        <f>_xlfn.LET(_xlpm.v, IFERROR(VLOOKUP($A2222, manifest!$A:$E, 3, FALSE), ""), IF(OR(_xlpm.v=0, _xlpm.v=""), "", _xlpm.v))</f>
        <v>60</v>
      </c>
      <c r="I2222" t="str">
        <f>_xlfn.LET(_xlpm.v, IFERROR(VLOOKUP($A2222, manifest!$A:$E, 5, FALSE), ""), IF(OR(_xlpm.v=0, _xlpm.v=""), "", _xlpm.v))</f>
        <v>female</v>
      </c>
    </row>
    <row r="2223" spans="1:9" x14ac:dyDescent="0.6">
      <c r="A2223">
        <v>467</v>
      </c>
      <c r="B2223" t="s">
        <v>14</v>
      </c>
      <c r="C2223" t="s">
        <v>13</v>
      </c>
      <c r="D2223">
        <v>186.25</v>
      </c>
      <c r="E2223">
        <v>159.47999999999999</v>
      </c>
      <c r="F2223">
        <v>28288</v>
      </c>
      <c r="H2223">
        <f>_xlfn.LET(_xlpm.v, IFERROR(VLOOKUP($A2223, manifest!$A:$E, 3, FALSE), ""), IF(OR(_xlpm.v=0, _xlpm.v=""), "", _xlpm.v))</f>
        <v>60</v>
      </c>
      <c r="I2223" t="str">
        <f>_xlfn.LET(_xlpm.v, IFERROR(VLOOKUP($A2223, manifest!$A:$E, 5, FALSE), ""), IF(OR(_xlpm.v=0, _xlpm.v=""), "", _xlpm.v))</f>
        <v>female</v>
      </c>
    </row>
    <row r="2224" spans="1:9" x14ac:dyDescent="0.6">
      <c r="A2224">
        <v>472</v>
      </c>
      <c r="B2224" t="s">
        <v>14</v>
      </c>
      <c r="C2224" t="s">
        <v>8</v>
      </c>
      <c r="D2224">
        <v>165.86</v>
      </c>
      <c r="E2224">
        <v>99.65</v>
      </c>
      <c r="F2224">
        <v>29748</v>
      </c>
      <c r="G2224" t="s">
        <v>9</v>
      </c>
      <c r="H2224">
        <f>_xlfn.LET(_xlpm.v, IFERROR(VLOOKUP($A2224, manifest!$A:$E, 3, FALSE), ""), IF(OR(_xlpm.v=0, _xlpm.v=""), "", _xlpm.v))</f>
        <v>50</v>
      </c>
      <c r="I2224" t="str">
        <f>_xlfn.LET(_xlpm.v, IFERROR(VLOOKUP($A2224, manifest!$A:$E, 5, FALSE), ""), IF(OR(_xlpm.v=0, _xlpm.v=""), "", _xlpm.v))</f>
        <v>female</v>
      </c>
    </row>
    <row r="2225" spans="1:9" x14ac:dyDescent="0.6">
      <c r="A2225">
        <v>472</v>
      </c>
      <c r="B2225" t="s">
        <v>14</v>
      </c>
      <c r="C2225" t="s">
        <v>10</v>
      </c>
      <c r="D2225">
        <v>185.51</v>
      </c>
      <c r="E2225">
        <v>136.12</v>
      </c>
      <c r="F2225">
        <v>33247</v>
      </c>
      <c r="H2225">
        <f>_xlfn.LET(_xlpm.v, IFERROR(VLOOKUP($A2225, manifest!$A:$E, 3, FALSE), ""), IF(OR(_xlpm.v=0, _xlpm.v=""), "", _xlpm.v))</f>
        <v>50</v>
      </c>
      <c r="I2225" t="str">
        <f>_xlfn.LET(_xlpm.v, IFERROR(VLOOKUP($A2225, manifest!$A:$E, 5, FALSE), ""), IF(OR(_xlpm.v=0, _xlpm.v=""), "", _xlpm.v))</f>
        <v>female</v>
      </c>
    </row>
    <row r="2226" spans="1:9" x14ac:dyDescent="0.6">
      <c r="A2226">
        <v>472</v>
      </c>
      <c r="B2226" t="s">
        <v>14</v>
      </c>
      <c r="C2226" t="s">
        <v>11</v>
      </c>
      <c r="D2226">
        <v>162.16</v>
      </c>
      <c r="E2226">
        <v>114.12</v>
      </c>
      <c r="F2226">
        <v>38968</v>
      </c>
      <c r="H2226">
        <f>_xlfn.LET(_xlpm.v, IFERROR(VLOOKUP($A2226, manifest!$A:$E, 3, FALSE), ""), IF(OR(_xlpm.v=0, _xlpm.v=""), "", _xlpm.v))</f>
        <v>50</v>
      </c>
      <c r="I2226" t="str">
        <f>_xlfn.LET(_xlpm.v, IFERROR(VLOOKUP($A2226, manifest!$A:$E, 5, FALSE), ""), IF(OR(_xlpm.v=0, _xlpm.v=""), "", _xlpm.v))</f>
        <v>female</v>
      </c>
    </row>
    <row r="2227" spans="1:9" x14ac:dyDescent="0.6">
      <c r="A2227">
        <v>472</v>
      </c>
      <c r="B2227" t="s">
        <v>14</v>
      </c>
      <c r="C2227" t="s">
        <v>12</v>
      </c>
      <c r="D2227">
        <v>169.06</v>
      </c>
      <c r="E2227">
        <v>111.14</v>
      </c>
      <c r="F2227">
        <v>39861</v>
      </c>
      <c r="H2227">
        <f>_xlfn.LET(_xlpm.v, IFERROR(VLOOKUP($A2227, manifest!$A:$E, 3, FALSE), ""), IF(OR(_xlpm.v=0, _xlpm.v=""), "", _xlpm.v))</f>
        <v>50</v>
      </c>
      <c r="I2227" t="str">
        <f>_xlfn.LET(_xlpm.v, IFERROR(VLOOKUP($A2227, manifest!$A:$E, 5, FALSE), ""), IF(OR(_xlpm.v=0, _xlpm.v=""), "", _xlpm.v))</f>
        <v>female</v>
      </c>
    </row>
    <row r="2228" spans="1:9" x14ac:dyDescent="0.6">
      <c r="A2228">
        <v>472</v>
      </c>
      <c r="B2228" t="s">
        <v>14</v>
      </c>
      <c r="C2228" t="s">
        <v>13</v>
      </c>
      <c r="D2228">
        <v>166.52</v>
      </c>
      <c r="E2228">
        <v>114.1</v>
      </c>
      <c r="F2228">
        <v>56076</v>
      </c>
      <c r="H2228">
        <f>_xlfn.LET(_xlpm.v, IFERROR(VLOOKUP($A2228, manifest!$A:$E, 3, FALSE), ""), IF(OR(_xlpm.v=0, _xlpm.v=""), "", _xlpm.v))</f>
        <v>50</v>
      </c>
      <c r="I2228" t="str">
        <f>_xlfn.LET(_xlpm.v, IFERROR(VLOOKUP($A2228, manifest!$A:$E, 5, FALSE), ""), IF(OR(_xlpm.v=0, _xlpm.v=""), "", _xlpm.v))</f>
        <v>female</v>
      </c>
    </row>
    <row r="2229" spans="1:9" x14ac:dyDescent="0.6">
      <c r="A2229">
        <v>479</v>
      </c>
      <c r="B2229" t="s">
        <v>7</v>
      </c>
      <c r="C2229" t="s">
        <v>8</v>
      </c>
      <c r="D2229">
        <v>375.33</v>
      </c>
      <c r="E2229">
        <v>147.15</v>
      </c>
      <c r="F2229">
        <v>17537</v>
      </c>
      <c r="G2229" t="s">
        <v>9</v>
      </c>
      <c r="H2229">
        <f>_xlfn.LET(_xlpm.v, IFERROR(VLOOKUP($A2229, manifest!$A:$E, 3, FALSE), ""), IF(OR(_xlpm.v=0, _xlpm.v=""), "", _xlpm.v))</f>
        <v>50</v>
      </c>
      <c r="I2229" t="str">
        <f>_xlfn.LET(_xlpm.v, IFERROR(VLOOKUP($A2229, manifest!$A:$E, 5, FALSE), ""), IF(OR(_xlpm.v=0, _xlpm.v=""), "", _xlpm.v))</f>
        <v>female</v>
      </c>
    </row>
    <row r="2230" spans="1:9" x14ac:dyDescent="0.6">
      <c r="A2230">
        <v>479</v>
      </c>
      <c r="B2230" t="s">
        <v>7</v>
      </c>
      <c r="C2230" t="s">
        <v>10</v>
      </c>
      <c r="D2230">
        <v>403.05</v>
      </c>
      <c r="E2230">
        <v>204.41</v>
      </c>
      <c r="F2230">
        <v>20198</v>
      </c>
      <c r="H2230">
        <f>_xlfn.LET(_xlpm.v, IFERROR(VLOOKUP($A2230, manifest!$A:$E, 3, FALSE), ""), IF(OR(_xlpm.v=0, _xlpm.v=""), "", _xlpm.v))</f>
        <v>50</v>
      </c>
      <c r="I2230" t="str">
        <f>_xlfn.LET(_xlpm.v, IFERROR(VLOOKUP($A2230, manifest!$A:$E, 5, FALSE), ""), IF(OR(_xlpm.v=0, _xlpm.v=""), "", _xlpm.v))</f>
        <v>female</v>
      </c>
    </row>
    <row r="2231" spans="1:9" x14ac:dyDescent="0.6">
      <c r="A2231">
        <v>479</v>
      </c>
      <c r="B2231" t="s">
        <v>7</v>
      </c>
      <c r="C2231" t="s">
        <v>11</v>
      </c>
      <c r="D2231">
        <v>380.61</v>
      </c>
      <c r="E2231">
        <v>195.86</v>
      </c>
      <c r="F2231">
        <v>21341</v>
      </c>
      <c r="H2231">
        <f>_xlfn.LET(_xlpm.v, IFERROR(VLOOKUP($A2231, manifest!$A:$E, 3, FALSE), ""), IF(OR(_xlpm.v=0, _xlpm.v=""), "", _xlpm.v))</f>
        <v>50</v>
      </c>
      <c r="I2231" t="str">
        <f>_xlfn.LET(_xlpm.v, IFERROR(VLOOKUP($A2231, manifest!$A:$E, 5, FALSE), ""), IF(OR(_xlpm.v=0, _xlpm.v=""), "", _xlpm.v))</f>
        <v>female</v>
      </c>
    </row>
    <row r="2232" spans="1:9" x14ac:dyDescent="0.6">
      <c r="A2232">
        <v>479</v>
      </c>
      <c r="B2232" t="s">
        <v>7</v>
      </c>
      <c r="C2232" t="s">
        <v>12</v>
      </c>
      <c r="D2232">
        <v>398.47</v>
      </c>
      <c r="E2232">
        <v>235.61</v>
      </c>
      <c r="F2232">
        <v>28613</v>
      </c>
      <c r="H2232">
        <f>_xlfn.LET(_xlpm.v, IFERROR(VLOOKUP($A2232, manifest!$A:$E, 3, FALSE), ""), IF(OR(_xlpm.v=0, _xlpm.v=""), "", _xlpm.v))</f>
        <v>50</v>
      </c>
      <c r="I2232" t="str">
        <f>_xlfn.LET(_xlpm.v, IFERROR(VLOOKUP($A2232, manifest!$A:$E, 5, FALSE), ""), IF(OR(_xlpm.v=0, _xlpm.v=""), "", _xlpm.v))</f>
        <v>female</v>
      </c>
    </row>
    <row r="2233" spans="1:9" x14ac:dyDescent="0.6">
      <c r="A2233">
        <v>479</v>
      </c>
      <c r="B2233" t="s">
        <v>7</v>
      </c>
      <c r="C2233" t="s">
        <v>13</v>
      </c>
      <c r="D2233">
        <v>407.15</v>
      </c>
      <c r="E2233">
        <v>232.14</v>
      </c>
      <c r="F2233">
        <v>29144</v>
      </c>
      <c r="H2233">
        <f>_xlfn.LET(_xlpm.v, IFERROR(VLOOKUP($A2233, manifest!$A:$E, 3, FALSE), ""), IF(OR(_xlpm.v=0, _xlpm.v=""), "", _xlpm.v))</f>
        <v>50</v>
      </c>
      <c r="I2233" t="str">
        <f>_xlfn.LET(_xlpm.v, IFERROR(VLOOKUP($A2233, manifest!$A:$E, 5, FALSE), ""), IF(OR(_xlpm.v=0, _xlpm.v=""), "", _xlpm.v))</f>
        <v>female</v>
      </c>
    </row>
    <row r="2234" spans="1:9" x14ac:dyDescent="0.6">
      <c r="A2234">
        <v>473</v>
      </c>
      <c r="B2234" t="s">
        <v>14</v>
      </c>
      <c r="C2234" t="s">
        <v>8</v>
      </c>
      <c r="D2234">
        <v>163.06</v>
      </c>
      <c r="E2234">
        <v>123.42</v>
      </c>
      <c r="F2234">
        <v>24277</v>
      </c>
      <c r="G2234" t="s">
        <v>9</v>
      </c>
      <c r="H2234">
        <f>_xlfn.LET(_xlpm.v, IFERROR(VLOOKUP($A2234, manifest!$A:$E, 3, FALSE), ""), IF(OR(_xlpm.v=0, _xlpm.v=""), "", _xlpm.v))</f>
        <v>60</v>
      </c>
      <c r="I2234" t="str">
        <f>_xlfn.LET(_xlpm.v, IFERROR(VLOOKUP($A2234, manifest!$A:$E, 5, FALSE), ""), IF(OR(_xlpm.v=0, _xlpm.v=""), "", _xlpm.v))</f>
        <v>female</v>
      </c>
    </row>
    <row r="2235" spans="1:9" x14ac:dyDescent="0.6">
      <c r="A2235">
        <v>473</v>
      </c>
      <c r="B2235" t="s">
        <v>14</v>
      </c>
      <c r="C2235" t="s">
        <v>10</v>
      </c>
      <c r="D2235">
        <v>167.89</v>
      </c>
      <c r="E2235">
        <v>124.87</v>
      </c>
      <c r="F2235">
        <v>30597</v>
      </c>
      <c r="H2235">
        <f>_xlfn.LET(_xlpm.v, IFERROR(VLOOKUP($A2235, manifest!$A:$E, 3, FALSE), ""), IF(OR(_xlpm.v=0, _xlpm.v=""), "", _xlpm.v))</f>
        <v>60</v>
      </c>
      <c r="I2235" t="str">
        <f>_xlfn.LET(_xlpm.v, IFERROR(VLOOKUP($A2235, manifest!$A:$E, 5, FALSE), ""), IF(OR(_xlpm.v=0, _xlpm.v=""), "", _xlpm.v))</f>
        <v>female</v>
      </c>
    </row>
    <row r="2236" spans="1:9" x14ac:dyDescent="0.6">
      <c r="A2236">
        <v>473</v>
      </c>
      <c r="B2236" t="s">
        <v>14</v>
      </c>
      <c r="C2236" t="s">
        <v>11</v>
      </c>
      <c r="D2236">
        <v>141.28</v>
      </c>
      <c r="E2236">
        <v>134.19</v>
      </c>
      <c r="F2236">
        <v>32770</v>
      </c>
      <c r="H2236">
        <f>_xlfn.LET(_xlpm.v, IFERROR(VLOOKUP($A2236, manifest!$A:$E, 3, FALSE), ""), IF(OR(_xlpm.v=0, _xlpm.v=""), "", _xlpm.v))</f>
        <v>60</v>
      </c>
      <c r="I2236" t="str">
        <f>_xlfn.LET(_xlpm.v, IFERROR(VLOOKUP($A2236, manifest!$A:$E, 5, FALSE), ""), IF(OR(_xlpm.v=0, _xlpm.v=""), "", _xlpm.v))</f>
        <v>female</v>
      </c>
    </row>
    <row r="2237" spans="1:9" x14ac:dyDescent="0.6">
      <c r="A2237">
        <v>473</v>
      </c>
      <c r="B2237" t="s">
        <v>14</v>
      </c>
      <c r="C2237" t="s">
        <v>12</v>
      </c>
      <c r="D2237">
        <v>145.16</v>
      </c>
      <c r="E2237">
        <v>128.96</v>
      </c>
      <c r="F2237">
        <v>39345</v>
      </c>
      <c r="H2237">
        <f>_xlfn.LET(_xlpm.v, IFERROR(VLOOKUP($A2237, manifest!$A:$E, 3, FALSE), ""), IF(OR(_xlpm.v=0, _xlpm.v=""), "", _xlpm.v))</f>
        <v>60</v>
      </c>
      <c r="I2237" t="str">
        <f>_xlfn.LET(_xlpm.v, IFERROR(VLOOKUP($A2237, manifest!$A:$E, 5, FALSE), ""), IF(OR(_xlpm.v=0, _xlpm.v=""), "", _xlpm.v))</f>
        <v>female</v>
      </c>
    </row>
    <row r="2238" spans="1:9" x14ac:dyDescent="0.6">
      <c r="A2238">
        <v>473</v>
      </c>
      <c r="B2238" t="s">
        <v>14</v>
      </c>
      <c r="C2238" t="s">
        <v>13</v>
      </c>
      <c r="D2238">
        <v>165.78</v>
      </c>
      <c r="E2238">
        <v>122.55</v>
      </c>
      <c r="F2238">
        <v>46758</v>
      </c>
      <c r="H2238">
        <f>_xlfn.LET(_xlpm.v, IFERROR(VLOOKUP($A2238, manifest!$A:$E, 3, FALSE), ""), IF(OR(_xlpm.v=0, _xlpm.v=""), "", _xlpm.v))</f>
        <v>60</v>
      </c>
      <c r="I2238" t="str">
        <f>_xlfn.LET(_xlpm.v, IFERROR(VLOOKUP($A2238, manifest!$A:$E, 5, FALSE), ""), IF(OR(_xlpm.v=0, _xlpm.v=""), "", _xlpm.v))</f>
        <v>female</v>
      </c>
    </row>
    <row r="2239" spans="1:9" x14ac:dyDescent="0.6">
      <c r="A2239">
        <v>513</v>
      </c>
      <c r="B2239" t="s">
        <v>14</v>
      </c>
      <c r="C2239" t="s">
        <v>8</v>
      </c>
      <c r="D2239">
        <v>203.99</v>
      </c>
      <c r="E2239">
        <v>131.63999999999999</v>
      </c>
      <c r="F2239">
        <v>3795</v>
      </c>
      <c r="G2239" t="s">
        <v>9</v>
      </c>
      <c r="H2239">
        <f>_xlfn.LET(_xlpm.v, IFERROR(VLOOKUP($A2239, manifest!$A:$E, 3, FALSE), ""), IF(OR(_xlpm.v=0, _xlpm.v=""), "", _xlpm.v))</f>
        <v>70</v>
      </c>
      <c r="I2239" t="str">
        <f>_xlfn.LET(_xlpm.v, IFERROR(VLOOKUP($A2239, manifest!$A:$E, 5, FALSE), ""), IF(OR(_xlpm.v=0, _xlpm.v=""), "", _xlpm.v))</f>
        <v>male</v>
      </c>
    </row>
    <row r="2240" spans="1:9" x14ac:dyDescent="0.6">
      <c r="A2240">
        <v>513</v>
      </c>
      <c r="B2240" t="s">
        <v>14</v>
      </c>
      <c r="C2240" t="s">
        <v>10</v>
      </c>
      <c r="D2240">
        <v>230.25</v>
      </c>
      <c r="E2240">
        <v>175.69</v>
      </c>
      <c r="F2240">
        <v>4634</v>
      </c>
      <c r="H2240">
        <f>_xlfn.LET(_xlpm.v, IFERROR(VLOOKUP($A2240, manifest!$A:$E, 3, FALSE), ""), IF(OR(_xlpm.v=0, _xlpm.v=""), "", _xlpm.v))</f>
        <v>70</v>
      </c>
      <c r="I2240" t="str">
        <f>_xlfn.LET(_xlpm.v, IFERROR(VLOOKUP($A2240, manifest!$A:$E, 5, FALSE), ""), IF(OR(_xlpm.v=0, _xlpm.v=""), "", _xlpm.v))</f>
        <v>male</v>
      </c>
    </row>
    <row r="2241" spans="1:9" x14ac:dyDescent="0.6">
      <c r="A2241">
        <v>513</v>
      </c>
      <c r="B2241" t="s">
        <v>14</v>
      </c>
      <c r="C2241" t="s">
        <v>11</v>
      </c>
      <c r="D2241">
        <v>218.38</v>
      </c>
      <c r="E2241">
        <v>164.86</v>
      </c>
      <c r="F2241">
        <v>5768</v>
      </c>
      <c r="H2241">
        <f>_xlfn.LET(_xlpm.v, IFERROR(VLOOKUP($A2241, manifest!$A:$E, 3, FALSE), ""), IF(OR(_xlpm.v=0, _xlpm.v=""), "", _xlpm.v))</f>
        <v>70</v>
      </c>
      <c r="I2241" t="str">
        <f>_xlfn.LET(_xlpm.v, IFERROR(VLOOKUP($A2241, manifest!$A:$E, 5, FALSE), ""), IF(OR(_xlpm.v=0, _xlpm.v=""), "", _xlpm.v))</f>
        <v>male</v>
      </c>
    </row>
    <row r="2242" spans="1:9" x14ac:dyDescent="0.6">
      <c r="A2242">
        <v>513</v>
      </c>
      <c r="B2242" t="s">
        <v>14</v>
      </c>
      <c r="C2242" t="s">
        <v>12</v>
      </c>
      <c r="D2242">
        <v>222.3</v>
      </c>
      <c r="E2242">
        <v>158.49</v>
      </c>
      <c r="F2242">
        <v>5966</v>
      </c>
      <c r="H2242">
        <f>_xlfn.LET(_xlpm.v, IFERROR(VLOOKUP($A2242, manifest!$A:$E, 3, FALSE), ""), IF(OR(_xlpm.v=0, _xlpm.v=""), "", _xlpm.v))</f>
        <v>70</v>
      </c>
      <c r="I2242" t="str">
        <f>_xlfn.LET(_xlpm.v, IFERROR(VLOOKUP($A2242, manifest!$A:$E, 5, FALSE), ""), IF(OR(_xlpm.v=0, _xlpm.v=""), "", _xlpm.v))</f>
        <v>male</v>
      </c>
    </row>
    <row r="2243" spans="1:9" x14ac:dyDescent="0.6">
      <c r="A2243">
        <v>513</v>
      </c>
      <c r="B2243" t="s">
        <v>14</v>
      </c>
      <c r="C2243" t="s">
        <v>13</v>
      </c>
      <c r="D2243">
        <v>268.14999999999998</v>
      </c>
      <c r="E2243">
        <v>181.46</v>
      </c>
      <c r="F2243">
        <v>6725</v>
      </c>
      <c r="H2243">
        <f>_xlfn.LET(_xlpm.v, IFERROR(VLOOKUP($A2243, manifest!$A:$E, 3, FALSE), ""), IF(OR(_xlpm.v=0, _xlpm.v=""), "", _xlpm.v))</f>
        <v>70</v>
      </c>
      <c r="I2243" t="str">
        <f>_xlfn.LET(_xlpm.v, IFERROR(VLOOKUP($A2243, manifest!$A:$E, 5, FALSE), ""), IF(OR(_xlpm.v=0, _xlpm.v=""), "", _xlpm.v))</f>
        <v>male</v>
      </c>
    </row>
    <row r="2244" spans="1:9" x14ac:dyDescent="0.6">
      <c r="A2244">
        <v>483</v>
      </c>
      <c r="B2244" t="s">
        <v>14</v>
      </c>
      <c r="C2244" t="s">
        <v>8</v>
      </c>
      <c r="D2244">
        <v>220.2</v>
      </c>
      <c r="E2244">
        <v>150.49</v>
      </c>
      <c r="F2244">
        <v>23036</v>
      </c>
      <c r="G2244" t="s">
        <v>9</v>
      </c>
      <c r="H2244">
        <f>_xlfn.LET(_xlpm.v, IFERROR(VLOOKUP($A2244, manifest!$A:$E, 3, FALSE), ""), IF(OR(_xlpm.v=0, _xlpm.v=""), "", _xlpm.v))</f>
        <v>50</v>
      </c>
      <c r="I2244" t="str">
        <f>_xlfn.LET(_xlpm.v, IFERROR(VLOOKUP($A2244, manifest!$A:$E, 5, FALSE), ""), IF(OR(_xlpm.v=0, _xlpm.v=""), "", _xlpm.v))</f>
        <v>female</v>
      </c>
    </row>
    <row r="2245" spans="1:9" x14ac:dyDescent="0.6">
      <c r="A2245">
        <v>483</v>
      </c>
      <c r="B2245" t="s">
        <v>14</v>
      </c>
      <c r="C2245" t="s">
        <v>10</v>
      </c>
      <c r="D2245">
        <v>265.04000000000002</v>
      </c>
      <c r="E2245">
        <v>226.5</v>
      </c>
      <c r="F2245">
        <v>26343</v>
      </c>
      <c r="H2245">
        <f>_xlfn.LET(_xlpm.v, IFERROR(VLOOKUP($A2245, manifest!$A:$E, 3, FALSE), ""), IF(OR(_xlpm.v=0, _xlpm.v=""), "", _xlpm.v))</f>
        <v>50</v>
      </c>
      <c r="I2245" t="str">
        <f>_xlfn.LET(_xlpm.v, IFERROR(VLOOKUP($A2245, manifest!$A:$E, 5, FALSE), ""), IF(OR(_xlpm.v=0, _xlpm.v=""), "", _xlpm.v))</f>
        <v>female</v>
      </c>
    </row>
    <row r="2246" spans="1:9" x14ac:dyDescent="0.6">
      <c r="A2246">
        <v>483</v>
      </c>
      <c r="B2246" t="s">
        <v>14</v>
      </c>
      <c r="C2246" t="s">
        <v>11</v>
      </c>
      <c r="D2246">
        <v>253.13</v>
      </c>
      <c r="E2246">
        <v>245.58</v>
      </c>
      <c r="F2246">
        <v>29331</v>
      </c>
      <c r="H2246">
        <f>_xlfn.LET(_xlpm.v, IFERROR(VLOOKUP($A2246, manifest!$A:$E, 3, FALSE), ""), IF(OR(_xlpm.v=0, _xlpm.v=""), "", _xlpm.v))</f>
        <v>50</v>
      </c>
      <c r="I2246" t="str">
        <f>_xlfn.LET(_xlpm.v, IFERROR(VLOOKUP($A2246, manifest!$A:$E, 5, FALSE), ""), IF(OR(_xlpm.v=0, _xlpm.v=""), "", _xlpm.v))</f>
        <v>female</v>
      </c>
    </row>
    <row r="2247" spans="1:9" x14ac:dyDescent="0.6">
      <c r="A2247">
        <v>483</v>
      </c>
      <c r="B2247" t="s">
        <v>14</v>
      </c>
      <c r="C2247" t="s">
        <v>12</v>
      </c>
      <c r="D2247">
        <v>240.37</v>
      </c>
      <c r="E2247">
        <v>239.47</v>
      </c>
      <c r="F2247">
        <v>44431</v>
      </c>
      <c r="H2247">
        <f>_xlfn.LET(_xlpm.v, IFERROR(VLOOKUP($A2247, manifest!$A:$E, 3, FALSE), ""), IF(OR(_xlpm.v=0, _xlpm.v=""), "", _xlpm.v))</f>
        <v>50</v>
      </c>
      <c r="I2247" t="str">
        <f>_xlfn.LET(_xlpm.v, IFERROR(VLOOKUP($A2247, manifest!$A:$E, 5, FALSE), ""), IF(OR(_xlpm.v=0, _xlpm.v=""), "", _xlpm.v))</f>
        <v>female</v>
      </c>
    </row>
    <row r="2248" spans="1:9" x14ac:dyDescent="0.6">
      <c r="A2248">
        <v>483</v>
      </c>
      <c r="B2248" t="s">
        <v>14</v>
      </c>
      <c r="C2248" t="s">
        <v>13</v>
      </c>
      <c r="D2248">
        <v>260.13</v>
      </c>
      <c r="E2248">
        <v>239.53</v>
      </c>
      <c r="F2248">
        <v>46938</v>
      </c>
      <c r="H2248">
        <f>_xlfn.LET(_xlpm.v, IFERROR(VLOOKUP($A2248, manifest!$A:$E, 3, FALSE), ""), IF(OR(_xlpm.v=0, _xlpm.v=""), "", _xlpm.v))</f>
        <v>50</v>
      </c>
      <c r="I2248" t="str">
        <f>_xlfn.LET(_xlpm.v, IFERROR(VLOOKUP($A2248, manifest!$A:$E, 5, FALSE), ""), IF(OR(_xlpm.v=0, _xlpm.v=""), "", _xlpm.v))</f>
        <v>female</v>
      </c>
    </row>
    <row r="2249" spans="1:9" x14ac:dyDescent="0.6">
      <c r="A2249">
        <v>463</v>
      </c>
      <c r="B2249" t="s">
        <v>7</v>
      </c>
      <c r="C2249" t="s">
        <v>8</v>
      </c>
      <c r="D2249">
        <v>217.86</v>
      </c>
      <c r="E2249">
        <v>132.25</v>
      </c>
      <c r="F2249">
        <v>27905</v>
      </c>
      <c r="G2249" t="s">
        <v>9</v>
      </c>
      <c r="H2249">
        <f>_xlfn.LET(_xlpm.v, IFERROR(VLOOKUP($A2249, manifest!$A:$E, 3, FALSE), ""), IF(OR(_xlpm.v=0, _xlpm.v=""), "", _xlpm.v))</f>
        <v>60</v>
      </c>
      <c r="I2249" t="str">
        <f>_xlfn.LET(_xlpm.v, IFERROR(VLOOKUP($A2249, manifest!$A:$E, 5, FALSE), ""), IF(OR(_xlpm.v=0, _xlpm.v=""), "", _xlpm.v))</f>
        <v>male</v>
      </c>
    </row>
    <row r="2250" spans="1:9" x14ac:dyDescent="0.6">
      <c r="A2250">
        <v>463</v>
      </c>
      <c r="B2250" t="s">
        <v>7</v>
      </c>
      <c r="C2250" t="s">
        <v>10</v>
      </c>
      <c r="D2250">
        <v>199.71</v>
      </c>
      <c r="E2250">
        <v>137.41</v>
      </c>
      <c r="F2250">
        <v>31165</v>
      </c>
      <c r="H2250">
        <f>_xlfn.LET(_xlpm.v, IFERROR(VLOOKUP($A2250, manifest!$A:$E, 3, FALSE), ""), IF(OR(_xlpm.v=0, _xlpm.v=""), "", _xlpm.v))</f>
        <v>60</v>
      </c>
      <c r="I2250" t="str">
        <f>_xlfn.LET(_xlpm.v, IFERROR(VLOOKUP($A2250, manifest!$A:$E, 5, FALSE), ""), IF(OR(_xlpm.v=0, _xlpm.v=""), "", _xlpm.v))</f>
        <v>male</v>
      </c>
    </row>
    <row r="2251" spans="1:9" x14ac:dyDescent="0.6">
      <c r="A2251">
        <v>463</v>
      </c>
      <c r="B2251" t="s">
        <v>7</v>
      </c>
      <c r="C2251" t="s">
        <v>11</v>
      </c>
      <c r="D2251">
        <v>188.36</v>
      </c>
      <c r="E2251">
        <v>143.97</v>
      </c>
      <c r="F2251">
        <v>42924</v>
      </c>
      <c r="H2251">
        <f>_xlfn.LET(_xlpm.v, IFERROR(VLOOKUP($A2251, manifest!$A:$E, 3, FALSE), ""), IF(OR(_xlpm.v=0, _xlpm.v=""), "", _xlpm.v))</f>
        <v>60</v>
      </c>
      <c r="I2251" t="str">
        <f>_xlfn.LET(_xlpm.v, IFERROR(VLOOKUP($A2251, manifest!$A:$E, 5, FALSE), ""), IF(OR(_xlpm.v=0, _xlpm.v=""), "", _xlpm.v))</f>
        <v>male</v>
      </c>
    </row>
    <row r="2252" spans="1:9" x14ac:dyDescent="0.6">
      <c r="A2252">
        <v>463</v>
      </c>
      <c r="B2252" t="s">
        <v>7</v>
      </c>
      <c r="C2252" t="s">
        <v>12</v>
      </c>
      <c r="D2252">
        <v>195.42</v>
      </c>
      <c r="E2252">
        <v>161.38</v>
      </c>
      <c r="F2252">
        <v>49233</v>
      </c>
      <c r="H2252">
        <f>_xlfn.LET(_xlpm.v, IFERROR(VLOOKUP($A2252, manifest!$A:$E, 3, FALSE), ""), IF(OR(_xlpm.v=0, _xlpm.v=""), "", _xlpm.v))</f>
        <v>60</v>
      </c>
      <c r="I2252" t="str">
        <f>_xlfn.LET(_xlpm.v, IFERROR(VLOOKUP($A2252, manifest!$A:$E, 5, FALSE), ""), IF(OR(_xlpm.v=0, _xlpm.v=""), "", _xlpm.v))</f>
        <v>male</v>
      </c>
    </row>
    <row r="2253" spans="1:9" x14ac:dyDescent="0.6">
      <c r="A2253">
        <v>463</v>
      </c>
      <c r="B2253" t="s">
        <v>7</v>
      </c>
      <c r="C2253" t="s">
        <v>13</v>
      </c>
      <c r="D2253">
        <v>231.1</v>
      </c>
      <c r="E2253">
        <v>163.03</v>
      </c>
      <c r="F2253">
        <v>53122</v>
      </c>
      <c r="H2253">
        <f>_xlfn.LET(_xlpm.v, IFERROR(VLOOKUP($A2253, manifest!$A:$E, 3, FALSE), ""), IF(OR(_xlpm.v=0, _xlpm.v=""), "", _xlpm.v))</f>
        <v>60</v>
      </c>
      <c r="I2253" t="str">
        <f>_xlfn.LET(_xlpm.v, IFERROR(VLOOKUP($A2253, manifest!$A:$E, 5, FALSE), ""), IF(OR(_xlpm.v=0, _xlpm.v=""), "", _xlpm.v))</f>
        <v>male</v>
      </c>
    </row>
    <row r="2254" spans="1:9" x14ac:dyDescent="0.6">
      <c r="A2254">
        <v>476</v>
      </c>
      <c r="B2254" t="s">
        <v>14</v>
      </c>
      <c r="C2254" t="s">
        <v>8</v>
      </c>
      <c r="D2254">
        <v>285.72000000000003</v>
      </c>
      <c r="E2254">
        <v>168.36</v>
      </c>
      <c r="F2254">
        <v>27746</v>
      </c>
      <c r="G2254" t="s">
        <v>9</v>
      </c>
      <c r="H2254">
        <f>_xlfn.LET(_xlpm.v, IFERROR(VLOOKUP($A2254, manifest!$A:$E, 3, FALSE), ""), IF(OR(_xlpm.v=0, _xlpm.v=""), "", _xlpm.v))</f>
        <v>50</v>
      </c>
      <c r="I2254" t="str">
        <f>_xlfn.LET(_xlpm.v, IFERROR(VLOOKUP($A2254, manifest!$A:$E, 5, FALSE), ""), IF(OR(_xlpm.v=0, _xlpm.v=""), "", _xlpm.v))</f>
        <v>male</v>
      </c>
    </row>
    <row r="2255" spans="1:9" x14ac:dyDescent="0.6">
      <c r="A2255">
        <v>476</v>
      </c>
      <c r="B2255" t="s">
        <v>14</v>
      </c>
      <c r="C2255" t="s">
        <v>10</v>
      </c>
      <c r="D2255">
        <v>288.2</v>
      </c>
      <c r="E2255">
        <v>182.53</v>
      </c>
      <c r="F2255">
        <v>29897</v>
      </c>
      <c r="H2255">
        <f>_xlfn.LET(_xlpm.v, IFERROR(VLOOKUP($A2255, manifest!$A:$E, 3, FALSE), ""), IF(OR(_xlpm.v=0, _xlpm.v=""), "", _xlpm.v))</f>
        <v>50</v>
      </c>
      <c r="I2255" t="str">
        <f>_xlfn.LET(_xlpm.v, IFERROR(VLOOKUP($A2255, manifest!$A:$E, 5, FALSE), ""), IF(OR(_xlpm.v=0, _xlpm.v=""), "", _xlpm.v))</f>
        <v>male</v>
      </c>
    </row>
    <row r="2256" spans="1:9" x14ac:dyDescent="0.6">
      <c r="A2256">
        <v>476</v>
      </c>
      <c r="B2256" t="s">
        <v>14</v>
      </c>
      <c r="C2256" t="s">
        <v>11</v>
      </c>
      <c r="D2256">
        <v>295.75</v>
      </c>
      <c r="E2256">
        <v>203.35</v>
      </c>
      <c r="F2256">
        <v>42704</v>
      </c>
      <c r="H2256">
        <f>_xlfn.LET(_xlpm.v, IFERROR(VLOOKUP($A2256, manifest!$A:$E, 3, FALSE), ""), IF(OR(_xlpm.v=0, _xlpm.v=""), "", _xlpm.v))</f>
        <v>50</v>
      </c>
      <c r="I2256" t="str">
        <f>_xlfn.LET(_xlpm.v, IFERROR(VLOOKUP($A2256, manifest!$A:$E, 5, FALSE), ""), IF(OR(_xlpm.v=0, _xlpm.v=""), "", _xlpm.v))</f>
        <v>male</v>
      </c>
    </row>
    <row r="2257" spans="1:9" x14ac:dyDescent="0.6">
      <c r="A2257">
        <v>476</v>
      </c>
      <c r="B2257" t="s">
        <v>14</v>
      </c>
      <c r="C2257" t="s">
        <v>12</v>
      </c>
      <c r="D2257">
        <v>296.33</v>
      </c>
      <c r="E2257">
        <v>179.73</v>
      </c>
      <c r="F2257">
        <v>36823</v>
      </c>
      <c r="H2257">
        <f>_xlfn.LET(_xlpm.v, IFERROR(VLOOKUP($A2257, manifest!$A:$E, 3, FALSE), ""), IF(OR(_xlpm.v=0, _xlpm.v=""), "", _xlpm.v))</f>
        <v>50</v>
      </c>
      <c r="I2257" t="str">
        <f>_xlfn.LET(_xlpm.v, IFERROR(VLOOKUP($A2257, manifest!$A:$E, 5, FALSE), ""), IF(OR(_xlpm.v=0, _xlpm.v=""), "", _xlpm.v))</f>
        <v>male</v>
      </c>
    </row>
    <row r="2258" spans="1:9" x14ac:dyDescent="0.6">
      <c r="A2258">
        <v>476</v>
      </c>
      <c r="B2258" t="s">
        <v>14</v>
      </c>
      <c r="C2258" t="s">
        <v>13</v>
      </c>
      <c r="D2258">
        <v>305.43</v>
      </c>
      <c r="E2258">
        <v>167.87</v>
      </c>
      <c r="F2258">
        <v>42253</v>
      </c>
      <c r="H2258">
        <f>_xlfn.LET(_xlpm.v, IFERROR(VLOOKUP($A2258, manifest!$A:$E, 3, FALSE), ""), IF(OR(_xlpm.v=0, _xlpm.v=""), "", _xlpm.v))</f>
        <v>50</v>
      </c>
      <c r="I2258" t="str">
        <f>_xlfn.LET(_xlpm.v, IFERROR(VLOOKUP($A2258, manifest!$A:$E, 5, FALSE), ""), IF(OR(_xlpm.v=0, _xlpm.v=""), "", _xlpm.v))</f>
        <v>male</v>
      </c>
    </row>
    <row r="2259" spans="1:9" x14ac:dyDescent="0.6">
      <c r="A2259">
        <v>469</v>
      </c>
      <c r="B2259" t="s">
        <v>7</v>
      </c>
      <c r="C2259" t="s">
        <v>8</v>
      </c>
      <c r="D2259">
        <v>170.67</v>
      </c>
      <c r="E2259">
        <v>144.74</v>
      </c>
      <c r="F2259">
        <v>17687</v>
      </c>
      <c r="G2259" t="s">
        <v>9</v>
      </c>
      <c r="H2259">
        <f>_xlfn.LET(_xlpm.v, IFERROR(VLOOKUP($A2259, manifest!$A:$E, 3, FALSE), ""), IF(OR(_xlpm.v=0, _xlpm.v=""), "", _xlpm.v))</f>
        <v>70</v>
      </c>
      <c r="I2259" t="str">
        <f>_xlfn.LET(_xlpm.v, IFERROR(VLOOKUP($A2259, manifest!$A:$E, 5, FALSE), ""), IF(OR(_xlpm.v=0, _xlpm.v=""), "", _xlpm.v))</f>
        <v>female</v>
      </c>
    </row>
    <row r="2260" spans="1:9" x14ac:dyDescent="0.6">
      <c r="A2260">
        <v>469</v>
      </c>
      <c r="B2260" t="s">
        <v>7</v>
      </c>
      <c r="C2260" t="s">
        <v>10</v>
      </c>
      <c r="D2260">
        <v>181.73</v>
      </c>
      <c r="E2260">
        <v>183.28</v>
      </c>
      <c r="F2260">
        <v>21161</v>
      </c>
      <c r="H2260">
        <f>_xlfn.LET(_xlpm.v, IFERROR(VLOOKUP($A2260, manifest!$A:$E, 3, FALSE), ""), IF(OR(_xlpm.v=0, _xlpm.v=""), "", _xlpm.v))</f>
        <v>70</v>
      </c>
      <c r="I2260" t="str">
        <f>_xlfn.LET(_xlpm.v, IFERROR(VLOOKUP($A2260, manifest!$A:$E, 5, FALSE), ""), IF(OR(_xlpm.v=0, _xlpm.v=""), "", _xlpm.v))</f>
        <v>female</v>
      </c>
    </row>
    <row r="2261" spans="1:9" x14ac:dyDescent="0.6">
      <c r="A2261">
        <v>469</v>
      </c>
      <c r="B2261" t="s">
        <v>7</v>
      </c>
      <c r="C2261" t="s">
        <v>11</v>
      </c>
      <c r="D2261">
        <v>202.98</v>
      </c>
      <c r="E2261">
        <v>205.76</v>
      </c>
      <c r="F2261">
        <v>21657</v>
      </c>
      <c r="H2261">
        <f>_xlfn.LET(_xlpm.v, IFERROR(VLOOKUP($A2261, manifest!$A:$E, 3, FALSE), ""), IF(OR(_xlpm.v=0, _xlpm.v=""), "", _xlpm.v))</f>
        <v>70</v>
      </c>
      <c r="I2261" t="str">
        <f>_xlfn.LET(_xlpm.v, IFERROR(VLOOKUP($A2261, manifest!$A:$E, 5, FALSE), ""), IF(OR(_xlpm.v=0, _xlpm.v=""), "", _xlpm.v))</f>
        <v>female</v>
      </c>
    </row>
    <row r="2262" spans="1:9" x14ac:dyDescent="0.6">
      <c r="A2262">
        <v>469</v>
      </c>
      <c r="B2262" t="s">
        <v>7</v>
      </c>
      <c r="C2262" t="s">
        <v>12</v>
      </c>
      <c r="D2262">
        <v>211.2</v>
      </c>
      <c r="E2262">
        <v>209.43</v>
      </c>
      <c r="F2262">
        <v>24798</v>
      </c>
      <c r="H2262">
        <f>_xlfn.LET(_xlpm.v, IFERROR(VLOOKUP($A2262, manifest!$A:$E, 3, FALSE), ""), IF(OR(_xlpm.v=0, _xlpm.v=""), "", _xlpm.v))</f>
        <v>70</v>
      </c>
      <c r="I2262" t="str">
        <f>_xlfn.LET(_xlpm.v, IFERROR(VLOOKUP($A2262, manifest!$A:$E, 5, FALSE), ""), IF(OR(_xlpm.v=0, _xlpm.v=""), "", _xlpm.v))</f>
        <v>female</v>
      </c>
    </row>
    <row r="2263" spans="1:9" x14ac:dyDescent="0.6">
      <c r="A2263">
        <v>469</v>
      </c>
      <c r="B2263" t="s">
        <v>7</v>
      </c>
      <c r="C2263" t="s">
        <v>13</v>
      </c>
      <c r="D2263">
        <v>216.45</v>
      </c>
      <c r="E2263">
        <v>201.35</v>
      </c>
      <c r="F2263">
        <v>25894</v>
      </c>
      <c r="H2263">
        <f>_xlfn.LET(_xlpm.v, IFERROR(VLOOKUP($A2263, manifest!$A:$E, 3, FALSE), ""), IF(OR(_xlpm.v=0, _xlpm.v=""), "", _xlpm.v))</f>
        <v>70</v>
      </c>
      <c r="I2263" t="str">
        <f>_xlfn.LET(_xlpm.v, IFERROR(VLOOKUP($A2263, manifest!$A:$E, 5, FALSE), ""), IF(OR(_xlpm.v=0, _xlpm.v=""), "", _xlpm.v))</f>
        <v>female</v>
      </c>
    </row>
    <row r="2264" spans="1:9" x14ac:dyDescent="0.6">
      <c r="A2264">
        <v>482</v>
      </c>
      <c r="B2264" t="s">
        <v>7</v>
      </c>
      <c r="C2264" t="s">
        <v>8</v>
      </c>
      <c r="D2264">
        <v>178.44</v>
      </c>
      <c r="E2264">
        <v>85.87</v>
      </c>
      <c r="F2264">
        <v>27968</v>
      </c>
      <c r="G2264" t="s">
        <v>9</v>
      </c>
      <c r="H2264">
        <f>_xlfn.LET(_xlpm.v, IFERROR(VLOOKUP($A2264, manifest!$A:$E, 3, FALSE), ""), IF(OR(_xlpm.v=0, _xlpm.v=""), "", _xlpm.v))</f>
        <v>50</v>
      </c>
      <c r="I2264" t="str">
        <f>_xlfn.LET(_xlpm.v, IFERROR(VLOOKUP($A2264, manifest!$A:$E, 5, FALSE), ""), IF(OR(_xlpm.v=0, _xlpm.v=""), "", _xlpm.v))</f>
        <v>female</v>
      </c>
    </row>
    <row r="2265" spans="1:9" x14ac:dyDescent="0.6">
      <c r="A2265">
        <v>482</v>
      </c>
      <c r="B2265" t="s">
        <v>7</v>
      </c>
      <c r="C2265" t="s">
        <v>10</v>
      </c>
      <c r="D2265">
        <v>171.31</v>
      </c>
      <c r="E2265">
        <v>112.3</v>
      </c>
      <c r="F2265">
        <v>35402</v>
      </c>
      <c r="H2265">
        <f>_xlfn.LET(_xlpm.v, IFERROR(VLOOKUP($A2265, manifest!$A:$E, 3, FALSE), ""), IF(OR(_xlpm.v=0, _xlpm.v=""), "", _xlpm.v))</f>
        <v>50</v>
      </c>
      <c r="I2265" t="str">
        <f>_xlfn.LET(_xlpm.v, IFERROR(VLOOKUP($A2265, manifest!$A:$E, 5, FALSE), ""), IF(OR(_xlpm.v=0, _xlpm.v=""), "", _xlpm.v))</f>
        <v>female</v>
      </c>
    </row>
    <row r="2266" spans="1:9" x14ac:dyDescent="0.6">
      <c r="A2266">
        <v>482</v>
      </c>
      <c r="B2266" t="s">
        <v>7</v>
      </c>
      <c r="C2266" t="s">
        <v>11</v>
      </c>
      <c r="D2266">
        <v>167.34</v>
      </c>
      <c r="E2266">
        <v>102.97</v>
      </c>
      <c r="F2266">
        <v>42690</v>
      </c>
      <c r="H2266">
        <f>_xlfn.LET(_xlpm.v, IFERROR(VLOOKUP($A2266, manifest!$A:$E, 3, FALSE), ""), IF(OR(_xlpm.v=0, _xlpm.v=""), "", _xlpm.v))</f>
        <v>50</v>
      </c>
      <c r="I2266" t="str">
        <f>_xlfn.LET(_xlpm.v, IFERROR(VLOOKUP($A2266, manifest!$A:$E, 5, FALSE), ""), IF(OR(_xlpm.v=0, _xlpm.v=""), "", _xlpm.v))</f>
        <v>female</v>
      </c>
    </row>
    <row r="2267" spans="1:9" x14ac:dyDescent="0.6">
      <c r="A2267">
        <v>482</v>
      </c>
      <c r="B2267" t="s">
        <v>7</v>
      </c>
      <c r="C2267" t="s">
        <v>12</v>
      </c>
      <c r="D2267">
        <v>169.62</v>
      </c>
      <c r="E2267">
        <v>126.62</v>
      </c>
      <c r="F2267">
        <v>60148</v>
      </c>
      <c r="H2267">
        <f>_xlfn.LET(_xlpm.v, IFERROR(VLOOKUP($A2267, manifest!$A:$E, 3, FALSE), ""), IF(OR(_xlpm.v=0, _xlpm.v=""), "", _xlpm.v))</f>
        <v>50</v>
      </c>
      <c r="I2267" t="str">
        <f>_xlfn.LET(_xlpm.v, IFERROR(VLOOKUP($A2267, manifest!$A:$E, 5, FALSE), ""), IF(OR(_xlpm.v=0, _xlpm.v=""), "", _xlpm.v))</f>
        <v>female</v>
      </c>
    </row>
    <row r="2268" spans="1:9" x14ac:dyDescent="0.6">
      <c r="A2268">
        <v>482</v>
      </c>
      <c r="B2268" t="s">
        <v>7</v>
      </c>
      <c r="C2268" t="s">
        <v>13</v>
      </c>
      <c r="D2268">
        <v>184.56</v>
      </c>
      <c r="E2268">
        <v>117.87</v>
      </c>
      <c r="F2268">
        <v>58467</v>
      </c>
      <c r="H2268">
        <f>_xlfn.LET(_xlpm.v, IFERROR(VLOOKUP($A2268, manifest!$A:$E, 3, FALSE), ""), IF(OR(_xlpm.v=0, _xlpm.v=""), "", _xlpm.v))</f>
        <v>50</v>
      </c>
      <c r="I2268" t="str">
        <f>_xlfn.LET(_xlpm.v, IFERROR(VLOOKUP($A2268, manifest!$A:$E, 5, FALSE), ""), IF(OR(_xlpm.v=0, _xlpm.v=""), "", _xlpm.v))</f>
        <v>female</v>
      </c>
    </row>
    <row r="2269" spans="1:9" x14ac:dyDescent="0.6">
      <c r="A2269">
        <v>475</v>
      </c>
      <c r="B2269" t="s">
        <v>14</v>
      </c>
      <c r="C2269" t="s">
        <v>8</v>
      </c>
      <c r="D2269">
        <v>206.71</v>
      </c>
      <c r="E2269">
        <v>178.63</v>
      </c>
      <c r="F2269">
        <v>32920</v>
      </c>
      <c r="G2269" t="s">
        <v>9</v>
      </c>
      <c r="H2269">
        <f>_xlfn.LET(_xlpm.v, IFERROR(VLOOKUP($A2269, manifest!$A:$E, 3, FALSE), ""), IF(OR(_xlpm.v=0, _xlpm.v=""), "", _xlpm.v))</f>
        <v>60</v>
      </c>
      <c r="I2269" t="str">
        <f>_xlfn.LET(_xlpm.v, IFERROR(VLOOKUP($A2269, manifest!$A:$E, 5, FALSE), ""), IF(OR(_xlpm.v=0, _xlpm.v=""), "", _xlpm.v))</f>
        <v>male</v>
      </c>
    </row>
    <row r="2270" spans="1:9" x14ac:dyDescent="0.6">
      <c r="A2270">
        <v>475</v>
      </c>
      <c r="B2270" t="s">
        <v>14</v>
      </c>
      <c r="C2270" t="s">
        <v>10</v>
      </c>
      <c r="D2270">
        <v>219.19</v>
      </c>
      <c r="E2270">
        <v>204.38</v>
      </c>
      <c r="F2270">
        <v>35439</v>
      </c>
      <c r="H2270">
        <f>_xlfn.LET(_xlpm.v, IFERROR(VLOOKUP($A2270, manifest!$A:$E, 3, FALSE), ""), IF(OR(_xlpm.v=0, _xlpm.v=""), "", _xlpm.v))</f>
        <v>60</v>
      </c>
      <c r="I2270" t="str">
        <f>_xlfn.LET(_xlpm.v, IFERROR(VLOOKUP($A2270, manifest!$A:$E, 5, FALSE), ""), IF(OR(_xlpm.v=0, _xlpm.v=""), "", _xlpm.v))</f>
        <v>male</v>
      </c>
    </row>
    <row r="2271" spans="1:9" x14ac:dyDescent="0.6">
      <c r="A2271">
        <v>475</v>
      </c>
      <c r="B2271" t="s">
        <v>14</v>
      </c>
      <c r="C2271" t="s">
        <v>11</v>
      </c>
      <c r="D2271">
        <v>209.07</v>
      </c>
      <c r="E2271">
        <v>186.04</v>
      </c>
      <c r="F2271">
        <v>44530</v>
      </c>
      <c r="H2271">
        <f>_xlfn.LET(_xlpm.v, IFERROR(VLOOKUP($A2271, manifest!$A:$E, 3, FALSE), ""), IF(OR(_xlpm.v=0, _xlpm.v=""), "", _xlpm.v))</f>
        <v>60</v>
      </c>
      <c r="I2271" t="str">
        <f>_xlfn.LET(_xlpm.v, IFERROR(VLOOKUP($A2271, manifest!$A:$E, 5, FALSE), ""), IF(OR(_xlpm.v=0, _xlpm.v=""), "", _xlpm.v))</f>
        <v>male</v>
      </c>
    </row>
    <row r="2272" spans="1:9" x14ac:dyDescent="0.6">
      <c r="A2272">
        <v>475</v>
      </c>
      <c r="B2272" t="s">
        <v>14</v>
      </c>
      <c r="C2272" t="s">
        <v>12</v>
      </c>
      <c r="D2272">
        <v>294.39</v>
      </c>
      <c r="E2272">
        <v>241.78</v>
      </c>
      <c r="F2272">
        <v>61047</v>
      </c>
      <c r="H2272">
        <f>_xlfn.LET(_xlpm.v, IFERROR(VLOOKUP($A2272, manifest!$A:$E, 3, FALSE), ""), IF(OR(_xlpm.v=0, _xlpm.v=""), "", _xlpm.v))</f>
        <v>60</v>
      </c>
      <c r="I2272" t="str">
        <f>_xlfn.LET(_xlpm.v, IFERROR(VLOOKUP($A2272, manifest!$A:$E, 5, FALSE), ""), IF(OR(_xlpm.v=0, _xlpm.v=""), "", _xlpm.v))</f>
        <v>male</v>
      </c>
    </row>
    <row r="2273" spans="1:9" x14ac:dyDescent="0.6">
      <c r="A2273">
        <v>475</v>
      </c>
      <c r="B2273" t="s">
        <v>14</v>
      </c>
      <c r="C2273" t="s">
        <v>13</v>
      </c>
      <c r="D2273">
        <v>229.99</v>
      </c>
      <c r="E2273">
        <v>194.79</v>
      </c>
      <c r="F2273">
        <v>66662</v>
      </c>
      <c r="H2273">
        <f>_xlfn.LET(_xlpm.v, IFERROR(VLOOKUP($A2273, manifest!$A:$E, 3, FALSE), ""), IF(OR(_xlpm.v=0, _xlpm.v=""), "", _xlpm.v))</f>
        <v>60</v>
      </c>
      <c r="I2273" t="str">
        <f>_xlfn.LET(_xlpm.v, IFERROR(VLOOKUP($A2273, manifest!$A:$E, 5, FALSE), ""), IF(OR(_xlpm.v=0, _xlpm.v=""), "", _xlpm.v))</f>
        <v>male</v>
      </c>
    </row>
    <row r="2274" spans="1:9" x14ac:dyDescent="0.6">
      <c r="A2274">
        <v>486</v>
      </c>
      <c r="B2274" t="s">
        <v>14</v>
      </c>
      <c r="C2274" t="s">
        <v>8</v>
      </c>
      <c r="D2274">
        <v>211.42</v>
      </c>
      <c r="E2274">
        <v>158.58000000000001</v>
      </c>
      <c r="F2274">
        <v>31969</v>
      </c>
      <c r="G2274" t="s">
        <v>9</v>
      </c>
      <c r="H2274">
        <f>_xlfn.LET(_xlpm.v, IFERROR(VLOOKUP($A2274, manifest!$A:$E, 3, FALSE), ""), IF(OR(_xlpm.v=0, _xlpm.v=""), "", _xlpm.v))</f>
        <v>50</v>
      </c>
      <c r="I2274" t="str">
        <f>_xlfn.LET(_xlpm.v, IFERROR(VLOOKUP($A2274, manifest!$A:$E, 5, FALSE), ""), IF(OR(_xlpm.v=0, _xlpm.v=""), "", _xlpm.v))</f>
        <v>male</v>
      </c>
    </row>
    <row r="2275" spans="1:9" x14ac:dyDescent="0.6">
      <c r="A2275">
        <v>486</v>
      </c>
      <c r="B2275" t="s">
        <v>14</v>
      </c>
      <c r="C2275" t="s">
        <v>10</v>
      </c>
      <c r="D2275">
        <v>229.61</v>
      </c>
      <c r="E2275">
        <v>185.71</v>
      </c>
      <c r="F2275">
        <v>32984</v>
      </c>
      <c r="H2275">
        <f>_xlfn.LET(_xlpm.v, IFERROR(VLOOKUP($A2275, manifest!$A:$E, 3, FALSE), ""), IF(OR(_xlpm.v=0, _xlpm.v=""), "", _xlpm.v))</f>
        <v>50</v>
      </c>
      <c r="I2275" t="str">
        <f>_xlfn.LET(_xlpm.v, IFERROR(VLOOKUP($A2275, manifest!$A:$E, 5, FALSE), ""), IF(OR(_xlpm.v=0, _xlpm.v=""), "", _xlpm.v))</f>
        <v>male</v>
      </c>
    </row>
    <row r="2276" spans="1:9" x14ac:dyDescent="0.6">
      <c r="A2276">
        <v>486</v>
      </c>
      <c r="B2276" t="s">
        <v>14</v>
      </c>
      <c r="C2276" t="s">
        <v>11</v>
      </c>
      <c r="D2276">
        <v>224.84</v>
      </c>
      <c r="E2276">
        <v>184.21</v>
      </c>
      <c r="F2276">
        <v>39847</v>
      </c>
      <c r="H2276">
        <f>_xlfn.LET(_xlpm.v, IFERROR(VLOOKUP($A2276, manifest!$A:$E, 3, FALSE), ""), IF(OR(_xlpm.v=0, _xlpm.v=""), "", _xlpm.v))</f>
        <v>50</v>
      </c>
      <c r="I2276" t="str">
        <f>_xlfn.LET(_xlpm.v, IFERROR(VLOOKUP($A2276, manifest!$A:$E, 5, FALSE), ""), IF(OR(_xlpm.v=0, _xlpm.v=""), "", _xlpm.v))</f>
        <v>male</v>
      </c>
    </row>
    <row r="2277" spans="1:9" x14ac:dyDescent="0.6">
      <c r="A2277">
        <v>486</v>
      </c>
      <c r="B2277" t="s">
        <v>14</v>
      </c>
      <c r="C2277" t="s">
        <v>12</v>
      </c>
      <c r="D2277">
        <v>214.04</v>
      </c>
      <c r="E2277">
        <v>202.48</v>
      </c>
      <c r="F2277">
        <v>39291</v>
      </c>
      <c r="H2277">
        <f>_xlfn.LET(_xlpm.v, IFERROR(VLOOKUP($A2277, manifest!$A:$E, 3, FALSE), ""), IF(OR(_xlpm.v=0, _xlpm.v=""), "", _xlpm.v))</f>
        <v>50</v>
      </c>
      <c r="I2277" t="str">
        <f>_xlfn.LET(_xlpm.v, IFERROR(VLOOKUP($A2277, manifest!$A:$E, 5, FALSE), ""), IF(OR(_xlpm.v=0, _xlpm.v=""), "", _xlpm.v))</f>
        <v>male</v>
      </c>
    </row>
    <row r="2278" spans="1:9" x14ac:dyDescent="0.6">
      <c r="A2278">
        <v>486</v>
      </c>
      <c r="B2278" t="s">
        <v>14</v>
      </c>
      <c r="C2278" t="s">
        <v>13</v>
      </c>
      <c r="D2278">
        <v>238.47</v>
      </c>
      <c r="E2278">
        <v>191.26</v>
      </c>
      <c r="F2278">
        <v>37802</v>
      </c>
      <c r="H2278">
        <f>_xlfn.LET(_xlpm.v, IFERROR(VLOOKUP($A2278, manifest!$A:$E, 3, FALSE), ""), IF(OR(_xlpm.v=0, _xlpm.v=""), "", _xlpm.v))</f>
        <v>50</v>
      </c>
      <c r="I2278" t="str">
        <f>_xlfn.LET(_xlpm.v, IFERROR(VLOOKUP($A2278, manifest!$A:$E, 5, FALSE), ""), IF(OR(_xlpm.v=0, _xlpm.v=""), "", _xlpm.v))</f>
        <v>male</v>
      </c>
    </row>
    <row r="2279" spans="1:9" x14ac:dyDescent="0.6">
      <c r="A2279">
        <v>499</v>
      </c>
      <c r="B2279" t="s">
        <v>14</v>
      </c>
      <c r="C2279" t="s">
        <v>8</v>
      </c>
      <c r="D2279">
        <v>210.47</v>
      </c>
      <c r="E2279">
        <v>162</v>
      </c>
      <c r="F2279">
        <v>23425</v>
      </c>
      <c r="G2279" t="s">
        <v>9</v>
      </c>
      <c r="H2279">
        <f>_xlfn.LET(_xlpm.v, IFERROR(VLOOKUP($A2279, manifest!$A:$E, 3, FALSE), ""), IF(OR(_xlpm.v=0, _xlpm.v=""), "", _xlpm.v))</f>
        <v>70</v>
      </c>
      <c r="I2279" t="str">
        <f>_xlfn.LET(_xlpm.v, IFERROR(VLOOKUP($A2279, manifest!$A:$E, 5, FALSE), ""), IF(OR(_xlpm.v=0, _xlpm.v=""), "", _xlpm.v))</f>
        <v>male</v>
      </c>
    </row>
    <row r="2280" spans="1:9" x14ac:dyDescent="0.6">
      <c r="A2280">
        <v>499</v>
      </c>
      <c r="B2280" t="s">
        <v>14</v>
      </c>
      <c r="C2280" t="s">
        <v>10</v>
      </c>
      <c r="D2280">
        <v>216.9</v>
      </c>
      <c r="E2280">
        <v>191.04</v>
      </c>
      <c r="F2280">
        <v>26846</v>
      </c>
      <c r="H2280">
        <f>_xlfn.LET(_xlpm.v, IFERROR(VLOOKUP($A2280, manifest!$A:$E, 3, FALSE), ""), IF(OR(_xlpm.v=0, _xlpm.v=""), "", _xlpm.v))</f>
        <v>70</v>
      </c>
      <c r="I2280" t="str">
        <f>_xlfn.LET(_xlpm.v, IFERROR(VLOOKUP($A2280, manifest!$A:$E, 5, FALSE), ""), IF(OR(_xlpm.v=0, _xlpm.v=""), "", _xlpm.v))</f>
        <v>male</v>
      </c>
    </row>
    <row r="2281" spans="1:9" x14ac:dyDescent="0.6">
      <c r="A2281">
        <v>499</v>
      </c>
      <c r="B2281" t="s">
        <v>14</v>
      </c>
      <c r="C2281" t="s">
        <v>11</v>
      </c>
      <c r="D2281">
        <v>214.64</v>
      </c>
      <c r="E2281">
        <v>176.13</v>
      </c>
      <c r="F2281">
        <v>27167</v>
      </c>
      <c r="H2281">
        <f>_xlfn.LET(_xlpm.v, IFERROR(VLOOKUP($A2281, manifest!$A:$E, 3, FALSE), ""), IF(OR(_xlpm.v=0, _xlpm.v=""), "", _xlpm.v))</f>
        <v>70</v>
      </c>
      <c r="I2281" t="str">
        <f>_xlfn.LET(_xlpm.v, IFERROR(VLOOKUP($A2281, manifest!$A:$E, 5, FALSE), ""), IF(OR(_xlpm.v=0, _xlpm.v=""), "", _xlpm.v))</f>
        <v>male</v>
      </c>
    </row>
    <row r="2282" spans="1:9" x14ac:dyDescent="0.6">
      <c r="A2282">
        <v>499</v>
      </c>
      <c r="B2282" t="s">
        <v>14</v>
      </c>
      <c r="C2282" t="s">
        <v>12</v>
      </c>
      <c r="D2282">
        <v>237.45</v>
      </c>
      <c r="E2282">
        <v>184.28</v>
      </c>
      <c r="F2282">
        <v>35779</v>
      </c>
      <c r="H2282">
        <f>_xlfn.LET(_xlpm.v, IFERROR(VLOOKUP($A2282, manifest!$A:$E, 3, FALSE), ""), IF(OR(_xlpm.v=0, _xlpm.v=""), "", _xlpm.v))</f>
        <v>70</v>
      </c>
      <c r="I2282" t="str">
        <f>_xlfn.LET(_xlpm.v, IFERROR(VLOOKUP($A2282, manifest!$A:$E, 5, FALSE), ""), IF(OR(_xlpm.v=0, _xlpm.v=""), "", _xlpm.v))</f>
        <v>male</v>
      </c>
    </row>
    <row r="2283" spans="1:9" x14ac:dyDescent="0.6">
      <c r="A2283">
        <v>499</v>
      </c>
      <c r="B2283" t="s">
        <v>14</v>
      </c>
      <c r="C2283" t="s">
        <v>13</v>
      </c>
      <c r="D2283">
        <v>211.45</v>
      </c>
      <c r="E2283">
        <v>160.07</v>
      </c>
      <c r="F2283">
        <v>34371</v>
      </c>
      <c r="H2283">
        <f>_xlfn.LET(_xlpm.v, IFERROR(VLOOKUP($A2283, manifest!$A:$E, 3, FALSE), ""), IF(OR(_xlpm.v=0, _xlpm.v=""), "", _xlpm.v))</f>
        <v>70</v>
      </c>
      <c r="I2283" t="str">
        <f>_xlfn.LET(_xlpm.v, IFERROR(VLOOKUP($A2283, manifest!$A:$E, 5, FALSE), ""), IF(OR(_xlpm.v=0, _xlpm.v=""), "", _xlpm.v))</f>
        <v>male</v>
      </c>
    </row>
    <row r="2284" spans="1:9" x14ac:dyDescent="0.6">
      <c r="A2284">
        <v>495</v>
      </c>
      <c r="B2284" t="s">
        <v>7</v>
      </c>
      <c r="C2284" t="s">
        <v>8</v>
      </c>
      <c r="D2284">
        <v>179.73</v>
      </c>
      <c r="E2284">
        <v>96.56</v>
      </c>
      <c r="F2284">
        <v>29015</v>
      </c>
      <c r="G2284" t="s">
        <v>9</v>
      </c>
      <c r="H2284">
        <f>_xlfn.LET(_xlpm.v, IFERROR(VLOOKUP($A2284, manifest!$A:$E, 3, FALSE), ""), IF(OR(_xlpm.v=0, _xlpm.v=""), "", _xlpm.v))</f>
        <v>60</v>
      </c>
      <c r="I2284" t="str">
        <f>_xlfn.LET(_xlpm.v, IFERROR(VLOOKUP($A2284, manifest!$A:$E, 5, FALSE), ""), IF(OR(_xlpm.v=0, _xlpm.v=""), "", _xlpm.v))</f>
        <v>male</v>
      </c>
    </row>
    <row r="2285" spans="1:9" x14ac:dyDescent="0.6">
      <c r="A2285">
        <v>495</v>
      </c>
      <c r="B2285" t="s">
        <v>7</v>
      </c>
      <c r="C2285" t="s">
        <v>10</v>
      </c>
      <c r="D2285">
        <v>173.73</v>
      </c>
      <c r="E2285">
        <v>103.13</v>
      </c>
      <c r="F2285">
        <v>31345</v>
      </c>
      <c r="H2285">
        <f>_xlfn.LET(_xlpm.v, IFERROR(VLOOKUP($A2285, manifest!$A:$E, 3, FALSE), ""), IF(OR(_xlpm.v=0, _xlpm.v=""), "", _xlpm.v))</f>
        <v>60</v>
      </c>
      <c r="I2285" t="str">
        <f>_xlfn.LET(_xlpm.v, IFERROR(VLOOKUP($A2285, manifest!$A:$E, 5, FALSE), ""), IF(OR(_xlpm.v=0, _xlpm.v=""), "", _xlpm.v))</f>
        <v>male</v>
      </c>
    </row>
    <row r="2286" spans="1:9" x14ac:dyDescent="0.6">
      <c r="A2286">
        <v>495</v>
      </c>
      <c r="B2286" t="s">
        <v>7</v>
      </c>
      <c r="C2286" t="s">
        <v>11</v>
      </c>
      <c r="D2286">
        <v>180.17</v>
      </c>
      <c r="E2286">
        <v>143.80000000000001</v>
      </c>
      <c r="F2286">
        <v>39752</v>
      </c>
      <c r="H2286">
        <f>_xlfn.LET(_xlpm.v, IFERROR(VLOOKUP($A2286, manifest!$A:$E, 3, FALSE), ""), IF(OR(_xlpm.v=0, _xlpm.v=""), "", _xlpm.v))</f>
        <v>60</v>
      </c>
      <c r="I2286" t="str">
        <f>_xlfn.LET(_xlpm.v, IFERROR(VLOOKUP($A2286, manifest!$A:$E, 5, FALSE), ""), IF(OR(_xlpm.v=0, _xlpm.v=""), "", _xlpm.v))</f>
        <v>male</v>
      </c>
    </row>
    <row r="2287" spans="1:9" x14ac:dyDescent="0.6">
      <c r="A2287">
        <v>495</v>
      </c>
      <c r="B2287" t="s">
        <v>7</v>
      </c>
      <c r="C2287" t="s">
        <v>12</v>
      </c>
      <c r="D2287">
        <v>182.09</v>
      </c>
      <c r="E2287">
        <v>126.46</v>
      </c>
      <c r="F2287">
        <v>44456</v>
      </c>
      <c r="H2287">
        <f>_xlfn.LET(_xlpm.v, IFERROR(VLOOKUP($A2287, manifest!$A:$E, 3, FALSE), ""), IF(OR(_xlpm.v=0, _xlpm.v=""), "", _xlpm.v))</f>
        <v>60</v>
      </c>
      <c r="I2287" t="str">
        <f>_xlfn.LET(_xlpm.v, IFERROR(VLOOKUP($A2287, manifest!$A:$E, 5, FALSE), ""), IF(OR(_xlpm.v=0, _xlpm.v=""), "", _xlpm.v))</f>
        <v>male</v>
      </c>
    </row>
    <row r="2288" spans="1:9" x14ac:dyDescent="0.6">
      <c r="A2288">
        <v>495</v>
      </c>
      <c r="B2288" t="s">
        <v>7</v>
      </c>
      <c r="C2288" t="s">
        <v>13</v>
      </c>
      <c r="D2288">
        <v>207.55</v>
      </c>
      <c r="E2288">
        <v>140.09</v>
      </c>
      <c r="F2288">
        <v>49221</v>
      </c>
      <c r="H2288">
        <f>_xlfn.LET(_xlpm.v, IFERROR(VLOOKUP($A2288, manifest!$A:$E, 3, FALSE), ""), IF(OR(_xlpm.v=0, _xlpm.v=""), "", _xlpm.v))</f>
        <v>60</v>
      </c>
      <c r="I2288" t="str">
        <f>_xlfn.LET(_xlpm.v, IFERROR(VLOOKUP($A2288, manifest!$A:$E, 5, FALSE), ""), IF(OR(_xlpm.v=0, _xlpm.v=""), "", _xlpm.v))</f>
        <v>male</v>
      </c>
    </row>
    <row r="2289" spans="1:9" x14ac:dyDescent="0.6">
      <c r="A2289">
        <v>484</v>
      </c>
      <c r="B2289" t="s">
        <v>14</v>
      </c>
      <c r="C2289" t="s">
        <v>8</v>
      </c>
      <c r="D2289">
        <v>176.83</v>
      </c>
      <c r="E2289">
        <v>129.69</v>
      </c>
      <c r="F2289">
        <v>24746</v>
      </c>
      <c r="G2289" t="s">
        <v>9</v>
      </c>
      <c r="H2289" t="str">
        <f>_xlfn.LET(_xlpm.v, IFERROR(VLOOKUP($A2289, manifest!$A:$E, 3, FALSE), ""), IF(OR(_xlpm.v=0, _xlpm.v=""), "", _xlpm.v))</f>
        <v/>
      </c>
      <c r="I2289" t="str">
        <f>_xlfn.LET(_xlpm.v, IFERROR(VLOOKUP($A2289, manifest!$A:$E, 5, FALSE), ""), IF(OR(_xlpm.v=0, _xlpm.v=""), "", _xlpm.v))</f>
        <v>female</v>
      </c>
    </row>
    <row r="2290" spans="1:9" x14ac:dyDescent="0.6">
      <c r="A2290">
        <v>484</v>
      </c>
      <c r="B2290" t="s">
        <v>14</v>
      </c>
      <c r="C2290" t="s">
        <v>10</v>
      </c>
      <c r="D2290">
        <v>186.14</v>
      </c>
      <c r="E2290">
        <v>155.35</v>
      </c>
      <c r="F2290">
        <v>29282</v>
      </c>
      <c r="H2290" t="str">
        <f>_xlfn.LET(_xlpm.v, IFERROR(VLOOKUP($A2290, manifest!$A:$E, 3, FALSE), ""), IF(OR(_xlpm.v=0, _xlpm.v=""), "", _xlpm.v))</f>
        <v/>
      </c>
      <c r="I2290" t="str">
        <f>_xlfn.LET(_xlpm.v, IFERROR(VLOOKUP($A2290, manifest!$A:$E, 5, FALSE), ""), IF(OR(_xlpm.v=0, _xlpm.v=""), "", _xlpm.v))</f>
        <v>female</v>
      </c>
    </row>
    <row r="2291" spans="1:9" x14ac:dyDescent="0.6">
      <c r="A2291">
        <v>484</v>
      </c>
      <c r="B2291" t="s">
        <v>14</v>
      </c>
      <c r="C2291" t="s">
        <v>11</v>
      </c>
      <c r="D2291">
        <v>186.59</v>
      </c>
      <c r="E2291">
        <v>176.34</v>
      </c>
      <c r="F2291">
        <v>32980</v>
      </c>
      <c r="H2291" t="str">
        <f>_xlfn.LET(_xlpm.v, IFERROR(VLOOKUP($A2291, manifest!$A:$E, 3, FALSE), ""), IF(OR(_xlpm.v=0, _xlpm.v=""), "", _xlpm.v))</f>
        <v/>
      </c>
      <c r="I2291" t="str">
        <f>_xlfn.LET(_xlpm.v, IFERROR(VLOOKUP($A2291, manifest!$A:$E, 5, FALSE), ""), IF(OR(_xlpm.v=0, _xlpm.v=""), "", _xlpm.v))</f>
        <v>female</v>
      </c>
    </row>
    <row r="2292" spans="1:9" x14ac:dyDescent="0.6">
      <c r="A2292">
        <v>484</v>
      </c>
      <c r="B2292" t="s">
        <v>14</v>
      </c>
      <c r="C2292" t="s">
        <v>12</v>
      </c>
      <c r="D2292">
        <v>183.46</v>
      </c>
      <c r="E2292">
        <v>164.1</v>
      </c>
      <c r="F2292">
        <v>31758</v>
      </c>
      <c r="H2292" t="str">
        <f>_xlfn.LET(_xlpm.v, IFERROR(VLOOKUP($A2292, manifest!$A:$E, 3, FALSE), ""), IF(OR(_xlpm.v=0, _xlpm.v=""), "", _xlpm.v))</f>
        <v/>
      </c>
      <c r="I2292" t="str">
        <f>_xlfn.LET(_xlpm.v, IFERROR(VLOOKUP($A2292, manifest!$A:$E, 5, FALSE), ""), IF(OR(_xlpm.v=0, _xlpm.v=""), "", _xlpm.v))</f>
        <v>female</v>
      </c>
    </row>
    <row r="2293" spans="1:9" x14ac:dyDescent="0.6">
      <c r="A2293">
        <v>484</v>
      </c>
      <c r="B2293" t="s">
        <v>14</v>
      </c>
      <c r="C2293" t="s">
        <v>13</v>
      </c>
      <c r="D2293">
        <v>189.52</v>
      </c>
      <c r="E2293">
        <v>159.99</v>
      </c>
      <c r="F2293">
        <v>42689</v>
      </c>
      <c r="H2293" t="str">
        <f>_xlfn.LET(_xlpm.v, IFERROR(VLOOKUP($A2293, manifest!$A:$E, 3, FALSE), ""), IF(OR(_xlpm.v=0, _xlpm.v=""), "", _xlpm.v))</f>
        <v/>
      </c>
      <c r="I2293" t="str">
        <f>_xlfn.LET(_xlpm.v, IFERROR(VLOOKUP($A2293, manifest!$A:$E, 5, FALSE), ""), IF(OR(_xlpm.v=0, _xlpm.v=""), "", _xlpm.v))</f>
        <v>female</v>
      </c>
    </row>
    <row r="2294" spans="1:9" x14ac:dyDescent="0.6">
      <c r="A2294">
        <v>468</v>
      </c>
      <c r="B2294" t="s">
        <v>7</v>
      </c>
      <c r="C2294" t="s">
        <v>8</v>
      </c>
      <c r="D2294">
        <v>135.59</v>
      </c>
      <c r="E2294">
        <v>123.79</v>
      </c>
      <c r="F2294">
        <v>25160</v>
      </c>
      <c r="G2294" t="s">
        <v>15</v>
      </c>
      <c r="H2294">
        <f>_xlfn.LET(_xlpm.v, IFERROR(VLOOKUP($A2294, manifest!$A:$E, 3, FALSE), ""), IF(OR(_xlpm.v=0, _xlpm.v=""), "", _xlpm.v))</f>
        <v>70</v>
      </c>
      <c r="I2294" t="str">
        <f>_xlfn.LET(_xlpm.v, IFERROR(VLOOKUP($A2294, manifest!$A:$E, 5, FALSE), ""), IF(OR(_xlpm.v=0, _xlpm.v=""), "", _xlpm.v))</f>
        <v>male</v>
      </c>
    </row>
    <row r="2295" spans="1:9" x14ac:dyDescent="0.6">
      <c r="A2295">
        <v>468</v>
      </c>
      <c r="B2295" t="s">
        <v>7</v>
      </c>
      <c r="C2295" t="s">
        <v>10</v>
      </c>
      <c r="D2295">
        <v>154.29</v>
      </c>
      <c r="E2295">
        <v>143.4</v>
      </c>
      <c r="F2295">
        <v>28046</v>
      </c>
      <c r="H2295">
        <f>_xlfn.LET(_xlpm.v, IFERROR(VLOOKUP($A2295, manifest!$A:$E, 3, FALSE), ""), IF(OR(_xlpm.v=0, _xlpm.v=""), "", _xlpm.v))</f>
        <v>70</v>
      </c>
      <c r="I2295" t="str">
        <f>_xlfn.LET(_xlpm.v, IFERROR(VLOOKUP($A2295, manifest!$A:$E, 5, FALSE), ""), IF(OR(_xlpm.v=0, _xlpm.v=""), "", _xlpm.v))</f>
        <v>male</v>
      </c>
    </row>
    <row r="2296" spans="1:9" x14ac:dyDescent="0.6">
      <c r="A2296">
        <v>468</v>
      </c>
      <c r="B2296" t="s">
        <v>7</v>
      </c>
      <c r="C2296" t="s">
        <v>11</v>
      </c>
      <c r="D2296">
        <v>133.63999999999999</v>
      </c>
      <c r="E2296">
        <v>137.59</v>
      </c>
      <c r="F2296">
        <v>27697</v>
      </c>
      <c r="H2296">
        <f>_xlfn.LET(_xlpm.v, IFERROR(VLOOKUP($A2296, manifest!$A:$E, 3, FALSE), ""), IF(OR(_xlpm.v=0, _xlpm.v=""), "", _xlpm.v))</f>
        <v>70</v>
      </c>
      <c r="I2296" t="str">
        <f>_xlfn.LET(_xlpm.v, IFERROR(VLOOKUP($A2296, manifest!$A:$E, 5, FALSE), ""), IF(OR(_xlpm.v=0, _xlpm.v=""), "", _xlpm.v))</f>
        <v>male</v>
      </c>
    </row>
    <row r="2297" spans="1:9" x14ac:dyDescent="0.6">
      <c r="A2297">
        <v>468</v>
      </c>
      <c r="B2297" t="s">
        <v>7</v>
      </c>
      <c r="C2297" t="s">
        <v>12</v>
      </c>
      <c r="D2297">
        <v>127.99</v>
      </c>
      <c r="E2297">
        <v>130.38999999999999</v>
      </c>
      <c r="F2297">
        <v>30349</v>
      </c>
      <c r="H2297">
        <f>_xlfn.LET(_xlpm.v, IFERROR(VLOOKUP($A2297, manifest!$A:$E, 3, FALSE), ""), IF(OR(_xlpm.v=0, _xlpm.v=""), "", _xlpm.v))</f>
        <v>70</v>
      </c>
      <c r="I2297" t="str">
        <f>_xlfn.LET(_xlpm.v, IFERROR(VLOOKUP($A2297, manifest!$A:$E, 5, FALSE), ""), IF(OR(_xlpm.v=0, _xlpm.v=""), "", _xlpm.v))</f>
        <v>male</v>
      </c>
    </row>
    <row r="2298" spans="1:9" x14ac:dyDescent="0.6">
      <c r="A2298">
        <v>468</v>
      </c>
      <c r="B2298" t="s">
        <v>7</v>
      </c>
      <c r="C2298" t="s">
        <v>13</v>
      </c>
      <c r="D2298">
        <v>149.96</v>
      </c>
      <c r="E2298">
        <v>146.84</v>
      </c>
      <c r="F2298">
        <v>33874</v>
      </c>
      <c r="H2298">
        <f>_xlfn.LET(_xlpm.v, IFERROR(VLOOKUP($A2298, manifest!$A:$E, 3, FALSE), ""), IF(OR(_xlpm.v=0, _xlpm.v=""), "", _xlpm.v))</f>
        <v>70</v>
      </c>
      <c r="I2298" t="str">
        <f>_xlfn.LET(_xlpm.v, IFERROR(VLOOKUP($A2298, manifest!$A:$E, 5, FALSE), ""), IF(OR(_xlpm.v=0, _xlpm.v=""), "", _xlpm.v))</f>
        <v>male</v>
      </c>
    </row>
    <row r="2299" spans="1:9" x14ac:dyDescent="0.6">
      <c r="A2299">
        <v>490</v>
      </c>
      <c r="B2299" t="s">
        <v>14</v>
      </c>
      <c r="C2299" t="s">
        <v>8</v>
      </c>
      <c r="D2299">
        <v>196.12</v>
      </c>
      <c r="E2299">
        <v>131.02000000000001</v>
      </c>
      <c r="F2299">
        <v>52160</v>
      </c>
      <c r="G2299" t="s">
        <v>9</v>
      </c>
      <c r="H2299">
        <f>_xlfn.LET(_xlpm.v, IFERROR(VLOOKUP($A2299, manifest!$A:$E, 3, FALSE), ""), IF(OR(_xlpm.v=0, _xlpm.v=""), "", _xlpm.v))</f>
        <v>50</v>
      </c>
      <c r="I2299" t="str">
        <f>_xlfn.LET(_xlpm.v, IFERROR(VLOOKUP($A2299, manifest!$A:$E, 5, FALSE), ""), IF(OR(_xlpm.v=0, _xlpm.v=""), "", _xlpm.v))</f>
        <v>female</v>
      </c>
    </row>
    <row r="2300" spans="1:9" x14ac:dyDescent="0.6">
      <c r="A2300">
        <v>490</v>
      </c>
      <c r="B2300" t="s">
        <v>14</v>
      </c>
      <c r="C2300" t="s">
        <v>10</v>
      </c>
      <c r="D2300">
        <v>219.74</v>
      </c>
      <c r="E2300">
        <v>183.52</v>
      </c>
      <c r="F2300">
        <v>56618</v>
      </c>
      <c r="H2300">
        <f>_xlfn.LET(_xlpm.v, IFERROR(VLOOKUP($A2300, manifest!$A:$E, 3, FALSE), ""), IF(OR(_xlpm.v=0, _xlpm.v=""), "", _xlpm.v))</f>
        <v>50</v>
      </c>
      <c r="I2300" t="str">
        <f>_xlfn.LET(_xlpm.v, IFERROR(VLOOKUP($A2300, manifest!$A:$E, 5, FALSE), ""), IF(OR(_xlpm.v=0, _xlpm.v=""), "", _xlpm.v))</f>
        <v>female</v>
      </c>
    </row>
    <row r="2301" spans="1:9" x14ac:dyDescent="0.6">
      <c r="A2301">
        <v>490</v>
      </c>
      <c r="B2301" t="s">
        <v>14</v>
      </c>
      <c r="C2301" t="s">
        <v>11</v>
      </c>
      <c r="D2301">
        <v>222.8</v>
      </c>
      <c r="E2301">
        <v>196.11</v>
      </c>
      <c r="F2301">
        <v>61073</v>
      </c>
      <c r="H2301">
        <f>_xlfn.LET(_xlpm.v, IFERROR(VLOOKUP($A2301, manifest!$A:$E, 3, FALSE), ""), IF(OR(_xlpm.v=0, _xlpm.v=""), "", _xlpm.v))</f>
        <v>50</v>
      </c>
      <c r="I2301" t="str">
        <f>_xlfn.LET(_xlpm.v, IFERROR(VLOOKUP($A2301, manifest!$A:$E, 5, FALSE), ""), IF(OR(_xlpm.v=0, _xlpm.v=""), "", _xlpm.v))</f>
        <v>female</v>
      </c>
    </row>
    <row r="2302" spans="1:9" x14ac:dyDescent="0.6">
      <c r="A2302">
        <v>490</v>
      </c>
      <c r="B2302" t="s">
        <v>14</v>
      </c>
      <c r="C2302" t="s">
        <v>12</v>
      </c>
      <c r="D2302">
        <v>192.29</v>
      </c>
      <c r="E2302">
        <v>133.44999999999999</v>
      </c>
      <c r="F2302">
        <v>66649</v>
      </c>
      <c r="H2302">
        <f>_xlfn.LET(_xlpm.v, IFERROR(VLOOKUP($A2302, manifest!$A:$E, 3, FALSE), ""), IF(OR(_xlpm.v=0, _xlpm.v=""), "", _xlpm.v))</f>
        <v>50</v>
      </c>
      <c r="I2302" t="str">
        <f>_xlfn.LET(_xlpm.v, IFERROR(VLOOKUP($A2302, manifest!$A:$E, 5, FALSE), ""), IF(OR(_xlpm.v=0, _xlpm.v=""), "", _xlpm.v))</f>
        <v>female</v>
      </c>
    </row>
    <row r="2303" spans="1:9" x14ac:dyDescent="0.6">
      <c r="A2303">
        <v>490</v>
      </c>
      <c r="B2303" t="s">
        <v>14</v>
      </c>
      <c r="C2303" t="s">
        <v>13</v>
      </c>
      <c r="D2303">
        <v>210.24</v>
      </c>
      <c r="E2303">
        <v>167.66</v>
      </c>
      <c r="F2303">
        <v>79998</v>
      </c>
      <c r="H2303">
        <f>_xlfn.LET(_xlpm.v, IFERROR(VLOOKUP($A2303, manifest!$A:$E, 3, FALSE), ""), IF(OR(_xlpm.v=0, _xlpm.v=""), "", _xlpm.v))</f>
        <v>50</v>
      </c>
      <c r="I2303" t="str">
        <f>_xlfn.LET(_xlpm.v, IFERROR(VLOOKUP($A2303, manifest!$A:$E, 5, FALSE), ""), IF(OR(_xlpm.v=0, _xlpm.v=""), "", _xlpm.v))</f>
        <v>female</v>
      </c>
    </row>
    <row r="2304" spans="1:9" x14ac:dyDescent="0.6">
      <c r="A2304">
        <v>470</v>
      </c>
      <c r="B2304" t="s">
        <v>7</v>
      </c>
      <c r="C2304" t="s">
        <v>8</v>
      </c>
      <c r="D2304">
        <v>206.5</v>
      </c>
      <c r="E2304">
        <v>161.44</v>
      </c>
      <c r="F2304">
        <v>33933</v>
      </c>
      <c r="G2304" t="s">
        <v>9</v>
      </c>
      <c r="H2304">
        <f>_xlfn.LET(_xlpm.v, IFERROR(VLOOKUP($A2304, manifest!$A:$E, 3, FALSE), ""), IF(OR(_xlpm.v=0, _xlpm.v=""), "", _xlpm.v))</f>
        <v>60</v>
      </c>
      <c r="I2304" t="str">
        <f>_xlfn.LET(_xlpm.v, IFERROR(VLOOKUP($A2304, manifest!$A:$E, 5, FALSE), ""), IF(OR(_xlpm.v=0, _xlpm.v=""), "", _xlpm.v))</f>
        <v>male</v>
      </c>
    </row>
    <row r="2305" spans="1:9" x14ac:dyDescent="0.6">
      <c r="A2305">
        <v>470</v>
      </c>
      <c r="B2305" t="s">
        <v>7</v>
      </c>
      <c r="C2305" t="s">
        <v>10</v>
      </c>
      <c r="D2305">
        <v>210.14</v>
      </c>
      <c r="E2305">
        <v>182.86</v>
      </c>
      <c r="F2305">
        <v>33277</v>
      </c>
      <c r="H2305">
        <f>_xlfn.LET(_xlpm.v, IFERROR(VLOOKUP($A2305, manifest!$A:$E, 3, FALSE), ""), IF(OR(_xlpm.v=0, _xlpm.v=""), "", _xlpm.v))</f>
        <v>60</v>
      </c>
      <c r="I2305" t="str">
        <f>_xlfn.LET(_xlpm.v, IFERROR(VLOOKUP($A2305, manifest!$A:$E, 5, FALSE), ""), IF(OR(_xlpm.v=0, _xlpm.v=""), "", _xlpm.v))</f>
        <v>male</v>
      </c>
    </row>
    <row r="2306" spans="1:9" x14ac:dyDescent="0.6">
      <c r="A2306">
        <v>470</v>
      </c>
      <c r="B2306" t="s">
        <v>7</v>
      </c>
      <c r="C2306" t="s">
        <v>11</v>
      </c>
      <c r="D2306">
        <v>219.5</v>
      </c>
      <c r="E2306">
        <v>186.77</v>
      </c>
      <c r="F2306">
        <v>34464</v>
      </c>
      <c r="H2306">
        <f>_xlfn.LET(_xlpm.v, IFERROR(VLOOKUP($A2306, manifest!$A:$E, 3, FALSE), ""), IF(OR(_xlpm.v=0, _xlpm.v=""), "", _xlpm.v))</f>
        <v>60</v>
      </c>
      <c r="I2306" t="str">
        <f>_xlfn.LET(_xlpm.v, IFERROR(VLOOKUP($A2306, manifest!$A:$E, 5, FALSE), ""), IF(OR(_xlpm.v=0, _xlpm.v=""), "", _xlpm.v))</f>
        <v>male</v>
      </c>
    </row>
    <row r="2307" spans="1:9" x14ac:dyDescent="0.6">
      <c r="A2307">
        <v>470</v>
      </c>
      <c r="B2307" t="s">
        <v>7</v>
      </c>
      <c r="C2307" t="s">
        <v>12</v>
      </c>
      <c r="D2307">
        <v>244.64</v>
      </c>
      <c r="E2307">
        <v>181.14</v>
      </c>
      <c r="F2307">
        <v>43015</v>
      </c>
      <c r="H2307">
        <f>_xlfn.LET(_xlpm.v, IFERROR(VLOOKUP($A2307, manifest!$A:$E, 3, FALSE), ""), IF(OR(_xlpm.v=0, _xlpm.v=""), "", _xlpm.v))</f>
        <v>60</v>
      </c>
      <c r="I2307" t="str">
        <f>_xlfn.LET(_xlpm.v, IFERROR(VLOOKUP($A2307, manifest!$A:$E, 5, FALSE), ""), IF(OR(_xlpm.v=0, _xlpm.v=""), "", _xlpm.v))</f>
        <v>male</v>
      </c>
    </row>
    <row r="2308" spans="1:9" x14ac:dyDescent="0.6">
      <c r="A2308">
        <v>470</v>
      </c>
      <c r="B2308" t="s">
        <v>7</v>
      </c>
      <c r="C2308" t="s">
        <v>13</v>
      </c>
      <c r="D2308">
        <v>270.27</v>
      </c>
      <c r="E2308">
        <v>211.16</v>
      </c>
      <c r="F2308">
        <v>44403</v>
      </c>
      <c r="H2308">
        <f>_xlfn.LET(_xlpm.v, IFERROR(VLOOKUP($A2308, manifest!$A:$E, 3, FALSE), ""), IF(OR(_xlpm.v=0, _xlpm.v=""), "", _xlpm.v))</f>
        <v>60</v>
      </c>
      <c r="I2308" t="str">
        <f>_xlfn.LET(_xlpm.v, IFERROR(VLOOKUP($A2308, manifest!$A:$E, 5, FALSE), ""), IF(OR(_xlpm.v=0, _xlpm.v=""), "", _xlpm.v))</f>
        <v>male</v>
      </c>
    </row>
    <row r="2309" spans="1:9" x14ac:dyDescent="0.6">
      <c r="A2309">
        <v>478</v>
      </c>
      <c r="B2309" t="s">
        <v>7</v>
      </c>
      <c r="C2309" t="s">
        <v>8</v>
      </c>
      <c r="D2309">
        <v>147.34</v>
      </c>
      <c r="E2309">
        <v>100.39</v>
      </c>
      <c r="F2309">
        <v>24699</v>
      </c>
      <c r="G2309" t="s">
        <v>15</v>
      </c>
      <c r="H2309">
        <f>_xlfn.LET(_xlpm.v, IFERROR(VLOOKUP($A2309, manifest!$A:$E, 3, FALSE), ""), IF(OR(_xlpm.v=0, _xlpm.v=""), "", _xlpm.v))</f>
        <v>60</v>
      </c>
      <c r="I2309" t="str">
        <f>_xlfn.LET(_xlpm.v, IFERROR(VLOOKUP($A2309, manifest!$A:$E, 5, FALSE), ""), IF(OR(_xlpm.v=0, _xlpm.v=""), "", _xlpm.v))</f>
        <v>female</v>
      </c>
    </row>
    <row r="2310" spans="1:9" x14ac:dyDescent="0.6">
      <c r="A2310">
        <v>478</v>
      </c>
      <c r="B2310" t="s">
        <v>7</v>
      </c>
      <c r="C2310" t="s">
        <v>10</v>
      </c>
      <c r="D2310">
        <v>204.07</v>
      </c>
      <c r="E2310">
        <v>152.41</v>
      </c>
      <c r="F2310">
        <v>27674</v>
      </c>
      <c r="H2310">
        <f>_xlfn.LET(_xlpm.v, IFERROR(VLOOKUP($A2310, manifest!$A:$E, 3, FALSE), ""), IF(OR(_xlpm.v=0, _xlpm.v=""), "", _xlpm.v))</f>
        <v>60</v>
      </c>
      <c r="I2310" t="str">
        <f>_xlfn.LET(_xlpm.v, IFERROR(VLOOKUP($A2310, manifest!$A:$E, 5, FALSE), ""), IF(OR(_xlpm.v=0, _xlpm.v=""), "", _xlpm.v))</f>
        <v>female</v>
      </c>
    </row>
    <row r="2311" spans="1:9" x14ac:dyDescent="0.6">
      <c r="A2311">
        <v>478</v>
      </c>
      <c r="B2311" t="s">
        <v>7</v>
      </c>
      <c r="C2311" t="s">
        <v>11</v>
      </c>
      <c r="D2311">
        <v>170.12</v>
      </c>
      <c r="E2311">
        <v>149.63999999999999</v>
      </c>
      <c r="F2311">
        <v>30663</v>
      </c>
      <c r="H2311">
        <f>_xlfn.LET(_xlpm.v, IFERROR(VLOOKUP($A2311, manifest!$A:$E, 3, FALSE), ""), IF(OR(_xlpm.v=0, _xlpm.v=""), "", _xlpm.v))</f>
        <v>60</v>
      </c>
      <c r="I2311" t="str">
        <f>_xlfn.LET(_xlpm.v, IFERROR(VLOOKUP($A2311, manifest!$A:$E, 5, FALSE), ""), IF(OR(_xlpm.v=0, _xlpm.v=""), "", _xlpm.v))</f>
        <v>female</v>
      </c>
    </row>
    <row r="2312" spans="1:9" x14ac:dyDescent="0.6">
      <c r="A2312">
        <v>478</v>
      </c>
      <c r="B2312" t="s">
        <v>7</v>
      </c>
      <c r="C2312" t="s">
        <v>12</v>
      </c>
      <c r="D2312">
        <v>150.01</v>
      </c>
      <c r="E2312">
        <v>149.01</v>
      </c>
      <c r="F2312">
        <v>44892</v>
      </c>
      <c r="H2312">
        <f>_xlfn.LET(_xlpm.v, IFERROR(VLOOKUP($A2312, manifest!$A:$E, 3, FALSE), ""), IF(OR(_xlpm.v=0, _xlpm.v=""), "", _xlpm.v))</f>
        <v>60</v>
      </c>
      <c r="I2312" t="str">
        <f>_xlfn.LET(_xlpm.v, IFERROR(VLOOKUP($A2312, manifest!$A:$E, 5, FALSE), ""), IF(OR(_xlpm.v=0, _xlpm.v=""), "", _xlpm.v))</f>
        <v>female</v>
      </c>
    </row>
    <row r="2313" spans="1:9" x14ac:dyDescent="0.6">
      <c r="A2313">
        <v>478</v>
      </c>
      <c r="B2313" t="s">
        <v>7</v>
      </c>
      <c r="C2313" t="s">
        <v>13</v>
      </c>
      <c r="D2313">
        <v>172</v>
      </c>
      <c r="E2313">
        <v>141.94999999999999</v>
      </c>
      <c r="F2313">
        <v>43353</v>
      </c>
      <c r="H2313">
        <f>_xlfn.LET(_xlpm.v, IFERROR(VLOOKUP($A2313, manifest!$A:$E, 3, FALSE), ""), IF(OR(_xlpm.v=0, _xlpm.v=""), "", _xlpm.v))</f>
        <v>60</v>
      </c>
      <c r="I2313" t="str">
        <f>_xlfn.LET(_xlpm.v, IFERROR(VLOOKUP($A2313, manifest!$A:$E, 5, FALSE), ""), IF(OR(_xlpm.v=0, _xlpm.v=""), "", _xlpm.v))</f>
        <v>female</v>
      </c>
    </row>
    <row r="2314" spans="1:9" x14ac:dyDescent="0.6">
      <c r="A2314">
        <v>502</v>
      </c>
      <c r="B2314" t="s">
        <v>7</v>
      </c>
      <c r="C2314" t="s">
        <v>8</v>
      </c>
      <c r="D2314">
        <v>198.31</v>
      </c>
      <c r="E2314">
        <v>151.28</v>
      </c>
      <c r="F2314">
        <v>24256</v>
      </c>
      <c r="G2314" t="s">
        <v>9</v>
      </c>
      <c r="H2314">
        <f>_xlfn.LET(_xlpm.v, IFERROR(VLOOKUP($A2314, manifest!$A:$E, 3, FALSE), ""), IF(OR(_xlpm.v=0, _xlpm.v=""), "", _xlpm.v))</f>
        <v>60</v>
      </c>
      <c r="I2314" t="str">
        <f>_xlfn.LET(_xlpm.v, IFERROR(VLOOKUP($A2314, manifest!$A:$E, 5, FALSE), ""), IF(OR(_xlpm.v=0, _xlpm.v=""), "", _xlpm.v))</f>
        <v>female</v>
      </c>
    </row>
    <row r="2315" spans="1:9" x14ac:dyDescent="0.6">
      <c r="A2315">
        <v>502</v>
      </c>
      <c r="B2315" t="s">
        <v>7</v>
      </c>
      <c r="C2315" t="s">
        <v>10</v>
      </c>
      <c r="D2315">
        <v>256.70999999999998</v>
      </c>
      <c r="E2315">
        <v>280.70999999999998</v>
      </c>
      <c r="F2315">
        <v>26356</v>
      </c>
      <c r="H2315">
        <f>_xlfn.LET(_xlpm.v, IFERROR(VLOOKUP($A2315, manifest!$A:$E, 3, FALSE), ""), IF(OR(_xlpm.v=0, _xlpm.v=""), "", _xlpm.v))</f>
        <v>60</v>
      </c>
      <c r="I2315" t="str">
        <f>_xlfn.LET(_xlpm.v, IFERROR(VLOOKUP($A2315, manifest!$A:$E, 5, FALSE), ""), IF(OR(_xlpm.v=0, _xlpm.v=""), "", _xlpm.v))</f>
        <v>female</v>
      </c>
    </row>
    <row r="2316" spans="1:9" x14ac:dyDescent="0.6">
      <c r="A2316">
        <v>502</v>
      </c>
      <c r="B2316" t="s">
        <v>7</v>
      </c>
      <c r="C2316" t="s">
        <v>11</v>
      </c>
      <c r="D2316">
        <v>218.92</v>
      </c>
      <c r="E2316">
        <v>215.96</v>
      </c>
      <c r="F2316">
        <v>27657</v>
      </c>
      <c r="H2316">
        <f>_xlfn.LET(_xlpm.v, IFERROR(VLOOKUP($A2316, manifest!$A:$E, 3, FALSE), ""), IF(OR(_xlpm.v=0, _xlpm.v=""), "", _xlpm.v))</f>
        <v>60</v>
      </c>
      <c r="I2316" t="str">
        <f>_xlfn.LET(_xlpm.v, IFERROR(VLOOKUP($A2316, manifest!$A:$E, 5, FALSE), ""), IF(OR(_xlpm.v=0, _xlpm.v=""), "", _xlpm.v))</f>
        <v>female</v>
      </c>
    </row>
    <row r="2317" spans="1:9" x14ac:dyDescent="0.6">
      <c r="A2317">
        <v>502</v>
      </c>
      <c r="B2317" t="s">
        <v>7</v>
      </c>
      <c r="C2317" t="s">
        <v>12</v>
      </c>
      <c r="D2317">
        <v>218.25</v>
      </c>
      <c r="E2317">
        <v>208.36</v>
      </c>
      <c r="F2317">
        <v>36034</v>
      </c>
      <c r="H2317">
        <f>_xlfn.LET(_xlpm.v, IFERROR(VLOOKUP($A2317, manifest!$A:$E, 3, FALSE), ""), IF(OR(_xlpm.v=0, _xlpm.v=""), "", _xlpm.v))</f>
        <v>60</v>
      </c>
      <c r="I2317" t="str">
        <f>_xlfn.LET(_xlpm.v, IFERROR(VLOOKUP($A2317, manifest!$A:$E, 5, FALSE), ""), IF(OR(_xlpm.v=0, _xlpm.v=""), "", _xlpm.v))</f>
        <v>female</v>
      </c>
    </row>
    <row r="2318" spans="1:9" x14ac:dyDescent="0.6">
      <c r="A2318">
        <v>502</v>
      </c>
      <c r="B2318" t="s">
        <v>7</v>
      </c>
      <c r="C2318" t="s">
        <v>13</v>
      </c>
      <c r="D2318">
        <v>209.62</v>
      </c>
      <c r="E2318">
        <v>182.6</v>
      </c>
      <c r="F2318">
        <v>38414</v>
      </c>
      <c r="H2318">
        <f>_xlfn.LET(_xlpm.v, IFERROR(VLOOKUP($A2318, manifest!$A:$E, 3, FALSE), ""), IF(OR(_xlpm.v=0, _xlpm.v=""), "", _xlpm.v))</f>
        <v>60</v>
      </c>
      <c r="I2318" t="str">
        <f>_xlfn.LET(_xlpm.v, IFERROR(VLOOKUP($A2318, manifest!$A:$E, 5, FALSE), ""), IF(OR(_xlpm.v=0, _xlpm.v=""), "", _xlpm.v))</f>
        <v>female</v>
      </c>
    </row>
    <row r="2319" spans="1:9" x14ac:dyDescent="0.6">
      <c r="A2319">
        <v>471</v>
      </c>
      <c r="B2319" t="s">
        <v>7</v>
      </c>
      <c r="C2319" t="s">
        <v>8</v>
      </c>
      <c r="D2319">
        <v>173.69</v>
      </c>
      <c r="E2319">
        <v>92.41</v>
      </c>
      <c r="F2319">
        <v>43918</v>
      </c>
      <c r="G2319" t="s">
        <v>9</v>
      </c>
      <c r="H2319">
        <f>_xlfn.LET(_xlpm.v, IFERROR(VLOOKUP($A2319, manifest!$A:$E, 3, FALSE), ""), IF(OR(_xlpm.v=0, _xlpm.v=""), "", _xlpm.v))</f>
        <v>89</v>
      </c>
      <c r="I2319" t="str">
        <f>_xlfn.LET(_xlpm.v, IFERROR(VLOOKUP($A2319, manifest!$A:$E, 5, FALSE), ""), IF(OR(_xlpm.v=0, _xlpm.v=""), "", _xlpm.v))</f>
        <v/>
      </c>
    </row>
    <row r="2320" spans="1:9" x14ac:dyDescent="0.6">
      <c r="A2320">
        <v>471</v>
      </c>
      <c r="B2320" t="s">
        <v>7</v>
      </c>
      <c r="C2320" t="s">
        <v>10</v>
      </c>
      <c r="D2320">
        <v>189.89</v>
      </c>
      <c r="E2320">
        <v>119.39</v>
      </c>
      <c r="F2320">
        <v>44288</v>
      </c>
      <c r="H2320">
        <f>_xlfn.LET(_xlpm.v, IFERROR(VLOOKUP($A2320, manifest!$A:$E, 3, FALSE), ""), IF(OR(_xlpm.v=0, _xlpm.v=""), "", _xlpm.v))</f>
        <v>89</v>
      </c>
      <c r="I2320" t="str">
        <f>_xlfn.LET(_xlpm.v, IFERROR(VLOOKUP($A2320, manifest!$A:$E, 5, FALSE), ""), IF(OR(_xlpm.v=0, _xlpm.v=""), "", _xlpm.v))</f>
        <v/>
      </c>
    </row>
    <row r="2321" spans="1:9" x14ac:dyDescent="0.6">
      <c r="A2321">
        <v>471</v>
      </c>
      <c r="B2321" t="s">
        <v>7</v>
      </c>
      <c r="C2321" t="s">
        <v>11</v>
      </c>
      <c r="D2321">
        <v>194.83</v>
      </c>
      <c r="E2321">
        <v>121.49</v>
      </c>
      <c r="F2321">
        <v>47137</v>
      </c>
      <c r="H2321">
        <f>_xlfn.LET(_xlpm.v, IFERROR(VLOOKUP($A2321, manifest!$A:$E, 3, FALSE), ""), IF(OR(_xlpm.v=0, _xlpm.v=""), "", _xlpm.v))</f>
        <v>89</v>
      </c>
      <c r="I2321" t="str">
        <f>_xlfn.LET(_xlpm.v, IFERROR(VLOOKUP($A2321, manifest!$A:$E, 5, FALSE), ""), IF(OR(_xlpm.v=0, _xlpm.v=""), "", _xlpm.v))</f>
        <v/>
      </c>
    </row>
    <row r="2322" spans="1:9" x14ac:dyDescent="0.6">
      <c r="A2322">
        <v>471</v>
      </c>
      <c r="B2322" t="s">
        <v>7</v>
      </c>
      <c r="C2322" t="s">
        <v>12</v>
      </c>
      <c r="D2322">
        <v>189.36</v>
      </c>
      <c r="E2322">
        <v>131.08000000000001</v>
      </c>
      <c r="F2322">
        <v>49382</v>
      </c>
      <c r="H2322">
        <f>_xlfn.LET(_xlpm.v, IFERROR(VLOOKUP($A2322, manifest!$A:$E, 3, FALSE), ""), IF(OR(_xlpm.v=0, _xlpm.v=""), "", _xlpm.v))</f>
        <v>89</v>
      </c>
      <c r="I2322" t="str">
        <f>_xlfn.LET(_xlpm.v, IFERROR(VLOOKUP($A2322, manifest!$A:$E, 5, FALSE), ""), IF(OR(_xlpm.v=0, _xlpm.v=""), "", _xlpm.v))</f>
        <v/>
      </c>
    </row>
    <row r="2323" spans="1:9" x14ac:dyDescent="0.6">
      <c r="A2323">
        <v>471</v>
      </c>
      <c r="B2323" t="s">
        <v>7</v>
      </c>
      <c r="C2323" t="s">
        <v>13</v>
      </c>
      <c r="D2323">
        <v>193.6</v>
      </c>
      <c r="E2323">
        <v>134.62</v>
      </c>
      <c r="F2323">
        <v>58407</v>
      </c>
      <c r="H2323">
        <f>_xlfn.LET(_xlpm.v, IFERROR(VLOOKUP($A2323, manifest!$A:$E, 3, FALSE), ""), IF(OR(_xlpm.v=0, _xlpm.v=""), "", _xlpm.v))</f>
        <v>89</v>
      </c>
      <c r="I2323" t="str">
        <f>_xlfn.LET(_xlpm.v, IFERROR(VLOOKUP($A2323, manifest!$A:$E, 5, FALSE), ""), IF(OR(_xlpm.v=0, _xlpm.v=""), "", _xlpm.v))</f>
        <v/>
      </c>
    </row>
    <row r="2324" spans="1:9" x14ac:dyDescent="0.6">
      <c r="A2324">
        <v>489</v>
      </c>
      <c r="B2324" t="s">
        <v>14</v>
      </c>
      <c r="C2324" t="s">
        <v>8</v>
      </c>
      <c r="D2324">
        <v>219.6</v>
      </c>
      <c r="E2324">
        <v>142.79</v>
      </c>
      <c r="F2324">
        <v>44813</v>
      </c>
      <c r="G2324" t="s">
        <v>9</v>
      </c>
      <c r="H2324">
        <f>_xlfn.LET(_xlpm.v, IFERROR(VLOOKUP($A2324, manifest!$A:$E, 3, FALSE), ""), IF(OR(_xlpm.v=0, _xlpm.v=""), "", _xlpm.v))</f>
        <v>50</v>
      </c>
      <c r="I2324" t="str">
        <f>_xlfn.LET(_xlpm.v, IFERROR(VLOOKUP($A2324, manifest!$A:$E, 5, FALSE), ""), IF(OR(_xlpm.v=0, _xlpm.v=""), "", _xlpm.v))</f>
        <v>male</v>
      </c>
    </row>
    <row r="2325" spans="1:9" x14ac:dyDescent="0.6">
      <c r="A2325">
        <v>489</v>
      </c>
      <c r="B2325" t="s">
        <v>14</v>
      </c>
      <c r="C2325" t="s">
        <v>10</v>
      </c>
      <c r="D2325">
        <v>233.26</v>
      </c>
      <c r="E2325">
        <v>181.28</v>
      </c>
      <c r="F2325">
        <v>49091</v>
      </c>
      <c r="H2325">
        <f>_xlfn.LET(_xlpm.v, IFERROR(VLOOKUP($A2325, manifest!$A:$E, 3, FALSE), ""), IF(OR(_xlpm.v=0, _xlpm.v=""), "", _xlpm.v))</f>
        <v>50</v>
      </c>
      <c r="I2325" t="str">
        <f>_xlfn.LET(_xlpm.v, IFERROR(VLOOKUP($A2325, manifest!$A:$E, 5, FALSE), ""), IF(OR(_xlpm.v=0, _xlpm.v=""), "", _xlpm.v))</f>
        <v>male</v>
      </c>
    </row>
    <row r="2326" spans="1:9" x14ac:dyDescent="0.6">
      <c r="A2326">
        <v>489</v>
      </c>
      <c r="B2326" t="s">
        <v>14</v>
      </c>
      <c r="C2326" t="s">
        <v>11</v>
      </c>
      <c r="D2326">
        <v>232.52</v>
      </c>
      <c r="E2326">
        <v>185.88</v>
      </c>
      <c r="F2326">
        <v>55610</v>
      </c>
      <c r="H2326">
        <f>_xlfn.LET(_xlpm.v, IFERROR(VLOOKUP($A2326, manifest!$A:$E, 3, FALSE), ""), IF(OR(_xlpm.v=0, _xlpm.v=""), "", _xlpm.v))</f>
        <v>50</v>
      </c>
      <c r="I2326" t="str">
        <f>_xlfn.LET(_xlpm.v, IFERROR(VLOOKUP($A2326, manifest!$A:$E, 5, FALSE), ""), IF(OR(_xlpm.v=0, _xlpm.v=""), "", _xlpm.v))</f>
        <v>male</v>
      </c>
    </row>
    <row r="2327" spans="1:9" x14ac:dyDescent="0.6">
      <c r="A2327">
        <v>489</v>
      </c>
      <c r="B2327" t="s">
        <v>14</v>
      </c>
      <c r="C2327" t="s">
        <v>12</v>
      </c>
      <c r="D2327">
        <v>233.43</v>
      </c>
      <c r="E2327">
        <v>180.36</v>
      </c>
      <c r="F2327">
        <v>58374</v>
      </c>
      <c r="H2327">
        <f>_xlfn.LET(_xlpm.v, IFERROR(VLOOKUP($A2327, manifest!$A:$E, 3, FALSE), ""), IF(OR(_xlpm.v=0, _xlpm.v=""), "", _xlpm.v))</f>
        <v>50</v>
      </c>
      <c r="I2327" t="str">
        <f>_xlfn.LET(_xlpm.v, IFERROR(VLOOKUP($A2327, manifest!$A:$E, 5, FALSE), ""), IF(OR(_xlpm.v=0, _xlpm.v=""), "", _xlpm.v))</f>
        <v>male</v>
      </c>
    </row>
    <row r="2328" spans="1:9" x14ac:dyDescent="0.6">
      <c r="A2328">
        <v>489</v>
      </c>
      <c r="B2328" t="s">
        <v>14</v>
      </c>
      <c r="C2328" t="s">
        <v>13</v>
      </c>
      <c r="D2328">
        <v>225.19</v>
      </c>
      <c r="E2328">
        <v>151.84</v>
      </c>
      <c r="F2328">
        <v>67226</v>
      </c>
      <c r="H2328">
        <f>_xlfn.LET(_xlpm.v, IFERROR(VLOOKUP($A2328, manifest!$A:$E, 3, FALSE), ""), IF(OR(_xlpm.v=0, _xlpm.v=""), "", _xlpm.v))</f>
        <v>50</v>
      </c>
      <c r="I2328" t="str">
        <f>_xlfn.LET(_xlpm.v, IFERROR(VLOOKUP($A2328, manifest!$A:$E, 5, FALSE), ""), IF(OR(_xlpm.v=0, _xlpm.v=""), "", _xlpm.v))</f>
        <v>male</v>
      </c>
    </row>
    <row r="2329" spans="1:9" x14ac:dyDescent="0.6">
      <c r="A2329">
        <v>493</v>
      </c>
      <c r="B2329" t="s">
        <v>7</v>
      </c>
      <c r="C2329" t="s">
        <v>8</v>
      </c>
      <c r="D2329">
        <v>185.28</v>
      </c>
      <c r="E2329">
        <v>159.01</v>
      </c>
      <c r="F2329">
        <v>21524</v>
      </c>
      <c r="G2329" t="s">
        <v>9</v>
      </c>
      <c r="H2329">
        <f>_xlfn.LET(_xlpm.v, IFERROR(VLOOKUP($A2329, manifest!$A:$E, 3, FALSE), ""), IF(OR(_xlpm.v=0, _xlpm.v=""), "", _xlpm.v))</f>
        <v>70</v>
      </c>
      <c r="I2329" t="str">
        <f>_xlfn.LET(_xlpm.v, IFERROR(VLOOKUP($A2329, manifest!$A:$E, 5, FALSE), ""), IF(OR(_xlpm.v=0, _xlpm.v=""), "", _xlpm.v))</f>
        <v>male</v>
      </c>
    </row>
    <row r="2330" spans="1:9" x14ac:dyDescent="0.6">
      <c r="A2330">
        <v>493</v>
      </c>
      <c r="B2330" t="s">
        <v>7</v>
      </c>
      <c r="C2330" t="s">
        <v>10</v>
      </c>
      <c r="D2330">
        <v>220.59</v>
      </c>
      <c r="E2330">
        <v>196.29</v>
      </c>
      <c r="F2330">
        <v>23816</v>
      </c>
      <c r="H2330">
        <f>_xlfn.LET(_xlpm.v, IFERROR(VLOOKUP($A2330, manifest!$A:$E, 3, FALSE), ""), IF(OR(_xlpm.v=0, _xlpm.v=""), "", _xlpm.v))</f>
        <v>70</v>
      </c>
      <c r="I2330" t="str">
        <f>_xlfn.LET(_xlpm.v, IFERROR(VLOOKUP($A2330, manifest!$A:$E, 5, FALSE), ""), IF(OR(_xlpm.v=0, _xlpm.v=""), "", _xlpm.v))</f>
        <v>male</v>
      </c>
    </row>
    <row r="2331" spans="1:9" x14ac:dyDescent="0.6">
      <c r="A2331">
        <v>493</v>
      </c>
      <c r="B2331" t="s">
        <v>7</v>
      </c>
      <c r="C2331" t="s">
        <v>11</v>
      </c>
      <c r="D2331">
        <v>247.75</v>
      </c>
      <c r="E2331">
        <v>234.31</v>
      </c>
      <c r="F2331">
        <v>25772</v>
      </c>
      <c r="H2331">
        <f>_xlfn.LET(_xlpm.v, IFERROR(VLOOKUP($A2331, manifest!$A:$E, 3, FALSE), ""), IF(OR(_xlpm.v=0, _xlpm.v=""), "", _xlpm.v))</f>
        <v>70</v>
      </c>
      <c r="I2331" t="str">
        <f>_xlfn.LET(_xlpm.v, IFERROR(VLOOKUP($A2331, manifest!$A:$E, 5, FALSE), ""), IF(OR(_xlpm.v=0, _xlpm.v=""), "", _xlpm.v))</f>
        <v>male</v>
      </c>
    </row>
    <row r="2332" spans="1:9" x14ac:dyDescent="0.6">
      <c r="A2332">
        <v>493</v>
      </c>
      <c r="B2332" t="s">
        <v>7</v>
      </c>
      <c r="C2332" t="s">
        <v>12</v>
      </c>
      <c r="D2332">
        <v>219.79</v>
      </c>
      <c r="E2332">
        <v>202.16</v>
      </c>
      <c r="F2332">
        <v>26670</v>
      </c>
      <c r="H2332">
        <f>_xlfn.LET(_xlpm.v, IFERROR(VLOOKUP($A2332, manifest!$A:$E, 3, FALSE), ""), IF(OR(_xlpm.v=0, _xlpm.v=""), "", _xlpm.v))</f>
        <v>70</v>
      </c>
      <c r="I2332" t="str">
        <f>_xlfn.LET(_xlpm.v, IFERROR(VLOOKUP($A2332, manifest!$A:$E, 5, FALSE), ""), IF(OR(_xlpm.v=0, _xlpm.v=""), "", _xlpm.v))</f>
        <v>male</v>
      </c>
    </row>
    <row r="2333" spans="1:9" x14ac:dyDescent="0.6">
      <c r="A2333">
        <v>493</v>
      </c>
      <c r="B2333" t="s">
        <v>7</v>
      </c>
      <c r="C2333" t="s">
        <v>13</v>
      </c>
      <c r="D2333">
        <v>185.16</v>
      </c>
      <c r="E2333">
        <v>170.34</v>
      </c>
      <c r="F2333">
        <v>36887</v>
      </c>
      <c r="H2333">
        <f>_xlfn.LET(_xlpm.v, IFERROR(VLOOKUP($A2333, manifest!$A:$E, 3, FALSE), ""), IF(OR(_xlpm.v=0, _xlpm.v=""), "", _xlpm.v))</f>
        <v>70</v>
      </c>
      <c r="I2333" t="str">
        <f>_xlfn.LET(_xlpm.v, IFERROR(VLOOKUP($A2333, manifest!$A:$E, 5, FALSE), ""), IF(OR(_xlpm.v=0, _xlpm.v=""), "", _xlpm.v))</f>
        <v>male</v>
      </c>
    </row>
    <row r="2334" spans="1:9" x14ac:dyDescent="0.6">
      <c r="A2334">
        <v>488</v>
      </c>
      <c r="B2334" t="s">
        <v>14</v>
      </c>
      <c r="C2334" t="s">
        <v>8</v>
      </c>
      <c r="D2334">
        <v>238.45</v>
      </c>
      <c r="E2334">
        <v>169.14</v>
      </c>
      <c r="F2334">
        <v>24049</v>
      </c>
      <c r="G2334" t="s">
        <v>9</v>
      </c>
      <c r="H2334">
        <f>_xlfn.LET(_xlpm.v, IFERROR(VLOOKUP($A2334, manifest!$A:$E, 3, FALSE), ""), IF(OR(_xlpm.v=0, _xlpm.v=""), "", _xlpm.v))</f>
        <v>50</v>
      </c>
      <c r="I2334" t="str">
        <f>_xlfn.LET(_xlpm.v, IFERROR(VLOOKUP($A2334, manifest!$A:$E, 5, FALSE), ""), IF(OR(_xlpm.v=0, _xlpm.v=""), "", _xlpm.v))</f>
        <v>male</v>
      </c>
    </row>
    <row r="2335" spans="1:9" x14ac:dyDescent="0.6">
      <c r="A2335">
        <v>488</v>
      </c>
      <c r="B2335" t="s">
        <v>14</v>
      </c>
      <c r="C2335" t="s">
        <v>10</v>
      </c>
      <c r="D2335">
        <v>237.78</v>
      </c>
      <c r="E2335">
        <v>146.25</v>
      </c>
      <c r="F2335">
        <v>33146</v>
      </c>
      <c r="H2335">
        <f>_xlfn.LET(_xlpm.v, IFERROR(VLOOKUP($A2335, manifest!$A:$E, 3, FALSE), ""), IF(OR(_xlpm.v=0, _xlpm.v=""), "", _xlpm.v))</f>
        <v>50</v>
      </c>
      <c r="I2335" t="str">
        <f>_xlfn.LET(_xlpm.v, IFERROR(VLOOKUP($A2335, manifest!$A:$E, 5, FALSE), ""), IF(OR(_xlpm.v=0, _xlpm.v=""), "", _xlpm.v))</f>
        <v>male</v>
      </c>
    </row>
    <row r="2336" spans="1:9" x14ac:dyDescent="0.6">
      <c r="A2336">
        <v>488</v>
      </c>
      <c r="B2336" t="s">
        <v>14</v>
      </c>
      <c r="C2336" t="s">
        <v>11</v>
      </c>
      <c r="D2336">
        <v>199.04</v>
      </c>
      <c r="E2336">
        <v>88.01</v>
      </c>
      <c r="F2336">
        <v>31308</v>
      </c>
      <c r="H2336">
        <f>_xlfn.LET(_xlpm.v, IFERROR(VLOOKUP($A2336, manifest!$A:$E, 3, FALSE), ""), IF(OR(_xlpm.v=0, _xlpm.v=""), "", _xlpm.v))</f>
        <v>50</v>
      </c>
      <c r="I2336" t="str">
        <f>_xlfn.LET(_xlpm.v, IFERROR(VLOOKUP($A2336, manifest!$A:$E, 5, FALSE), ""), IF(OR(_xlpm.v=0, _xlpm.v=""), "", _xlpm.v))</f>
        <v>male</v>
      </c>
    </row>
    <row r="2337" spans="1:9" x14ac:dyDescent="0.6">
      <c r="A2337">
        <v>488</v>
      </c>
      <c r="B2337" t="s">
        <v>14</v>
      </c>
      <c r="C2337" t="s">
        <v>12</v>
      </c>
      <c r="D2337">
        <v>243.48</v>
      </c>
      <c r="E2337">
        <v>171.87</v>
      </c>
      <c r="F2337">
        <v>39124</v>
      </c>
      <c r="H2337">
        <f>_xlfn.LET(_xlpm.v, IFERROR(VLOOKUP($A2337, manifest!$A:$E, 3, FALSE), ""), IF(OR(_xlpm.v=0, _xlpm.v=""), "", _xlpm.v))</f>
        <v>50</v>
      </c>
      <c r="I2337" t="str">
        <f>_xlfn.LET(_xlpm.v, IFERROR(VLOOKUP($A2337, manifest!$A:$E, 5, FALSE), ""), IF(OR(_xlpm.v=0, _xlpm.v=""), "", _xlpm.v))</f>
        <v>male</v>
      </c>
    </row>
    <row r="2338" spans="1:9" x14ac:dyDescent="0.6">
      <c r="A2338">
        <v>488</v>
      </c>
      <c r="B2338" t="s">
        <v>14</v>
      </c>
      <c r="C2338" t="s">
        <v>13</v>
      </c>
      <c r="D2338">
        <v>279.5</v>
      </c>
      <c r="E2338">
        <v>186.1</v>
      </c>
      <c r="F2338">
        <v>42683</v>
      </c>
      <c r="H2338">
        <f>_xlfn.LET(_xlpm.v, IFERROR(VLOOKUP($A2338, manifest!$A:$E, 3, FALSE), ""), IF(OR(_xlpm.v=0, _xlpm.v=""), "", _xlpm.v))</f>
        <v>50</v>
      </c>
      <c r="I2338" t="str">
        <f>_xlfn.LET(_xlpm.v, IFERROR(VLOOKUP($A2338, manifest!$A:$E, 5, FALSE), ""), IF(OR(_xlpm.v=0, _xlpm.v=""), "", _xlpm.v))</f>
        <v>male</v>
      </c>
    </row>
    <row r="2339" spans="1:9" x14ac:dyDescent="0.6">
      <c r="A2339">
        <v>480</v>
      </c>
      <c r="B2339" t="s">
        <v>7</v>
      </c>
      <c r="C2339" t="s">
        <v>8</v>
      </c>
      <c r="D2339">
        <v>257.44</v>
      </c>
      <c r="E2339">
        <v>139.51</v>
      </c>
      <c r="F2339">
        <v>30352</v>
      </c>
      <c r="G2339" t="s">
        <v>9</v>
      </c>
      <c r="H2339">
        <f>_xlfn.LET(_xlpm.v, IFERROR(VLOOKUP($A2339, manifest!$A:$E, 3, FALSE), ""), IF(OR(_xlpm.v=0, _xlpm.v=""), "", _xlpm.v))</f>
        <v>60</v>
      </c>
      <c r="I2339" t="str">
        <f>_xlfn.LET(_xlpm.v, IFERROR(VLOOKUP($A2339, manifest!$A:$E, 5, FALSE), ""), IF(OR(_xlpm.v=0, _xlpm.v=""), "", _xlpm.v))</f>
        <v>male</v>
      </c>
    </row>
    <row r="2340" spans="1:9" x14ac:dyDescent="0.6">
      <c r="A2340">
        <v>480</v>
      </c>
      <c r="B2340" t="s">
        <v>7</v>
      </c>
      <c r="C2340" t="s">
        <v>10</v>
      </c>
      <c r="D2340">
        <v>285.33</v>
      </c>
      <c r="E2340">
        <v>197.27</v>
      </c>
      <c r="F2340">
        <v>32386</v>
      </c>
      <c r="H2340">
        <f>_xlfn.LET(_xlpm.v, IFERROR(VLOOKUP($A2340, manifest!$A:$E, 3, FALSE), ""), IF(OR(_xlpm.v=0, _xlpm.v=""), "", _xlpm.v))</f>
        <v>60</v>
      </c>
      <c r="I2340" t="str">
        <f>_xlfn.LET(_xlpm.v, IFERROR(VLOOKUP($A2340, manifest!$A:$E, 5, FALSE), ""), IF(OR(_xlpm.v=0, _xlpm.v=""), "", _xlpm.v))</f>
        <v>male</v>
      </c>
    </row>
    <row r="2341" spans="1:9" x14ac:dyDescent="0.6">
      <c r="A2341">
        <v>480</v>
      </c>
      <c r="B2341" t="s">
        <v>7</v>
      </c>
      <c r="C2341" t="s">
        <v>11</v>
      </c>
      <c r="D2341">
        <v>324.97000000000003</v>
      </c>
      <c r="E2341">
        <v>258.91000000000003</v>
      </c>
      <c r="F2341">
        <v>35862</v>
      </c>
      <c r="H2341">
        <f>_xlfn.LET(_xlpm.v, IFERROR(VLOOKUP($A2341, manifest!$A:$E, 3, FALSE), ""), IF(OR(_xlpm.v=0, _xlpm.v=""), "", _xlpm.v))</f>
        <v>60</v>
      </c>
      <c r="I2341" t="str">
        <f>_xlfn.LET(_xlpm.v, IFERROR(VLOOKUP($A2341, manifest!$A:$E, 5, FALSE), ""), IF(OR(_xlpm.v=0, _xlpm.v=""), "", _xlpm.v))</f>
        <v>male</v>
      </c>
    </row>
    <row r="2342" spans="1:9" x14ac:dyDescent="0.6">
      <c r="A2342">
        <v>480</v>
      </c>
      <c r="B2342" t="s">
        <v>7</v>
      </c>
      <c r="C2342" t="s">
        <v>12</v>
      </c>
      <c r="D2342">
        <v>317.14999999999998</v>
      </c>
      <c r="E2342">
        <v>259.87</v>
      </c>
      <c r="F2342">
        <v>48818</v>
      </c>
      <c r="H2342">
        <f>_xlfn.LET(_xlpm.v, IFERROR(VLOOKUP($A2342, manifest!$A:$E, 3, FALSE), ""), IF(OR(_xlpm.v=0, _xlpm.v=""), "", _xlpm.v))</f>
        <v>60</v>
      </c>
      <c r="I2342" t="str">
        <f>_xlfn.LET(_xlpm.v, IFERROR(VLOOKUP($A2342, manifest!$A:$E, 5, FALSE), ""), IF(OR(_xlpm.v=0, _xlpm.v=""), "", _xlpm.v))</f>
        <v>male</v>
      </c>
    </row>
    <row r="2343" spans="1:9" x14ac:dyDescent="0.6">
      <c r="A2343">
        <v>480</v>
      </c>
      <c r="B2343" t="s">
        <v>7</v>
      </c>
      <c r="C2343" t="s">
        <v>13</v>
      </c>
      <c r="D2343">
        <v>341.23</v>
      </c>
      <c r="E2343">
        <v>284.7</v>
      </c>
      <c r="F2343">
        <v>47964</v>
      </c>
      <c r="H2343">
        <f>_xlfn.LET(_xlpm.v, IFERROR(VLOOKUP($A2343, manifest!$A:$E, 3, FALSE), ""), IF(OR(_xlpm.v=0, _xlpm.v=""), "", _xlpm.v))</f>
        <v>60</v>
      </c>
      <c r="I2343" t="str">
        <f>_xlfn.LET(_xlpm.v, IFERROR(VLOOKUP($A2343, manifest!$A:$E, 5, FALSE), ""), IF(OR(_xlpm.v=0, _xlpm.v=""), "", _xlpm.v))</f>
        <v>male</v>
      </c>
    </row>
    <row r="2344" spans="1:9" x14ac:dyDescent="0.6">
      <c r="A2344">
        <v>491</v>
      </c>
      <c r="B2344" t="s">
        <v>14</v>
      </c>
      <c r="C2344" t="s">
        <v>8</v>
      </c>
      <c r="D2344">
        <v>392.27</v>
      </c>
      <c r="E2344">
        <v>226.56</v>
      </c>
      <c r="F2344">
        <v>1342</v>
      </c>
      <c r="G2344" t="s">
        <v>9</v>
      </c>
      <c r="H2344">
        <f>_xlfn.LET(_xlpm.v, IFERROR(VLOOKUP($A2344, manifest!$A:$E, 3, FALSE), ""), IF(OR(_xlpm.v=0, _xlpm.v=""), "", _xlpm.v))</f>
        <v>50</v>
      </c>
      <c r="I2344" t="str">
        <f>_xlfn.LET(_xlpm.v, IFERROR(VLOOKUP($A2344, manifest!$A:$E, 5, FALSE), ""), IF(OR(_xlpm.v=0, _xlpm.v=""), "", _xlpm.v))</f>
        <v>female</v>
      </c>
    </row>
    <row r="2345" spans="1:9" x14ac:dyDescent="0.6">
      <c r="A2345">
        <v>491</v>
      </c>
      <c r="B2345" t="s">
        <v>14</v>
      </c>
      <c r="C2345" t="s">
        <v>10</v>
      </c>
      <c r="D2345">
        <v>226.1</v>
      </c>
      <c r="E2345">
        <v>182.16</v>
      </c>
      <c r="F2345">
        <v>37300</v>
      </c>
      <c r="H2345">
        <f>_xlfn.LET(_xlpm.v, IFERROR(VLOOKUP($A2345, manifest!$A:$E, 3, FALSE), ""), IF(OR(_xlpm.v=0, _xlpm.v=""), "", _xlpm.v))</f>
        <v>50</v>
      </c>
      <c r="I2345" t="str">
        <f>_xlfn.LET(_xlpm.v, IFERROR(VLOOKUP($A2345, manifest!$A:$E, 5, FALSE), ""), IF(OR(_xlpm.v=0, _xlpm.v=""), "", _xlpm.v))</f>
        <v>female</v>
      </c>
    </row>
    <row r="2346" spans="1:9" x14ac:dyDescent="0.6">
      <c r="A2346">
        <v>491</v>
      </c>
      <c r="B2346" t="s">
        <v>14</v>
      </c>
      <c r="C2346" t="s">
        <v>11</v>
      </c>
      <c r="D2346">
        <v>219.62</v>
      </c>
      <c r="E2346">
        <v>147.47</v>
      </c>
      <c r="F2346">
        <v>45072</v>
      </c>
      <c r="H2346">
        <f>_xlfn.LET(_xlpm.v, IFERROR(VLOOKUP($A2346, manifest!$A:$E, 3, FALSE), ""), IF(OR(_xlpm.v=0, _xlpm.v=""), "", _xlpm.v))</f>
        <v>50</v>
      </c>
      <c r="I2346" t="str">
        <f>_xlfn.LET(_xlpm.v, IFERROR(VLOOKUP($A2346, manifest!$A:$E, 5, FALSE), ""), IF(OR(_xlpm.v=0, _xlpm.v=""), "", _xlpm.v))</f>
        <v>female</v>
      </c>
    </row>
    <row r="2347" spans="1:9" x14ac:dyDescent="0.6">
      <c r="A2347">
        <v>491</v>
      </c>
      <c r="B2347" t="s">
        <v>14</v>
      </c>
      <c r="C2347" t="s">
        <v>12</v>
      </c>
      <c r="D2347">
        <v>210.47</v>
      </c>
      <c r="E2347">
        <v>138.6</v>
      </c>
      <c r="F2347">
        <v>57933</v>
      </c>
      <c r="H2347">
        <f>_xlfn.LET(_xlpm.v, IFERROR(VLOOKUP($A2347, manifest!$A:$E, 3, FALSE), ""), IF(OR(_xlpm.v=0, _xlpm.v=""), "", _xlpm.v))</f>
        <v>50</v>
      </c>
      <c r="I2347" t="str">
        <f>_xlfn.LET(_xlpm.v, IFERROR(VLOOKUP($A2347, manifest!$A:$E, 5, FALSE), ""), IF(OR(_xlpm.v=0, _xlpm.v=""), "", _xlpm.v))</f>
        <v>female</v>
      </c>
    </row>
    <row r="2348" spans="1:9" x14ac:dyDescent="0.6">
      <c r="A2348">
        <v>491</v>
      </c>
      <c r="B2348" t="s">
        <v>14</v>
      </c>
      <c r="C2348" t="s">
        <v>13</v>
      </c>
      <c r="D2348">
        <v>205.91</v>
      </c>
      <c r="E2348">
        <v>124.59</v>
      </c>
      <c r="F2348">
        <v>68864</v>
      </c>
      <c r="H2348">
        <f>_xlfn.LET(_xlpm.v, IFERROR(VLOOKUP($A2348, manifest!$A:$E, 3, FALSE), ""), IF(OR(_xlpm.v=0, _xlpm.v=""), "", _xlpm.v))</f>
        <v>50</v>
      </c>
      <c r="I2348" t="str">
        <f>_xlfn.LET(_xlpm.v, IFERROR(VLOOKUP($A2348, manifest!$A:$E, 5, FALSE), ""), IF(OR(_xlpm.v=0, _xlpm.v=""), "", _xlpm.v))</f>
        <v>female</v>
      </c>
    </row>
    <row r="2349" spans="1:9" x14ac:dyDescent="0.6">
      <c r="A2349">
        <v>501</v>
      </c>
      <c r="B2349" t="s">
        <v>7</v>
      </c>
      <c r="C2349" t="s">
        <v>8</v>
      </c>
      <c r="D2349">
        <v>233.85</v>
      </c>
      <c r="E2349">
        <v>81.709999999999994</v>
      </c>
      <c r="F2349">
        <v>19163</v>
      </c>
      <c r="G2349" t="s">
        <v>9</v>
      </c>
      <c r="H2349">
        <f>_xlfn.LET(_xlpm.v, IFERROR(VLOOKUP($A2349, manifest!$A:$E, 3, FALSE), ""), IF(OR(_xlpm.v=0, _xlpm.v=""), "", _xlpm.v))</f>
        <v>50</v>
      </c>
      <c r="I2349" t="str">
        <f>_xlfn.LET(_xlpm.v, IFERROR(VLOOKUP($A2349, manifest!$A:$E, 5, FALSE), ""), IF(OR(_xlpm.v=0, _xlpm.v=""), "", _xlpm.v))</f>
        <v>female</v>
      </c>
    </row>
    <row r="2350" spans="1:9" x14ac:dyDescent="0.6">
      <c r="A2350">
        <v>501</v>
      </c>
      <c r="B2350" t="s">
        <v>7</v>
      </c>
      <c r="C2350" t="s">
        <v>10</v>
      </c>
      <c r="D2350">
        <v>244.47</v>
      </c>
      <c r="E2350">
        <v>101.01</v>
      </c>
      <c r="F2350">
        <v>21417</v>
      </c>
      <c r="H2350">
        <f>_xlfn.LET(_xlpm.v, IFERROR(VLOOKUP($A2350, manifest!$A:$E, 3, FALSE), ""), IF(OR(_xlpm.v=0, _xlpm.v=""), "", _xlpm.v))</f>
        <v>50</v>
      </c>
      <c r="I2350" t="str">
        <f>_xlfn.LET(_xlpm.v, IFERROR(VLOOKUP($A2350, manifest!$A:$E, 5, FALSE), ""), IF(OR(_xlpm.v=0, _xlpm.v=""), "", _xlpm.v))</f>
        <v>female</v>
      </c>
    </row>
    <row r="2351" spans="1:9" x14ac:dyDescent="0.6">
      <c r="A2351">
        <v>501</v>
      </c>
      <c r="B2351" t="s">
        <v>7</v>
      </c>
      <c r="C2351" t="s">
        <v>11</v>
      </c>
      <c r="D2351">
        <v>234.82</v>
      </c>
      <c r="E2351">
        <v>111.57</v>
      </c>
      <c r="F2351">
        <v>27086</v>
      </c>
      <c r="H2351">
        <f>_xlfn.LET(_xlpm.v, IFERROR(VLOOKUP($A2351, manifest!$A:$E, 3, FALSE), ""), IF(OR(_xlpm.v=0, _xlpm.v=""), "", _xlpm.v))</f>
        <v>50</v>
      </c>
      <c r="I2351" t="str">
        <f>_xlfn.LET(_xlpm.v, IFERROR(VLOOKUP($A2351, manifest!$A:$E, 5, FALSE), ""), IF(OR(_xlpm.v=0, _xlpm.v=""), "", _xlpm.v))</f>
        <v>female</v>
      </c>
    </row>
    <row r="2352" spans="1:9" x14ac:dyDescent="0.6">
      <c r="A2352">
        <v>501</v>
      </c>
      <c r="B2352" t="s">
        <v>7</v>
      </c>
      <c r="C2352" t="s">
        <v>12</v>
      </c>
      <c r="D2352">
        <v>227.96</v>
      </c>
      <c r="E2352">
        <v>107.16</v>
      </c>
      <c r="F2352">
        <v>28929</v>
      </c>
      <c r="H2352">
        <f>_xlfn.LET(_xlpm.v, IFERROR(VLOOKUP($A2352, manifest!$A:$E, 3, FALSE), ""), IF(OR(_xlpm.v=0, _xlpm.v=""), "", _xlpm.v))</f>
        <v>50</v>
      </c>
      <c r="I2352" t="str">
        <f>_xlfn.LET(_xlpm.v, IFERROR(VLOOKUP($A2352, manifest!$A:$E, 5, FALSE), ""), IF(OR(_xlpm.v=0, _xlpm.v=""), "", _xlpm.v))</f>
        <v>female</v>
      </c>
    </row>
    <row r="2353" spans="1:9" x14ac:dyDescent="0.6">
      <c r="A2353">
        <v>501</v>
      </c>
      <c r="B2353" t="s">
        <v>7</v>
      </c>
      <c r="C2353" t="s">
        <v>13</v>
      </c>
      <c r="D2353">
        <v>221.87</v>
      </c>
      <c r="E2353">
        <v>153.27000000000001</v>
      </c>
      <c r="F2353">
        <v>33793</v>
      </c>
      <c r="H2353">
        <f>_xlfn.LET(_xlpm.v, IFERROR(VLOOKUP($A2353, manifest!$A:$E, 3, FALSE), ""), IF(OR(_xlpm.v=0, _xlpm.v=""), "", _xlpm.v))</f>
        <v>50</v>
      </c>
      <c r="I2353" t="str">
        <f>_xlfn.LET(_xlpm.v, IFERROR(VLOOKUP($A2353, manifest!$A:$E, 5, FALSE), ""), IF(OR(_xlpm.v=0, _xlpm.v=""), "", _xlpm.v))</f>
        <v>female</v>
      </c>
    </row>
    <row r="2354" spans="1:9" x14ac:dyDescent="0.6">
      <c r="A2354">
        <v>504</v>
      </c>
      <c r="B2354" t="s">
        <v>14</v>
      </c>
      <c r="C2354" t="s">
        <v>8</v>
      </c>
      <c r="D2354">
        <v>126.39</v>
      </c>
      <c r="E2354">
        <v>96.03</v>
      </c>
      <c r="F2354">
        <v>18896</v>
      </c>
      <c r="G2354" t="s">
        <v>15</v>
      </c>
      <c r="H2354">
        <f>_xlfn.LET(_xlpm.v, IFERROR(VLOOKUP($A2354, manifest!$A:$E, 3, FALSE), ""), IF(OR(_xlpm.v=0, _xlpm.v=""), "", _xlpm.v))</f>
        <v>50</v>
      </c>
      <c r="I2354" t="str">
        <f>_xlfn.LET(_xlpm.v, IFERROR(VLOOKUP($A2354, manifest!$A:$E, 5, FALSE), ""), IF(OR(_xlpm.v=0, _xlpm.v=""), "", _xlpm.v))</f>
        <v>female</v>
      </c>
    </row>
    <row r="2355" spans="1:9" x14ac:dyDescent="0.6">
      <c r="A2355">
        <v>504</v>
      </c>
      <c r="B2355" t="s">
        <v>14</v>
      </c>
      <c r="C2355" t="s">
        <v>10</v>
      </c>
      <c r="D2355">
        <v>146.72</v>
      </c>
      <c r="E2355">
        <v>168.05</v>
      </c>
      <c r="F2355">
        <v>19742</v>
      </c>
      <c r="H2355">
        <f>_xlfn.LET(_xlpm.v, IFERROR(VLOOKUP($A2355, manifest!$A:$E, 3, FALSE), ""), IF(OR(_xlpm.v=0, _xlpm.v=""), "", _xlpm.v))</f>
        <v>50</v>
      </c>
      <c r="I2355" t="str">
        <f>_xlfn.LET(_xlpm.v, IFERROR(VLOOKUP($A2355, manifest!$A:$E, 5, FALSE), ""), IF(OR(_xlpm.v=0, _xlpm.v=""), "", _xlpm.v))</f>
        <v>female</v>
      </c>
    </row>
    <row r="2356" spans="1:9" x14ac:dyDescent="0.6">
      <c r="A2356">
        <v>504</v>
      </c>
      <c r="B2356" t="s">
        <v>14</v>
      </c>
      <c r="C2356" t="s">
        <v>11</v>
      </c>
      <c r="D2356">
        <v>157.22999999999999</v>
      </c>
      <c r="E2356">
        <v>176.44</v>
      </c>
      <c r="F2356">
        <v>21049</v>
      </c>
      <c r="H2356">
        <f>_xlfn.LET(_xlpm.v, IFERROR(VLOOKUP($A2356, manifest!$A:$E, 3, FALSE), ""), IF(OR(_xlpm.v=0, _xlpm.v=""), "", _xlpm.v))</f>
        <v>50</v>
      </c>
      <c r="I2356" t="str">
        <f>_xlfn.LET(_xlpm.v, IFERROR(VLOOKUP($A2356, manifest!$A:$E, 5, FALSE), ""), IF(OR(_xlpm.v=0, _xlpm.v=""), "", _xlpm.v))</f>
        <v>female</v>
      </c>
    </row>
    <row r="2357" spans="1:9" x14ac:dyDescent="0.6">
      <c r="A2357">
        <v>504</v>
      </c>
      <c r="B2357" t="s">
        <v>14</v>
      </c>
      <c r="C2357" t="s">
        <v>12</v>
      </c>
      <c r="D2357">
        <v>167.92</v>
      </c>
      <c r="E2357">
        <v>186.97</v>
      </c>
      <c r="F2357">
        <v>24199</v>
      </c>
      <c r="H2357">
        <f>_xlfn.LET(_xlpm.v, IFERROR(VLOOKUP($A2357, manifest!$A:$E, 3, FALSE), ""), IF(OR(_xlpm.v=0, _xlpm.v=""), "", _xlpm.v))</f>
        <v>50</v>
      </c>
      <c r="I2357" t="str">
        <f>_xlfn.LET(_xlpm.v, IFERROR(VLOOKUP($A2357, manifest!$A:$E, 5, FALSE), ""), IF(OR(_xlpm.v=0, _xlpm.v=""), "", _xlpm.v))</f>
        <v>female</v>
      </c>
    </row>
    <row r="2358" spans="1:9" x14ac:dyDescent="0.6">
      <c r="A2358">
        <v>504</v>
      </c>
      <c r="B2358" t="s">
        <v>14</v>
      </c>
      <c r="C2358" t="s">
        <v>13</v>
      </c>
      <c r="D2358">
        <v>139.38</v>
      </c>
      <c r="E2358">
        <v>148.91999999999999</v>
      </c>
      <c r="F2358">
        <v>32877</v>
      </c>
      <c r="H2358">
        <f>_xlfn.LET(_xlpm.v, IFERROR(VLOOKUP($A2358, manifest!$A:$E, 3, FALSE), ""), IF(OR(_xlpm.v=0, _xlpm.v=""), "", _xlpm.v))</f>
        <v>50</v>
      </c>
      <c r="I2358" t="str">
        <f>_xlfn.LET(_xlpm.v, IFERROR(VLOOKUP($A2358, manifest!$A:$E, 5, FALSE), ""), IF(OR(_xlpm.v=0, _xlpm.v=""), "", _xlpm.v))</f>
        <v>female</v>
      </c>
    </row>
    <row r="2359" spans="1:9" x14ac:dyDescent="0.6">
      <c r="A2359">
        <v>521</v>
      </c>
      <c r="B2359" t="s">
        <v>14</v>
      </c>
      <c r="C2359" t="s">
        <v>8</v>
      </c>
      <c r="D2359">
        <v>238.13</v>
      </c>
      <c r="E2359">
        <v>164.38</v>
      </c>
      <c r="F2359">
        <v>26342</v>
      </c>
      <c r="G2359" t="s">
        <v>9</v>
      </c>
      <c r="H2359">
        <f>_xlfn.LET(_xlpm.v, IFERROR(VLOOKUP($A2359, manifest!$A:$E, 3, FALSE), ""), IF(OR(_xlpm.v=0, _xlpm.v=""), "", _xlpm.v))</f>
        <v>50</v>
      </c>
      <c r="I2359" t="str">
        <f>_xlfn.LET(_xlpm.v, IFERROR(VLOOKUP($A2359, manifest!$A:$E, 5, FALSE), ""), IF(OR(_xlpm.v=0, _xlpm.v=""), "", _xlpm.v))</f>
        <v>female</v>
      </c>
    </row>
    <row r="2360" spans="1:9" x14ac:dyDescent="0.6">
      <c r="A2360">
        <v>521</v>
      </c>
      <c r="B2360" t="s">
        <v>14</v>
      </c>
      <c r="C2360" t="s">
        <v>10</v>
      </c>
      <c r="D2360">
        <v>266.32</v>
      </c>
      <c r="E2360">
        <v>223.79</v>
      </c>
      <c r="F2360">
        <v>31024</v>
      </c>
      <c r="H2360">
        <f>_xlfn.LET(_xlpm.v, IFERROR(VLOOKUP($A2360, manifest!$A:$E, 3, FALSE), ""), IF(OR(_xlpm.v=0, _xlpm.v=""), "", _xlpm.v))</f>
        <v>50</v>
      </c>
      <c r="I2360" t="str">
        <f>_xlfn.LET(_xlpm.v, IFERROR(VLOOKUP($A2360, manifest!$A:$E, 5, FALSE), ""), IF(OR(_xlpm.v=0, _xlpm.v=""), "", _xlpm.v))</f>
        <v>female</v>
      </c>
    </row>
    <row r="2361" spans="1:9" x14ac:dyDescent="0.6">
      <c r="A2361">
        <v>521</v>
      </c>
      <c r="B2361" t="s">
        <v>14</v>
      </c>
      <c r="C2361" t="s">
        <v>11</v>
      </c>
      <c r="D2361">
        <v>253.4</v>
      </c>
      <c r="E2361">
        <v>201.67</v>
      </c>
      <c r="F2361">
        <v>35895</v>
      </c>
      <c r="H2361">
        <f>_xlfn.LET(_xlpm.v, IFERROR(VLOOKUP($A2361, manifest!$A:$E, 3, FALSE), ""), IF(OR(_xlpm.v=0, _xlpm.v=""), "", _xlpm.v))</f>
        <v>50</v>
      </c>
      <c r="I2361" t="str">
        <f>_xlfn.LET(_xlpm.v, IFERROR(VLOOKUP($A2361, manifest!$A:$E, 5, FALSE), ""), IF(OR(_xlpm.v=0, _xlpm.v=""), "", _xlpm.v))</f>
        <v>female</v>
      </c>
    </row>
    <row r="2362" spans="1:9" x14ac:dyDescent="0.6">
      <c r="A2362">
        <v>521</v>
      </c>
      <c r="B2362" t="s">
        <v>14</v>
      </c>
      <c r="C2362" t="s">
        <v>12</v>
      </c>
      <c r="D2362">
        <v>248.23</v>
      </c>
      <c r="E2362">
        <v>184.16</v>
      </c>
      <c r="F2362">
        <v>40770</v>
      </c>
      <c r="H2362">
        <f>_xlfn.LET(_xlpm.v, IFERROR(VLOOKUP($A2362, manifest!$A:$E, 3, FALSE), ""), IF(OR(_xlpm.v=0, _xlpm.v=""), "", _xlpm.v))</f>
        <v>50</v>
      </c>
      <c r="I2362" t="str">
        <f>_xlfn.LET(_xlpm.v, IFERROR(VLOOKUP($A2362, manifest!$A:$E, 5, FALSE), ""), IF(OR(_xlpm.v=0, _xlpm.v=""), "", _xlpm.v))</f>
        <v>female</v>
      </c>
    </row>
    <row r="2363" spans="1:9" x14ac:dyDescent="0.6">
      <c r="A2363">
        <v>521</v>
      </c>
      <c r="B2363" t="s">
        <v>14</v>
      </c>
      <c r="C2363" t="s">
        <v>13</v>
      </c>
      <c r="D2363">
        <v>210.56</v>
      </c>
      <c r="E2363">
        <v>147.44999999999999</v>
      </c>
      <c r="F2363">
        <v>48057</v>
      </c>
      <c r="H2363">
        <f>_xlfn.LET(_xlpm.v, IFERROR(VLOOKUP($A2363, manifest!$A:$E, 3, FALSE), ""), IF(OR(_xlpm.v=0, _xlpm.v=""), "", _xlpm.v))</f>
        <v>50</v>
      </c>
      <c r="I2363" t="str">
        <f>_xlfn.LET(_xlpm.v, IFERROR(VLOOKUP($A2363, manifest!$A:$E, 5, FALSE), ""), IF(OR(_xlpm.v=0, _xlpm.v=""), "", _xlpm.v))</f>
        <v>female</v>
      </c>
    </row>
    <row r="2364" spans="1:9" x14ac:dyDescent="0.6">
      <c r="A2364">
        <v>503</v>
      </c>
      <c r="B2364" t="s">
        <v>7</v>
      </c>
      <c r="C2364" t="s">
        <v>8</v>
      </c>
      <c r="D2364">
        <v>251.63</v>
      </c>
      <c r="E2364">
        <v>128.71</v>
      </c>
      <c r="F2364">
        <v>32282</v>
      </c>
      <c r="G2364" t="s">
        <v>9</v>
      </c>
      <c r="H2364">
        <f>_xlfn.LET(_xlpm.v, IFERROR(VLOOKUP($A2364, manifest!$A:$E, 3, FALSE), ""), IF(OR(_xlpm.v=0, _xlpm.v=""), "", _xlpm.v))</f>
        <v>60</v>
      </c>
      <c r="I2364" t="str">
        <f>_xlfn.LET(_xlpm.v, IFERROR(VLOOKUP($A2364, manifest!$A:$E, 5, FALSE), ""), IF(OR(_xlpm.v=0, _xlpm.v=""), "", _xlpm.v))</f>
        <v>male</v>
      </c>
    </row>
    <row r="2365" spans="1:9" x14ac:dyDescent="0.6">
      <c r="A2365">
        <v>503</v>
      </c>
      <c r="B2365" t="s">
        <v>7</v>
      </c>
      <c r="C2365" t="s">
        <v>10</v>
      </c>
      <c r="D2365">
        <v>268.91000000000003</v>
      </c>
      <c r="E2365">
        <v>174.57</v>
      </c>
      <c r="F2365">
        <v>35891</v>
      </c>
      <c r="H2365">
        <f>_xlfn.LET(_xlpm.v, IFERROR(VLOOKUP($A2365, manifest!$A:$E, 3, FALSE), ""), IF(OR(_xlpm.v=0, _xlpm.v=""), "", _xlpm.v))</f>
        <v>60</v>
      </c>
      <c r="I2365" t="str">
        <f>_xlfn.LET(_xlpm.v, IFERROR(VLOOKUP($A2365, manifest!$A:$E, 5, FALSE), ""), IF(OR(_xlpm.v=0, _xlpm.v=""), "", _xlpm.v))</f>
        <v>male</v>
      </c>
    </row>
    <row r="2366" spans="1:9" x14ac:dyDescent="0.6">
      <c r="A2366">
        <v>503</v>
      </c>
      <c r="B2366" t="s">
        <v>7</v>
      </c>
      <c r="C2366" t="s">
        <v>11</v>
      </c>
      <c r="D2366">
        <v>268.27</v>
      </c>
      <c r="E2366">
        <v>176.87</v>
      </c>
      <c r="F2366">
        <v>39489</v>
      </c>
      <c r="H2366">
        <f>_xlfn.LET(_xlpm.v, IFERROR(VLOOKUP($A2366, manifest!$A:$E, 3, FALSE), ""), IF(OR(_xlpm.v=0, _xlpm.v=""), "", _xlpm.v))</f>
        <v>60</v>
      </c>
      <c r="I2366" t="str">
        <f>_xlfn.LET(_xlpm.v, IFERROR(VLOOKUP($A2366, manifest!$A:$E, 5, FALSE), ""), IF(OR(_xlpm.v=0, _xlpm.v=""), "", _xlpm.v))</f>
        <v>male</v>
      </c>
    </row>
    <row r="2367" spans="1:9" x14ac:dyDescent="0.6">
      <c r="A2367">
        <v>503</v>
      </c>
      <c r="B2367" t="s">
        <v>7</v>
      </c>
      <c r="C2367" t="s">
        <v>12</v>
      </c>
      <c r="D2367">
        <v>261.36</v>
      </c>
      <c r="E2367">
        <v>166.27</v>
      </c>
      <c r="F2367">
        <v>48446</v>
      </c>
      <c r="H2367">
        <f>_xlfn.LET(_xlpm.v, IFERROR(VLOOKUP($A2367, manifest!$A:$E, 3, FALSE), ""), IF(OR(_xlpm.v=0, _xlpm.v=""), "", _xlpm.v))</f>
        <v>60</v>
      </c>
      <c r="I2367" t="str">
        <f>_xlfn.LET(_xlpm.v, IFERROR(VLOOKUP($A2367, manifest!$A:$E, 5, FALSE), ""), IF(OR(_xlpm.v=0, _xlpm.v=""), "", _xlpm.v))</f>
        <v>male</v>
      </c>
    </row>
    <row r="2368" spans="1:9" x14ac:dyDescent="0.6">
      <c r="A2368">
        <v>503</v>
      </c>
      <c r="B2368" t="s">
        <v>7</v>
      </c>
      <c r="C2368" t="s">
        <v>13</v>
      </c>
      <c r="D2368">
        <v>247.58</v>
      </c>
      <c r="E2368">
        <v>153.91</v>
      </c>
      <c r="F2368">
        <v>60270</v>
      </c>
      <c r="H2368">
        <f>_xlfn.LET(_xlpm.v, IFERROR(VLOOKUP($A2368, manifest!$A:$E, 3, FALSE), ""), IF(OR(_xlpm.v=0, _xlpm.v=""), "", _xlpm.v))</f>
        <v>60</v>
      </c>
      <c r="I2368" t="str">
        <f>_xlfn.LET(_xlpm.v, IFERROR(VLOOKUP($A2368, manifest!$A:$E, 5, FALSE), ""), IF(OR(_xlpm.v=0, _xlpm.v=""), "", _xlpm.v))</f>
        <v>male</v>
      </c>
    </row>
    <row r="2369" spans="1:9" x14ac:dyDescent="0.6">
      <c r="A2369">
        <v>508</v>
      </c>
      <c r="B2369" t="s">
        <v>7</v>
      </c>
      <c r="C2369" t="s">
        <v>8</v>
      </c>
      <c r="D2369">
        <v>257.02</v>
      </c>
      <c r="E2369">
        <v>153.75</v>
      </c>
      <c r="F2369">
        <v>24171</v>
      </c>
      <c r="G2369" t="s">
        <v>9</v>
      </c>
      <c r="H2369">
        <f>_xlfn.LET(_xlpm.v, IFERROR(VLOOKUP($A2369, manifest!$A:$E, 3, FALSE), ""), IF(OR(_xlpm.v=0, _xlpm.v=""), "", _xlpm.v))</f>
        <v>60</v>
      </c>
      <c r="I2369" t="str">
        <f>_xlfn.LET(_xlpm.v, IFERROR(VLOOKUP($A2369, manifest!$A:$E, 5, FALSE), ""), IF(OR(_xlpm.v=0, _xlpm.v=""), "", _xlpm.v))</f>
        <v>female</v>
      </c>
    </row>
    <row r="2370" spans="1:9" x14ac:dyDescent="0.6">
      <c r="A2370">
        <v>508</v>
      </c>
      <c r="B2370" t="s">
        <v>7</v>
      </c>
      <c r="C2370" t="s">
        <v>10</v>
      </c>
      <c r="D2370">
        <v>331.73</v>
      </c>
      <c r="E2370">
        <v>264.87</v>
      </c>
      <c r="F2370">
        <v>22735</v>
      </c>
      <c r="H2370">
        <f>_xlfn.LET(_xlpm.v, IFERROR(VLOOKUP($A2370, manifest!$A:$E, 3, FALSE), ""), IF(OR(_xlpm.v=0, _xlpm.v=""), "", _xlpm.v))</f>
        <v>60</v>
      </c>
      <c r="I2370" t="str">
        <f>_xlfn.LET(_xlpm.v, IFERROR(VLOOKUP($A2370, manifest!$A:$E, 5, FALSE), ""), IF(OR(_xlpm.v=0, _xlpm.v=""), "", _xlpm.v))</f>
        <v>female</v>
      </c>
    </row>
    <row r="2371" spans="1:9" x14ac:dyDescent="0.6">
      <c r="A2371">
        <v>508</v>
      </c>
      <c r="B2371" t="s">
        <v>7</v>
      </c>
      <c r="C2371" t="s">
        <v>11</v>
      </c>
      <c r="D2371">
        <v>277.64</v>
      </c>
      <c r="E2371">
        <v>231.86</v>
      </c>
      <c r="F2371">
        <v>31180</v>
      </c>
      <c r="H2371">
        <f>_xlfn.LET(_xlpm.v, IFERROR(VLOOKUP($A2371, manifest!$A:$E, 3, FALSE), ""), IF(OR(_xlpm.v=0, _xlpm.v=""), "", _xlpm.v))</f>
        <v>60</v>
      </c>
      <c r="I2371" t="str">
        <f>_xlfn.LET(_xlpm.v, IFERROR(VLOOKUP($A2371, manifest!$A:$E, 5, FALSE), ""), IF(OR(_xlpm.v=0, _xlpm.v=""), "", _xlpm.v))</f>
        <v>female</v>
      </c>
    </row>
    <row r="2372" spans="1:9" x14ac:dyDescent="0.6">
      <c r="A2372">
        <v>508</v>
      </c>
      <c r="B2372" t="s">
        <v>7</v>
      </c>
      <c r="C2372" t="s">
        <v>12</v>
      </c>
      <c r="D2372">
        <v>231.37</v>
      </c>
      <c r="E2372">
        <v>210.84</v>
      </c>
      <c r="F2372">
        <v>38833</v>
      </c>
      <c r="H2372">
        <f>_xlfn.LET(_xlpm.v, IFERROR(VLOOKUP($A2372, manifest!$A:$E, 3, FALSE), ""), IF(OR(_xlpm.v=0, _xlpm.v=""), "", _xlpm.v))</f>
        <v>60</v>
      </c>
      <c r="I2372" t="str">
        <f>_xlfn.LET(_xlpm.v, IFERROR(VLOOKUP($A2372, manifest!$A:$E, 5, FALSE), ""), IF(OR(_xlpm.v=0, _xlpm.v=""), "", _xlpm.v))</f>
        <v>female</v>
      </c>
    </row>
    <row r="2373" spans="1:9" x14ac:dyDescent="0.6">
      <c r="A2373">
        <v>508</v>
      </c>
      <c r="B2373" t="s">
        <v>7</v>
      </c>
      <c r="C2373" t="s">
        <v>13</v>
      </c>
      <c r="D2373">
        <v>275.13</v>
      </c>
      <c r="E2373">
        <v>233.5</v>
      </c>
      <c r="F2373">
        <v>44208</v>
      </c>
      <c r="H2373">
        <f>_xlfn.LET(_xlpm.v, IFERROR(VLOOKUP($A2373, manifest!$A:$E, 3, FALSE), ""), IF(OR(_xlpm.v=0, _xlpm.v=""), "", _xlpm.v))</f>
        <v>60</v>
      </c>
      <c r="I2373" t="str">
        <f>_xlfn.LET(_xlpm.v, IFERROR(VLOOKUP($A2373, manifest!$A:$E, 5, FALSE), ""), IF(OR(_xlpm.v=0, _xlpm.v=""), "", _xlpm.v))</f>
        <v>female</v>
      </c>
    </row>
    <row r="2374" spans="1:9" x14ac:dyDescent="0.6">
      <c r="A2374">
        <v>498</v>
      </c>
      <c r="B2374" t="s">
        <v>14</v>
      </c>
      <c r="C2374" t="s">
        <v>8</v>
      </c>
      <c r="D2374">
        <v>257.41000000000003</v>
      </c>
      <c r="E2374">
        <v>250.26</v>
      </c>
      <c r="F2374">
        <v>25148</v>
      </c>
      <c r="G2374" t="s">
        <v>9</v>
      </c>
      <c r="H2374">
        <f>_xlfn.LET(_xlpm.v, IFERROR(VLOOKUP($A2374, manifest!$A:$E, 3, FALSE), ""), IF(OR(_xlpm.v=0, _xlpm.v=""), "", _xlpm.v))</f>
        <v>60</v>
      </c>
      <c r="I2374" t="str">
        <f>_xlfn.LET(_xlpm.v, IFERROR(VLOOKUP($A2374, manifest!$A:$E, 5, FALSE), ""), IF(OR(_xlpm.v=0, _xlpm.v=""), "", _xlpm.v))</f>
        <v>female</v>
      </c>
    </row>
    <row r="2375" spans="1:9" x14ac:dyDescent="0.6">
      <c r="A2375">
        <v>498</v>
      </c>
      <c r="B2375" t="s">
        <v>14</v>
      </c>
      <c r="C2375" t="s">
        <v>10</v>
      </c>
      <c r="D2375">
        <v>284.01</v>
      </c>
      <c r="E2375">
        <v>274.95</v>
      </c>
      <c r="F2375">
        <v>26789</v>
      </c>
      <c r="H2375">
        <f>_xlfn.LET(_xlpm.v, IFERROR(VLOOKUP($A2375, manifest!$A:$E, 3, FALSE), ""), IF(OR(_xlpm.v=0, _xlpm.v=""), "", _xlpm.v))</f>
        <v>60</v>
      </c>
      <c r="I2375" t="str">
        <f>_xlfn.LET(_xlpm.v, IFERROR(VLOOKUP($A2375, manifest!$A:$E, 5, FALSE), ""), IF(OR(_xlpm.v=0, _xlpm.v=""), "", _xlpm.v))</f>
        <v>female</v>
      </c>
    </row>
    <row r="2376" spans="1:9" x14ac:dyDescent="0.6">
      <c r="A2376">
        <v>498</v>
      </c>
      <c r="B2376" t="s">
        <v>14</v>
      </c>
      <c r="C2376" t="s">
        <v>11</v>
      </c>
      <c r="D2376">
        <v>285.81</v>
      </c>
      <c r="E2376">
        <v>296.73</v>
      </c>
      <c r="F2376">
        <v>29185</v>
      </c>
      <c r="H2376">
        <f>_xlfn.LET(_xlpm.v, IFERROR(VLOOKUP($A2376, manifest!$A:$E, 3, FALSE), ""), IF(OR(_xlpm.v=0, _xlpm.v=""), "", _xlpm.v))</f>
        <v>60</v>
      </c>
      <c r="I2376" t="str">
        <f>_xlfn.LET(_xlpm.v, IFERROR(VLOOKUP($A2376, manifest!$A:$E, 5, FALSE), ""), IF(OR(_xlpm.v=0, _xlpm.v=""), "", _xlpm.v))</f>
        <v>female</v>
      </c>
    </row>
    <row r="2377" spans="1:9" x14ac:dyDescent="0.6">
      <c r="A2377">
        <v>498</v>
      </c>
      <c r="B2377" t="s">
        <v>14</v>
      </c>
      <c r="C2377" t="s">
        <v>12</v>
      </c>
      <c r="D2377">
        <v>227.51</v>
      </c>
      <c r="E2377">
        <v>253.51</v>
      </c>
      <c r="F2377">
        <v>37294</v>
      </c>
      <c r="H2377">
        <f>_xlfn.LET(_xlpm.v, IFERROR(VLOOKUP($A2377, manifest!$A:$E, 3, FALSE), ""), IF(OR(_xlpm.v=0, _xlpm.v=""), "", _xlpm.v))</f>
        <v>60</v>
      </c>
      <c r="I2377" t="str">
        <f>_xlfn.LET(_xlpm.v, IFERROR(VLOOKUP($A2377, manifest!$A:$E, 5, FALSE), ""), IF(OR(_xlpm.v=0, _xlpm.v=""), "", _xlpm.v))</f>
        <v>female</v>
      </c>
    </row>
    <row r="2378" spans="1:9" x14ac:dyDescent="0.6">
      <c r="A2378">
        <v>498</v>
      </c>
      <c r="B2378" t="s">
        <v>14</v>
      </c>
      <c r="C2378" t="s">
        <v>13</v>
      </c>
      <c r="D2378">
        <v>243.92</v>
      </c>
      <c r="E2378">
        <v>224.06</v>
      </c>
      <c r="F2378">
        <v>47945</v>
      </c>
      <c r="H2378">
        <f>_xlfn.LET(_xlpm.v, IFERROR(VLOOKUP($A2378, manifest!$A:$E, 3, FALSE), ""), IF(OR(_xlpm.v=0, _xlpm.v=""), "", _xlpm.v))</f>
        <v>60</v>
      </c>
      <c r="I2378" t="str">
        <f>_xlfn.LET(_xlpm.v, IFERROR(VLOOKUP($A2378, manifest!$A:$E, 5, FALSE), ""), IF(OR(_xlpm.v=0, _xlpm.v=""), "", _xlpm.v))</f>
        <v>female</v>
      </c>
    </row>
    <row r="2379" spans="1:9" x14ac:dyDescent="0.6">
      <c r="A2379">
        <v>492</v>
      </c>
      <c r="B2379" t="s">
        <v>7</v>
      </c>
      <c r="C2379" t="s">
        <v>8</v>
      </c>
      <c r="D2379">
        <v>194.18</v>
      </c>
      <c r="E2379">
        <v>134.78</v>
      </c>
      <c r="F2379">
        <v>35564</v>
      </c>
      <c r="G2379" t="s">
        <v>9</v>
      </c>
      <c r="H2379">
        <f>_xlfn.LET(_xlpm.v, IFERROR(VLOOKUP($A2379, manifest!$A:$E, 3, FALSE), ""), IF(OR(_xlpm.v=0, _xlpm.v=""), "", _xlpm.v))</f>
        <v>60</v>
      </c>
      <c r="I2379" t="str">
        <f>_xlfn.LET(_xlpm.v, IFERROR(VLOOKUP($A2379, manifest!$A:$E, 5, FALSE), ""), IF(OR(_xlpm.v=0, _xlpm.v=""), "", _xlpm.v))</f>
        <v>male</v>
      </c>
    </row>
    <row r="2380" spans="1:9" x14ac:dyDescent="0.6">
      <c r="A2380">
        <v>492</v>
      </c>
      <c r="B2380" t="s">
        <v>7</v>
      </c>
      <c r="C2380" t="s">
        <v>10</v>
      </c>
      <c r="D2380">
        <v>219.33</v>
      </c>
      <c r="E2380">
        <v>183.03</v>
      </c>
      <c r="F2380">
        <v>33634</v>
      </c>
      <c r="H2380">
        <f>_xlfn.LET(_xlpm.v, IFERROR(VLOOKUP($A2380, manifest!$A:$E, 3, FALSE), ""), IF(OR(_xlpm.v=0, _xlpm.v=""), "", _xlpm.v))</f>
        <v>60</v>
      </c>
      <c r="I2380" t="str">
        <f>_xlfn.LET(_xlpm.v, IFERROR(VLOOKUP($A2380, manifest!$A:$E, 5, FALSE), ""), IF(OR(_xlpm.v=0, _xlpm.v=""), "", _xlpm.v))</f>
        <v>male</v>
      </c>
    </row>
    <row r="2381" spans="1:9" x14ac:dyDescent="0.6">
      <c r="A2381">
        <v>492</v>
      </c>
      <c r="B2381" t="s">
        <v>7</v>
      </c>
      <c r="C2381" t="s">
        <v>11</v>
      </c>
      <c r="D2381">
        <v>233.45</v>
      </c>
      <c r="E2381">
        <v>208.08</v>
      </c>
      <c r="F2381">
        <v>37536</v>
      </c>
      <c r="H2381">
        <f>_xlfn.LET(_xlpm.v, IFERROR(VLOOKUP($A2381, manifest!$A:$E, 3, FALSE), ""), IF(OR(_xlpm.v=0, _xlpm.v=""), "", _xlpm.v))</f>
        <v>60</v>
      </c>
      <c r="I2381" t="str">
        <f>_xlfn.LET(_xlpm.v, IFERROR(VLOOKUP($A2381, manifest!$A:$E, 5, FALSE), ""), IF(OR(_xlpm.v=0, _xlpm.v=""), "", _xlpm.v))</f>
        <v>male</v>
      </c>
    </row>
    <row r="2382" spans="1:9" x14ac:dyDescent="0.6">
      <c r="A2382">
        <v>492</v>
      </c>
      <c r="B2382" t="s">
        <v>7</v>
      </c>
      <c r="C2382" t="s">
        <v>12</v>
      </c>
      <c r="D2382">
        <v>241.2</v>
      </c>
      <c r="E2382">
        <v>203.37</v>
      </c>
      <c r="F2382">
        <v>38677</v>
      </c>
      <c r="H2382">
        <f>_xlfn.LET(_xlpm.v, IFERROR(VLOOKUP($A2382, manifest!$A:$E, 3, FALSE), ""), IF(OR(_xlpm.v=0, _xlpm.v=""), "", _xlpm.v))</f>
        <v>60</v>
      </c>
      <c r="I2382" t="str">
        <f>_xlfn.LET(_xlpm.v, IFERROR(VLOOKUP($A2382, manifest!$A:$E, 5, FALSE), ""), IF(OR(_xlpm.v=0, _xlpm.v=""), "", _xlpm.v))</f>
        <v>male</v>
      </c>
    </row>
    <row r="2383" spans="1:9" x14ac:dyDescent="0.6">
      <c r="A2383">
        <v>492</v>
      </c>
      <c r="B2383" t="s">
        <v>7</v>
      </c>
      <c r="C2383" t="s">
        <v>13</v>
      </c>
      <c r="D2383">
        <v>233.59</v>
      </c>
      <c r="E2383">
        <v>170.86</v>
      </c>
      <c r="F2383">
        <v>48544</v>
      </c>
      <c r="H2383">
        <f>_xlfn.LET(_xlpm.v, IFERROR(VLOOKUP($A2383, manifest!$A:$E, 3, FALSE), ""), IF(OR(_xlpm.v=0, _xlpm.v=""), "", _xlpm.v))</f>
        <v>60</v>
      </c>
      <c r="I2383" t="str">
        <f>_xlfn.LET(_xlpm.v, IFERROR(VLOOKUP($A2383, manifest!$A:$E, 5, FALSE), ""), IF(OR(_xlpm.v=0, _xlpm.v=""), "", _xlpm.v))</f>
        <v>male</v>
      </c>
    </row>
    <row r="2384" spans="1:9" x14ac:dyDescent="0.6">
      <c r="A2384">
        <v>487</v>
      </c>
      <c r="B2384" t="s">
        <v>7</v>
      </c>
      <c r="C2384" t="s">
        <v>8</v>
      </c>
      <c r="D2384">
        <v>157.04</v>
      </c>
      <c r="E2384">
        <v>119.31</v>
      </c>
      <c r="F2384">
        <v>41828</v>
      </c>
      <c r="G2384" t="s">
        <v>15</v>
      </c>
      <c r="H2384">
        <f>_xlfn.LET(_xlpm.v, IFERROR(VLOOKUP($A2384, manifest!$A:$E, 3, FALSE), ""), IF(OR(_xlpm.v=0, _xlpm.v=""), "", _xlpm.v))</f>
        <v>60</v>
      </c>
      <c r="I2384" t="str">
        <f>_xlfn.LET(_xlpm.v, IFERROR(VLOOKUP($A2384, manifest!$A:$E, 5, FALSE), ""), IF(OR(_xlpm.v=0, _xlpm.v=""), "", _xlpm.v))</f>
        <v>male</v>
      </c>
    </row>
    <row r="2385" spans="1:9" x14ac:dyDescent="0.6">
      <c r="A2385">
        <v>487</v>
      </c>
      <c r="B2385" t="s">
        <v>7</v>
      </c>
      <c r="C2385" t="s">
        <v>10</v>
      </c>
      <c r="D2385">
        <v>184.27</v>
      </c>
      <c r="E2385">
        <v>160.47</v>
      </c>
      <c r="F2385">
        <v>45289</v>
      </c>
      <c r="H2385">
        <f>_xlfn.LET(_xlpm.v, IFERROR(VLOOKUP($A2385, manifest!$A:$E, 3, FALSE), ""), IF(OR(_xlpm.v=0, _xlpm.v=""), "", _xlpm.v))</f>
        <v>60</v>
      </c>
      <c r="I2385" t="str">
        <f>_xlfn.LET(_xlpm.v, IFERROR(VLOOKUP($A2385, manifest!$A:$E, 5, FALSE), ""), IF(OR(_xlpm.v=0, _xlpm.v=""), "", _xlpm.v))</f>
        <v>male</v>
      </c>
    </row>
    <row r="2386" spans="1:9" x14ac:dyDescent="0.6">
      <c r="A2386">
        <v>487</v>
      </c>
      <c r="B2386" t="s">
        <v>7</v>
      </c>
      <c r="C2386" t="s">
        <v>11</v>
      </c>
      <c r="D2386">
        <v>192.51</v>
      </c>
      <c r="E2386">
        <v>175.62</v>
      </c>
      <c r="F2386">
        <v>52297</v>
      </c>
      <c r="H2386">
        <f>_xlfn.LET(_xlpm.v, IFERROR(VLOOKUP($A2386, manifest!$A:$E, 3, FALSE), ""), IF(OR(_xlpm.v=0, _xlpm.v=""), "", _xlpm.v))</f>
        <v>60</v>
      </c>
      <c r="I2386" t="str">
        <f>_xlfn.LET(_xlpm.v, IFERROR(VLOOKUP($A2386, manifest!$A:$E, 5, FALSE), ""), IF(OR(_xlpm.v=0, _xlpm.v=""), "", _xlpm.v))</f>
        <v>male</v>
      </c>
    </row>
    <row r="2387" spans="1:9" x14ac:dyDescent="0.6">
      <c r="A2387">
        <v>487</v>
      </c>
      <c r="B2387" t="s">
        <v>7</v>
      </c>
      <c r="C2387" t="s">
        <v>12</v>
      </c>
      <c r="D2387">
        <v>211.37</v>
      </c>
      <c r="E2387">
        <v>208.68</v>
      </c>
      <c r="F2387">
        <v>51629</v>
      </c>
      <c r="H2387">
        <f>_xlfn.LET(_xlpm.v, IFERROR(VLOOKUP($A2387, manifest!$A:$E, 3, FALSE), ""), IF(OR(_xlpm.v=0, _xlpm.v=""), "", _xlpm.v))</f>
        <v>60</v>
      </c>
      <c r="I2387" t="str">
        <f>_xlfn.LET(_xlpm.v, IFERROR(VLOOKUP($A2387, manifest!$A:$E, 5, FALSE), ""), IF(OR(_xlpm.v=0, _xlpm.v=""), "", _xlpm.v))</f>
        <v>male</v>
      </c>
    </row>
    <row r="2388" spans="1:9" x14ac:dyDescent="0.6">
      <c r="A2388">
        <v>487</v>
      </c>
      <c r="B2388" t="s">
        <v>7</v>
      </c>
      <c r="C2388" t="s">
        <v>13</v>
      </c>
      <c r="D2388">
        <v>231.93</v>
      </c>
      <c r="E2388">
        <v>192.08</v>
      </c>
      <c r="F2388">
        <v>48641</v>
      </c>
      <c r="H2388">
        <f>_xlfn.LET(_xlpm.v, IFERROR(VLOOKUP($A2388, manifest!$A:$E, 3, FALSE), ""), IF(OR(_xlpm.v=0, _xlpm.v=""), "", _xlpm.v))</f>
        <v>60</v>
      </c>
      <c r="I2388" t="str">
        <f>_xlfn.LET(_xlpm.v, IFERROR(VLOOKUP($A2388, manifest!$A:$E, 5, FALSE), ""), IF(OR(_xlpm.v=0, _xlpm.v=""), "", _xlpm.v))</f>
        <v>male</v>
      </c>
    </row>
    <row r="2389" spans="1:9" x14ac:dyDescent="0.6">
      <c r="A2389">
        <v>497</v>
      </c>
      <c r="B2389" t="s">
        <v>14</v>
      </c>
      <c r="C2389" t="s">
        <v>8</v>
      </c>
      <c r="D2389">
        <v>185.84</v>
      </c>
      <c r="E2389">
        <v>203.59</v>
      </c>
      <c r="F2389">
        <v>49961</v>
      </c>
      <c r="G2389" t="s">
        <v>9</v>
      </c>
      <c r="H2389">
        <f>_xlfn.LET(_xlpm.v, IFERROR(VLOOKUP($A2389, manifest!$A:$E, 3, FALSE), ""), IF(OR(_xlpm.v=0, _xlpm.v=""), "", _xlpm.v))</f>
        <v>70</v>
      </c>
      <c r="I2389" t="str">
        <f>_xlfn.LET(_xlpm.v, IFERROR(VLOOKUP($A2389, manifest!$A:$E, 5, FALSE), ""), IF(OR(_xlpm.v=0, _xlpm.v=""), "", _xlpm.v))</f>
        <v>male</v>
      </c>
    </row>
    <row r="2390" spans="1:9" x14ac:dyDescent="0.6">
      <c r="A2390">
        <v>497</v>
      </c>
      <c r="B2390" t="s">
        <v>14</v>
      </c>
      <c r="C2390" t="s">
        <v>10</v>
      </c>
      <c r="D2390">
        <v>215.18</v>
      </c>
      <c r="E2390">
        <v>239.94</v>
      </c>
      <c r="F2390">
        <v>55637</v>
      </c>
      <c r="H2390">
        <f>_xlfn.LET(_xlpm.v, IFERROR(VLOOKUP($A2390, manifest!$A:$E, 3, FALSE), ""), IF(OR(_xlpm.v=0, _xlpm.v=""), "", _xlpm.v))</f>
        <v>70</v>
      </c>
      <c r="I2390" t="str">
        <f>_xlfn.LET(_xlpm.v, IFERROR(VLOOKUP($A2390, manifest!$A:$E, 5, FALSE), ""), IF(OR(_xlpm.v=0, _xlpm.v=""), "", _xlpm.v))</f>
        <v>male</v>
      </c>
    </row>
    <row r="2391" spans="1:9" x14ac:dyDescent="0.6">
      <c r="A2391">
        <v>497</v>
      </c>
      <c r="B2391" t="s">
        <v>14</v>
      </c>
      <c r="C2391" t="s">
        <v>11</v>
      </c>
      <c r="D2391">
        <v>202.8</v>
      </c>
      <c r="E2391">
        <v>242.89</v>
      </c>
      <c r="F2391">
        <v>66625</v>
      </c>
      <c r="H2391">
        <f>_xlfn.LET(_xlpm.v, IFERROR(VLOOKUP($A2391, manifest!$A:$E, 3, FALSE), ""), IF(OR(_xlpm.v=0, _xlpm.v=""), "", _xlpm.v))</f>
        <v>70</v>
      </c>
      <c r="I2391" t="str">
        <f>_xlfn.LET(_xlpm.v, IFERROR(VLOOKUP($A2391, manifest!$A:$E, 5, FALSE), ""), IF(OR(_xlpm.v=0, _xlpm.v=""), "", _xlpm.v))</f>
        <v>male</v>
      </c>
    </row>
    <row r="2392" spans="1:9" x14ac:dyDescent="0.6">
      <c r="A2392">
        <v>497</v>
      </c>
      <c r="B2392" t="s">
        <v>14</v>
      </c>
      <c r="C2392" t="s">
        <v>12</v>
      </c>
      <c r="D2392">
        <v>229.92</v>
      </c>
      <c r="E2392">
        <v>240.25</v>
      </c>
      <c r="F2392">
        <v>74595</v>
      </c>
      <c r="H2392">
        <f>_xlfn.LET(_xlpm.v, IFERROR(VLOOKUP($A2392, manifest!$A:$E, 3, FALSE), ""), IF(OR(_xlpm.v=0, _xlpm.v=""), "", _xlpm.v))</f>
        <v>70</v>
      </c>
      <c r="I2392" t="str">
        <f>_xlfn.LET(_xlpm.v, IFERROR(VLOOKUP($A2392, manifest!$A:$E, 5, FALSE), ""), IF(OR(_xlpm.v=0, _xlpm.v=""), "", _xlpm.v))</f>
        <v>male</v>
      </c>
    </row>
    <row r="2393" spans="1:9" x14ac:dyDescent="0.6">
      <c r="A2393">
        <v>497</v>
      </c>
      <c r="B2393" t="s">
        <v>14</v>
      </c>
      <c r="C2393" t="s">
        <v>13</v>
      </c>
      <c r="D2393">
        <v>264.02</v>
      </c>
      <c r="E2393">
        <v>245.69</v>
      </c>
      <c r="F2393">
        <v>85808</v>
      </c>
      <c r="H2393">
        <f>_xlfn.LET(_xlpm.v, IFERROR(VLOOKUP($A2393, manifest!$A:$E, 3, FALSE), ""), IF(OR(_xlpm.v=0, _xlpm.v=""), "", _xlpm.v))</f>
        <v>70</v>
      </c>
      <c r="I2393" t="str">
        <f>_xlfn.LET(_xlpm.v, IFERROR(VLOOKUP($A2393, manifest!$A:$E, 5, FALSE), ""), IF(OR(_xlpm.v=0, _xlpm.v=""), "", _xlpm.v))</f>
        <v>male</v>
      </c>
    </row>
    <row r="2394" spans="1:9" x14ac:dyDescent="0.6">
      <c r="A2394">
        <v>525</v>
      </c>
      <c r="B2394" t="s">
        <v>14</v>
      </c>
      <c r="C2394" t="s">
        <v>8</v>
      </c>
      <c r="D2394">
        <v>206.87</v>
      </c>
      <c r="E2394">
        <v>164.87</v>
      </c>
      <c r="F2394">
        <v>30175</v>
      </c>
      <c r="G2394" t="s">
        <v>9</v>
      </c>
      <c r="H2394">
        <f>_xlfn.LET(_xlpm.v, IFERROR(VLOOKUP($A2394, manifest!$A:$E, 3, FALSE), ""), IF(OR(_xlpm.v=0, _xlpm.v=""), "", _xlpm.v))</f>
        <v>50</v>
      </c>
      <c r="I2394" t="str">
        <f>_xlfn.LET(_xlpm.v, IFERROR(VLOOKUP($A2394, manifest!$A:$E, 5, FALSE), ""), IF(OR(_xlpm.v=0, _xlpm.v=""), "", _xlpm.v))</f>
        <v>male</v>
      </c>
    </row>
    <row r="2395" spans="1:9" x14ac:dyDescent="0.6">
      <c r="A2395">
        <v>525</v>
      </c>
      <c r="B2395" t="s">
        <v>14</v>
      </c>
      <c r="C2395" t="s">
        <v>10</v>
      </c>
      <c r="D2395">
        <v>207.67</v>
      </c>
      <c r="E2395">
        <v>185.71</v>
      </c>
      <c r="F2395">
        <v>31417</v>
      </c>
      <c r="H2395">
        <f>_xlfn.LET(_xlpm.v, IFERROR(VLOOKUP($A2395, manifest!$A:$E, 3, FALSE), ""), IF(OR(_xlpm.v=0, _xlpm.v=""), "", _xlpm.v))</f>
        <v>50</v>
      </c>
      <c r="I2395" t="str">
        <f>_xlfn.LET(_xlpm.v, IFERROR(VLOOKUP($A2395, manifest!$A:$E, 5, FALSE), ""), IF(OR(_xlpm.v=0, _xlpm.v=""), "", _xlpm.v))</f>
        <v>male</v>
      </c>
    </row>
    <row r="2396" spans="1:9" x14ac:dyDescent="0.6">
      <c r="A2396">
        <v>525</v>
      </c>
      <c r="B2396" t="s">
        <v>14</v>
      </c>
      <c r="C2396" t="s">
        <v>11</v>
      </c>
      <c r="D2396">
        <v>202.32</v>
      </c>
      <c r="E2396">
        <v>181.96</v>
      </c>
      <c r="F2396">
        <v>38830</v>
      </c>
      <c r="H2396">
        <f>_xlfn.LET(_xlpm.v, IFERROR(VLOOKUP($A2396, manifest!$A:$E, 3, FALSE), ""), IF(OR(_xlpm.v=0, _xlpm.v=""), "", _xlpm.v))</f>
        <v>50</v>
      </c>
      <c r="I2396" t="str">
        <f>_xlfn.LET(_xlpm.v, IFERROR(VLOOKUP($A2396, manifest!$A:$E, 5, FALSE), ""), IF(OR(_xlpm.v=0, _xlpm.v=""), "", _xlpm.v))</f>
        <v>male</v>
      </c>
    </row>
    <row r="2397" spans="1:9" x14ac:dyDescent="0.6">
      <c r="A2397">
        <v>525</v>
      </c>
      <c r="B2397" t="s">
        <v>14</v>
      </c>
      <c r="C2397" t="s">
        <v>12</v>
      </c>
      <c r="D2397">
        <v>223.95</v>
      </c>
      <c r="E2397">
        <v>198.96</v>
      </c>
      <c r="F2397">
        <v>42110</v>
      </c>
      <c r="H2397">
        <f>_xlfn.LET(_xlpm.v, IFERROR(VLOOKUP($A2397, manifest!$A:$E, 3, FALSE), ""), IF(OR(_xlpm.v=0, _xlpm.v=""), "", _xlpm.v))</f>
        <v>50</v>
      </c>
      <c r="I2397" t="str">
        <f>_xlfn.LET(_xlpm.v, IFERROR(VLOOKUP($A2397, manifest!$A:$E, 5, FALSE), ""), IF(OR(_xlpm.v=0, _xlpm.v=""), "", _xlpm.v))</f>
        <v>male</v>
      </c>
    </row>
    <row r="2398" spans="1:9" x14ac:dyDescent="0.6">
      <c r="A2398">
        <v>525</v>
      </c>
      <c r="B2398" t="s">
        <v>14</v>
      </c>
      <c r="C2398" t="s">
        <v>13</v>
      </c>
      <c r="D2398">
        <v>191.57</v>
      </c>
      <c r="E2398">
        <v>157.32</v>
      </c>
      <c r="F2398">
        <v>47971</v>
      </c>
      <c r="H2398">
        <f>_xlfn.LET(_xlpm.v, IFERROR(VLOOKUP($A2398, manifest!$A:$E, 3, FALSE), ""), IF(OR(_xlpm.v=0, _xlpm.v=""), "", _xlpm.v))</f>
        <v>50</v>
      </c>
      <c r="I2398" t="str">
        <f>_xlfn.LET(_xlpm.v, IFERROR(VLOOKUP($A2398, manifest!$A:$E, 5, FALSE), ""), IF(OR(_xlpm.v=0, _xlpm.v=""), "", _xlpm.v))</f>
        <v>male</v>
      </c>
    </row>
    <row r="2399" spans="1:9" x14ac:dyDescent="0.6">
      <c r="A2399">
        <v>505</v>
      </c>
      <c r="B2399" t="s">
        <v>7</v>
      </c>
      <c r="C2399" t="s">
        <v>8</v>
      </c>
      <c r="D2399">
        <v>102.5</v>
      </c>
      <c r="E2399">
        <v>134.65</v>
      </c>
      <c r="F2399">
        <v>28865</v>
      </c>
      <c r="G2399" t="s">
        <v>17</v>
      </c>
      <c r="H2399">
        <f>_xlfn.LET(_xlpm.v, IFERROR(VLOOKUP($A2399, manifest!$A:$E, 3, FALSE), ""), IF(OR(_xlpm.v=0, _xlpm.v=""), "", _xlpm.v))</f>
        <v>70</v>
      </c>
      <c r="I2399" t="str">
        <f>_xlfn.LET(_xlpm.v, IFERROR(VLOOKUP($A2399, manifest!$A:$E, 5, FALSE), ""), IF(OR(_xlpm.v=0, _xlpm.v=""), "", _xlpm.v))</f>
        <v>female</v>
      </c>
    </row>
    <row r="2400" spans="1:9" x14ac:dyDescent="0.6">
      <c r="A2400">
        <v>505</v>
      </c>
      <c r="B2400" t="s">
        <v>7</v>
      </c>
      <c r="C2400" t="s">
        <v>10</v>
      </c>
      <c r="D2400">
        <v>89.01</v>
      </c>
      <c r="E2400">
        <v>101.46</v>
      </c>
      <c r="F2400">
        <v>30751</v>
      </c>
      <c r="H2400">
        <f>_xlfn.LET(_xlpm.v, IFERROR(VLOOKUP($A2400, manifest!$A:$E, 3, FALSE), ""), IF(OR(_xlpm.v=0, _xlpm.v=""), "", _xlpm.v))</f>
        <v>70</v>
      </c>
      <c r="I2400" t="str">
        <f>_xlfn.LET(_xlpm.v, IFERROR(VLOOKUP($A2400, manifest!$A:$E, 5, FALSE), ""), IF(OR(_xlpm.v=0, _xlpm.v=""), "", _xlpm.v))</f>
        <v>female</v>
      </c>
    </row>
    <row r="2401" spans="1:9" x14ac:dyDescent="0.6">
      <c r="A2401">
        <v>505</v>
      </c>
      <c r="B2401" t="s">
        <v>7</v>
      </c>
      <c r="C2401" t="s">
        <v>11</v>
      </c>
      <c r="D2401">
        <v>87.08</v>
      </c>
      <c r="E2401">
        <v>111.15</v>
      </c>
      <c r="F2401">
        <v>39393</v>
      </c>
      <c r="H2401">
        <f>_xlfn.LET(_xlpm.v, IFERROR(VLOOKUP($A2401, manifest!$A:$E, 3, FALSE), ""), IF(OR(_xlpm.v=0, _xlpm.v=""), "", _xlpm.v))</f>
        <v>70</v>
      </c>
      <c r="I2401" t="str">
        <f>_xlfn.LET(_xlpm.v, IFERROR(VLOOKUP($A2401, manifest!$A:$E, 5, FALSE), ""), IF(OR(_xlpm.v=0, _xlpm.v=""), "", _xlpm.v))</f>
        <v>female</v>
      </c>
    </row>
    <row r="2402" spans="1:9" x14ac:dyDescent="0.6">
      <c r="A2402">
        <v>505</v>
      </c>
      <c r="B2402" t="s">
        <v>7</v>
      </c>
      <c r="C2402" t="s">
        <v>12</v>
      </c>
      <c r="D2402">
        <v>72.709999999999994</v>
      </c>
      <c r="E2402">
        <v>115.08</v>
      </c>
      <c r="F2402">
        <v>45195</v>
      </c>
      <c r="H2402">
        <f>_xlfn.LET(_xlpm.v, IFERROR(VLOOKUP($A2402, manifest!$A:$E, 3, FALSE), ""), IF(OR(_xlpm.v=0, _xlpm.v=""), "", _xlpm.v))</f>
        <v>70</v>
      </c>
      <c r="I2402" t="str">
        <f>_xlfn.LET(_xlpm.v, IFERROR(VLOOKUP($A2402, manifest!$A:$E, 5, FALSE), ""), IF(OR(_xlpm.v=0, _xlpm.v=""), "", _xlpm.v))</f>
        <v>female</v>
      </c>
    </row>
    <row r="2403" spans="1:9" x14ac:dyDescent="0.6">
      <c r="A2403">
        <v>505</v>
      </c>
      <c r="B2403" t="s">
        <v>7</v>
      </c>
      <c r="C2403" t="s">
        <v>13</v>
      </c>
      <c r="D2403">
        <v>118.03</v>
      </c>
      <c r="E2403">
        <v>152.25</v>
      </c>
      <c r="F2403">
        <v>50374</v>
      </c>
      <c r="H2403">
        <f>_xlfn.LET(_xlpm.v, IFERROR(VLOOKUP($A2403, manifest!$A:$E, 3, FALSE), ""), IF(OR(_xlpm.v=0, _xlpm.v=""), "", _xlpm.v))</f>
        <v>70</v>
      </c>
      <c r="I2403" t="str">
        <f>_xlfn.LET(_xlpm.v, IFERROR(VLOOKUP($A2403, manifest!$A:$E, 5, FALSE), ""), IF(OR(_xlpm.v=0, _xlpm.v=""), "", _xlpm.v))</f>
        <v>female</v>
      </c>
    </row>
    <row r="2404" spans="1:9" x14ac:dyDescent="0.6">
      <c r="A2404">
        <v>507</v>
      </c>
      <c r="B2404" t="s">
        <v>7</v>
      </c>
      <c r="C2404" t="s">
        <v>8</v>
      </c>
      <c r="D2404">
        <v>274.77999999999997</v>
      </c>
      <c r="E2404">
        <v>176.63</v>
      </c>
      <c r="F2404">
        <v>20155</v>
      </c>
      <c r="G2404" t="s">
        <v>9</v>
      </c>
      <c r="H2404">
        <f>_xlfn.LET(_xlpm.v, IFERROR(VLOOKUP($A2404, manifest!$A:$E, 3, FALSE), ""), IF(OR(_xlpm.v=0, _xlpm.v=""), "", _xlpm.v))</f>
        <v>50</v>
      </c>
      <c r="I2404" t="str">
        <f>_xlfn.LET(_xlpm.v, IFERROR(VLOOKUP($A2404, manifest!$A:$E, 5, FALSE), ""), IF(OR(_xlpm.v=0, _xlpm.v=""), "", _xlpm.v))</f>
        <v>male</v>
      </c>
    </row>
    <row r="2405" spans="1:9" x14ac:dyDescent="0.6">
      <c r="A2405">
        <v>507</v>
      </c>
      <c r="B2405" t="s">
        <v>7</v>
      </c>
      <c r="C2405" t="s">
        <v>10</v>
      </c>
      <c r="D2405">
        <v>303.92</v>
      </c>
      <c r="E2405">
        <v>223.93</v>
      </c>
      <c r="F2405">
        <v>22282</v>
      </c>
      <c r="H2405">
        <f>_xlfn.LET(_xlpm.v, IFERROR(VLOOKUP($A2405, manifest!$A:$E, 3, FALSE), ""), IF(OR(_xlpm.v=0, _xlpm.v=""), "", _xlpm.v))</f>
        <v>50</v>
      </c>
      <c r="I2405" t="str">
        <f>_xlfn.LET(_xlpm.v, IFERROR(VLOOKUP($A2405, manifest!$A:$E, 5, FALSE), ""), IF(OR(_xlpm.v=0, _xlpm.v=""), "", _xlpm.v))</f>
        <v>male</v>
      </c>
    </row>
    <row r="2406" spans="1:9" x14ac:dyDescent="0.6">
      <c r="A2406">
        <v>507</v>
      </c>
      <c r="B2406" t="s">
        <v>7</v>
      </c>
      <c r="C2406" t="s">
        <v>11</v>
      </c>
      <c r="D2406">
        <v>281.94</v>
      </c>
      <c r="E2406">
        <v>203.64</v>
      </c>
      <c r="F2406">
        <v>29894</v>
      </c>
      <c r="H2406">
        <f>_xlfn.LET(_xlpm.v, IFERROR(VLOOKUP($A2406, manifest!$A:$E, 3, FALSE), ""), IF(OR(_xlpm.v=0, _xlpm.v=""), "", _xlpm.v))</f>
        <v>50</v>
      </c>
      <c r="I2406" t="str">
        <f>_xlfn.LET(_xlpm.v, IFERROR(VLOOKUP($A2406, manifest!$A:$E, 5, FALSE), ""), IF(OR(_xlpm.v=0, _xlpm.v=""), "", _xlpm.v))</f>
        <v>male</v>
      </c>
    </row>
    <row r="2407" spans="1:9" x14ac:dyDescent="0.6">
      <c r="A2407">
        <v>507</v>
      </c>
      <c r="B2407" t="s">
        <v>7</v>
      </c>
      <c r="C2407" t="s">
        <v>12</v>
      </c>
      <c r="D2407">
        <v>343.14</v>
      </c>
      <c r="E2407">
        <v>250.42</v>
      </c>
      <c r="F2407">
        <v>33637</v>
      </c>
      <c r="H2407">
        <f>_xlfn.LET(_xlpm.v, IFERROR(VLOOKUP($A2407, manifest!$A:$E, 3, FALSE), ""), IF(OR(_xlpm.v=0, _xlpm.v=""), "", _xlpm.v))</f>
        <v>50</v>
      </c>
      <c r="I2407" t="str">
        <f>_xlfn.LET(_xlpm.v, IFERROR(VLOOKUP($A2407, manifest!$A:$E, 5, FALSE), ""), IF(OR(_xlpm.v=0, _xlpm.v=""), "", _xlpm.v))</f>
        <v>male</v>
      </c>
    </row>
    <row r="2408" spans="1:9" x14ac:dyDescent="0.6">
      <c r="A2408">
        <v>507</v>
      </c>
      <c r="B2408" t="s">
        <v>7</v>
      </c>
      <c r="C2408" t="s">
        <v>13</v>
      </c>
      <c r="D2408">
        <v>298.64</v>
      </c>
      <c r="E2408">
        <v>209.75</v>
      </c>
      <c r="F2408">
        <v>40756</v>
      </c>
      <c r="H2408">
        <f>_xlfn.LET(_xlpm.v, IFERROR(VLOOKUP($A2408, manifest!$A:$E, 3, FALSE), ""), IF(OR(_xlpm.v=0, _xlpm.v=""), "", _xlpm.v))</f>
        <v>50</v>
      </c>
      <c r="I2408" t="str">
        <f>_xlfn.LET(_xlpm.v, IFERROR(VLOOKUP($A2408, manifest!$A:$E, 5, FALSE), ""), IF(OR(_xlpm.v=0, _xlpm.v=""), "", _xlpm.v))</f>
        <v>male</v>
      </c>
    </row>
    <row r="2409" spans="1:9" x14ac:dyDescent="0.6">
      <c r="A2409">
        <v>516</v>
      </c>
      <c r="B2409" t="s">
        <v>14</v>
      </c>
      <c r="C2409" t="s">
        <v>8</v>
      </c>
      <c r="D2409">
        <v>147.74</v>
      </c>
      <c r="E2409">
        <v>166.53</v>
      </c>
      <c r="F2409">
        <v>27217</v>
      </c>
      <c r="G2409" t="s">
        <v>15</v>
      </c>
      <c r="H2409">
        <f>_xlfn.LET(_xlpm.v, IFERROR(VLOOKUP($A2409, manifest!$A:$E, 3, FALSE), ""), IF(OR(_xlpm.v=0, _xlpm.v=""), "", _xlpm.v))</f>
        <v>60</v>
      </c>
      <c r="I2409" t="str">
        <f>_xlfn.LET(_xlpm.v, IFERROR(VLOOKUP($A2409, manifest!$A:$E, 5, FALSE), ""), IF(OR(_xlpm.v=0, _xlpm.v=""), "", _xlpm.v))</f>
        <v>female</v>
      </c>
    </row>
    <row r="2410" spans="1:9" x14ac:dyDescent="0.6">
      <c r="A2410">
        <v>516</v>
      </c>
      <c r="B2410" t="s">
        <v>14</v>
      </c>
      <c r="C2410" t="s">
        <v>10</v>
      </c>
      <c r="D2410">
        <v>142.21</v>
      </c>
      <c r="E2410">
        <v>193.84</v>
      </c>
      <c r="F2410">
        <v>31378</v>
      </c>
      <c r="H2410">
        <f>_xlfn.LET(_xlpm.v, IFERROR(VLOOKUP($A2410, manifest!$A:$E, 3, FALSE), ""), IF(OR(_xlpm.v=0, _xlpm.v=""), "", _xlpm.v))</f>
        <v>60</v>
      </c>
      <c r="I2410" t="str">
        <f>_xlfn.LET(_xlpm.v, IFERROR(VLOOKUP($A2410, manifest!$A:$E, 5, FALSE), ""), IF(OR(_xlpm.v=0, _xlpm.v=""), "", _xlpm.v))</f>
        <v>female</v>
      </c>
    </row>
    <row r="2411" spans="1:9" x14ac:dyDescent="0.6">
      <c r="A2411">
        <v>516</v>
      </c>
      <c r="B2411" t="s">
        <v>14</v>
      </c>
      <c r="C2411" t="s">
        <v>11</v>
      </c>
      <c r="D2411">
        <v>124.62</v>
      </c>
      <c r="E2411">
        <v>174.9</v>
      </c>
      <c r="F2411">
        <v>46153</v>
      </c>
      <c r="H2411">
        <f>_xlfn.LET(_xlpm.v, IFERROR(VLOOKUP($A2411, manifest!$A:$E, 3, FALSE), ""), IF(OR(_xlpm.v=0, _xlpm.v=""), "", _xlpm.v))</f>
        <v>60</v>
      </c>
      <c r="I2411" t="str">
        <f>_xlfn.LET(_xlpm.v, IFERROR(VLOOKUP($A2411, manifest!$A:$E, 5, FALSE), ""), IF(OR(_xlpm.v=0, _xlpm.v=""), "", _xlpm.v))</f>
        <v>female</v>
      </c>
    </row>
    <row r="2412" spans="1:9" x14ac:dyDescent="0.6">
      <c r="A2412">
        <v>516</v>
      </c>
      <c r="B2412" t="s">
        <v>14</v>
      </c>
      <c r="C2412" t="s">
        <v>12</v>
      </c>
      <c r="D2412">
        <v>219.01</v>
      </c>
      <c r="E2412">
        <v>218.13</v>
      </c>
      <c r="F2412">
        <v>42800</v>
      </c>
      <c r="H2412">
        <f>_xlfn.LET(_xlpm.v, IFERROR(VLOOKUP($A2412, manifest!$A:$E, 3, FALSE), ""), IF(OR(_xlpm.v=0, _xlpm.v=""), "", _xlpm.v))</f>
        <v>60</v>
      </c>
      <c r="I2412" t="str">
        <f>_xlfn.LET(_xlpm.v, IFERROR(VLOOKUP($A2412, manifest!$A:$E, 5, FALSE), ""), IF(OR(_xlpm.v=0, _xlpm.v=""), "", _xlpm.v))</f>
        <v>female</v>
      </c>
    </row>
    <row r="2413" spans="1:9" x14ac:dyDescent="0.6">
      <c r="A2413">
        <v>516</v>
      </c>
      <c r="B2413" t="s">
        <v>14</v>
      </c>
      <c r="C2413" t="s">
        <v>13</v>
      </c>
      <c r="D2413">
        <v>262.45</v>
      </c>
      <c r="E2413">
        <v>227.4</v>
      </c>
      <c r="F2413">
        <v>40422</v>
      </c>
      <c r="H2413">
        <f>_xlfn.LET(_xlpm.v, IFERROR(VLOOKUP($A2413, manifest!$A:$E, 3, FALSE), ""), IF(OR(_xlpm.v=0, _xlpm.v=""), "", _xlpm.v))</f>
        <v>60</v>
      </c>
      <c r="I2413" t="str">
        <f>_xlfn.LET(_xlpm.v, IFERROR(VLOOKUP($A2413, manifest!$A:$E, 5, FALSE), ""), IF(OR(_xlpm.v=0, _xlpm.v=""), "", _xlpm.v))</f>
        <v>female</v>
      </c>
    </row>
    <row r="2414" spans="1:9" x14ac:dyDescent="0.6">
      <c r="A2414">
        <v>500</v>
      </c>
      <c r="B2414" t="s">
        <v>7</v>
      </c>
      <c r="C2414" t="s">
        <v>8</v>
      </c>
      <c r="D2414">
        <v>330.8</v>
      </c>
      <c r="E2414">
        <v>266.99</v>
      </c>
      <c r="F2414">
        <v>16109</v>
      </c>
      <c r="G2414" t="s">
        <v>9</v>
      </c>
      <c r="H2414">
        <f>_xlfn.LET(_xlpm.v, IFERROR(VLOOKUP($A2414, manifest!$A:$E, 3, FALSE), ""), IF(OR(_xlpm.v=0, _xlpm.v=""), "", _xlpm.v))</f>
        <v>50</v>
      </c>
      <c r="I2414" t="str">
        <f>_xlfn.LET(_xlpm.v, IFERROR(VLOOKUP($A2414, manifest!$A:$E, 5, FALSE), ""), IF(OR(_xlpm.v=0, _xlpm.v=""), "", _xlpm.v))</f>
        <v>female</v>
      </c>
    </row>
    <row r="2415" spans="1:9" x14ac:dyDescent="0.6">
      <c r="A2415">
        <v>500</v>
      </c>
      <c r="B2415" t="s">
        <v>7</v>
      </c>
      <c r="C2415" t="s">
        <v>10</v>
      </c>
      <c r="D2415">
        <v>347.31</v>
      </c>
      <c r="E2415">
        <v>282.25</v>
      </c>
      <c r="F2415">
        <v>17471</v>
      </c>
      <c r="H2415">
        <f>_xlfn.LET(_xlpm.v, IFERROR(VLOOKUP($A2415, manifest!$A:$E, 3, FALSE), ""), IF(OR(_xlpm.v=0, _xlpm.v=""), "", _xlpm.v))</f>
        <v>50</v>
      </c>
      <c r="I2415" t="str">
        <f>_xlfn.LET(_xlpm.v, IFERROR(VLOOKUP($A2415, manifest!$A:$E, 5, FALSE), ""), IF(OR(_xlpm.v=0, _xlpm.v=""), "", _xlpm.v))</f>
        <v>female</v>
      </c>
    </row>
    <row r="2416" spans="1:9" x14ac:dyDescent="0.6">
      <c r="A2416">
        <v>500</v>
      </c>
      <c r="B2416" t="s">
        <v>7</v>
      </c>
      <c r="C2416" t="s">
        <v>11</v>
      </c>
      <c r="D2416">
        <v>297.61</v>
      </c>
      <c r="E2416">
        <v>217.65</v>
      </c>
      <c r="F2416">
        <v>20074</v>
      </c>
      <c r="H2416">
        <f>_xlfn.LET(_xlpm.v, IFERROR(VLOOKUP($A2416, manifest!$A:$E, 3, FALSE), ""), IF(OR(_xlpm.v=0, _xlpm.v=""), "", _xlpm.v))</f>
        <v>50</v>
      </c>
      <c r="I2416" t="str">
        <f>_xlfn.LET(_xlpm.v, IFERROR(VLOOKUP($A2416, manifest!$A:$E, 5, FALSE), ""), IF(OR(_xlpm.v=0, _xlpm.v=""), "", _xlpm.v))</f>
        <v>female</v>
      </c>
    </row>
    <row r="2417" spans="1:9" x14ac:dyDescent="0.6">
      <c r="A2417">
        <v>500</v>
      </c>
      <c r="B2417" t="s">
        <v>7</v>
      </c>
      <c r="C2417" t="s">
        <v>12</v>
      </c>
      <c r="D2417">
        <v>282.69</v>
      </c>
      <c r="E2417">
        <v>217.82</v>
      </c>
      <c r="F2417">
        <v>21206</v>
      </c>
      <c r="H2417">
        <f>_xlfn.LET(_xlpm.v, IFERROR(VLOOKUP($A2417, manifest!$A:$E, 3, FALSE), ""), IF(OR(_xlpm.v=0, _xlpm.v=""), "", _xlpm.v))</f>
        <v>50</v>
      </c>
      <c r="I2417" t="str">
        <f>_xlfn.LET(_xlpm.v, IFERROR(VLOOKUP($A2417, manifest!$A:$E, 5, FALSE), ""), IF(OR(_xlpm.v=0, _xlpm.v=""), "", _xlpm.v))</f>
        <v>female</v>
      </c>
    </row>
    <row r="2418" spans="1:9" x14ac:dyDescent="0.6">
      <c r="A2418">
        <v>500</v>
      </c>
      <c r="B2418" t="s">
        <v>7</v>
      </c>
      <c r="C2418" t="s">
        <v>13</v>
      </c>
      <c r="D2418">
        <v>275.92</v>
      </c>
      <c r="E2418">
        <v>155.53</v>
      </c>
      <c r="F2418">
        <v>27487</v>
      </c>
      <c r="H2418">
        <f>_xlfn.LET(_xlpm.v, IFERROR(VLOOKUP($A2418, manifest!$A:$E, 3, FALSE), ""), IF(OR(_xlpm.v=0, _xlpm.v=""), "", _xlpm.v))</f>
        <v>50</v>
      </c>
      <c r="I2418" t="str">
        <f>_xlfn.LET(_xlpm.v, IFERROR(VLOOKUP($A2418, manifest!$A:$E, 5, FALSE), ""), IF(OR(_xlpm.v=0, _xlpm.v=""), "", _xlpm.v))</f>
        <v>female</v>
      </c>
    </row>
    <row r="2419" spans="1:9" x14ac:dyDescent="0.6">
      <c r="A2419">
        <v>494</v>
      </c>
      <c r="B2419" t="s">
        <v>14</v>
      </c>
      <c r="C2419" t="s">
        <v>8</v>
      </c>
      <c r="D2419">
        <v>198.13</v>
      </c>
      <c r="E2419">
        <v>171.97</v>
      </c>
      <c r="F2419">
        <v>45953</v>
      </c>
      <c r="G2419" t="s">
        <v>9</v>
      </c>
      <c r="H2419">
        <f>_xlfn.LET(_xlpm.v, IFERROR(VLOOKUP($A2419, manifest!$A:$E, 3, FALSE), ""), IF(OR(_xlpm.v=0, _xlpm.v=""), "", _xlpm.v))</f>
        <v>70</v>
      </c>
      <c r="I2419" t="str">
        <f>_xlfn.LET(_xlpm.v, IFERROR(VLOOKUP($A2419, manifest!$A:$E, 5, FALSE), ""), IF(OR(_xlpm.v=0, _xlpm.v=""), "", _xlpm.v))</f>
        <v>male</v>
      </c>
    </row>
    <row r="2420" spans="1:9" x14ac:dyDescent="0.6">
      <c r="A2420">
        <v>494</v>
      </c>
      <c r="B2420" t="s">
        <v>14</v>
      </c>
      <c r="C2420" t="s">
        <v>10</v>
      </c>
      <c r="D2420">
        <v>184.19</v>
      </c>
      <c r="E2420">
        <v>153.74</v>
      </c>
      <c r="F2420">
        <v>46573</v>
      </c>
      <c r="H2420">
        <f>_xlfn.LET(_xlpm.v, IFERROR(VLOOKUP($A2420, manifest!$A:$E, 3, FALSE), ""), IF(OR(_xlpm.v=0, _xlpm.v=""), "", _xlpm.v))</f>
        <v>70</v>
      </c>
      <c r="I2420" t="str">
        <f>_xlfn.LET(_xlpm.v, IFERROR(VLOOKUP($A2420, manifest!$A:$E, 5, FALSE), ""), IF(OR(_xlpm.v=0, _xlpm.v=""), "", _xlpm.v))</f>
        <v>male</v>
      </c>
    </row>
    <row r="2421" spans="1:9" x14ac:dyDescent="0.6">
      <c r="A2421">
        <v>494</v>
      </c>
      <c r="B2421" t="s">
        <v>14</v>
      </c>
      <c r="C2421" t="s">
        <v>11</v>
      </c>
      <c r="D2421">
        <v>179.95</v>
      </c>
      <c r="E2421">
        <v>151.38</v>
      </c>
      <c r="F2421">
        <v>43720</v>
      </c>
      <c r="H2421">
        <f>_xlfn.LET(_xlpm.v, IFERROR(VLOOKUP($A2421, manifest!$A:$E, 3, FALSE), ""), IF(OR(_xlpm.v=0, _xlpm.v=""), "", _xlpm.v))</f>
        <v>70</v>
      </c>
      <c r="I2421" t="str">
        <f>_xlfn.LET(_xlpm.v, IFERROR(VLOOKUP($A2421, manifest!$A:$E, 5, FALSE), ""), IF(OR(_xlpm.v=0, _xlpm.v=""), "", _xlpm.v))</f>
        <v>male</v>
      </c>
    </row>
    <row r="2422" spans="1:9" x14ac:dyDescent="0.6">
      <c r="A2422">
        <v>494</v>
      </c>
      <c r="B2422" t="s">
        <v>14</v>
      </c>
      <c r="C2422" t="s">
        <v>12</v>
      </c>
      <c r="D2422">
        <v>157.69999999999999</v>
      </c>
      <c r="E2422">
        <v>132.43</v>
      </c>
      <c r="F2422">
        <v>51177</v>
      </c>
      <c r="H2422">
        <f>_xlfn.LET(_xlpm.v, IFERROR(VLOOKUP($A2422, manifest!$A:$E, 3, FALSE), ""), IF(OR(_xlpm.v=0, _xlpm.v=""), "", _xlpm.v))</f>
        <v>70</v>
      </c>
      <c r="I2422" t="str">
        <f>_xlfn.LET(_xlpm.v, IFERROR(VLOOKUP($A2422, manifest!$A:$E, 5, FALSE), ""), IF(OR(_xlpm.v=0, _xlpm.v=""), "", _xlpm.v))</f>
        <v>male</v>
      </c>
    </row>
    <row r="2423" spans="1:9" x14ac:dyDescent="0.6">
      <c r="A2423">
        <v>494</v>
      </c>
      <c r="B2423" t="s">
        <v>14</v>
      </c>
      <c r="C2423" t="s">
        <v>13</v>
      </c>
      <c r="D2423">
        <v>221.16</v>
      </c>
      <c r="E2423">
        <v>170.37</v>
      </c>
      <c r="F2423">
        <v>52597</v>
      </c>
      <c r="H2423">
        <f>_xlfn.LET(_xlpm.v, IFERROR(VLOOKUP($A2423, manifest!$A:$E, 3, FALSE), ""), IF(OR(_xlpm.v=0, _xlpm.v=""), "", _xlpm.v))</f>
        <v>70</v>
      </c>
      <c r="I2423" t="str">
        <f>_xlfn.LET(_xlpm.v, IFERROR(VLOOKUP($A2423, manifest!$A:$E, 5, FALSE), ""), IF(OR(_xlpm.v=0, _xlpm.v=""), "", _xlpm.v))</f>
        <v>male</v>
      </c>
    </row>
    <row r="2424" spans="1:9" x14ac:dyDescent="0.6">
      <c r="A2424">
        <v>514</v>
      </c>
      <c r="B2424" t="s">
        <v>7</v>
      </c>
      <c r="C2424" t="s">
        <v>8</v>
      </c>
      <c r="D2424">
        <v>165.21</v>
      </c>
      <c r="E2424">
        <v>142.27000000000001</v>
      </c>
      <c r="F2424">
        <v>36806</v>
      </c>
      <c r="G2424" t="s">
        <v>9</v>
      </c>
      <c r="H2424">
        <f>_xlfn.LET(_xlpm.v, IFERROR(VLOOKUP($A2424, manifest!$A:$E, 3, FALSE), ""), IF(OR(_xlpm.v=0, _xlpm.v=""), "", _xlpm.v))</f>
        <v>60</v>
      </c>
      <c r="I2424" t="str">
        <f>_xlfn.LET(_xlpm.v, IFERROR(VLOOKUP($A2424, manifest!$A:$E, 5, FALSE), ""), IF(OR(_xlpm.v=0, _xlpm.v=""), "", _xlpm.v))</f>
        <v>male</v>
      </c>
    </row>
    <row r="2425" spans="1:9" x14ac:dyDescent="0.6">
      <c r="A2425">
        <v>514</v>
      </c>
      <c r="B2425" t="s">
        <v>7</v>
      </c>
      <c r="C2425" t="s">
        <v>10</v>
      </c>
      <c r="D2425">
        <v>177.66</v>
      </c>
      <c r="E2425">
        <v>177.61</v>
      </c>
      <c r="F2425">
        <v>36635</v>
      </c>
      <c r="H2425">
        <f>_xlfn.LET(_xlpm.v, IFERROR(VLOOKUP($A2425, manifest!$A:$E, 3, FALSE), ""), IF(OR(_xlpm.v=0, _xlpm.v=""), "", _xlpm.v))</f>
        <v>60</v>
      </c>
      <c r="I2425" t="str">
        <f>_xlfn.LET(_xlpm.v, IFERROR(VLOOKUP($A2425, manifest!$A:$E, 5, FALSE), ""), IF(OR(_xlpm.v=0, _xlpm.v=""), "", _xlpm.v))</f>
        <v>male</v>
      </c>
    </row>
    <row r="2426" spans="1:9" x14ac:dyDescent="0.6">
      <c r="A2426">
        <v>514</v>
      </c>
      <c r="B2426" t="s">
        <v>7</v>
      </c>
      <c r="C2426" t="s">
        <v>11</v>
      </c>
      <c r="D2426">
        <v>178.67</v>
      </c>
      <c r="E2426">
        <v>164.64</v>
      </c>
      <c r="F2426">
        <v>37593</v>
      </c>
      <c r="H2426">
        <f>_xlfn.LET(_xlpm.v, IFERROR(VLOOKUP($A2426, manifest!$A:$E, 3, FALSE), ""), IF(OR(_xlpm.v=0, _xlpm.v=""), "", _xlpm.v))</f>
        <v>60</v>
      </c>
      <c r="I2426" t="str">
        <f>_xlfn.LET(_xlpm.v, IFERROR(VLOOKUP($A2426, manifest!$A:$E, 5, FALSE), ""), IF(OR(_xlpm.v=0, _xlpm.v=""), "", _xlpm.v))</f>
        <v>male</v>
      </c>
    </row>
    <row r="2427" spans="1:9" x14ac:dyDescent="0.6">
      <c r="A2427">
        <v>514</v>
      </c>
      <c r="B2427" t="s">
        <v>7</v>
      </c>
      <c r="C2427" t="s">
        <v>12</v>
      </c>
      <c r="D2427">
        <v>158.65</v>
      </c>
      <c r="E2427">
        <v>138.27000000000001</v>
      </c>
      <c r="F2427">
        <v>36600</v>
      </c>
      <c r="H2427">
        <f>_xlfn.LET(_xlpm.v, IFERROR(VLOOKUP($A2427, manifest!$A:$E, 3, FALSE), ""), IF(OR(_xlpm.v=0, _xlpm.v=""), "", _xlpm.v))</f>
        <v>60</v>
      </c>
      <c r="I2427" t="str">
        <f>_xlfn.LET(_xlpm.v, IFERROR(VLOOKUP($A2427, manifest!$A:$E, 5, FALSE), ""), IF(OR(_xlpm.v=0, _xlpm.v=""), "", _xlpm.v))</f>
        <v>male</v>
      </c>
    </row>
    <row r="2428" spans="1:9" x14ac:dyDescent="0.6">
      <c r="A2428">
        <v>514</v>
      </c>
      <c r="B2428" t="s">
        <v>7</v>
      </c>
      <c r="C2428" t="s">
        <v>13</v>
      </c>
      <c r="D2428">
        <v>208.9</v>
      </c>
      <c r="E2428">
        <v>178.6</v>
      </c>
      <c r="F2428">
        <v>41730</v>
      </c>
      <c r="H2428">
        <f>_xlfn.LET(_xlpm.v, IFERROR(VLOOKUP($A2428, manifest!$A:$E, 3, FALSE), ""), IF(OR(_xlpm.v=0, _xlpm.v=""), "", _xlpm.v))</f>
        <v>60</v>
      </c>
      <c r="I2428" t="str">
        <f>_xlfn.LET(_xlpm.v, IFERROR(VLOOKUP($A2428, manifest!$A:$E, 5, FALSE), ""), IF(OR(_xlpm.v=0, _xlpm.v=""), "", _xlpm.v))</f>
        <v>male</v>
      </c>
    </row>
    <row r="2429" spans="1:9" x14ac:dyDescent="0.6">
      <c r="A2429">
        <v>519</v>
      </c>
      <c r="B2429" t="s">
        <v>7</v>
      </c>
      <c r="C2429" t="s">
        <v>8</v>
      </c>
      <c r="D2429">
        <v>226.07</v>
      </c>
      <c r="E2429">
        <v>170.27</v>
      </c>
      <c r="F2429">
        <v>26705</v>
      </c>
      <c r="G2429" t="s">
        <v>9</v>
      </c>
      <c r="H2429">
        <f>_xlfn.LET(_xlpm.v, IFERROR(VLOOKUP($A2429, manifest!$A:$E, 3, FALSE), ""), IF(OR(_xlpm.v=0, _xlpm.v=""), "", _xlpm.v))</f>
        <v>60</v>
      </c>
      <c r="I2429" t="str">
        <f>_xlfn.LET(_xlpm.v, IFERROR(VLOOKUP($A2429, manifest!$A:$E, 5, FALSE), ""), IF(OR(_xlpm.v=0, _xlpm.v=""), "", _xlpm.v))</f>
        <v>female</v>
      </c>
    </row>
    <row r="2430" spans="1:9" x14ac:dyDescent="0.6">
      <c r="A2430">
        <v>519</v>
      </c>
      <c r="B2430" t="s">
        <v>7</v>
      </c>
      <c r="C2430" t="s">
        <v>10</v>
      </c>
      <c r="D2430">
        <v>237.22</v>
      </c>
      <c r="E2430">
        <v>190.86</v>
      </c>
      <c r="F2430">
        <v>29166</v>
      </c>
      <c r="H2430">
        <f>_xlfn.LET(_xlpm.v, IFERROR(VLOOKUP($A2430, manifest!$A:$E, 3, FALSE), ""), IF(OR(_xlpm.v=0, _xlpm.v=""), "", _xlpm.v))</f>
        <v>60</v>
      </c>
      <c r="I2430" t="str">
        <f>_xlfn.LET(_xlpm.v, IFERROR(VLOOKUP($A2430, manifest!$A:$E, 5, FALSE), ""), IF(OR(_xlpm.v=0, _xlpm.v=""), "", _xlpm.v))</f>
        <v>female</v>
      </c>
    </row>
    <row r="2431" spans="1:9" x14ac:dyDescent="0.6">
      <c r="A2431">
        <v>519</v>
      </c>
      <c r="B2431" t="s">
        <v>7</v>
      </c>
      <c r="C2431" t="s">
        <v>11</v>
      </c>
      <c r="D2431">
        <v>221.34</v>
      </c>
      <c r="E2431">
        <v>186.44</v>
      </c>
      <c r="F2431">
        <v>28894</v>
      </c>
      <c r="H2431">
        <f>_xlfn.LET(_xlpm.v, IFERROR(VLOOKUP($A2431, manifest!$A:$E, 3, FALSE), ""), IF(OR(_xlpm.v=0, _xlpm.v=""), "", _xlpm.v))</f>
        <v>60</v>
      </c>
      <c r="I2431" t="str">
        <f>_xlfn.LET(_xlpm.v, IFERROR(VLOOKUP($A2431, manifest!$A:$E, 5, FALSE), ""), IF(OR(_xlpm.v=0, _xlpm.v=""), "", _xlpm.v))</f>
        <v>female</v>
      </c>
    </row>
    <row r="2432" spans="1:9" x14ac:dyDescent="0.6">
      <c r="A2432">
        <v>519</v>
      </c>
      <c r="B2432" t="s">
        <v>7</v>
      </c>
      <c r="C2432" t="s">
        <v>12</v>
      </c>
      <c r="D2432">
        <v>209.21</v>
      </c>
      <c r="E2432">
        <v>166.67</v>
      </c>
      <c r="F2432">
        <v>38340</v>
      </c>
      <c r="H2432">
        <f>_xlfn.LET(_xlpm.v, IFERROR(VLOOKUP($A2432, manifest!$A:$E, 3, FALSE), ""), IF(OR(_xlpm.v=0, _xlpm.v=""), "", _xlpm.v))</f>
        <v>60</v>
      </c>
      <c r="I2432" t="str">
        <f>_xlfn.LET(_xlpm.v, IFERROR(VLOOKUP($A2432, manifest!$A:$E, 5, FALSE), ""), IF(OR(_xlpm.v=0, _xlpm.v=""), "", _xlpm.v))</f>
        <v>female</v>
      </c>
    </row>
    <row r="2433" spans="1:9" x14ac:dyDescent="0.6">
      <c r="A2433">
        <v>519</v>
      </c>
      <c r="B2433" t="s">
        <v>7</v>
      </c>
      <c r="C2433" t="s">
        <v>13</v>
      </c>
      <c r="D2433">
        <v>213.45</v>
      </c>
      <c r="E2433">
        <v>163.30000000000001</v>
      </c>
      <c r="F2433">
        <v>44723</v>
      </c>
      <c r="H2433">
        <f>_xlfn.LET(_xlpm.v, IFERROR(VLOOKUP($A2433, manifest!$A:$E, 3, FALSE), ""), IF(OR(_xlpm.v=0, _xlpm.v=""), "", _xlpm.v))</f>
        <v>60</v>
      </c>
      <c r="I2433" t="str">
        <f>_xlfn.LET(_xlpm.v, IFERROR(VLOOKUP($A2433, manifest!$A:$E, 5, FALSE), ""), IF(OR(_xlpm.v=0, _xlpm.v=""), "", _xlpm.v))</f>
        <v>female</v>
      </c>
    </row>
    <row r="2434" spans="1:9" x14ac:dyDescent="0.6">
      <c r="A2434">
        <v>509</v>
      </c>
      <c r="B2434" t="s">
        <v>14</v>
      </c>
      <c r="C2434" t="s">
        <v>8</v>
      </c>
      <c r="D2434">
        <v>187.41</v>
      </c>
      <c r="E2434">
        <v>118.02</v>
      </c>
      <c r="F2434">
        <v>44587</v>
      </c>
      <c r="G2434" t="s">
        <v>9</v>
      </c>
      <c r="H2434">
        <f>_xlfn.LET(_xlpm.v, IFERROR(VLOOKUP($A2434, manifest!$A:$E, 3, FALSE), ""), IF(OR(_xlpm.v=0, _xlpm.v=""), "", _xlpm.v))</f>
        <v>60</v>
      </c>
      <c r="I2434" t="str">
        <f>_xlfn.LET(_xlpm.v, IFERROR(VLOOKUP($A2434, manifest!$A:$E, 5, FALSE), ""), IF(OR(_xlpm.v=0, _xlpm.v=""), "", _xlpm.v))</f>
        <v>male</v>
      </c>
    </row>
    <row r="2435" spans="1:9" x14ac:dyDescent="0.6">
      <c r="A2435">
        <v>509</v>
      </c>
      <c r="B2435" t="s">
        <v>14</v>
      </c>
      <c r="C2435" t="s">
        <v>10</v>
      </c>
      <c r="D2435">
        <v>190.87</v>
      </c>
      <c r="E2435">
        <v>133.19999999999999</v>
      </c>
      <c r="F2435">
        <v>39308</v>
      </c>
      <c r="H2435">
        <f>_xlfn.LET(_xlpm.v, IFERROR(VLOOKUP($A2435, manifest!$A:$E, 3, FALSE), ""), IF(OR(_xlpm.v=0, _xlpm.v=""), "", _xlpm.v))</f>
        <v>60</v>
      </c>
      <c r="I2435" t="str">
        <f>_xlfn.LET(_xlpm.v, IFERROR(VLOOKUP($A2435, manifest!$A:$E, 5, FALSE), ""), IF(OR(_xlpm.v=0, _xlpm.v=""), "", _xlpm.v))</f>
        <v>male</v>
      </c>
    </row>
    <row r="2436" spans="1:9" x14ac:dyDescent="0.6">
      <c r="A2436">
        <v>509</v>
      </c>
      <c r="B2436" t="s">
        <v>14</v>
      </c>
      <c r="C2436" t="s">
        <v>11</v>
      </c>
      <c r="D2436">
        <v>190.1</v>
      </c>
      <c r="E2436">
        <v>127.67</v>
      </c>
      <c r="F2436">
        <v>39476</v>
      </c>
      <c r="H2436">
        <f>_xlfn.LET(_xlpm.v, IFERROR(VLOOKUP($A2436, manifest!$A:$E, 3, FALSE), ""), IF(OR(_xlpm.v=0, _xlpm.v=""), "", _xlpm.v))</f>
        <v>60</v>
      </c>
      <c r="I2436" t="str">
        <f>_xlfn.LET(_xlpm.v, IFERROR(VLOOKUP($A2436, manifest!$A:$E, 5, FALSE), ""), IF(OR(_xlpm.v=0, _xlpm.v=""), "", _xlpm.v))</f>
        <v>male</v>
      </c>
    </row>
    <row r="2437" spans="1:9" x14ac:dyDescent="0.6">
      <c r="A2437">
        <v>509</v>
      </c>
      <c r="B2437" t="s">
        <v>14</v>
      </c>
      <c r="C2437" t="s">
        <v>12</v>
      </c>
      <c r="D2437">
        <v>192.11</v>
      </c>
      <c r="E2437">
        <v>141.80000000000001</v>
      </c>
      <c r="F2437">
        <v>51118</v>
      </c>
      <c r="H2437">
        <f>_xlfn.LET(_xlpm.v, IFERROR(VLOOKUP($A2437, manifest!$A:$E, 3, FALSE), ""), IF(OR(_xlpm.v=0, _xlpm.v=""), "", _xlpm.v))</f>
        <v>60</v>
      </c>
      <c r="I2437" t="str">
        <f>_xlfn.LET(_xlpm.v, IFERROR(VLOOKUP($A2437, manifest!$A:$E, 5, FALSE), ""), IF(OR(_xlpm.v=0, _xlpm.v=""), "", _xlpm.v))</f>
        <v>male</v>
      </c>
    </row>
    <row r="2438" spans="1:9" x14ac:dyDescent="0.6">
      <c r="A2438">
        <v>509</v>
      </c>
      <c r="B2438" t="s">
        <v>14</v>
      </c>
      <c r="C2438" t="s">
        <v>13</v>
      </c>
      <c r="D2438">
        <v>229.87</v>
      </c>
      <c r="E2438">
        <v>176.75</v>
      </c>
      <c r="F2438">
        <v>52880</v>
      </c>
      <c r="H2438">
        <f>_xlfn.LET(_xlpm.v, IFERROR(VLOOKUP($A2438, manifest!$A:$E, 3, FALSE), ""), IF(OR(_xlpm.v=0, _xlpm.v=""), "", _xlpm.v))</f>
        <v>60</v>
      </c>
      <c r="I2438" t="str">
        <f>_xlfn.LET(_xlpm.v, IFERROR(VLOOKUP($A2438, manifest!$A:$E, 5, FALSE), ""), IF(OR(_xlpm.v=0, _xlpm.v=""), "", _xlpm.v))</f>
        <v>male</v>
      </c>
    </row>
    <row r="2439" spans="1:9" x14ac:dyDescent="0.6">
      <c r="A2439">
        <v>515</v>
      </c>
      <c r="B2439" t="s">
        <v>14</v>
      </c>
      <c r="C2439" t="s">
        <v>8</v>
      </c>
      <c r="D2439">
        <v>165.21</v>
      </c>
      <c r="E2439">
        <v>122.47</v>
      </c>
      <c r="F2439">
        <v>43176</v>
      </c>
      <c r="G2439" t="s">
        <v>9</v>
      </c>
      <c r="H2439">
        <f>_xlfn.LET(_xlpm.v, IFERROR(VLOOKUP($A2439, manifest!$A:$E, 3, FALSE), ""), IF(OR(_xlpm.v=0, _xlpm.v=""), "", _xlpm.v))</f>
        <v>50</v>
      </c>
      <c r="I2439" t="str">
        <f>_xlfn.LET(_xlpm.v, IFERROR(VLOOKUP($A2439, manifest!$A:$E, 5, FALSE), ""), IF(OR(_xlpm.v=0, _xlpm.v=""), "", _xlpm.v))</f>
        <v>male</v>
      </c>
    </row>
    <row r="2440" spans="1:9" x14ac:dyDescent="0.6">
      <c r="A2440">
        <v>515</v>
      </c>
      <c r="B2440" t="s">
        <v>14</v>
      </c>
      <c r="C2440" t="s">
        <v>10</v>
      </c>
      <c r="D2440">
        <v>178.88</v>
      </c>
      <c r="E2440">
        <v>155.22</v>
      </c>
      <c r="F2440">
        <v>41301</v>
      </c>
      <c r="H2440">
        <f>_xlfn.LET(_xlpm.v, IFERROR(VLOOKUP($A2440, manifest!$A:$E, 3, FALSE), ""), IF(OR(_xlpm.v=0, _xlpm.v=""), "", _xlpm.v))</f>
        <v>50</v>
      </c>
      <c r="I2440" t="str">
        <f>_xlfn.LET(_xlpm.v, IFERROR(VLOOKUP($A2440, manifest!$A:$E, 5, FALSE), ""), IF(OR(_xlpm.v=0, _xlpm.v=""), "", _xlpm.v))</f>
        <v>male</v>
      </c>
    </row>
    <row r="2441" spans="1:9" x14ac:dyDescent="0.6">
      <c r="A2441">
        <v>515</v>
      </c>
      <c r="B2441" t="s">
        <v>14</v>
      </c>
      <c r="C2441" t="s">
        <v>11</v>
      </c>
      <c r="D2441">
        <v>182.84</v>
      </c>
      <c r="E2441">
        <v>179.17</v>
      </c>
      <c r="F2441">
        <v>45843</v>
      </c>
      <c r="H2441">
        <f>_xlfn.LET(_xlpm.v, IFERROR(VLOOKUP($A2441, manifest!$A:$E, 3, FALSE), ""), IF(OR(_xlpm.v=0, _xlpm.v=""), "", _xlpm.v))</f>
        <v>50</v>
      </c>
      <c r="I2441" t="str">
        <f>_xlfn.LET(_xlpm.v, IFERROR(VLOOKUP($A2441, manifest!$A:$E, 5, FALSE), ""), IF(OR(_xlpm.v=0, _xlpm.v=""), "", _xlpm.v))</f>
        <v>male</v>
      </c>
    </row>
    <row r="2442" spans="1:9" x14ac:dyDescent="0.6">
      <c r="A2442">
        <v>515</v>
      </c>
      <c r="B2442" t="s">
        <v>14</v>
      </c>
      <c r="C2442" t="s">
        <v>12</v>
      </c>
      <c r="D2442">
        <v>198.45</v>
      </c>
      <c r="E2442">
        <v>196.35</v>
      </c>
      <c r="F2442">
        <v>53013</v>
      </c>
      <c r="H2442">
        <f>_xlfn.LET(_xlpm.v, IFERROR(VLOOKUP($A2442, manifest!$A:$E, 3, FALSE), ""), IF(OR(_xlpm.v=0, _xlpm.v=""), "", _xlpm.v))</f>
        <v>50</v>
      </c>
      <c r="I2442" t="str">
        <f>_xlfn.LET(_xlpm.v, IFERROR(VLOOKUP($A2442, manifest!$A:$E, 5, FALSE), ""), IF(OR(_xlpm.v=0, _xlpm.v=""), "", _xlpm.v))</f>
        <v>male</v>
      </c>
    </row>
    <row r="2443" spans="1:9" x14ac:dyDescent="0.6">
      <c r="A2443">
        <v>515</v>
      </c>
      <c r="B2443" t="s">
        <v>14</v>
      </c>
      <c r="C2443" t="s">
        <v>13</v>
      </c>
      <c r="D2443">
        <v>179.51</v>
      </c>
      <c r="E2443">
        <v>157.79</v>
      </c>
      <c r="F2443">
        <v>66207</v>
      </c>
      <c r="H2443">
        <f>_xlfn.LET(_xlpm.v, IFERROR(VLOOKUP($A2443, manifest!$A:$E, 3, FALSE), ""), IF(OR(_xlpm.v=0, _xlpm.v=""), "", _xlpm.v))</f>
        <v>50</v>
      </c>
      <c r="I2443" t="str">
        <f>_xlfn.LET(_xlpm.v, IFERROR(VLOOKUP($A2443, manifest!$A:$E, 5, FALSE), ""), IF(OR(_xlpm.v=0, _xlpm.v=""), "", _xlpm.v))</f>
        <v>male</v>
      </c>
    </row>
    <row r="2444" spans="1:9" x14ac:dyDescent="0.6">
      <c r="A2444">
        <v>510</v>
      </c>
      <c r="B2444" t="s">
        <v>7</v>
      </c>
      <c r="C2444" t="s">
        <v>8</v>
      </c>
      <c r="D2444">
        <v>261.61</v>
      </c>
      <c r="E2444">
        <v>178.31</v>
      </c>
      <c r="F2444">
        <v>26893</v>
      </c>
      <c r="G2444" t="s">
        <v>9</v>
      </c>
      <c r="H2444">
        <f>_xlfn.LET(_xlpm.v, IFERROR(VLOOKUP($A2444, manifest!$A:$E, 3, FALSE), ""), IF(OR(_xlpm.v=0, _xlpm.v=""), "", _xlpm.v))</f>
        <v>60</v>
      </c>
      <c r="I2444" t="str">
        <f>_xlfn.LET(_xlpm.v, IFERROR(VLOOKUP($A2444, manifest!$A:$E, 5, FALSE), ""), IF(OR(_xlpm.v=0, _xlpm.v=""), "", _xlpm.v))</f>
        <v>male</v>
      </c>
    </row>
    <row r="2445" spans="1:9" x14ac:dyDescent="0.6">
      <c r="A2445">
        <v>510</v>
      </c>
      <c r="B2445" t="s">
        <v>7</v>
      </c>
      <c r="C2445" t="s">
        <v>10</v>
      </c>
      <c r="D2445">
        <v>268.58999999999997</v>
      </c>
      <c r="E2445">
        <v>172.71</v>
      </c>
      <c r="F2445">
        <v>32604</v>
      </c>
      <c r="H2445">
        <f>_xlfn.LET(_xlpm.v, IFERROR(VLOOKUP($A2445, manifest!$A:$E, 3, FALSE), ""), IF(OR(_xlpm.v=0, _xlpm.v=""), "", _xlpm.v))</f>
        <v>60</v>
      </c>
      <c r="I2445" t="str">
        <f>_xlfn.LET(_xlpm.v, IFERROR(VLOOKUP($A2445, manifest!$A:$E, 5, FALSE), ""), IF(OR(_xlpm.v=0, _xlpm.v=""), "", _xlpm.v))</f>
        <v>male</v>
      </c>
    </row>
    <row r="2446" spans="1:9" x14ac:dyDescent="0.6">
      <c r="A2446">
        <v>510</v>
      </c>
      <c r="B2446" t="s">
        <v>7</v>
      </c>
      <c r="C2446" t="s">
        <v>11</v>
      </c>
      <c r="D2446">
        <v>233.13</v>
      </c>
      <c r="E2446">
        <v>147.91</v>
      </c>
      <c r="F2446">
        <v>41848</v>
      </c>
      <c r="H2446">
        <f>_xlfn.LET(_xlpm.v, IFERROR(VLOOKUP($A2446, manifest!$A:$E, 3, FALSE), ""), IF(OR(_xlpm.v=0, _xlpm.v=""), "", _xlpm.v))</f>
        <v>60</v>
      </c>
      <c r="I2446" t="str">
        <f>_xlfn.LET(_xlpm.v, IFERROR(VLOOKUP($A2446, manifest!$A:$E, 5, FALSE), ""), IF(OR(_xlpm.v=0, _xlpm.v=""), "", _xlpm.v))</f>
        <v>male</v>
      </c>
    </row>
    <row r="2447" spans="1:9" x14ac:dyDescent="0.6">
      <c r="A2447">
        <v>510</v>
      </c>
      <c r="B2447" t="s">
        <v>7</v>
      </c>
      <c r="C2447" t="s">
        <v>12</v>
      </c>
      <c r="D2447">
        <v>255.47</v>
      </c>
      <c r="E2447">
        <v>187.44</v>
      </c>
      <c r="F2447">
        <v>46181</v>
      </c>
      <c r="H2447">
        <f>_xlfn.LET(_xlpm.v, IFERROR(VLOOKUP($A2447, manifest!$A:$E, 3, FALSE), ""), IF(OR(_xlpm.v=0, _xlpm.v=""), "", _xlpm.v))</f>
        <v>60</v>
      </c>
      <c r="I2447" t="str">
        <f>_xlfn.LET(_xlpm.v, IFERROR(VLOOKUP($A2447, manifest!$A:$E, 5, FALSE), ""), IF(OR(_xlpm.v=0, _xlpm.v=""), "", _xlpm.v))</f>
        <v>male</v>
      </c>
    </row>
    <row r="2448" spans="1:9" x14ac:dyDescent="0.6">
      <c r="A2448">
        <v>510</v>
      </c>
      <c r="B2448" t="s">
        <v>7</v>
      </c>
      <c r="C2448" t="s">
        <v>13</v>
      </c>
      <c r="D2448">
        <v>250.74</v>
      </c>
      <c r="E2448">
        <v>191.94</v>
      </c>
      <c r="F2448">
        <v>43601</v>
      </c>
      <c r="H2448">
        <f>_xlfn.LET(_xlpm.v, IFERROR(VLOOKUP($A2448, manifest!$A:$E, 3, FALSE), ""), IF(OR(_xlpm.v=0, _xlpm.v=""), "", _xlpm.v))</f>
        <v>60</v>
      </c>
      <c r="I2448" t="str">
        <f>_xlfn.LET(_xlpm.v, IFERROR(VLOOKUP($A2448, manifest!$A:$E, 5, FALSE), ""), IF(OR(_xlpm.v=0, _xlpm.v=""), "", _xlpm.v))</f>
        <v>male</v>
      </c>
    </row>
    <row r="2449" spans="1:9" x14ac:dyDescent="0.6">
      <c r="A2449">
        <v>522</v>
      </c>
      <c r="B2449" t="s">
        <v>14</v>
      </c>
      <c r="C2449" t="s">
        <v>8</v>
      </c>
      <c r="D2449">
        <v>185.52</v>
      </c>
      <c r="E2449">
        <v>152.04</v>
      </c>
      <c r="F2449">
        <v>63746</v>
      </c>
      <c r="G2449" t="s">
        <v>9</v>
      </c>
      <c r="H2449">
        <f>_xlfn.LET(_xlpm.v, IFERROR(VLOOKUP($A2449, manifest!$A:$E, 3, FALSE), ""), IF(OR(_xlpm.v=0, _xlpm.v=""), "", _xlpm.v))</f>
        <v>60</v>
      </c>
      <c r="I2449" t="str">
        <f>_xlfn.LET(_xlpm.v, IFERROR(VLOOKUP($A2449, manifest!$A:$E, 5, FALSE), ""), IF(OR(_xlpm.v=0, _xlpm.v=""), "", _xlpm.v))</f>
        <v>male</v>
      </c>
    </row>
    <row r="2450" spans="1:9" x14ac:dyDescent="0.6">
      <c r="A2450">
        <v>522</v>
      </c>
      <c r="B2450" t="s">
        <v>14</v>
      </c>
      <c r="C2450" t="s">
        <v>10</v>
      </c>
      <c r="D2450">
        <v>186.81</v>
      </c>
      <c r="E2450">
        <v>164.9</v>
      </c>
      <c r="F2450">
        <v>69548</v>
      </c>
      <c r="H2450">
        <f>_xlfn.LET(_xlpm.v, IFERROR(VLOOKUP($A2450, manifest!$A:$E, 3, FALSE), ""), IF(OR(_xlpm.v=0, _xlpm.v=""), "", _xlpm.v))</f>
        <v>60</v>
      </c>
      <c r="I2450" t="str">
        <f>_xlfn.LET(_xlpm.v, IFERROR(VLOOKUP($A2450, manifest!$A:$E, 5, FALSE), ""), IF(OR(_xlpm.v=0, _xlpm.v=""), "", _xlpm.v))</f>
        <v>male</v>
      </c>
    </row>
    <row r="2451" spans="1:9" x14ac:dyDescent="0.6">
      <c r="A2451">
        <v>522</v>
      </c>
      <c r="B2451" t="s">
        <v>14</v>
      </c>
      <c r="C2451" t="s">
        <v>11</v>
      </c>
      <c r="D2451">
        <v>185.45</v>
      </c>
      <c r="E2451">
        <v>156.02000000000001</v>
      </c>
      <c r="F2451">
        <v>78158</v>
      </c>
      <c r="H2451">
        <f>_xlfn.LET(_xlpm.v, IFERROR(VLOOKUP($A2451, manifest!$A:$E, 3, FALSE), ""), IF(OR(_xlpm.v=0, _xlpm.v=""), "", _xlpm.v))</f>
        <v>60</v>
      </c>
      <c r="I2451" t="str">
        <f>_xlfn.LET(_xlpm.v, IFERROR(VLOOKUP($A2451, manifest!$A:$E, 5, FALSE), ""), IF(OR(_xlpm.v=0, _xlpm.v=""), "", _xlpm.v))</f>
        <v>male</v>
      </c>
    </row>
    <row r="2452" spans="1:9" x14ac:dyDescent="0.6">
      <c r="A2452">
        <v>522</v>
      </c>
      <c r="B2452" t="s">
        <v>14</v>
      </c>
      <c r="C2452" t="s">
        <v>12</v>
      </c>
      <c r="D2452">
        <v>196.97</v>
      </c>
      <c r="E2452">
        <v>162.72999999999999</v>
      </c>
      <c r="F2452">
        <v>78337</v>
      </c>
      <c r="H2452">
        <f>_xlfn.LET(_xlpm.v, IFERROR(VLOOKUP($A2452, manifest!$A:$E, 3, FALSE), ""), IF(OR(_xlpm.v=0, _xlpm.v=""), "", _xlpm.v))</f>
        <v>60</v>
      </c>
      <c r="I2452" t="str">
        <f>_xlfn.LET(_xlpm.v, IFERROR(VLOOKUP($A2452, manifest!$A:$E, 5, FALSE), ""), IF(OR(_xlpm.v=0, _xlpm.v=""), "", _xlpm.v))</f>
        <v>male</v>
      </c>
    </row>
    <row r="2453" spans="1:9" x14ac:dyDescent="0.6">
      <c r="A2453">
        <v>522</v>
      </c>
      <c r="B2453" t="s">
        <v>14</v>
      </c>
      <c r="C2453" t="s">
        <v>13</v>
      </c>
      <c r="D2453">
        <v>230.59</v>
      </c>
      <c r="E2453">
        <v>188.41</v>
      </c>
      <c r="F2453">
        <v>78187</v>
      </c>
      <c r="H2453">
        <f>_xlfn.LET(_xlpm.v, IFERROR(VLOOKUP($A2453, manifest!$A:$E, 3, FALSE), ""), IF(OR(_xlpm.v=0, _xlpm.v=""), "", _xlpm.v))</f>
        <v>60</v>
      </c>
      <c r="I2453" t="str">
        <f>_xlfn.LET(_xlpm.v, IFERROR(VLOOKUP($A2453, manifest!$A:$E, 5, FALSE), ""), IF(OR(_xlpm.v=0, _xlpm.v=""), "", _xlpm.v))</f>
        <v>male</v>
      </c>
    </row>
    <row r="2454" spans="1:9" x14ac:dyDescent="0.6">
      <c r="A2454">
        <v>528</v>
      </c>
      <c r="B2454" t="s">
        <v>14</v>
      </c>
      <c r="C2454" t="s">
        <v>8</v>
      </c>
      <c r="D2454">
        <v>245.38</v>
      </c>
      <c r="E2454">
        <v>173.62</v>
      </c>
      <c r="F2454">
        <v>43233</v>
      </c>
      <c r="G2454" t="s">
        <v>9</v>
      </c>
      <c r="H2454">
        <f>_xlfn.LET(_xlpm.v, IFERROR(VLOOKUP($A2454, manifest!$A:$E, 3, FALSE), ""), IF(OR(_xlpm.v=0, _xlpm.v=""), "", _xlpm.v))</f>
        <v>50</v>
      </c>
      <c r="I2454" t="str">
        <f>_xlfn.LET(_xlpm.v, IFERROR(VLOOKUP($A2454, manifest!$A:$E, 5, FALSE), ""), IF(OR(_xlpm.v=0, _xlpm.v=""), "", _xlpm.v))</f>
        <v>male</v>
      </c>
    </row>
    <row r="2455" spans="1:9" x14ac:dyDescent="0.6">
      <c r="A2455">
        <v>528</v>
      </c>
      <c r="B2455" t="s">
        <v>14</v>
      </c>
      <c r="C2455" t="s">
        <v>10</v>
      </c>
      <c r="D2455">
        <v>266.16000000000003</v>
      </c>
      <c r="E2455">
        <v>180.61</v>
      </c>
      <c r="F2455">
        <v>41911</v>
      </c>
      <c r="H2455">
        <f>_xlfn.LET(_xlpm.v, IFERROR(VLOOKUP($A2455, manifest!$A:$E, 3, FALSE), ""), IF(OR(_xlpm.v=0, _xlpm.v=""), "", _xlpm.v))</f>
        <v>50</v>
      </c>
      <c r="I2455" t="str">
        <f>_xlfn.LET(_xlpm.v, IFERROR(VLOOKUP($A2455, manifest!$A:$E, 5, FALSE), ""), IF(OR(_xlpm.v=0, _xlpm.v=""), "", _xlpm.v))</f>
        <v>male</v>
      </c>
    </row>
    <row r="2456" spans="1:9" x14ac:dyDescent="0.6">
      <c r="A2456">
        <v>528</v>
      </c>
      <c r="B2456" t="s">
        <v>14</v>
      </c>
      <c r="C2456" t="s">
        <v>11</v>
      </c>
      <c r="D2456">
        <v>269.81</v>
      </c>
      <c r="E2456">
        <v>200.32</v>
      </c>
      <c r="F2456">
        <v>46304</v>
      </c>
      <c r="H2456">
        <f>_xlfn.LET(_xlpm.v, IFERROR(VLOOKUP($A2456, manifest!$A:$E, 3, FALSE), ""), IF(OR(_xlpm.v=0, _xlpm.v=""), "", _xlpm.v))</f>
        <v>50</v>
      </c>
      <c r="I2456" t="str">
        <f>_xlfn.LET(_xlpm.v, IFERROR(VLOOKUP($A2456, manifest!$A:$E, 5, FALSE), ""), IF(OR(_xlpm.v=0, _xlpm.v=""), "", _xlpm.v))</f>
        <v>male</v>
      </c>
    </row>
    <row r="2457" spans="1:9" x14ac:dyDescent="0.6">
      <c r="A2457">
        <v>528</v>
      </c>
      <c r="B2457" t="s">
        <v>14</v>
      </c>
      <c r="C2457" t="s">
        <v>12</v>
      </c>
      <c r="D2457">
        <v>273.76</v>
      </c>
      <c r="E2457">
        <v>200.3</v>
      </c>
      <c r="F2457">
        <v>52961</v>
      </c>
      <c r="H2457">
        <f>_xlfn.LET(_xlpm.v, IFERROR(VLOOKUP($A2457, manifest!$A:$E, 3, FALSE), ""), IF(OR(_xlpm.v=0, _xlpm.v=""), "", _xlpm.v))</f>
        <v>50</v>
      </c>
      <c r="I2457" t="str">
        <f>_xlfn.LET(_xlpm.v, IFERROR(VLOOKUP($A2457, manifest!$A:$E, 5, FALSE), ""), IF(OR(_xlpm.v=0, _xlpm.v=""), "", _xlpm.v))</f>
        <v>male</v>
      </c>
    </row>
    <row r="2458" spans="1:9" x14ac:dyDescent="0.6">
      <c r="A2458">
        <v>528</v>
      </c>
      <c r="B2458" t="s">
        <v>14</v>
      </c>
      <c r="C2458" t="s">
        <v>13</v>
      </c>
      <c r="D2458">
        <v>286.52</v>
      </c>
      <c r="E2458">
        <v>209.18</v>
      </c>
      <c r="F2458">
        <v>43814</v>
      </c>
      <c r="H2458">
        <f>_xlfn.LET(_xlpm.v, IFERROR(VLOOKUP($A2458, manifest!$A:$E, 3, FALSE), ""), IF(OR(_xlpm.v=0, _xlpm.v=""), "", _xlpm.v))</f>
        <v>50</v>
      </c>
      <c r="I2458" t="str">
        <f>_xlfn.LET(_xlpm.v, IFERROR(VLOOKUP($A2458, manifest!$A:$E, 5, FALSE), ""), IF(OR(_xlpm.v=0, _xlpm.v=""), "", _xlpm.v))</f>
        <v>male</v>
      </c>
    </row>
    <row r="2459" spans="1:9" x14ac:dyDescent="0.6">
      <c r="A2459">
        <v>535</v>
      </c>
      <c r="B2459" t="s">
        <v>14</v>
      </c>
      <c r="C2459" t="s">
        <v>8</v>
      </c>
      <c r="D2459">
        <v>268.55</v>
      </c>
      <c r="E2459">
        <v>183.18</v>
      </c>
      <c r="F2459">
        <v>38417</v>
      </c>
      <c r="G2459" t="s">
        <v>9</v>
      </c>
      <c r="H2459">
        <f>_xlfn.LET(_xlpm.v, IFERROR(VLOOKUP($A2459, manifest!$A:$E, 3, FALSE), ""), IF(OR(_xlpm.v=0, _xlpm.v=""), "", _xlpm.v))</f>
        <v>50</v>
      </c>
      <c r="I2459" t="str">
        <f>_xlfn.LET(_xlpm.v, IFERROR(VLOOKUP($A2459, manifest!$A:$E, 5, FALSE), ""), IF(OR(_xlpm.v=0, _xlpm.v=""), "", _xlpm.v))</f>
        <v>male</v>
      </c>
    </row>
    <row r="2460" spans="1:9" x14ac:dyDescent="0.6">
      <c r="A2460">
        <v>535</v>
      </c>
      <c r="B2460" t="s">
        <v>14</v>
      </c>
      <c r="C2460" t="s">
        <v>10</v>
      </c>
      <c r="D2460">
        <v>269.48</v>
      </c>
      <c r="E2460">
        <v>185.94</v>
      </c>
      <c r="F2460">
        <v>41119</v>
      </c>
      <c r="H2460">
        <f>_xlfn.LET(_xlpm.v, IFERROR(VLOOKUP($A2460, manifest!$A:$E, 3, FALSE), ""), IF(OR(_xlpm.v=0, _xlpm.v=""), "", _xlpm.v))</f>
        <v>50</v>
      </c>
      <c r="I2460" t="str">
        <f>_xlfn.LET(_xlpm.v, IFERROR(VLOOKUP($A2460, manifest!$A:$E, 5, FALSE), ""), IF(OR(_xlpm.v=0, _xlpm.v=""), "", _xlpm.v))</f>
        <v>male</v>
      </c>
    </row>
    <row r="2461" spans="1:9" x14ac:dyDescent="0.6">
      <c r="A2461">
        <v>535</v>
      </c>
      <c r="B2461" t="s">
        <v>14</v>
      </c>
      <c r="C2461" t="s">
        <v>11</v>
      </c>
      <c r="D2461">
        <v>270.58</v>
      </c>
      <c r="E2461">
        <v>222.75</v>
      </c>
      <c r="F2461">
        <v>48739</v>
      </c>
      <c r="H2461">
        <f>_xlfn.LET(_xlpm.v, IFERROR(VLOOKUP($A2461, manifest!$A:$E, 3, FALSE), ""), IF(OR(_xlpm.v=0, _xlpm.v=""), "", _xlpm.v))</f>
        <v>50</v>
      </c>
      <c r="I2461" t="str">
        <f>_xlfn.LET(_xlpm.v, IFERROR(VLOOKUP($A2461, manifest!$A:$E, 5, FALSE), ""), IF(OR(_xlpm.v=0, _xlpm.v=""), "", _xlpm.v))</f>
        <v>male</v>
      </c>
    </row>
    <row r="2462" spans="1:9" x14ac:dyDescent="0.6">
      <c r="A2462">
        <v>535</v>
      </c>
      <c r="B2462" t="s">
        <v>14</v>
      </c>
      <c r="C2462" t="s">
        <v>12</v>
      </c>
      <c r="D2462">
        <v>254.01</v>
      </c>
      <c r="E2462">
        <v>184.95</v>
      </c>
      <c r="F2462">
        <v>64277</v>
      </c>
      <c r="H2462">
        <f>_xlfn.LET(_xlpm.v, IFERROR(VLOOKUP($A2462, manifest!$A:$E, 3, FALSE), ""), IF(OR(_xlpm.v=0, _xlpm.v=""), "", _xlpm.v))</f>
        <v>50</v>
      </c>
      <c r="I2462" t="str">
        <f>_xlfn.LET(_xlpm.v, IFERROR(VLOOKUP($A2462, manifest!$A:$E, 5, FALSE), ""), IF(OR(_xlpm.v=0, _xlpm.v=""), "", _xlpm.v))</f>
        <v>male</v>
      </c>
    </row>
    <row r="2463" spans="1:9" x14ac:dyDescent="0.6">
      <c r="A2463">
        <v>535</v>
      </c>
      <c r="B2463" t="s">
        <v>14</v>
      </c>
      <c r="C2463" t="s">
        <v>13</v>
      </c>
      <c r="D2463">
        <v>265.29000000000002</v>
      </c>
      <c r="E2463">
        <v>186.41</v>
      </c>
      <c r="F2463">
        <v>60113</v>
      </c>
      <c r="H2463">
        <f>_xlfn.LET(_xlpm.v, IFERROR(VLOOKUP($A2463, manifest!$A:$E, 3, FALSE), ""), IF(OR(_xlpm.v=0, _xlpm.v=""), "", _xlpm.v))</f>
        <v>50</v>
      </c>
      <c r="I2463" t="str">
        <f>_xlfn.LET(_xlpm.v, IFERROR(VLOOKUP($A2463, manifest!$A:$E, 5, FALSE), ""), IF(OR(_xlpm.v=0, _xlpm.v=""), "", _xlpm.v))</f>
        <v>male</v>
      </c>
    </row>
    <row r="2464" spans="1:9" x14ac:dyDescent="0.6">
      <c r="A2464">
        <v>511</v>
      </c>
      <c r="B2464" t="s">
        <v>14</v>
      </c>
      <c r="C2464" t="s">
        <v>8</v>
      </c>
      <c r="D2464">
        <v>166.21</v>
      </c>
      <c r="E2464">
        <v>120.27</v>
      </c>
      <c r="F2464">
        <v>50660</v>
      </c>
      <c r="G2464" t="s">
        <v>9</v>
      </c>
      <c r="H2464">
        <f>_xlfn.LET(_xlpm.v, IFERROR(VLOOKUP($A2464, manifest!$A:$E, 3, FALSE), ""), IF(OR(_xlpm.v=0, _xlpm.v=""), "", _xlpm.v))</f>
        <v>60</v>
      </c>
      <c r="I2464" t="str">
        <f>_xlfn.LET(_xlpm.v, IFERROR(VLOOKUP($A2464, manifest!$A:$E, 5, FALSE), ""), IF(OR(_xlpm.v=0, _xlpm.v=""), "", _xlpm.v))</f>
        <v>male</v>
      </c>
    </row>
    <row r="2465" spans="1:9" x14ac:dyDescent="0.6">
      <c r="A2465">
        <v>511</v>
      </c>
      <c r="B2465" t="s">
        <v>14</v>
      </c>
      <c r="C2465" t="s">
        <v>10</v>
      </c>
      <c r="D2465">
        <v>166.24</v>
      </c>
      <c r="E2465">
        <v>133.61000000000001</v>
      </c>
      <c r="F2465">
        <v>57771</v>
      </c>
      <c r="H2465">
        <f>_xlfn.LET(_xlpm.v, IFERROR(VLOOKUP($A2465, manifest!$A:$E, 3, FALSE), ""), IF(OR(_xlpm.v=0, _xlpm.v=""), "", _xlpm.v))</f>
        <v>60</v>
      </c>
      <c r="I2465" t="str">
        <f>_xlfn.LET(_xlpm.v, IFERROR(VLOOKUP($A2465, manifest!$A:$E, 5, FALSE), ""), IF(OR(_xlpm.v=0, _xlpm.v=""), "", _xlpm.v))</f>
        <v>male</v>
      </c>
    </row>
    <row r="2466" spans="1:9" x14ac:dyDescent="0.6">
      <c r="A2466">
        <v>511</v>
      </c>
      <c r="B2466" t="s">
        <v>14</v>
      </c>
      <c r="C2466" t="s">
        <v>11</v>
      </c>
      <c r="D2466">
        <v>168.9</v>
      </c>
      <c r="E2466">
        <v>139.18</v>
      </c>
      <c r="F2466">
        <v>73238</v>
      </c>
      <c r="H2466">
        <f>_xlfn.LET(_xlpm.v, IFERROR(VLOOKUP($A2466, manifest!$A:$E, 3, FALSE), ""), IF(OR(_xlpm.v=0, _xlpm.v=""), "", _xlpm.v))</f>
        <v>60</v>
      </c>
      <c r="I2466" t="str">
        <f>_xlfn.LET(_xlpm.v, IFERROR(VLOOKUP($A2466, manifest!$A:$E, 5, FALSE), ""), IF(OR(_xlpm.v=0, _xlpm.v=""), "", _xlpm.v))</f>
        <v>male</v>
      </c>
    </row>
    <row r="2467" spans="1:9" x14ac:dyDescent="0.6">
      <c r="A2467">
        <v>511</v>
      </c>
      <c r="B2467" t="s">
        <v>14</v>
      </c>
      <c r="C2467" t="s">
        <v>12</v>
      </c>
      <c r="D2467">
        <v>175.36</v>
      </c>
      <c r="E2467">
        <v>149.63</v>
      </c>
      <c r="F2467">
        <v>76138</v>
      </c>
      <c r="H2467">
        <f>_xlfn.LET(_xlpm.v, IFERROR(VLOOKUP($A2467, manifest!$A:$E, 3, FALSE), ""), IF(OR(_xlpm.v=0, _xlpm.v=""), "", _xlpm.v))</f>
        <v>60</v>
      </c>
      <c r="I2467" t="str">
        <f>_xlfn.LET(_xlpm.v, IFERROR(VLOOKUP($A2467, manifest!$A:$E, 5, FALSE), ""), IF(OR(_xlpm.v=0, _xlpm.v=""), "", _xlpm.v))</f>
        <v>male</v>
      </c>
    </row>
    <row r="2468" spans="1:9" x14ac:dyDescent="0.6">
      <c r="A2468">
        <v>511</v>
      </c>
      <c r="B2468" t="s">
        <v>14</v>
      </c>
      <c r="C2468" t="s">
        <v>13</v>
      </c>
      <c r="D2468">
        <v>173.41</v>
      </c>
      <c r="E2468">
        <v>140.51</v>
      </c>
      <c r="F2468">
        <v>73174</v>
      </c>
      <c r="H2468">
        <f>_xlfn.LET(_xlpm.v, IFERROR(VLOOKUP($A2468, manifest!$A:$E, 3, FALSE), ""), IF(OR(_xlpm.v=0, _xlpm.v=""), "", _xlpm.v))</f>
        <v>60</v>
      </c>
      <c r="I2468" t="str">
        <f>_xlfn.LET(_xlpm.v, IFERROR(VLOOKUP($A2468, manifest!$A:$E, 5, FALSE), ""), IF(OR(_xlpm.v=0, _xlpm.v=""), "", _xlpm.v))</f>
        <v>male</v>
      </c>
    </row>
    <row r="2469" spans="1:9" x14ac:dyDescent="0.6">
      <c r="A2469">
        <v>506</v>
      </c>
      <c r="B2469" t="s">
        <v>7</v>
      </c>
      <c r="C2469" t="s">
        <v>8</v>
      </c>
      <c r="D2469">
        <v>121.52</v>
      </c>
      <c r="E2469">
        <v>93.11</v>
      </c>
      <c r="F2469">
        <v>24032</v>
      </c>
      <c r="G2469" t="s">
        <v>15</v>
      </c>
      <c r="H2469">
        <f>_xlfn.LET(_xlpm.v, IFERROR(VLOOKUP($A2469, manifest!$A:$E, 3, FALSE), ""), IF(OR(_xlpm.v=0, _xlpm.v=""), "", _xlpm.v))</f>
        <v>60</v>
      </c>
      <c r="I2469" t="str">
        <f>_xlfn.LET(_xlpm.v, IFERROR(VLOOKUP($A2469, manifest!$A:$E, 5, FALSE), ""), IF(OR(_xlpm.v=0, _xlpm.v=""), "", _xlpm.v))</f>
        <v>female</v>
      </c>
    </row>
    <row r="2470" spans="1:9" x14ac:dyDescent="0.6">
      <c r="A2470">
        <v>506</v>
      </c>
      <c r="B2470" t="s">
        <v>7</v>
      </c>
      <c r="C2470" t="s">
        <v>10</v>
      </c>
      <c r="D2470">
        <v>138</v>
      </c>
      <c r="E2470">
        <v>158.08000000000001</v>
      </c>
      <c r="F2470">
        <v>25841</v>
      </c>
      <c r="H2470">
        <f>_xlfn.LET(_xlpm.v, IFERROR(VLOOKUP($A2470, manifest!$A:$E, 3, FALSE), ""), IF(OR(_xlpm.v=0, _xlpm.v=""), "", _xlpm.v))</f>
        <v>60</v>
      </c>
      <c r="I2470" t="str">
        <f>_xlfn.LET(_xlpm.v, IFERROR(VLOOKUP($A2470, manifest!$A:$E, 5, FALSE), ""), IF(OR(_xlpm.v=0, _xlpm.v=""), "", _xlpm.v))</f>
        <v>female</v>
      </c>
    </row>
    <row r="2471" spans="1:9" x14ac:dyDescent="0.6">
      <c r="A2471">
        <v>506</v>
      </c>
      <c r="B2471" t="s">
        <v>7</v>
      </c>
      <c r="C2471" t="s">
        <v>11</v>
      </c>
      <c r="D2471">
        <v>134.76</v>
      </c>
      <c r="E2471">
        <v>158.6</v>
      </c>
      <c r="F2471">
        <v>29333</v>
      </c>
      <c r="H2471">
        <f>_xlfn.LET(_xlpm.v, IFERROR(VLOOKUP($A2471, manifest!$A:$E, 3, FALSE), ""), IF(OR(_xlpm.v=0, _xlpm.v=""), "", _xlpm.v))</f>
        <v>60</v>
      </c>
      <c r="I2471" t="str">
        <f>_xlfn.LET(_xlpm.v, IFERROR(VLOOKUP($A2471, manifest!$A:$E, 5, FALSE), ""), IF(OR(_xlpm.v=0, _xlpm.v=""), "", _xlpm.v))</f>
        <v>female</v>
      </c>
    </row>
    <row r="2472" spans="1:9" x14ac:dyDescent="0.6">
      <c r="A2472">
        <v>506</v>
      </c>
      <c r="B2472" t="s">
        <v>7</v>
      </c>
      <c r="C2472" t="s">
        <v>12</v>
      </c>
      <c r="D2472">
        <v>134.61000000000001</v>
      </c>
      <c r="E2472">
        <v>153.54</v>
      </c>
      <c r="F2472">
        <v>30964</v>
      </c>
      <c r="H2472">
        <f>_xlfn.LET(_xlpm.v, IFERROR(VLOOKUP($A2472, manifest!$A:$E, 3, FALSE), ""), IF(OR(_xlpm.v=0, _xlpm.v=""), "", _xlpm.v))</f>
        <v>60</v>
      </c>
      <c r="I2472" t="str">
        <f>_xlfn.LET(_xlpm.v, IFERROR(VLOOKUP($A2472, manifest!$A:$E, 5, FALSE), ""), IF(OR(_xlpm.v=0, _xlpm.v=""), "", _xlpm.v))</f>
        <v>female</v>
      </c>
    </row>
    <row r="2473" spans="1:9" x14ac:dyDescent="0.6">
      <c r="A2473">
        <v>506</v>
      </c>
      <c r="B2473" t="s">
        <v>7</v>
      </c>
      <c r="C2473" t="s">
        <v>13</v>
      </c>
      <c r="D2473">
        <v>140.72999999999999</v>
      </c>
      <c r="E2473">
        <v>143.84</v>
      </c>
      <c r="F2473">
        <v>34140</v>
      </c>
      <c r="H2473">
        <f>_xlfn.LET(_xlpm.v, IFERROR(VLOOKUP($A2473, manifest!$A:$E, 3, FALSE), ""), IF(OR(_xlpm.v=0, _xlpm.v=""), "", _xlpm.v))</f>
        <v>60</v>
      </c>
      <c r="I2473" t="str">
        <f>_xlfn.LET(_xlpm.v, IFERROR(VLOOKUP($A2473, manifest!$A:$E, 5, FALSE), ""), IF(OR(_xlpm.v=0, _xlpm.v=""), "", _xlpm.v))</f>
        <v>female</v>
      </c>
    </row>
    <row r="2474" spans="1:9" x14ac:dyDescent="0.6">
      <c r="A2474">
        <v>531</v>
      </c>
      <c r="B2474" t="s">
        <v>14</v>
      </c>
      <c r="C2474" t="s">
        <v>8</v>
      </c>
      <c r="D2474">
        <v>157.13</v>
      </c>
      <c r="E2474">
        <v>146.82</v>
      </c>
      <c r="F2474">
        <v>28153</v>
      </c>
      <c r="G2474" t="s">
        <v>15</v>
      </c>
      <c r="H2474">
        <f>_xlfn.LET(_xlpm.v, IFERROR(VLOOKUP($A2474, manifest!$A:$E, 3, FALSE), ""), IF(OR(_xlpm.v=0, _xlpm.v=""), "", _xlpm.v))</f>
        <v>60</v>
      </c>
      <c r="I2474" t="str">
        <f>_xlfn.LET(_xlpm.v, IFERROR(VLOOKUP($A2474, manifest!$A:$E, 5, FALSE), ""), IF(OR(_xlpm.v=0, _xlpm.v=""), "", _xlpm.v))</f>
        <v>female</v>
      </c>
    </row>
    <row r="2475" spans="1:9" x14ac:dyDescent="0.6">
      <c r="A2475">
        <v>531</v>
      </c>
      <c r="B2475" t="s">
        <v>14</v>
      </c>
      <c r="C2475" t="s">
        <v>10</v>
      </c>
      <c r="D2475">
        <v>178.29</v>
      </c>
      <c r="E2475">
        <v>192.03</v>
      </c>
      <c r="F2475">
        <v>28852</v>
      </c>
      <c r="H2475">
        <f>_xlfn.LET(_xlpm.v, IFERROR(VLOOKUP($A2475, manifest!$A:$E, 3, FALSE), ""), IF(OR(_xlpm.v=0, _xlpm.v=""), "", _xlpm.v))</f>
        <v>60</v>
      </c>
      <c r="I2475" t="str">
        <f>_xlfn.LET(_xlpm.v, IFERROR(VLOOKUP($A2475, manifest!$A:$E, 5, FALSE), ""), IF(OR(_xlpm.v=0, _xlpm.v=""), "", _xlpm.v))</f>
        <v>female</v>
      </c>
    </row>
    <row r="2476" spans="1:9" x14ac:dyDescent="0.6">
      <c r="A2476">
        <v>531</v>
      </c>
      <c r="B2476" t="s">
        <v>14</v>
      </c>
      <c r="C2476" t="s">
        <v>11</v>
      </c>
      <c r="D2476">
        <v>157.63999999999999</v>
      </c>
      <c r="E2476">
        <v>161.53</v>
      </c>
      <c r="F2476">
        <v>35482</v>
      </c>
      <c r="H2476">
        <f>_xlfn.LET(_xlpm.v, IFERROR(VLOOKUP($A2476, manifest!$A:$E, 3, FALSE), ""), IF(OR(_xlpm.v=0, _xlpm.v=""), "", _xlpm.v))</f>
        <v>60</v>
      </c>
      <c r="I2476" t="str">
        <f>_xlfn.LET(_xlpm.v, IFERROR(VLOOKUP($A2476, manifest!$A:$E, 5, FALSE), ""), IF(OR(_xlpm.v=0, _xlpm.v=""), "", _xlpm.v))</f>
        <v>female</v>
      </c>
    </row>
    <row r="2477" spans="1:9" x14ac:dyDescent="0.6">
      <c r="A2477">
        <v>531</v>
      </c>
      <c r="B2477" t="s">
        <v>14</v>
      </c>
      <c r="C2477" t="s">
        <v>12</v>
      </c>
      <c r="D2477">
        <v>140.75</v>
      </c>
      <c r="E2477">
        <v>143.01</v>
      </c>
      <c r="F2477">
        <v>44015</v>
      </c>
      <c r="H2477">
        <f>_xlfn.LET(_xlpm.v, IFERROR(VLOOKUP($A2477, manifest!$A:$E, 3, FALSE), ""), IF(OR(_xlpm.v=0, _xlpm.v=""), "", _xlpm.v))</f>
        <v>60</v>
      </c>
      <c r="I2477" t="str">
        <f>_xlfn.LET(_xlpm.v, IFERROR(VLOOKUP($A2477, manifest!$A:$E, 5, FALSE), ""), IF(OR(_xlpm.v=0, _xlpm.v=""), "", _xlpm.v))</f>
        <v>female</v>
      </c>
    </row>
    <row r="2478" spans="1:9" x14ac:dyDescent="0.6">
      <c r="A2478">
        <v>531</v>
      </c>
      <c r="B2478" t="s">
        <v>14</v>
      </c>
      <c r="C2478" t="s">
        <v>13</v>
      </c>
      <c r="D2478">
        <v>148.08000000000001</v>
      </c>
      <c r="E2478">
        <v>157.46</v>
      </c>
      <c r="F2478">
        <v>46557</v>
      </c>
      <c r="H2478">
        <f>_xlfn.LET(_xlpm.v, IFERROR(VLOOKUP($A2478, manifest!$A:$E, 3, FALSE), ""), IF(OR(_xlpm.v=0, _xlpm.v=""), "", _xlpm.v))</f>
        <v>60</v>
      </c>
      <c r="I2478" t="str">
        <f>_xlfn.LET(_xlpm.v, IFERROR(VLOOKUP($A2478, manifest!$A:$E, 5, FALSE), ""), IF(OR(_xlpm.v=0, _xlpm.v=""), "", _xlpm.v))</f>
        <v>female</v>
      </c>
    </row>
    <row r="2479" spans="1:9" x14ac:dyDescent="0.6">
      <c r="A2479">
        <v>524</v>
      </c>
      <c r="B2479" t="s">
        <v>14</v>
      </c>
      <c r="C2479" t="s">
        <v>8</v>
      </c>
      <c r="D2479">
        <v>197.14</v>
      </c>
      <c r="E2479">
        <v>136.85</v>
      </c>
      <c r="F2479">
        <v>40222</v>
      </c>
      <c r="G2479" t="s">
        <v>9</v>
      </c>
      <c r="H2479">
        <f>_xlfn.LET(_xlpm.v, IFERROR(VLOOKUP($A2479, manifest!$A:$E, 3, FALSE), ""), IF(OR(_xlpm.v=0, _xlpm.v=""), "", _xlpm.v))</f>
        <v>60</v>
      </c>
      <c r="I2479" t="str">
        <f>_xlfn.LET(_xlpm.v, IFERROR(VLOOKUP($A2479, manifest!$A:$E, 5, FALSE), ""), IF(OR(_xlpm.v=0, _xlpm.v=""), "", _xlpm.v))</f>
        <v>male</v>
      </c>
    </row>
    <row r="2480" spans="1:9" x14ac:dyDescent="0.6">
      <c r="A2480">
        <v>524</v>
      </c>
      <c r="B2480" t="s">
        <v>14</v>
      </c>
      <c r="C2480" t="s">
        <v>10</v>
      </c>
      <c r="D2480">
        <v>221.27</v>
      </c>
      <c r="E2480">
        <v>215.29</v>
      </c>
      <c r="F2480">
        <v>43424</v>
      </c>
      <c r="H2480">
        <f>_xlfn.LET(_xlpm.v, IFERROR(VLOOKUP($A2480, manifest!$A:$E, 3, FALSE), ""), IF(OR(_xlpm.v=0, _xlpm.v=""), "", _xlpm.v))</f>
        <v>60</v>
      </c>
      <c r="I2480" t="str">
        <f>_xlfn.LET(_xlpm.v, IFERROR(VLOOKUP($A2480, manifest!$A:$E, 5, FALSE), ""), IF(OR(_xlpm.v=0, _xlpm.v=""), "", _xlpm.v))</f>
        <v>male</v>
      </c>
    </row>
    <row r="2481" spans="1:9" x14ac:dyDescent="0.6">
      <c r="A2481">
        <v>524</v>
      </c>
      <c r="B2481" t="s">
        <v>14</v>
      </c>
      <c r="C2481" t="s">
        <v>11</v>
      </c>
      <c r="D2481">
        <v>190.02</v>
      </c>
      <c r="E2481">
        <v>194.06</v>
      </c>
      <c r="F2481">
        <v>53924</v>
      </c>
      <c r="H2481">
        <f>_xlfn.LET(_xlpm.v, IFERROR(VLOOKUP($A2481, manifest!$A:$E, 3, FALSE), ""), IF(OR(_xlpm.v=0, _xlpm.v=""), "", _xlpm.v))</f>
        <v>60</v>
      </c>
      <c r="I2481" t="str">
        <f>_xlfn.LET(_xlpm.v, IFERROR(VLOOKUP($A2481, manifest!$A:$E, 5, FALSE), ""), IF(OR(_xlpm.v=0, _xlpm.v=""), "", _xlpm.v))</f>
        <v>male</v>
      </c>
    </row>
    <row r="2482" spans="1:9" x14ac:dyDescent="0.6">
      <c r="A2482">
        <v>524</v>
      </c>
      <c r="B2482" t="s">
        <v>14</v>
      </c>
      <c r="C2482" t="s">
        <v>12</v>
      </c>
      <c r="D2482">
        <v>204.81</v>
      </c>
      <c r="E2482">
        <v>172.7</v>
      </c>
      <c r="F2482">
        <v>48724</v>
      </c>
      <c r="H2482">
        <f>_xlfn.LET(_xlpm.v, IFERROR(VLOOKUP($A2482, manifest!$A:$E, 3, FALSE), ""), IF(OR(_xlpm.v=0, _xlpm.v=""), "", _xlpm.v))</f>
        <v>60</v>
      </c>
      <c r="I2482" t="str">
        <f>_xlfn.LET(_xlpm.v, IFERROR(VLOOKUP($A2482, manifest!$A:$E, 5, FALSE), ""), IF(OR(_xlpm.v=0, _xlpm.v=""), "", _xlpm.v))</f>
        <v>male</v>
      </c>
    </row>
    <row r="2483" spans="1:9" x14ac:dyDescent="0.6">
      <c r="A2483">
        <v>524</v>
      </c>
      <c r="B2483" t="s">
        <v>14</v>
      </c>
      <c r="C2483" t="s">
        <v>13</v>
      </c>
      <c r="D2483">
        <v>228.43</v>
      </c>
      <c r="E2483">
        <v>175.49</v>
      </c>
      <c r="F2483">
        <v>49302</v>
      </c>
      <c r="H2483">
        <f>_xlfn.LET(_xlpm.v, IFERROR(VLOOKUP($A2483, manifest!$A:$E, 3, FALSE), ""), IF(OR(_xlpm.v=0, _xlpm.v=""), "", _xlpm.v))</f>
        <v>60</v>
      </c>
      <c r="I2483" t="str">
        <f>_xlfn.LET(_xlpm.v, IFERROR(VLOOKUP($A2483, manifest!$A:$E, 5, FALSE), ""), IF(OR(_xlpm.v=0, _xlpm.v=""), "", _xlpm.v))</f>
        <v>male</v>
      </c>
    </row>
    <row r="2484" spans="1:9" x14ac:dyDescent="0.6">
      <c r="A2484">
        <v>527</v>
      </c>
      <c r="B2484" t="s">
        <v>14</v>
      </c>
      <c r="C2484" t="s">
        <v>8</v>
      </c>
      <c r="D2484">
        <v>211.75</v>
      </c>
      <c r="E2484">
        <v>143.08000000000001</v>
      </c>
      <c r="F2484">
        <v>21118</v>
      </c>
      <c r="G2484" t="s">
        <v>9</v>
      </c>
      <c r="H2484">
        <f>_xlfn.LET(_xlpm.v, IFERROR(VLOOKUP($A2484, manifest!$A:$E, 3, FALSE), ""), IF(OR(_xlpm.v=0, _xlpm.v=""), "", _xlpm.v))</f>
        <v>70</v>
      </c>
      <c r="I2484" t="str">
        <f>_xlfn.LET(_xlpm.v, IFERROR(VLOOKUP($A2484, manifest!$A:$E, 5, FALSE), ""), IF(OR(_xlpm.v=0, _xlpm.v=""), "", _xlpm.v))</f>
        <v>female</v>
      </c>
    </row>
    <row r="2485" spans="1:9" x14ac:dyDescent="0.6">
      <c r="A2485">
        <v>527</v>
      </c>
      <c r="B2485" t="s">
        <v>14</v>
      </c>
      <c r="C2485" t="s">
        <v>10</v>
      </c>
      <c r="D2485">
        <v>230.17</v>
      </c>
      <c r="E2485">
        <v>210.15</v>
      </c>
      <c r="F2485">
        <v>29086</v>
      </c>
      <c r="H2485">
        <f>_xlfn.LET(_xlpm.v, IFERROR(VLOOKUP($A2485, manifest!$A:$E, 3, FALSE), ""), IF(OR(_xlpm.v=0, _xlpm.v=""), "", _xlpm.v))</f>
        <v>70</v>
      </c>
      <c r="I2485" t="str">
        <f>_xlfn.LET(_xlpm.v, IFERROR(VLOOKUP($A2485, manifest!$A:$E, 5, FALSE), ""), IF(OR(_xlpm.v=0, _xlpm.v=""), "", _xlpm.v))</f>
        <v>female</v>
      </c>
    </row>
    <row r="2486" spans="1:9" x14ac:dyDescent="0.6">
      <c r="A2486">
        <v>527</v>
      </c>
      <c r="B2486" t="s">
        <v>14</v>
      </c>
      <c r="C2486" t="s">
        <v>11</v>
      </c>
      <c r="D2486">
        <v>231.85</v>
      </c>
      <c r="E2486">
        <v>222.4</v>
      </c>
      <c r="F2486">
        <v>38250</v>
      </c>
      <c r="H2486">
        <f>_xlfn.LET(_xlpm.v, IFERROR(VLOOKUP($A2486, manifest!$A:$E, 3, FALSE), ""), IF(OR(_xlpm.v=0, _xlpm.v=""), "", _xlpm.v))</f>
        <v>70</v>
      </c>
      <c r="I2486" t="str">
        <f>_xlfn.LET(_xlpm.v, IFERROR(VLOOKUP($A2486, manifest!$A:$E, 5, FALSE), ""), IF(OR(_xlpm.v=0, _xlpm.v=""), "", _xlpm.v))</f>
        <v>female</v>
      </c>
    </row>
    <row r="2487" spans="1:9" x14ac:dyDescent="0.6">
      <c r="A2487">
        <v>527</v>
      </c>
      <c r="B2487" t="s">
        <v>14</v>
      </c>
      <c r="C2487" t="s">
        <v>12</v>
      </c>
      <c r="D2487">
        <v>253.37</v>
      </c>
      <c r="E2487">
        <v>218.86</v>
      </c>
      <c r="F2487">
        <v>37575</v>
      </c>
      <c r="H2487">
        <f>_xlfn.LET(_xlpm.v, IFERROR(VLOOKUP($A2487, manifest!$A:$E, 3, FALSE), ""), IF(OR(_xlpm.v=0, _xlpm.v=""), "", _xlpm.v))</f>
        <v>70</v>
      </c>
      <c r="I2487" t="str">
        <f>_xlfn.LET(_xlpm.v, IFERROR(VLOOKUP($A2487, manifest!$A:$E, 5, FALSE), ""), IF(OR(_xlpm.v=0, _xlpm.v=""), "", _xlpm.v))</f>
        <v>female</v>
      </c>
    </row>
    <row r="2488" spans="1:9" x14ac:dyDescent="0.6">
      <c r="A2488">
        <v>527</v>
      </c>
      <c r="B2488" t="s">
        <v>14</v>
      </c>
      <c r="C2488" t="s">
        <v>13</v>
      </c>
      <c r="D2488">
        <v>284.69</v>
      </c>
      <c r="E2488">
        <v>222.05</v>
      </c>
      <c r="F2488">
        <v>39890</v>
      </c>
      <c r="H2488">
        <f>_xlfn.LET(_xlpm.v, IFERROR(VLOOKUP($A2488, manifest!$A:$E, 3, FALSE), ""), IF(OR(_xlpm.v=0, _xlpm.v=""), "", _xlpm.v))</f>
        <v>70</v>
      </c>
      <c r="I2488" t="str">
        <f>_xlfn.LET(_xlpm.v, IFERROR(VLOOKUP($A2488, manifest!$A:$E, 5, FALSE), ""), IF(OR(_xlpm.v=0, _xlpm.v=""), "", _xlpm.v))</f>
        <v>female</v>
      </c>
    </row>
    <row r="2489" spans="1:9" x14ac:dyDescent="0.6">
      <c r="A2489">
        <v>533</v>
      </c>
      <c r="B2489" t="s">
        <v>7</v>
      </c>
      <c r="C2489" t="s">
        <v>8</v>
      </c>
      <c r="D2489">
        <v>258.58</v>
      </c>
      <c r="E2489">
        <v>121.16</v>
      </c>
      <c r="F2489">
        <v>25985</v>
      </c>
      <c r="G2489" t="s">
        <v>9</v>
      </c>
      <c r="H2489">
        <f>_xlfn.LET(_xlpm.v, IFERROR(VLOOKUP($A2489, manifest!$A:$E, 3, FALSE), ""), IF(OR(_xlpm.v=0, _xlpm.v=""), "", _xlpm.v))</f>
        <v>70</v>
      </c>
      <c r="I2489" t="str">
        <f>_xlfn.LET(_xlpm.v, IFERROR(VLOOKUP($A2489, manifest!$A:$E, 5, FALSE), ""), IF(OR(_xlpm.v=0, _xlpm.v=""), "", _xlpm.v))</f>
        <v>female</v>
      </c>
    </row>
    <row r="2490" spans="1:9" x14ac:dyDescent="0.6">
      <c r="A2490">
        <v>533</v>
      </c>
      <c r="B2490" t="s">
        <v>7</v>
      </c>
      <c r="C2490" t="s">
        <v>10</v>
      </c>
      <c r="D2490">
        <v>271.77999999999997</v>
      </c>
      <c r="E2490">
        <v>154.41999999999999</v>
      </c>
      <c r="F2490">
        <v>29035</v>
      </c>
      <c r="H2490">
        <f>_xlfn.LET(_xlpm.v, IFERROR(VLOOKUP($A2490, manifest!$A:$E, 3, FALSE), ""), IF(OR(_xlpm.v=0, _xlpm.v=""), "", _xlpm.v))</f>
        <v>70</v>
      </c>
      <c r="I2490" t="str">
        <f>_xlfn.LET(_xlpm.v, IFERROR(VLOOKUP($A2490, manifest!$A:$E, 5, FALSE), ""), IF(OR(_xlpm.v=0, _xlpm.v=""), "", _xlpm.v))</f>
        <v>female</v>
      </c>
    </row>
    <row r="2491" spans="1:9" x14ac:dyDescent="0.6">
      <c r="A2491">
        <v>533</v>
      </c>
      <c r="B2491" t="s">
        <v>7</v>
      </c>
      <c r="C2491" t="s">
        <v>11</v>
      </c>
      <c r="D2491">
        <v>253.57</v>
      </c>
      <c r="E2491">
        <v>155.03</v>
      </c>
      <c r="F2491">
        <v>36522</v>
      </c>
      <c r="H2491">
        <f>_xlfn.LET(_xlpm.v, IFERROR(VLOOKUP($A2491, manifest!$A:$E, 3, FALSE), ""), IF(OR(_xlpm.v=0, _xlpm.v=""), "", _xlpm.v))</f>
        <v>70</v>
      </c>
      <c r="I2491" t="str">
        <f>_xlfn.LET(_xlpm.v, IFERROR(VLOOKUP($A2491, manifest!$A:$E, 5, FALSE), ""), IF(OR(_xlpm.v=0, _xlpm.v=""), "", _xlpm.v))</f>
        <v>female</v>
      </c>
    </row>
    <row r="2492" spans="1:9" x14ac:dyDescent="0.6">
      <c r="A2492">
        <v>533</v>
      </c>
      <c r="B2492" t="s">
        <v>7</v>
      </c>
      <c r="C2492" t="s">
        <v>12</v>
      </c>
      <c r="D2492">
        <v>247.9</v>
      </c>
      <c r="E2492">
        <v>148.93</v>
      </c>
      <c r="F2492">
        <v>45914</v>
      </c>
      <c r="H2492">
        <f>_xlfn.LET(_xlpm.v, IFERROR(VLOOKUP($A2492, manifest!$A:$E, 3, FALSE), ""), IF(OR(_xlpm.v=0, _xlpm.v=""), "", _xlpm.v))</f>
        <v>70</v>
      </c>
      <c r="I2492" t="str">
        <f>_xlfn.LET(_xlpm.v, IFERROR(VLOOKUP($A2492, manifest!$A:$E, 5, FALSE), ""), IF(OR(_xlpm.v=0, _xlpm.v=""), "", _xlpm.v))</f>
        <v>female</v>
      </c>
    </row>
    <row r="2493" spans="1:9" x14ac:dyDescent="0.6">
      <c r="A2493">
        <v>533</v>
      </c>
      <c r="B2493" t="s">
        <v>7</v>
      </c>
      <c r="C2493" t="s">
        <v>13</v>
      </c>
      <c r="D2493">
        <v>275.95999999999998</v>
      </c>
      <c r="E2493">
        <v>173.39</v>
      </c>
      <c r="F2493">
        <v>47773</v>
      </c>
      <c r="H2493">
        <f>_xlfn.LET(_xlpm.v, IFERROR(VLOOKUP($A2493, manifest!$A:$E, 3, FALSE), ""), IF(OR(_xlpm.v=0, _xlpm.v=""), "", _xlpm.v))</f>
        <v>70</v>
      </c>
      <c r="I2493" t="str">
        <f>_xlfn.LET(_xlpm.v, IFERROR(VLOOKUP($A2493, manifest!$A:$E, 5, FALSE), ""), IF(OR(_xlpm.v=0, _xlpm.v=""), "", _xlpm.v))</f>
        <v>female</v>
      </c>
    </row>
    <row r="2494" spans="1:9" x14ac:dyDescent="0.6">
      <c r="A2494">
        <v>517</v>
      </c>
      <c r="B2494" t="s">
        <v>14</v>
      </c>
      <c r="C2494" t="s">
        <v>8</v>
      </c>
      <c r="D2494">
        <v>186.33</v>
      </c>
      <c r="E2494">
        <v>160.6</v>
      </c>
      <c r="F2494">
        <v>45492</v>
      </c>
      <c r="G2494" t="s">
        <v>9</v>
      </c>
      <c r="H2494">
        <f>_xlfn.LET(_xlpm.v, IFERROR(VLOOKUP($A2494, manifest!$A:$E, 3, FALSE), ""), IF(OR(_xlpm.v=0, _xlpm.v=""), "", _xlpm.v))</f>
        <v>50</v>
      </c>
      <c r="I2494" t="str">
        <f>_xlfn.LET(_xlpm.v, IFERROR(VLOOKUP($A2494, manifest!$A:$E, 5, FALSE), ""), IF(OR(_xlpm.v=0, _xlpm.v=""), "", _xlpm.v))</f>
        <v>male</v>
      </c>
    </row>
    <row r="2495" spans="1:9" x14ac:dyDescent="0.6">
      <c r="A2495">
        <v>517</v>
      </c>
      <c r="B2495" t="s">
        <v>14</v>
      </c>
      <c r="C2495" t="s">
        <v>10</v>
      </c>
      <c r="D2495">
        <v>206.4</v>
      </c>
      <c r="E2495">
        <v>199.25</v>
      </c>
      <c r="F2495">
        <v>45896</v>
      </c>
      <c r="H2495">
        <f>_xlfn.LET(_xlpm.v, IFERROR(VLOOKUP($A2495, manifest!$A:$E, 3, FALSE), ""), IF(OR(_xlpm.v=0, _xlpm.v=""), "", _xlpm.v))</f>
        <v>50</v>
      </c>
      <c r="I2495" t="str">
        <f>_xlfn.LET(_xlpm.v, IFERROR(VLOOKUP($A2495, manifest!$A:$E, 5, FALSE), ""), IF(OR(_xlpm.v=0, _xlpm.v=""), "", _xlpm.v))</f>
        <v>male</v>
      </c>
    </row>
    <row r="2496" spans="1:9" x14ac:dyDescent="0.6">
      <c r="A2496">
        <v>517</v>
      </c>
      <c r="B2496" t="s">
        <v>14</v>
      </c>
      <c r="C2496" t="s">
        <v>11</v>
      </c>
      <c r="D2496">
        <v>178.44</v>
      </c>
      <c r="E2496">
        <v>170.33</v>
      </c>
      <c r="F2496">
        <v>57041</v>
      </c>
      <c r="H2496">
        <f>_xlfn.LET(_xlpm.v, IFERROR(VLOOKUP($A2496, manifest!$A:$E, 3, FALSE), ""), IF(OR(_xlpm.v=0, _xlpm.v=""), "", _xlpm.v))</f>
        <v>50</v>
      </c>
      <c r="I2496" t="str">
        <f>_xlfn.LET(_xlpm.v, IFERROR(VLOOKUP($A2496, manifest!$A:$E, 5, FALSE), ""), IF(OR(_xlpm.v=0, _xlpm.v=""), "", _xlpm.v))</f>
        <v>male</v>
      </c>
    </row>
    <row r="2497" spans="1:9" x14ac:dyDescent="0.6">
      <c r="A2497">
        <v>517</v>
      </c>
      <c r="B2497" t="s">
        <v>14</v>
      </c>
      <c r="C2497" t="s">
        <v>12</v>
      </c>
      <c r="D2497">
        <v>188.23</v>
      </c>
      <c r="E2497">
        <v>179.1</v>
      </c>
      <c r="F2497">
        <v>69131</v>
      </c>
      <c r="H2497">
        <f>_xlfn.LET(_xlpm.v, IFERROR(VLOOKUP($A2497, manifest!$A:$E, 3, FALSE), ""), IF(OR(_xlpm.v=0, _xlpm.v=""), "", _xlpm.v))</f>
        <v>50</v>
      </c>
      <c r="I2497" t="str">
        <f>_xlfn.LET(_xlpm.v, IFERROR(VLOOKUP($A2497, manifest!$A:$E, 5, FALSE), ""), IF(OR(_xlpm.v=0, _xlpm.v=""), "", _xlpm.v))</f>
        <v>male</v>
      </c>
    </row>
    <row r="2498" spans="1:9" x14ac:dyDescent="0.6">
      <c r="A2498">
        <v>517</v>
      </c>
      <c r="B2498" t="s">
        <v>14</v>
      </c>
      <c r="C2498" t="s">
        <v>13</v>
      </c>
      <c r="D2498">
        <v>207.71</v>
      </c>
      <c r="E2498">
        <v>179.53</v>
      </c>
      <c r="F2498">
        <v>69895</v>
      </c>
      <c r="H2498">
        <f>_xlfn.LET(_xlpm.v, IFERROR(VLOOKUP($A2498, manifest!$A:$E, 3, FALSE), ""), IF(OR(_xlpm.v=0, _xlpm.v=""), "", _xlpm.v))</f>
        <v>50</v>
      </c>
      <c r="I2498" t="str">
        <f>_xlfn.LET(_xlpm.v, IFERROR(VLOOKUP($A2498, manifest!$A:$E, 5, FALSE), ""), IF(OR(_xlpm.v=0, _xlpm.v=""), "", _xlpm.v))</f>
        <v>male</v>
      </c>
    </row>
    <row r="2499" spans="1:9" x14ac:dyDescent="0.6">
      <c r="A2499">
        <v>536</v>
      </c>
      <c r="B2499" t="s">
        <v>14</v>
      </c>
      <c r="C2499" t="s">
        <v>8</v>
      </c>
      <c r="D2499">
        <v>175.53</v>
      </c>
      <c r="E2499">
        <v>152.38999999999999</v>
      </c>
      <c r="F2499">
        <v>42518</v>
      </c>
      <c r="G2499" t="s">
        <v>9</v>
      </c>
      <c r="H2499">
        <f>_xlfn.LET(_xlpm.v, IFERROR(VLOOKUP($A2499, manifest!$A:$E, 3, FALSE), ""), IF(OR(_xlpm.v=0, _xlpm.v=""), "", _xlpm.v))</f>
        <v>50</v>
      </c>
      <c r="I2499" t="str">
        <f>_xlfn.LET(_xlpm.v, IFERROR(VLOOKUP($A2499, manifest!$A:$E, 5, FALSE), ""), IF(OR(_xlpm.v=0, _xlpm.v=""), "", _xlpm.v))</f>
        <v>female</v>
      </c>
    </row>
    <row r="2500" spans="1:9" x14ac:dyDescent="0.6">
      <c r="A2500">
        <v>536</v>
      </c>
      <c r="B2500" t="s">
        <v>14</v>
      </c>
      <c r="C2500" t="s">
        <v>10</v>
      </c>
      <c r="D2500">
        <v>205.79</v>
      </c>
      <c r="E2500">
        <v>205.35</v>
      </c>
      <c r="F2500">
        <v>44191</v>
      </c>
      <c r="H2500">
        <f>_xlfn.LET(_xlpm.v, IFERROR(VLOOKUP($A2500, manifest!$A:$E, 3, FALSE), ""), IF(OR(_xlpm.v=0, _xlpm.v=""), "", _xlpm.v))</f>
        <v>50</v>
      </c>
      <c r="I2500" t="str">
        <f>_xlfn.LET(_xlpm.v, IFERROR(VLOOKUP($A2500, manifest!$A:$E, 5, FALSE), ""), IF(OR(_xlpm.v=0, _xlpm.v=""), "", _xlpm.v))</f>
        <v>female</v>
      </c>
    </row>
    <row r="2501" spans="1:9" x14ac:dyDescent="0.6">
      <c r="A2501">
        <v>536</v>
      </c>
      <c r="B2501" t="s">
        <v>14</v>
      </c>
      <c r="C2501" t="s">
        <v>11</v>
      </c>
      <c r="D2501">
        <v>181.41</v>
      </c>
      <c r="E2501">
        <v>184.01</v>
      </c>
      <c r="F2501">
        <v>53372</v>
      </c>
      <c r="H2501">
        <f>_xlfn.LET(_xlpm.v, IFERROR(VLOOKUP($A2501, manifest!$A:$E, 3, FALSE), ""), IF(OR(_xlpm.v=0, _xlpm.v=""), "", _xlpm.v))</f>
        <v>50</v>
      </c>
      <c r="I2501" t="str">
        <f>_xlfn.LET(_xlpm.v, IFERROR(VLOOKUP($A2501, manifest!$A:$E, 5, FALSE), ""), IF(OR(_xlpm.v=0, _xlpm.v=""), "", _xlpm.v))</f>
        <v>female</v>
      </c>
    </row>
    <row r="2502" spans="1:9" x14ac:dyDescent="0.6">
      <c r="A2502">
        <v>536</v>
      </c>
      <c r="B2502" t="s">
        <v>14</v>
      </c>
      <c r="C2502" t="s">
        <v>12</v>
      </c>
      <c r="D2502">
        <v>198.02</v>
      </c>
      <c r="E2502">
        <v>208.48</v>
      </c>
      <c r="F2502">
        <v>61129</v>
      </c>
      <c r="H2502">
        <f>_xlfn.LET(_xlpm.v, IFERROR(VLOOKUP($A2502, manifest!$A:$E, 3, FALSE), ""), IF(OR(_xlpm.v=0, _xlpm.v=""), "", _xlpm.v))</f>
        <v>50</v>
      </c>
      <c r="I2502" t="str">
        <f>_xlfn.LET(_xlpm.v, IFERROR(VLOOKUP($A2502, manifest!$A:$E, 5, FALSE), ""), IF(OR(_xlpm.v=0, _xlpm.v=""), "", _xlpm.v))</f>
        <v>female</v>
      </c>
    </row>
    <row r="2503" spans="1:9" x14ac:dyDescent="0.6">
      <c r="A2503">
        <v>536</v>
      </c>
      <c r="B2503" t="s">
        <v>14</v>
      </c>
      <c r="C2503" t="s">
        <v>13</v>
      </c>
      <c r="D2503">
        <v>174.87</v>
      </c>
      <c r="E2503">
        <v>165.88</v>
      </c>
      <c r="F2503">
        <v>67697</v>
      </c>
      <c r="H2503">
        <f>_xlfn.LET(_xlpm.v, IFERROR(VLOOKUP($A2503, manifest!$A:$E, 3, FALSE), ""), IF(OR(_xlpm.v=0, _xlpm.v=""), "", _xlpm.v))</f>
        <v>50</v>
      </c>
      <c r="I2503" t="str">
        <f>_xlfn.LET(_xlpm.v, IFERROR(VLOOKUP($A2503, manifest!$A:$E, 5, FALSE), ""), IF(OR(_xlpm.v=0, _xlpm.v=""), "", _xlpm.v))</f>
        <v>female</v>
      </c>
    </row>
    <row r="2504" spans="1:9" x14ac:dyDescent="0.6">
      <c r="A2504">
        <v>547</v>
      </c>
      <c r="B2504" t="s">
        <v>14</v>
      </c>
      <c r="C2504" t="s">
        <v>8</v>
      </c>
      <c r="D2504">
        <v>194.73</v>
      </c>
      <c r="E2504">
        <v>140.19</v>
      </c>
      <c r="F2504">
        <v>25324</v>
      </c>
      <c r="G2504" t="s">
        <v>9</v>
      </c>
      <c r="H2504">
        <f>_xlfn.LET(_xlpm.v, IFERROR(VLOOKUP($A2504, manifest!$A:$E, 3, FALSE), ""), IF(OR(_xlpm.v=0, _xlpm.v=""), "", _xlpm.v))</f>
        <v>70</v>
      </c>
      <c r="I2504" t="str">
        <f>_xlfn.LET(_xlpm.v, IFERROR(VLOOKUP($A2504, manifest!$A:$E, 5, FALSE), ""), IF(OR(_xlpm.v=0, _xlpm.v=""), "", _xlpm.v))</f>
        <v>female</v>
      </c>
    </row>
    <row r="2505" spans="1:9" x14ac:dyDescent="0.6">
      <c r="A2505">
        <v>547</v>
      </c>
      <c r="B2505" t="s">
        <v>14</v>
      </c>
      <c r="C2505" t="s">
        <v>10</v>
      </c>
      <c r="D2505">
        <v>193.09</v>
      </c>
      <c r="E2505">
        <v>177.9</v>
      </c>
      <c r="F2505">
        <v>30710</v>
      </c>
      <c r="H2505">
        <f>_xlfn.LET(_xlpm.v, IFERROR(VLOOKUP($A2505, manifest!$A:$E, 3, FALSE), ""), IF(OR(_xlpm.v=0, _xlpm.v=""), "", _xlpm.v))</f>
        <v>70</v>
      </c>
      <c r="I2505" t="str">
        <f>_xlfn.LET(_xlpm.v, IFERROR(VLOOKUP($A2505, manifest!$A:$E, 5, FALSE), ""), IF(OR(_xlpm.v=0, _xlpm.v=""), "", _xlpm.v))</f>
        <v>female</v>
      </c>
    </row>
    <row r="2506" spans="1:9" x14ac:dyDescent="0.6">
      <c r="A2506">
        <v>547</v>
      </c>
      <c r="B2506" t="s">
        <v>14</v>
      </c>
      <c r="C2506" t="s">
        <v>11</v>
      </c>
      <c r="D2506">
        <v>171.15</v>
      </c>
      <c r="E2506">
        <v>185.02</v>
      </c>
      <c r="F2506">
        <v>34427</v>
      </c>
      <c r="H2506">
        <f>_xlfn.LET(_xlpm.v, IFERROR(VLOOKUP($A2506, manifest!$A:$E, 3, FALSE), ""), IF(OR(_xlpm.v=0, _xlpm.v=""), "", _xlpm.v))</f>
        <v>70</v>
      </c>
      <c r="I2506" t="str">
        <f>_xlfn.LET(_xlpm.v, IFERROR(VLOOKUP($A2506, manifest!$A:$E, 5, FALSE), ""), IF(OR(_xlpm.v=0, _xlpm.v=""), "", _xlpm.v))</f>
        <v>female</v>
      </c>
    </row>
    <row r="2507" spans="1:9" x14ac:dyDescent="0.6">
      <c r="A2507">
        <v>547</v>
      </c>
      <c r="B2507" t="s">
        <v>14</v>
      </c>
      <c r="C2507" t="s">
        <v>12</v>
      </c>
      <c r="D2507">
        <v>206.44</v>
      </c>
      <c r="E2507">
        <v>178.84</v>
      </c>
      <c r="F2507">
        <v>40940</v>
      </c>
      <c r="H2507">
        <f>_xlfn.LET(_xlpm.v, IFERROR(VLOOKUP($A2507, manifest!$A:$E, 3, FALSE), ""), IF(OR(_xlpm.v=0, _xlpm.v=""), "", _xlpm.v))</f>
        <v>70</v>
      </c>
      <c r="I2507" t="str">
        <f>_xlfn.LET(_xlpm.v, IFERROR(VLOOKUP($A2507, manifest!$A:$E, 5, FALSE), ""), IF(OR(_xlpm.v=0, _xlpm.v=""), "", _xlpm.v))</f>
        <v>female</v>
      </c>
    </row>
    <row r="2508" spans="1:9" x14ac:dyDescent="0.6">
      <c r="A2508">
        <v>547</v>
      </c>
      <c r="B2508" t="s">
        <v>14</v>
      </c>
      <c r="C2508" t="s">
        <v>13</v>
      </c>
      <c r="D2508">
        <v>228.84</v>
      </c>
      <c r="E2508">
        <v>174.17</v>
      </c>
      <c r="F2508">
        <v>39501</v>
      </c>
      <c r="H2508">
        <f>_xlfn.LET(_xlpm.v, IFERROR(VLOOKUP($A2508, manifest!$A:$E, 3, FALSE), ""), IF(OR(_xlpm.v=0, _xlpm.v=""), "", _xlpm.v))</f>
        <v>70</v>
      </c>
      <c r="I2508" t="str">
        <f>_xlfn.LET(_xlpm.v, IFERROR(VLOOKUP($A2508, manifest!$A:$E, 5, FALSE), ""), IF(OR(_xlpm.v=0, _xlpm.v=""), "", _xlpm.v))</f>
        <v>female</v>
      </c>
    </row>
    <row r="2509" spans="1:9" x14ac:dyDescent="0.6">
      <c r="A2509">
        <v>526</v>
      </c>
      <c r="B2509" t="s">
        <v>14</v>
      </c>
      <c r="C2509" t="s">
        <v>8</v>
      </c>
      <c r="D2509">
        <v>186.71</v>
      </c>
      <c r="E2509">
        <v>111.12</v>
      </c>
      <c r="F2509">
        <v>32444</v>
      </c>
      <c r="G2509" t="s">
        <v>9</v>
      </c>
      <c r="H2509">
        <f>_xlfn.LET(_xlpm.v, IFERROR(VLOOKUP($A2509, manifest!$A:$E, 3, FALSE), ""), IF(OR(_xlpm.v=0, _xlpm.v=""), "", _xlpm.v))</f>
        <v>50</v>
      </c>
      <c r="I2509" t="str">
        <f>_xlfn.LET(_xlpm.v, IFERROR(VLOOKUP($A2509, manifest!$A:$E, 5, FALSE), ""), IF(OR(_xlpm.v=0, _xlpm.v=""), "", _xlpm.v))</f>
        <v>female</v>
      </c>
    </row>
    <row r="2510" spans="1:9" x14ac:dyDescent="0.6">
      <c r="A2510">
        <v>526</v>
      </c>
      <c r="B2510" t="s">
        <v>14</v>
      </c>
      <c r="C2510" t="s">
        <v>10</v>
      </c>
      <c r="D2510">
        <v>219.44</v>
      </c>
      <c r="E2510">
        <v>192</v>
      </c>
      <c r="F2510">
        <v>33295</v>
      </c>
      <c r="H2510">
        <f>_xlfn.LET(_xlpm.v, IFERROR(VLOOKUP($A2510, manifest!$A:$E, 3, FALSE), ""), IF(OR(_xlpm.v=0, _xlpm.v=""), "", _xlpm.v))</f>
        <v>50</v>
      </c>
      <c r="I2510" t="str">
        <f>_xlfn.LET(_xlpm.v, IFERROR(VLOOKUP($A2510, manifest!$A:$E, 5, FALSE), ""), IF(OR(_xlpm.v=0, _xlpm.v=""), "", _xlpm.v))</f>
        <v>female</v>
      </c>
    </row>
    <row r="2511" spans="1:9" x14ac:dyDescent="0.6">
      <c r="A2511">
        <v>526</v>
      </c>
      <c r="B2511" t="s">
        <v>14</v>
      </c>
      <c r="C2511" t="s">
        <v>11</v>
      </c>
      <c r="D2511">
        <v>207.26</v>
      </c>
      <c r="E2511">
        <v>188.33</v>
      </c>
      <c r="F2511">
        <v>38714</v>
      </c>
      <c r="H2511">
        <f>_xlfn.LET(_xlpm.v, IFERROR(VLOOKUP($A2511, manifest!$A:$E, 3, FALSE), ""), IF(OR(_xlpm.v=0, _xlpm.v=""), "", _xlpm.v))</f>
        <v>50</v>
      </c>
      <c r="I2511" t="str">
        <f>_xlfn.LET(_xlpm.v, IFERROR(VLOOKUP($A2511, manifest!$A:$E, 5, FALSE), ""), IF(OR(_xlpm.v=0, _xlpm.v=""), "", _xlpm.v))</f>
        <v>female</v>
      </c>
    </row>
    <row r="2512" spans="1:9" x14ac:dyDescent="0.6">
      <c r="A2512">
        <v>526</v>
      </c>
      <c r="B2512" t="s">
        <v>14</v>
      </c>
      <c r="C2512" t="s">
        <v>12</v>
      </c>
      <c r="D2512">
        <v>211.84</v>
      </c>
      <c r="E2512">
        <v>188.08</v>
      </c>
      <c r="F2512">
        <v>48272</v>
      </c>
      <c r="H2512">
        <f>_xlfn.LET(_xlpm.v, IFERROR(VLOOKUP($A2512, manifest!$A:$E, 3, FALSE), ""), IF(OR(_xlpm.v=0, _xlpm.v=""), "", _xlpm.v))</f>
        <v>50</v>
      </c>
      <c r="I2512" t="str">
        <f>_xlfn.LET(_xlpm.v, IFERROR(VLOOKUP($A2512, manifest!$A:$E, 5, FALSE), ""), IF(OR(_xlpm.v=0, _xlpm.v=""), "", _xlpm.v))</f>
        <v>female</v>
      </c>
    </row>
    <row r="2513" spans="1:9" x14ac:dyDescent="0.6">
      <c r="A2513">
        <v>526</v>
      </c>
      <c r="B2513" t="s">
        <v>14</v>
      </c>
      <c r="C2513" t="s">
        <v>13</v>
      </c>
      <c r="D2513">
        <v>193.65</v>
      </c>
      <c r="E2513">
        <v>153.62</v>
      </c>
      <c r="F2513">
        <v>54127</v>
      </c>
      <c r="H2513">
        <f>_xlfn.LET(_xlpm.v, IFERROR(VLOOKUP($A2513, manifest!$A:$E, 3, FALSE), ""), IF(OR(_xlpm.v=0, _xlpm.v=""), "", _xlpm.v))</f>
        <v>50</v>
      </c>
      <c r="I2513" t="str">
        <f>_xlfn.LET(_xlpm.v, IFERROR(VLOOKUP($A2513, manifest!$A:$E, 5, FALSE), ""), IF(OR(_xlpm.v=0, _xlpm.v=""), "", _xlpm.v))</f>
        <v>female</v>
      </c>
    </row>
    <row r="2514" spans="1:9" x14ac:dyDescent="0.6">
      <c r="A2514">
        <v>539</v>
      </c>
      <c r="B2514" t="s">
        <v>14</v>
      </c>
      <c r="C2514" t="s">
        <v>8</v>
      </c>
      <c r="D2514">
        <v>209.63</v>
      </c>
      <c r="E2514">
        <v>110.67</v>
      </c>
      <c r="F2514">
        <v>20542</v>
      </c>
      <c r="G2514" t="s">
        <v>9</v>
      </c>
      <c r="H2514">
        <f>_xlfn.LET(_xlpm.v, IFERROR(VLOOKUP($A2514, manifest!$A:$E, 3, FALSE), ""), IF(OR(_xlpm.v=0, _xlpm.v=""), "", _xlpm.v))</f>
        <v>60</v>
      </c>
      <c r="I2514" t="str">
        <f>_xlfn.LET(_xlpm.v, IFERROR(VLOOKUP($A2514, manifest!$A:$E, 5, FALSE), ""), IF(OR(_xlpm.v=0, _xlpm.v=""), "", _xlpm.v))</f>
        <v>female</v>
      </c>
    </row>
    <row r="2515" spans="1:9" x14ac:dyDescent="0.6">
      <c r="A2515">
        <v>539</v>
      </c>
      <c r="B2515" t="s">
        <v>14</v>
      </c>
      <c r="C2515" t="s">
        <v>10</v>
      </c>
      <c r="D2515">
        <v>217.82</v>
      </c>
      <c r="E2515">
        <v>139.03</v>
      </c>
      <c r="F2515">
        <v>22877</v>
      </c>
      <c r="H2515">
        <f>_xlfn.LET(_xlpm.v, IFERROR(VLOOKUP($A2515, manifest!$A:$E, 3, FALSE), ""), IF(OR(_xlpm.v=0, _xlpm.v=""), "", _xlpm.v))</f>
        <v>60</v>
      </c>
      <c r="I2515" t="str">
        <f>_xlfn.LET(_xlpm.v, IFERROR(VLOOKUP($A2515, manifest!$A:$E, 5, FALSE), ""), IF(OR(_xlpm.v=0, _xlpm.v=""), "", _xlpm.v))</f>
        <v>female</v>
      </c>
    </row>
    <row r="2516" spans="1:9" x14ac:dyDescent="0.6">
      <c r="A2516">
        <v>539</v>
      </c>
      <c r="B2516" t="s">
        <v>14</v>
      </c>
      <c r="C2516" t="s">
        <v>11</v>
      </c>
      <c r="D2516">
        <v>200.03</v>
      </c>
      <c r="E2516">
        <v>139.93</v>
      </c>
      <c r="F2516">
        <v>27910</v>
      </c>
      <c r="H2516">
        <f>_xlfn.LET(_xlpm.v, IFERROR(VLOOKUP($A2516, manifest!$A:$E, 3, FALSE), ""), IF(OR(_xlpm.v=0, _xlpm.v=""), "", _xlpm.v))</f>
        <v>60</v>
      </c>
      <c r="I2516" t="str">
        <f>_xlfn.LET(_xlpm.v, IFERROR(VLOOKUP($A2516, manifest!$A:$E, 5, FALSE), ""), IF(OR(_xlpm.v=0, _xlpm.v=""), "", _xlpm.v))</f>
        <v>female</v>
      </c>
    </row>
    <row r="2517" spans="1:9" x14ac:dyDescent="0.6">
      <c r="A2517">
        <v>539</v>
      </c>
      <c r="B2517" t="s">
        <v>14</v>
      </c>
      <c r="C2517" t="s">
        <v>12</v>
      </c>
      <c r="D2517">
        <v>195.95</v>
      </c>
      <c r="E2517">
        <v>159.6</v>
      </c>
      <c r="F2517">
        <v>35837</v>
      </c>
      <c r="H2517">
        <f>_xlfn.LET(_xlpm.v, IFERROR(VLOOKUP($A2517, manifest!$A:$E, 3, FALSE), ""), IF(OR(_xlpm.v=0, _xlpm.v=""), "", _xlpm.v))</f>
        <v>60</v>
      </c>
      <c r="I2517" t="str">
        <f>_xlfn.LET(_xlpm.v, IFERROR(VLOOKUP($A2517, manifest!$A:$E, 5, FALSE), ""), IF(OR(_xlpm.v=0, _xlpm.v=""), "", _xlpm.v))</f>
        <v>female</v>
      </c>
    </row>
    <row r="2518" spans="1:9" x14ac:dyDescent="0.6">
      <c r="A2518">
        <v>539</v>
      </c>
      <c r="B2518" t="s">
        <v>14</v>
      </c>
      <c r="C2518" t="s">
        <v>13</v>
      </c>
      <c r="D2518">
        <v>241.73</v>
      </c>
      <c r="E2518">
        <v>171.36</v>
      </c>
      <c r="F2518">
        <v>35763</v>
      </c>
      <c r="H2518">
        <f>_xlfn.LET(_xlpm.v, IFERROR(VLOOKUP($A2518, manifest!$A:$E, 3, FALSE), ""), IF(OR(_xlpm.v=0, _xlpm.v=""), "", _xlpm.v))</f>
        <v>60</v>
      </c>
      <c r="I2518" t="str">
        <f>_xlfn.LET(_xlpm.v, IFERROR(VLOOKUP($A2518, manifest!$A:$E, 5, FALSE), ""), IF(OR(_xlpm.v=0, _xlpm.v=""), "", _xlpm.v))</f>
        <v>female</v>
      </c>
    </row>
    <row r="2519" spans="1:9" x14ac:dyDescent="0.6">
      <c r="A2519">
        <v>523</v>
      </c>
      <c r="B2519" t="s">
        <v>7</v>
      </c>
      <c r="C2519" t="s">
        <v>8</v>
      </c>
      <c r="D2519">
        <v>166.63</v>
      </c>
      <c r="E2519">
        <v>93.11</v>
      </c>
      <c r="F2519">
        <v>36572</v>
      </c>
      <c r="G2519" t="s">
        <v>9</v>
      </c>
      <c r="H2519">
        <f>_xlfn.LET(_xlpm.v, IFERROR(VLOOKUP($A2519, manifest!$A:$E, 3, FALSE), ""), IF(OR(_xlpm.v=0, _xlpm.v=""), "", _xlpm.v))</f>
        <v>50</v>
      </c>
      <c r="I2519" t="str">
        <f>_xlfn.LET(_xlpm.v, IFERROR(VLOOKUP($A2519, manifest!$A:$E, 5, FALSE), ""), IF(OR(_xlpm.v=0, _xlpm.v=""), "", _xlpm.v))</f>
        <v>female</v>
      </c>
    </row>
    <row r="2520" spans="1:9" x14ac:dyDescent="0.6">
      <c r="A2520">
        <v>523</v>
      </c>
      <c r="B2520" t="s">
        <v>7</v>
      </c>
      <c r="C2520" t="s">
        <v>10</v>
      </c>
      <c r="D2520">
        <v>192.92</v>
      </c>
      <c r="E2520">
        <v>125.07</v>
      </c>
      <c r="F2520">
        <v>41073</v>
      </c>
      <c r="H2520">
        <f>_xlfn.LET(_xlpm.v, IFERROR(VLOOKUP($A2520, manifest!$A:$E, 3, FALSE), ""), IF(OR(_xlpm.v=0, _xlpm.v=""), "", _xlpm.v))</f>
        <v>50</v>
      </c>
      <c r="I2520" t="str">
        <f>_xlfn.LET(_xlpm.v, IFERROR(VLOOKUP($A2520, manifest!$A:$E, 5, FALSE), ""), IF(OR(_xlpm.v=0, _xlpm.v=""), "", _xlpm.v))</f>
        <v>female</v>
      </c>
    </row>
    <row r="2521" spans="1:9" x14ac:dyDescent="0.6">
      <c r="A2521">
        <v>523</v>
      </c>
      <c r="B2521" t="s">
        <v>7</v>
      </c>
      <c r="C2521" t="s">
        <v>11</v>
      </c>
      <c r="D2521">
        <v>193.18</v>
      </c>
      <c r="E2521">
        <v>139.66</v>
      </c>
      <c r="F2521">
        <v>47297</v>
      </c>
      <c r="H2521">
        <f>_xlfn.LET(_xlpm.v, IFERROR(VLOOKUP($A2521, manifest!$A:$E, 3, FALSE), ""), IF(OR(_xlpm.v=0, _xlpm.v=""), "", _xlpm.v))</f>
        <v>50</v>
      </c>
      <c r="I2521" t="str">
        <f>_xlfn.LET(_xlpm.v, IFERROR(VLOOKUP($A2521, manifest!$A:$E, 5, FALSE), ""), IF(OR(_xlpm.v=0, _xlpm.v=""), "", _xlpm.v))</f>
        <v>female</v>
      </c>
    </row>
    <row r="2522" spans="1:9" x14ac:dyDescent="0.6">
      <c r="A2522">
        <v>523</v>
      </c>
      <c r="B2522" t="s">
        <v>7</v>
      </c>
      <c r="C2522" t="s">
        <v>12</v>
      </c>
      <c r="D2522">
        <v>188.03</v>
      </c>
      <c r="E2522">
        <v>141.59</v>
      </c>
      <c r="F2522">
        <v>49326</v>
      </c>
      <c r="H2522">
        <f>_xlfn.LET(_xlpm.v, IFERROR(VLOOKUP($A2522, manifest!$A:$E, 3, FALSE), ""), IF(OR(_xlpm.v=0, _xlpm.v=""), "", _xlpm.v))</f>
        <v>50</v>
      </c>
      <c r="I2522" t="str">
        <f>_xlfn.LET(_xlpm.v, IFERROR(VLOOKUP($A2522, manifest!$A:$E, 5, FALSE), ""), IF(OR(_xlpm.v=0, _xlpm.v=""), "", _xlpm.v))</f>
        <v>female</v>
      </c>
    </row>
    <row r="2523" spans="1:9" x14ac:dyDescent="0.6">
      <c r="A2523">
        <v>523</v>
      </c>
      <c r="B2523" t="s">
        <v>7</v>
      </c>
      <c r="C2523" t="s">
        <v>13</v>
      </c>
      <c r="D2523">
        <v>168.38</v>
      </c>
      <c r="E2523">
        <v>115.09</v>
      </c>
      <c r="F2523">
        <v>51604</v>
      </c>
      <c r="H2523">
        <f>_xlfn.LET(_xlpm.v, IFERROR(VLOOKUP($A2523, manifest!$A:$E, 3, FALSE), ""), IF(OR(_xlpm.v=0, _xlpm.v=""), "", _xlpm.v))</f>
        <v>50</v>
      </c>
      <c r="I2523" t="str">
        <f>_xlfn.LET(_xlpm.v, IFERROR(VLOOKUP($A2523, manifest!$A:$E, 5, FALSE), ""), IF(OR(_xlpm.v=0, _xlpm.v=""), "", _xlpm.v))</f>
        <v>female</v>
      </c>
    </row>
    <row r="2524" spans="1:9" x14ac:dyDescent="0.6">
      <c r="A2524">
        <v>538</v>
      </c>
      <c r="B2524" t="s">
        <v>7</v>
      </c>
      <c r="C2524" t="s">
        <v>8</v>
      </c>
      <c r="D2524">
        <v>152.41999999999999</v>
      </c>
      <c r="E2524">
        <v>128.1</v>
      </c>
      <c r="F2524">
        <v>27592</v>
      </c>
      <c r="G2524" t="s">
        <v>15</v>
      </c>
      <c r="H2524">
        <f>_xlfn.LET(_xlpm.v, IFERROR(VLOOKUP($A2524, manifest!$A:$E, 3, FALSE), ""), IF(OR(_xlpm.v=0, _xlpm.v=""), "", _xlpm.v))</f>
        <v>60</v>
      </c>
      <c r="I2524" t="str">
        <f>_xlfn.LET(_xlpm.v, IFERROR(VLOOKUP($A2524, manifest!$A:$E, 5, FALSE), ""), IF(OR(_xlpm.v=0, _xlpm.v=""), "", _xlpm.v))</f>
        <v>female</v>
      </c>
    </row>
    <row r="2525" spans="1:9" x14ac:dyDescent="0.6">
      <c r="A2525">
        <v>538</v>
      </c>
      <c r="B2525" t="s">
        <v>7</v>
      </c>
      <c r="C2525" t="s">
        <v>10</v>
      </c>
      <c r="D2525">
        <v>162.54</v>
      </c>
      <c r="E2525">
        <v>150.49</v>
      </c>
      <c r="F2525">
        <v>31823</v>
      </c>
      <c r="H2525">
        <f>_xlfn.LET(_xlpm.v, IFERROR(VLOOKUP($A2525, manifest!$A:$E, 3, FALSE), ""), IF(OR(_xlpm.v=0, _xlpm.v=""), "", _xlpm.v))</f>
        <v>60</v>
      </c>
      <c r="I2525" t="str">
        <f>_xlfn.LET(_xlpm.v, IFERROR(VLOOKUP($A2525, manifest!$A:$E, 5, FALSE), ""), IF(OR(_xlpm.v=0, _xlpm.v=""), "", _xlpm.v))</f>
        <v>female</v>
      </c>
    </row>
    <row r="2526" spans="1:9" x14ac:dyDescent="0.6">
      <c r="A2526">
        <v>538</v>
      </c>
      <c r="B2526" t="s">
        <v>7</v>
      </c>
      <c r="C2526" t="s">
        <v>11</v>
      </c>
      <c r="D2526">
        <v>150.57</v>
      </c>
      <c r="E2526">
        <v>149.47999999999999</v>
      </c>
      <c r="F2526">
        <v>29995</v>
      </c>
      <c r="H2526">
        <f>_xlfn.LET(_xlpm.v, IFERROR(VLOOKUP($A2526, manifest!$A:$E, 3, FALSE), ""), IF(OR(_xlpm.v=0, _xlpm.v=""), "", _xlpm.v))</f>
        <v>60</v>
      </c>
      <c r="I2526" t="str">
        <f>_xlfn.LET(_xlpm.v, IFERROR(VLOOKUP($A2526, manifest!$A:$E, 5, FALSE), ""), IF(OR(_xlpm.v=0, _xlpm.v=""), "", _xlpm.v))</f>
        <v>female</v>
      </c>
    </row>
    <row r="2527" spans="1:9" x14ac:dyDescent="0.6">
      <c r="A2527">
        <v>538</v>
      </c>
      <c r="B2527" t="s">
        <v>7</v>
      </c>
      <c r="C2527" t="s">
        <v>12</v>
      </c>
      <c r="D2527">
        <v>170.18</v>
      </c>
      <c r="E2527">
        <v>183.72</v>
      </c>
      <c r="F2527">
        <v>36601</v>
      </c>
      <c r="H2527">
        <f>_xlfn.LET(_xlpm.v, IFERROR(VLOOKUP($A2527, manifest!$A:$E, 3, FALSE), ""), IF(OR(_xlpm.v=0, _xlpm.v=""), "", _xlpm.v))</f>
        <v>60</v>
      </c>
      <c r="I2527" t="str">
        <f>_xlfn.LET(_xlpm.v, IFERROR(VLOOKUP($A2527, manifest!$A:$E, 5, FALSE), ""), IF(OR(_xlpm.v=0, _xlpm.v=""), "", _xlpm.v))</f>
        <v>female</v>
      </c>
    </row>
    <row r="2528" spans="1:9" x14ac:dyDescent="0.6">
      <c r="A2528">
        <v>538</v>
      </c>
      <c r="B2528" t="s">
        <v>7</v>
      </c>
      <c r="C2528" t="s">
        <v>13</v>
      </c>
      <c r="D2528">
        <v>152.36000000000001</v>
      </c>
      <c r="E2528">
        <v>127.3</v>
      </c>
      <c r="F2528">
        <v>45674</v>
      </c>
      <c r="H2528">
        <f>_xlfn.LET(_xlpm.v, IFERROR(VLOOKUP($A2528, manifest!$A:$E, 3, FALSE), ""), IF(OR(_xlpm.v=0, _xlpm.v=""), "", _xlpm.v))</f>
        <v>60</v>
      </c>
      <c r="I2528" t="str">
        <f>_xlfn.LET(_xlpm.v, IFERROR(VLOOKUP($A2528, manifest!$A:$E, 5, FALSE), ""), IF(OR(_xlpm.v=0, _xlpm.v=""), "", _xlpm.v))</f>
        <v>female</v>
      </c>
    </row>
    <row r="2529" spans="1:9" x14ac:dyDescent="0.6">
      <c r="A2529">
        <v>541</v>
      </c>
      <c r="B2529" t="s">
        <v>14</v>
      </c>
      <c r="C2529" t="s">
        <v>8</v>
      </c>
      <c r="D2529">
        <v>176.32</v>
      </c>
      <c r="E2529">
        <v>77</v>
      </c>
      <c r="F2529">
        <v>28446</v>
      </c>
      <c r="G2529" t="s">
        <v>9</v>
      </c>
      <c r="H2529">
        <f>_xlfn.LET(_xlpm.v, IFERROR(VLOOKUP($A2529, manifest!$A:$E, 3, FALSE), ""), IF(OR(_xlpm.v=0, _xlpm.v=""), "", _xlpm.v))</f>
        <v>60</v>
      </c>
      <c r="I2529" t="str">
        <f>_xlfn.LET(_xlpm.v, IFERROR(VLOOKUP($A2529, manifest!$A:$E, 5, FALSE), ""), IF(OR(_xlpm.v=0, _xlpm.v=""), "", _xlpm.v))</f>
        <v>male</v>
      </c>
    </row>
    <row r="2530" spans="1:9" x14ac:dyDescent="0.6">
      <c r="A2530">
        <v>541</v>
      </c>
      <c r="B2530" t="s">
        <v>14</v>
      </c>
      <c r="C2530" t="s">
        <v>10</v>
      </c>
      <c r="D2530">
        <v>198.83</v>
      </c>
      <c r="E2530">
        <v>108.05</v>
      </c>
      <c r="F2530">
        <v>31482</v>
      </c>
      <c r="H2530">
        <f>_xlfn.LET(_xlpm.v, IFERROR(VLOOKUP($A2530, manifest!$A:$E, 3, FALSE), ""), IF(OR(_xlpm.v=0, _xlpm.v=""), "", _xlpm.v))</f>
        <v>60</v>
      </c>
      <c r="I2530" t="str">
        <f>_xlfn.LET(_xlpm.v, IFERROR(VLOOKUP($A2530, manifest!$A:$E, 5, FALSE), ""), IF(OR(_xlpm.v=0, _xlpm.v=""), "", _xlpm.v))</f>
        <v>male</v>
      </c>
    </row>
    <row r="2531" spans="1:9" x14ac:dyDescent="0.6">
      <c r="A2531">
        <v>541</v>
      </c>
      <c r="B2531" t="s">
        <v>14</v>
      </c>
      <c r="C2531" t="s">
        <v>11</v>
      </c>
      <c r="D2531">
        <v>194.41</v>
      </c>
      <c r="E2531">
        <v>104.94</v>
      </c>
      <c r="F2531">
        <v>33801</v>
      </c>
      <c r="H2531">
        <f>_xlfn.LET(_xlpm.v, IFERROR(VLOOKUP($A2531, manifest!$A:$E, 3, FALSE), ""), IF(OR(_xlpm.v=0, _xlpm.v=""), "", _xlpm.v))</f>
        <v>60</v>
      </c>
      <c r="I2531" t="str">
        <f>_xlfn.LET(_xlpm.v, IFERROR(VLOOKUP($A2531, manifest!$A:$E, 5, FALSE), ""), IF(OR(_xlpm.v=0, _xlpm.v=""), "", _xlpm.v))</f>
        <v>male</v>
      </c>
    </row>
    <row r="2532" spans="1:9" x14ac:dyDescent="0.6">
      <c r="A2532">
        <v>541</v>
      </c>
      <c r="B2532" t="s">
        <v>14</v>
      </c>
      <c r="C2532" t="s">
        <v>12</v>
      </c>
      <c r="D2532">
        <v>214.06</v>
      </c>
      <c r="E2532">
        <v>165.31</v>
      </c>
      <c r="F2532">
        <v>36436</v>
      </c>
      <c r="H2532">
        <f>_xlfn.LET(_xlpm.v, IFERROR(VLOOKUP($A2532, manifest!$A:$E, 3, FALSE), ""), IF(OR(_xlpm.v=0, _xlpm.v=""), "", _xlpm.v))</f>
        <v>60</v>
      </c>
      <c r="I2532" t="str">
        <f>_xlfn.LET(_xlpm.v, IFERROR(VLOOKUP($A2532, manifest!$A:$E, 5, FALSE), ""), IF(OR(_xlpm.v=0, _xlpm.v=""), "", _xlpm.v))</f>
        <v>male</v>
      </c>
    </row>
    <row r="2533" spans="1:9" x14ac:dyDescent="0.6">
      <c r="A2533">
        <v>541</v>
      </c>
      <c r="B2533" t="s">
        <v>14</v>
      </c>
      <c r="C2533" t="s">
        <v>13</v>
      </c>
      <c r="D2533">
        <v>205.23</v>
      </c>
      <c r="E2533">
        <v>130.05000000000001</v>
      </c>
      <c r="F2533">
        <v>41919</v>
      </c>
      <c r="H2533">
        <f>_xlfn.LET(_xlpm.v, IFERROR(VLOOKUP($A2533, manifest!$A:$E, 3, FALSE), ""), IF(OR(_xlpm.v=0, _xlpm.v=""), "", _xlpm.v))</f>
        <v>60</v>
      </c>
      <c r="I2533" t="str">
        <f>_xlfn.LET(_xlpm.v, IFERROR(VLOOKUP($A2533, manifest!$A:$E, 5, FALSE), ""), IF(OR(_xlpm.v=0, _xlpm.v=""), "", _xlpm.v))</f>
        <v>male</v>
      </c>
    </row>
    <row r="2534" spans="1:9" x14ac:dyDescent="0.6">
      <c r="A2534">
        <v>532</v>
      </c>
      <c r="B2534" t="s">
        <v>14</v>
      </c>
      <c r="C2534" t="s">
        <v>8</v>
      </c>
      <c r="D2534">
        <v>304.49</v>
      </c>
      <c r="E2534">
        <v>161.16</v>
      </c>
      <c r="F2534">
        <v>21856</v>
      </c>
      <c r="G2534" t="s">
        <v>9</v>
      </c>
      <c r="H2534">
        <f>_xlfn.LET(_xlpm.v, IFERROR(VLOOKUP($A2534, manifest!$A:$E, 3, FALSE), ""), IF(OR(_xlpm.v=0, _xlpm.v=""), "", _xlpm.v))</f>
        <v>60</v>
      </c>
      <c r="I2534" t="str">
        <f>_xlfn.LET(_xlpm.v, IFERROR(VLOOKUP($A2534, manifest!$A:$E, 5, FALSE), ""), IF(OR(_xlpm.v=0, _xlpm.v=""), "", _xlpm.v))</f>
        <v>female</v>
      </c>
    </row>
    <row r="2535" spans="1:9" x14ac:dyDescent="0.6">
      <c r="A2535">
        <v>532</v>
      </c>
      <c r="B2535" t="s">
        <v>14</v>
      </c>
      <c r="C2535" t="s">
        <v>10</v>
      </c>
      <c r="D2535">
        <v>309.73</v>
      </c>
      <c r="E2535">
        <v>174.98</v>
      </c>
      <c r="F2535">
        <v>23819</v>
      </c>
      <c r="H2535">
        <f>_xlfn.LET(_xlpm.v, IFERROR(VLOOKUP($A2535, manifest!$A:$E, 3, FALSE), ""), IF(OR(_xlpm.v=0, _xlpm.v=""), "", _xlpm.v))</f>
        <v>60</v>
      </c>
      <c r="I2535" t="str">
        <f>_xlfn.LET(_xlpm.v, IFERROR(VLOOKUP($A2535, manifest!$A:$E, 5, FALSE), ""), IF(OR(_xlpm.v=0, _xlpm.v=""), "", _xlpm.v))</f>
        <v>female</v>
      </c>
    </row>
    <row r="2536" spans="1:9" x14ac:dyDescent="0.6">
      <c r="A2536">
        <v>532</v>
      </c>
      <c r="B2536" t="s">
        <v>14</v>
      </c>
      <c r="C2536" t="s">
        <v>11</v>
      </c>
      <c r="D2536">
        <v>302.01</v>
      </c>
      <c r="E2536">
        <v>182.15</v>
      </c>
      <c r="F2536">
        <v>30810</v>
      </c>
      <c r="H2536">
        <f>_xlfn.LET(_xlpm.v, IFERROR(VLOOKUP($A2536, manifest!$A:$E, 3, FALSE), ""), IF(OR(_xlpm.v=0, _xlpm.v=""), "", _xlpm.v))</f>
        <v>60</v>
      </c>
      <c r="I2536" t="str">
        <f>_xlfn.LET(_xlpm.v, IFERROR(VLOOKUP($A2536, manifest!$A:$E, 5, FALSE), ""), IF(OR(_xlpm.v=0, _xlpm.v=""), "", _xlpm.v))</f>
        <v>female</v>
      </c>
    </row>
    <row r="2537" spans="1:9" x14ac:dyDescent="0.6">
      <c r="A2537">
        <v>532</v>
      </c>
      <c r="B2537" t="s">
        <v>14</v>
      </c>
      <c r="C2537" t="s">
        <v>12</v>
      </c>
      <c r="D2537">
        <v>315.64999999999998</v>
      </c>
      <c r="E2537">
        <v>226.3</v>
      </c>
      <c r="F2537">
        <v>43305</v>
      </c>
      <c r="H2537">
        <f>_xlfn.LET(_xlpm.v, IFERROR(VLOOKUP($A2537, manifest!$A:$E, 3, FALSE), ""), IF(OR(_xlpm.v=0, _xlpm.v=""), "", _xlpm.v))</f>
        <v>60</v>
      </c>
      <c r="I2537" t="str">
        <f>_xlfn.LET(_xlpm.v, IFERROR(VLOOKUP($A2537, manifest!$A:$E, 5, FALSE), ""), IF(OR(_xlpm.v=0, _xlpm.v=""), "", _xlpm.v))</f>
        <v>female</v>
      </c>
    </row>
    <row r="2538" spans="1:9" x14ac:dyDescent="0.6">
      <c r="A2538">
        <v>532</v>
      </c>
      <c r="B2538" t="s">
        <v>14</v>
      </c>
      <c r="C2538" t="s">
        <v>13</v>
      </c>
      <c r="D2538">
        <v>341.76</v>
      </c>
      <c r="E2538">
        <v>217.8</v>
      </c>
      <c r="F2538">
        <v>43236</v>
      </c>
      <c r="H2538">
        <f>_xlfn.LET(_xlpm.v, IFERROR(VLOOKUP($A2538, manifest!$A:$E, 3, FALSE), ""), IF(OR(_xlpm.v=0, _xlpm.v=""), "", _xlpm.v))</f>
        <v>60</v>
      </c>
      <c r="I2538" t="str">
        <f>_xlfn.LET(_xlpm.v, IFERROR(VLOOKUP($A2538, manifest!$A:$E, 5, FALSE), ""), IF(OR(_xlpm.v=0, _xlpm.v=""), "", _xlpm.v))</f>
        <v>female</v>
      </c>
    </row>
    <row r="2539" spans="1:9" x14ac:dyDescent="0.6">
      <c r="A2539">
        <v>529</v>
      </c>
      <c r="B2539" t="s">
        <v>14</v>
      </c>
      <c r="C2539" t="s">
        <v>8</v>
      </c>
      <c r="D2539">
        <v>188.23</v>
      </c>
      <c r="E2539">
        <v>116.61</v>
      </c>
      <c r="F2539">
        <v>32155</v>
      </c>
      <c r="G2539" t="s">
        <v>9</v>
      </c>
      <c r="H2539">
        <f>_xlfn.LET(_xlpm.v, IFERROR(VLOOKUP($A2539, manifest!$A:$E, 3, FALSE), ""), IF(OR(_xlpm.v=0, _xlpm.v=""), "", _xlpm.v))</f>
        <v>60</v>
      </c>
      <c r="I2539" t="str">
        <f>_xlfn.LET(_xlpm.v, IFERROR(VLOOKUP($A2539, manifest!$A:$E, 5, FALSE), ""), IF(OR(_xlpm.v=0, _xlpm.v=""), "", _xlpm.v))</f>
        <v>male</v>
      </c>
    </row>
    <row r="2540" spans="1:9" x14ac:dyDescent="0.6">
      <c r="A2540">
        <v>529</v>
      </c>
      <c r="B2540" t="s">
        <v>14</v>
      </c>
      <c r="C2540" t="s">
        <v>10</v>
      </c>
      <c r="D2540">
        <v>201</v>
      </c>
      <c r="E2540">
        <v>157.56</v>
      </c>
      <c r="F2540">
        <v>35045</v>
      </c>
      <c r="H2540">
        <f>_xlfn.LET(_xlpm.v, IFERROR(VLOOKUP($A2540, manifest!$A:$E, 3, FALSE), ""), IF(OR(_xlpm.v=0, _xlpm.v=""), "", _xlpm.v))</f>
        <v>60</v>
      </c>
      <c r="I2540" t="str">
        <f>_xlfn.LET(_xlpm.v, IFERROR(VLOOKUP($A2540, manifest!$A:$E, 5, FALSE), ""), IF(OR(_xlpm.v=0, _xlpm.v=""), "", _xlpm.v))</f>
        <v>male</v>
      </c>
    </row>
    <row r="2541" spans="1:9" x14ac:dyDescent="0.6">
      <c r="A2541">
        <v>529</v>
      </c>
      <c r="B2541" t="s">
        <v>14</v>
      </c>
      <c r="C2541" t="s">
        <v>11</v>
      </c>
      <c r="D2541">
        <v>206.38</v>
      </c>
      <c r="E2541">
        <v>173.29</v>
      </c>
      <c r="F2541">
        <v>43907</v>
      </c>
      <c r="H2541">
        <f>_xlfn.LET(_xlpm.v, IFERROR(VLOOKUP($A2541, manifest!$A:$E, 3, FALSE), ""), IF(OR(_xlpm.v=0, _xlpm.v=""), "", _xlpm.v))</f>
        <v>60</v>
      </c>
      <c r="I2541" t="str">
        <f>_xlfn.LET(_xlpm.v, IFERROR(VLOOKUP($A2541, manifest!$A:$E, 5, FALSE), ""), IF(OR(_xlpm.v=0, _xlpm.v=""), "", _xlpm.v))</f>
        <v>male</v>
      </c>
    </row>
    <row r="2542" spans="1:9" x14ac:dyDescent="0.6">
      <c r="A2542">
        <v>529</v>
      </c>
      <c r="B2542" t="s">
        <v>14</v>
      </c>
      <c r="C2542" t="s">
        <v>12</v>
      </c>
      <c r="D2542">
        <v>204.32</v>
      </c>
      <c r="E2542">
        <v>168.31</v>
      </c>
      <c r="F2542">
        <v>52104</v>
      </c>
      <c r="H2542">
        <f>_xlfn.LET(_xlpm.v, IFERROR(VLOOKUP($A2542, manifest!$A:$E, 3, FALSE), ""), IF(OR(_xlpm.v=0, _xlpm.v=""), "", _xlpm.v))</f>
        <v>60</v>
      </c>
      <c r="I2542" t="str">
        <f>_xlfn.LET(_xlpm.v, IFERROR(VLOOKUP($A2542, manifest!$A:$E, 5, FALSE), ""), IF(OR(_xlpm.v=0, _xlpm.v=""), "", _xlpm.v))</f>
        <v>male</v>
      </c>
    </row>
    <row r="2543" spans="1:9" x14ac:dyDescent="0.6">
      <c r="A2543">
        <v>529</v>
      </c>
      <c r="B2543" t="s">
        <v>14</v>
      </c>
      <c r="C2543" t="s">
        <v>13</v>
      </c>
      <c r="D2543">
        <v>220.96</v>
      </c>
      <c r="E2543">
        <v>150.13</v>
      </c>
      <c r="F2543">
        <v>46261</v>
      </c>
      <c r="H2543">
        <f>_xlfn.LET(_xlpm.v, IFERROR(VLOOKUP($A2543, manifest!$A:$E, 3, FALSE), ""), IF(OR(_xlpm.v=0, _xlpm.v=""), "", _xlpm.v))</f>
        <v>60</v>
      </c>
      <c r="I2543" t="str">
        <f>_xlfn.LET(_xlpm.v, IFERROR(VLOOKUP($A2543, manifest!$A:$E, 5, FALSE), ""), IF(OR(_xlpm.v=0, _xlpm.v=""), "", _xlpm.v))</f>
        <v>male</v>
      </c>
    </row>
    <row r="2544" spans="1:9" x14ac:dyDescent="0.6">
      <c r="A2544">
        <v>520</v>
      </c>
      <c r="B2544" t="s">
        <v>7</v>
      </c>
      <c r="C2544" t="s">
        <v>8</v>
      </c>
      <c r="D2544">
        <v>112.64</v>
      </c>
      <c r="E2544">
        <v>106.65</v>
      </c>
      <c r="F2544">
        <v>31879</v>
      </c>
      <c r="G2544" t="s">
        <v>15</v>
      </c>
      <c r="H2544">
        <f>_xlfn.LET(_xlpm.v, IFERROR(VLOOKUP($A2544, manifest!$A:$E, 3, FALSE), ""), IF(OR(_xlpm.v=0, _xlpm.v=""), "", _xlpm.v))</f>
        <v>60</v>
      </c>
      <c r="I2544" t="str">
        <f>_xlfn.LET(_xlpm.v, IFERROR(VLOOKUP($A2544, manifest!$A:$E, 5, FALSE), ""), IF(OR(_xlpm.v=0, _xlpm.v=""), "", _xlpm.v))</f>
        <v>male</v>
      </c>
    </row>
    <row r="2545" spans="1:9" x14ac:dyDescent="0.6">
      <c r="A2545">
        <v>520</v>
      </c>
      <c r="B2545" t="s">
        <v>7</v>
      </c>
      <c r="C2545" t="s">
        <v>10</v>
      </c>
      <c r="D2545">
        <v>107.59</v>
      </c>
      <c r="E2545">
        <v>104.29</v>
      </c>
      <c r="F2545">
        <v>34302</v>
      </c>
      <c r="H2545">
        <f>_xlfn.LET(_xlpm.v, IFERROR(VLOOKUP($A2545, manifest!$A:$E, 3, FALSE), ""), IF(OR(_xlpm.v=0, _xlpm.v=""), "", _xlpm.v))</f>
        <v>60</v>
      </c>
      <c r="I2545" t="str">
        <f>_xlfn.LET(_xlpm.v, IFERROR(VLOOKUP($A2545, manifest!$A:$E, 5, FALSE), ""), IF(OR(_xlpm.v=0, _xlpm.v=""), "", _xlpm.v))</f>
        <v>male</v>
      </c>
    </row>
    <row r="2546" spans="1:9" x14ac:dyDescent="0.6">
      <c r="A2546">
        <v>520</v>
      </c>
      <c r="B2546" t="s">
        <v>7</v>
      </c>
      <c r="C2546" t="s">
        <v>11</v>
      </c>
      <c r="D2546">
        <v>101.69</v>
      </c>
      <c r="E2546">
        <v>103.66</v>
      </c>
      <c r="F2546">
        <v>44075</v>
      </c>
      <c r="H2546">
        <f>_xlfn.LET(_xlpm.v, IFERROR(VLOOKUP($A2546, manifest!$A:$E, 3, FALSE), ""), IF(OR(_xlpm.v=0, _xlpm.v=""), "", _xlpm.v))</f>
        <v>60</v>
      </c>
      <c r="I2546" t="str">
        <f>_xlfn.LET(_xlpm.v, IFERROR(VLOOKUP($A2546, manifest!$A:$E, 5, FALSE), ""), IF(OR(_xlpm.v=0, _xlpm.v=""), "", _xlpm.v))</f>
        <v>male</v>
      </c>
    </row>
    <row r="2547" spans="1:9" x14ac:dyDescent="0.6">
      <c r="A2547">
        <v>520</v>
      </c>
      <c r="B2547" t="s">
        <v>7</v>
      </c>
      <c r="C2547" t="s">
        <v>12</v>
      </c>
      <c r="D2547">
        <v>95.45</v>
      </c>
      <c r="E2547">
        <v>95.27</v>
      </c>
      <c r="F2547">
        <v>52598</v>
      </c>
      <c r="H2547">
        <f>_xlfn.LET(_xlpm.v, IFERROR(VLOOKUP($A2547, manifest!$A:$E, 3, FALSE), ""), IF(OR(_xlpm.v=0, _xlpm.v=""), "", _xlpm.v))</f>
        <v>60</v>
      </c>
      <c r="I2547" t="str">
        <f>_xlfn.LET(_xlpm.v, IFERROR(VLOOKUP($A2547, manifest!$A:$E, 5, FALSE), ""), IF(OR(_xlpm.v=0, _xlpm.v=""), "", _xlpm.v))</f>
        <v>male</v>
      </c>
    </row>
    <row r="2548" spans="1:9" x14ac:dyDescent="0.6">
      <c r="A2548">
        <v>520</v>
      </c>
      <c r="B2548" t="s">
        <v>7</v>
      </c>
      <c r="C2548" t="s">
        <v>13</v>
      </c>
      <c r="D2548">
        <v>122.22</v>
      </c>
      <c r="E2548">
        <v>112.52</v>
      </c>
      <c r="F2548">
        <v>57552</v>
      </c>
      <c r="H2548">
        <f>_xlfn.LET(_xlpm.v, IFERROR(VLOOKUP($A2548, manifest!$A:$E, 3, FALSE), ""), IF(OR(_xlpm.v=0, _xlpm.v=""), "", _xlpm.v))</f>
        <v>60</v>
      </c>
      <c r="I2548" t="str">
        <f>_xlfn.LET(_xlpm.v, IFERROR(VLOOKUP($A2548, manifest!$A:$E, 5, FALSE), ""), IF(OR(_xlpm.v=0, _xlpm.v=""), "", _xlpm.v))</f>
        <v>male</v>
      </c>
    </row>
    <row r="2549" spans="1:9" x14ac:dyDescent="0.6">
      <c r="A2549">
        <v>537</v>
      </c>
      <c r="B2549" t="s">
        <v>14</v>
      </c>
      <c r="C2549" t="s">
        <v>8</v>
      </c>
      <c r="D2549">
        <v>191.44</v>
      </c>
      <c r="E2549">
        <v>150.32</v>
      </c>
      <c r="F2549">
        <v>43024</v>
      </c>
      <c r="G2549" t="s">
        <v>9</v>
      </c>
      <c r="H2549">
        <f>_xlfn.LET(_xlpm.v, IFERROR(VLOOKUP($A2549, manifest!$A:$E, 3, FALSE), ""), IF(OR(_xlpm.v=0, _xlpm.v=""), "", _xlpm.v))</f>
        <v>60</v>
      </c>
      <c r="I2549" t="str">
        <f>_xlfn.LET(_xlpm.v, IFERROR(VLOOKUP($A2549, manifest!$A:$E, 5, FALSE), ""), IF(OR(_xlpm.v=0, _xlpm.v=""), "", _xlpm.v))</f>
        <v>male</v>
      </c>
    </row>
    <row r="2550" spans="1:9" x14ac:dyDescent="0.6">
      <c r="A2550">
        <v>537</v>
      </c>
      <c r="B2550" t="s">
        <v>14</v>
      </c>
      <c r="C2550" t="s">
        <v>10</v>
      </c>
      <c r="D2550">
        <v>171.98</v>
      </c>
      <c r="E2550">
        <v>164.46</v>
      </c>
      <c r="F2550">
        <v>49924</v>
      </c>
      <c r="H2550">
        <f>_xlfn.LET(_xlpm.v, IFERROR(VLOOKUP($A2550, manifest!$A:$E, 3, FALSE), ""), IF(OR(_xlpm.v=0, _xlpm.v=""), "", _xlpm.v))</f>
        <v>60</v>
      </c>
      <c r="I2550" t="str">
        <f>_xlfn.LET(_xlpm.v, IFERROR(VLOOKUP($A2550, manifest!$A:$E, 5, FALSE), ""), IF(OR(_xlpm.v=0, _xlpm.v=""), "", _xlpm.v))</f>
        <v>male</v>
      </c>
    </row>
    <row r="2551" spans="1:9" x14ac:dyDescent="0.6">
      <c r="A2551">
        <v>537</v>
      </c>
      <c r="B2551" t="s">
        <v>14</v>
      </c>
      <c r="C2551" t="s">
        <v>11</v>
      </c>
      <c r="D2551">
        <v>211</v>
      </c>
      <c r="E2551">
        <v>192.83</v>
      </c>
      <c r="F2551">
        <v>71600</v>
      </c>
      <c r="H2551">
        <f>_xlfn.LET(_xlpm.v, IFERROR(VLOOKUP($A2551, manifest!$A:$E, 3, FALSE), ""), IF(OR(_xlpm.v=0, _xlpm.v=""), "", _xlpm.v))</f>
        <v>60</v>
      </c>
      <c r="I2551" t="str">
        <f>_xlfn.LET(_xlpm.v, IFERROR(VLOOKUP($A2551, manifest!$A:$E, 5, FALSE), ""), IF(OR(_xlpm.v=0, _xlpm.v=""), "", _xlpm.v))</f>
        <v>male</v>
      </c>
    </row>
    <row r="2552" spans="1:9" x14ac:dyDescent="0.6">
      <c r="A2552">
        <v>537</v>
      </c>
      <c r="B2552" t="s">
        <v>14</v>
      </c>
      <c r="C2552" t="s">
        <v>12</v>
      </c>
      <c r="D2552">
        <v>235.79</v>
      </c>
      <c r="E2552">
        <v>201.12</v>
      </c>
      <c r="F2552">
        <v>62289</v>
      </c>
      <c r="H2552">
        <f>_xlfn.LET(_xlpm.v, IFERROR(VLOOKUP($A2552, manifest!$A:$E, 3, FALSE), ""), IF(OR(_xlpm.v=0, _xlpm.v=""), "", _xlpm.v))</f>
        <v>60</v>
      </c>
      <c r="I2552" t="str">
        <f>_xlfn.LET(_xlpm.v, IFERROR(VLOOKUP($A2552, manifest!$A:$E, 5, FALSE), ""), IF(OR(_xlpm.v=0, _xlpm.v=""), "", _xlpm.v))</f>
        <v>male</v>
      </c>
    </row>
    <row r="2553" spans="1:9" x14ac:dyDescent="0.6">
      <c r="A2553">
        <v>550</v>
      </c>
      <c r="B2553" t="s">
        <v>7</v>
      </c>
      <c r="C2553" t="s">
        <v>8</v>
      </c>
      <c r="D2553">
        <v>100.95</v>
      </c>
      <c r="E2553">
        <v>117.22</v>
      </c>
      <c r="F2553">
        <v>30307</v>
      </c>
      <c r="G2553" t="s">
        <v>17</v>
      </c>
      <c r="H2553">
        <f>_xlfn.LET(_xlpm.v, IFERROR(VLOOKUP($A2553, manifest!$A:$E, 3, FALSE), ""), IF(OR(_xlpm.v=0, _xlpm.v=""), "", _xlpm.v))</f>
        <v>89</v>
      </c>
      <c r="I2553" t="str">
        <f>_xlfn.LET(_xlpm.v, IFERROR(VLOOKUP($A2553, manifest!$A:$E, 5, FALSE), ""), IF(OR(_xlpm.v=0, _xlpm.v=""), "", _xlpm.v))</f>
        <v>other</v>
      </c>
    </row>
    <row r="2554" spans="1:9" x14ac:dyDescent="0.6">
      <c r="A2554">
        <v>550</v>
      </c>
      <c r="B2554" t="s">
        <v>7</v>
      </c>
      <c r="C2554" t="s">
        <v>10</v>
      </c>
      <c r="D2554">
        <v>141.19999999999999</v>
      </c>
      <c r="E2554">
        <v>132.77000000000001</v>
      </c>
      <c r="F2554">
        <v>30989</v>
      </c>
      <c r="H2554">
        <f>_xlfn.LET(_xlpm.v, IFERROR(VLOOKUP($A2554, manifest!$A:$E, 3, FALSE), ""), IF(OR(_xlpm.v=0, _xlpm.v=""), "", _xlpm.v))</f>
        <v>89</v>
      </c>
      <c r="I2554" t="str">
        <f>_xlfn.LET(_xlpm.v, IFERROR(VLOOKUP($A2554, manifest!$A:$E, 5, FALSE), ""), IF(OR(_xlpm.v=0, _xlpm.v=""), "", _xlpm.v))</f>
        <v>other</v>
      </c>
    </row>
    <row r="2555" spans="1:9" x14ac:dyDescent="0.6">
      <c r="A2555">
        <v>550</v>
      </c>
      <c r="B2555" t="s">
        <v>7</v>
      </c>
      <c r="C2555" t="s">
        <v>11</v>
      </c>
      <c r="D2555">
        <v>112.43</v>
      </c>
      <c r="E2555">
        <v>112.46</v>
      </c>
      <c r="F2555">
        <v>38740</v>
      </c>
      <c r="H2555">
        <f>_xlfn.LET(_xlpm.v, IFERROR(VLOOKUP($A2555, manifest!$A:$E, 3, FALSE), ""), IF(OR(_xlpm.v=0, _xlpm.v=""), "", _xlpm.v))</f>
        <v>89</v>
      </c>
      <c r="I2555" t="str">
        <f>_xlfn.LET(_xlpm.v, IFERROR(VLOOKUP($A2555, manifest!$A:$E, 5, FALSE), ""), IF(OR(_xlpm.v=0, _xlpm.v=""), "", _xlpm.v))</f>
        <v>other</v>
      </c>
    </row>
    <row r="2556" spans="1:9" x14ac:dyDescent="0.6">
      <c r="A2556">
        <v>550</v>
      </c>
      <c r="B2556" t="s">
        <v>7</v>
      </c>
      <c r="C2556" t="s">
        <v>12</v>
      </c>
      <c r="D2556">
        <v>100.6</v>
      </c>
      <c r="E2556">
        <v>97.36</v>
      </c>
      <c r="F2556">
        <v>44021</v>
      </c>
      <c r="H2556">
        <f>_xlfn.LET(_xlpm.v, IFERROR(VLOOKUP($A2556, manifest!$A:$E, 3, FALSE), ""), IF(OR(_xlpm.v=0, _xlpm.v=""), "", _xlpm.v))</f>
        <v>89</v>
      </c>
      <c r="I2556" t="str">
        <f>_xlfn.LET(_xlpm.v, IFERROR(VLOOKUP($A2556, manifest!$A:$E, 5, FALSE), ""), IF(OR(_xlpm.v=0, _xlpm.v=""), "", _xlpm.v))</f>
        <v>other</v>
      </c>
    </row>
    <row r="2557" spans="1:9" x14ac:dyDescent="0.6">
      <c r="A2557">
        <v>550</v>
      </c>
      <c r="B2557" t="s">
        <v>7</v>
      </c>
      <c r="C2557" t="s">
        <v>13</v>
      </c>
      <c r="D2557">
        <v>96.95</v>
      </c>
      <c r="E2557">
        <v>104.54</v>
      </c>
      <c r="F2557">
        <v>57524</v>
      </c>
      <c r="H2557">
        <f>_xlfn.LET(_xlpm.v, IFERROR(VLOOKUP($A2557, manifest!$A:$E, 3, FALSE), ""), IF(OR(_xlpm.v=0, _xlpm.v=""), "", _xlpm.v))</f>
        <v>89</v>
      </c>
      <c r="I2557" t="str">
        <f>_xlfn.LET(_xlpm.v, IFERROR(VLOOKUP($A2557, manifest!$A:$E, 5, FALSE), ""), IF(OR(_xlpm.v=0, _xlpm.v=""), "", _xlpm.v))</f>
        <v>other</v>
      </c>
    </row>
    <row r="2558" spans="1:9" x14ac:dyDescent="0.6">
      <c r="A2558">
        <v>554</v>
      </c>
      <c r="B2558" t="s">
        <v>14</v>
      </c>
      <c r="C2558" t="s">
        <v>8</v>
      </c>
      <c r="D2558">
        <v>220.31</v>
      </c>
      <c r="E2558">
        <v>157.63</v>
      </c>
      <c r="F2558">
        <v>24552</v>
      </c>
      <c r="G2558" t="s">
        <v>9</v>
      </c>
      <c r="H2558">
        <f>_xlfn.LET(_xlpm.v, IFERROR(VLOOKUP($A2558, manifest!$A:$E, 3, FALSE), ""), IF(OR(_xlpm.v=0, _xlpm.v=""), "", _xlpm.v))</f>
        <v>50</v>
      </c>
      <c r="I2558" t="str">
        <f>_xlfn.LET(_xlpm.v, IFERROR(VLOOKUP($A2558, manifest!$A:$E, 5, FALSE), ""), IF(OR(_xlpm.v=0, _xlpm.v=""), "", _xlpm.v))</f>
        <v>female</v>
      </c>
    </row>
    <row r="2559" spans="1:9" x14ac:dyDescent="0.6">
      <c r="A2559">
        <v>554</v>
      </c>
      <c r="B2559" t="s">
        <v>14</v>
      </c>
      <c r="C2559" t="s">
        <v>10</v>
      </c>
      <c r="D2559">
        <v>215.93</v>
      </c>
      <c r="E2559">
        <v>172.06</v>
      </c>
      <c r="F2559">
        <v>29381</v>
      </c>
      <c r="H2559">
        <f>_xlfn.LET(_xlpm.v, IFERROR(VLOOKUP($A2559, manifest!$A:$E, 3, FALSE), ""), IF(OR(_xlpm.v=0, _xlpm.v=""), "", _xlpm.v))</f>
        <v>50</v>
      </c>
      <c r="I2559" t="str">
        <f>_xlfn.LET(_xlpm.v, IFERROR(VLOOKUP($A2559, manifest!$A:$E, 5, FALSE), ""), IF(OR(_xlpm.v=0, _xlpm.v=""), "", _xlpm.v))</f>
        <v>female</v>
      </c>
    </row>
    <row r="2560" spans="1:9" x14ac:dyDescent="0.6">
      <c r="A2560">
        <v>554</v>
      </c>
      <c r="B2560" t="s">
        <v>14</v>
      </c>
      <c r="C2560" t="s">
        <v>11</v>
      </c>
      <c r="D2560">
        <v>205.3</v>
      </c>
      <c r="E2560">
        <v>169.86</v>
      </c>
      <c r="F2560">
        <v>33886</v>
      </c>
      <c r="H2560">
        <f>_xlfn.LET(_xlpm.v, IFERROR(VLOOKUP($A2560, manifest!$A:$E, 3, FALSE), ""), IF(OR(_xlpm.v=0, _xlpm.v=""), "", _xlpm.v))</f>
        <v>50</v>
      </c>
      <c r="I2560" t="str">
        <f>_xlfn.LET(_xlpm.v, IFERROR(VLOOKUP($A2560, manifest!$A:$E, 5, FALSE), ""), IF(OR(_xlpm.v=0, _xlpm.v=""), "", _xlpm.v))</f>
        <v>female</v>
      </c>
    </row>
    <row r="2561" spans="1:9" x14ac:dyDescent="0.6">
      <c r="A2561">
        <v>554</v>
      </c>
      <c r="B2561" t="s">
        <v>14</v>
      </c>
      <c r="C2561" t="s">
        <v>12</v>
      </c>
      <c r="D2561">
        <v>209.56</v>
      </c>
      <c r="E2561">
        <v>170.23</v>
      </c>
      <c r="F2561">
        <v>31767</v>
      </c>
      <c r="H2561">
        <f>_xlfn.LET(_xlpm.v, IFERROR(VLOOKUP($A2561, manifest!$A:$E, 3, FALSE), ""), IF(OR(_xlpm.v=0, _xlpm.v=""), "", _xlpm.v))</f>
        <v>50</v>
      </c>
      <c r="I2561" t="str">
        <f>_xlfn.LET(_xlpm.v, IFERROR(VLOOKUP($A2561, manifest!$A:$E, 5, FALSE), ""), IF(OR(_xlpm.v=0, _xlpm.v=""), "", _xlpm.v))</f>
        <v>female</v>
      </c>
    </row>
    <row r="2562" spans="1:9" x14ac:dyDescent="0.6">
      <c r="A2562">
        <v>545</v>
      </c>
      <c r="B2562" t="s">
        <v>14</v>
      </c>
      <c r="C2562" t="s">
        <v>8</v>
      </c>
      <c r="D2562">
        <v>182.47</v>
      </c>
      <c r="E2562">
        <v>135.30000000000001</v>
      </c>
      <c r="F2562">
        <v>51939</v>
      </c>
      <c r="G2562" t="s">
        <v>9</v>
      </c>
      <c r="H2562">
        <f>_xlfn.LET(_xlpm.v, IFERROR(VLOOKUP($A2562, manifest!$A:$E, 3, FALSE), ""), IF(OR(_xlpm.v=0, _xlpm.v=""), "", _xlpm.v))</f>
        <v>50</v>
      </c>
      <c r="I2562" t="str">
        <f>_xlfn.LET(_xlpm.v, IFERROR(VLOOKUP($A2562, manifest!$A:$E, 5, FALSE), ""), IF(OR(_xlpm.v=0, _xlpm.v=""), "", _xlpm.v))</f>
        <v>male</v>
      </c>
    </row>
    <row r="2563" spans="1:9" x14ac:dyDescent="0.6">
      <c r="A2563">
        <v>545</v>
      </c>
      <c r="B2563" t="s">
        <v>14</v>
      </c>
      <c r="C2563" t="s">
        <v>10</v>
      </c>
      <c r="D2563">
        <v>205.15</v>
      </c>
      <c r="E2563">
        <v>173.27</v>
      </c>
      <c r="F2563">
        <v>49436</v>
      </c>
      <c r="H2563">
        <f>_xlfn.LET(_xlpm.v, IFERROR(VLOOKUP($A2563, manifest!$A:$E, 3, FALSE), ""), IF(OR(_xlpm.v=0, _xlpm.v=""), "", _xlpm.v))</f>
        <v>50</v>
      </c>
      <c r="I2563" t="str">
        <f>_xlfn.LET(_xlpm.v, IFERROR(VLOOKUP($A2563, manifest!$A:$E, 5, FALSE), ""), IF(OR(_xlpm.v=0, _xlpm.v=""), "", _xlpm.v))</f>
        <v>male</v>
      </c>
    </row>
    <row r="2564" spans="1:9" x14ac:dyDescent="0.6">
      <c r="A2564">
        <v>545</v>
      </c>
      <c r="B2564" t="s">
        <v>14</v>
      </c>
      <c r="C2564" t="s">
        <v>11</v>
      </c>
      <c r="D2564">
        <v>195.13</v>
      </c>
      <c r="E2564">
        <v>172.93</v>
      </c>
      <c r="F2564">
        <v>62357</v>
      </c>
      <c r="H2564">
        <f>_xlfn.LET(_xlpm.v, IFERROR(VLOOKUP($A2564, manifest!$A:$E, 3, FALSE), ""), IF(OR(_xlpm.v=0, _xlpm.v=""), "", _xlpm.v))</f>
        <v>50</v>
      </c>
      <c r="I2564" t="str">
        <f>_xlfn.LET(_xlpm.v, IFERROR(VLOOKUP($A2564, manifest!$A:$E, 5, FALSE), ""), IF(OR(_xlpm.v=0, _xlpm.v=""), "", _xlpm.v))</f>
        <v>male</v>
      </c>
    </row>
    <row r="2565" spans="1:9" x14ac:dyDescent="0.6">
      <c r="A2565">
        <v>545</v>
      </c>
      <c r="B2565" t="s">
        <v>14</v>
      </c>
      <c r="C2565" t="s">
        <v>12</v>
      </c>
      <c r="D2565">
        <v>191.99</v>
      </c>
      <c r="E2565">
        <v>153.87</v>
      </c>
      <c r="F2565">
        <v>76651</v>
      </c>
      <c r="H2565">
        <f>_xlfn.LET(_xlpm.v, IFERROR(VLOOKUP($A2565, manifest!$A:$E, 3, FALSE), ""), IF(OR(_xlpm.v=0, _xlpm.v=""), "", _xlpm.v))</f>
        <v>50</v>
      </c>
      <c r="I2565" t="str">
        <f>_xlfn.LET(_xlpm.v, IFERROR(VLOOKUP($A2565, manifest!$A:$E, 5, FALSE), ""), IF(OR(_xlpm.v=0, _xlpm.v=""), "", _xlpm.v))</f>
        <v>male</v>
      </c>
    </row>
    <row r="2566" spans="1:9" x14ac:dyDescent="0.6">
      <c r="A2566">
        <v>545</v>
      </c>
      <c r="B2566" t="s">
        <v>14</v>
      </c>
      <c r="C2566" t="s">
        <v>13</v>
      </c>
      <c r="D2566">
        <v>181.51</v>
      </c>
      <c r="E2566">
        <v>144.03</v>
      </c>
      <c r="F2566">
        <v>77695</v>
      </c>
      <c r="H2566">
        <f>_xlfn.LET(_xlpm.v, IFERROR(VLOOKUP($A2566, manifest!$A:$E, 3, FALSE), ""), IF(OR(_xlpm.v=0, _xlpm.v=""), "", _xlpm.v))</f>
        <v>50</v>
      </c>
      <c r="I2566" t="str">
        <f>_xlfn.LET(_xlpm.v, IFERROR(VLOOKUP($A2566, manifest!$A:$E, 5, FALSE), ""), IF(OR(_xlpm.v=0, _xlpm.v=""), "", _xlpm.v))</f>
        <v>male</v>
      </c>
    </row>
    <row r="2567" spans="1:9" x14ac:dyDescent="0.6">
      <c r="A2567">
        <v>549</v>
      </c>
      <c r="B2567" t="s">
        <v>7</v>
      </c>
      <c r="C2567" t="s">
        <v>8</v>
      </c>
      <c r="D2567">
        <v>219.38</v>
      </c>
      <c r="E2567">
        <v>197.6</v>
      </c>
      <c r="F2567">
        <v>20998</v>
      </c>
      <c r="G2567" t="s">
        <v>9</v>
      </c>
      <c r="H2567">
        <f>_xlfn.LET(_xlpm.v, IFERROR(VLOOKUP($A2567, manifest!$A:$E, 3, FALSE), ""), IF(OR(_xlpm.v=0, _xlpm.v=""), "", _xlpm.v))</f>
        <v>50</v>
      </c>
      <c r="I2567" t="str">
        <f>_xlfn.LET(_xlpm.v, IFERROR(VLOOKUP($A2567, manifest!$A:$E, 5, FALSE), ""), IF(OR(_xlpm.v=0, _xlpm.v=""), "", _xlpm.v))</f>
        <v>female</v>
      </c>
    </row>
    <row r="2568" spans="1:9" x14ac:dyDescent="0.6">
      <c r="A2568">
        <v>549</v>
      </c>
      <c r="B2568" t="s">
        <v>7</v>
      </c>
      <c r="C2568" t="s">
        <v>10</v>
      </c>
      <c r="D2568">
        <v>207.07</v>
      </c>
      <c r="E2568">
        <v>181.57</v>
      </c>
      <c r="F2568">
        <v>23622</v>
      </c>
      <c r="H2568">
        <f>_xlfn.LET(_xlpm.v, IFERROR(VLOOKUP($A2568, manifest!$A:$E, 3, FALSE), ""), IF(OR(_xlpm.v=0, _xlpm.v=""), "", _xlpm.v))</f>
        <v>50</v>
      </c>
      <c r="I2568" t="str">
        <f>_xlfn.LET(_xlpm.v, IFERROR(VLOOKUP($A2568, manifest!$A:$E, 5, FALSE), ""), IF(OR(_xlpm.v=0, _xlpm.v=""), "", _xlpm.v))</f>
        <v>female</v>
      </c>
    </row>
    <row r="2569" spans="1:9" x14ac:dyDescent="0.6">
      <c r="A2569">
        <v>549</v>
      </c>
      <c r="B2569" t="s">
        <v>7</v>
      </c>
      <c r="C2569" t="s">
        <v>11</v>
      </c>
      <c r="D2569">
        <v>197.79</v>
      </c>
      <c r="E2569">
        <v>158.72999999999999</v>
      </c>
      <c r="F2569">
        <v>25290</v>
      </c>
      <c r="H2569">
        <f>_xlfn.LET(_xlpm.v, IFERROR(VLOOKUP($A2569, manifest!$A:$E, 3, FALSE), ""), IF(OR(_xlpm.v=0, _xlpm.v=""), "", _xlpm.v))</f>
        <v>50</v>
      </c>
      <c r="I2569" t="str">
        <f>_xlfn.LET(_xlpm.v, IFERROR(VLOOKUP($A2569, manifest!$A:$E, 5, FALSE), ""), IF(OR(_xlpm.v=0, _xlpm.v=""), "", _xlpm.v))</f>
        <v>female</v>
      </c>
    </row>
    <row r="2570" spans="1:9" x14ac:dyDescent="0.6">
      <c r="A2570">
        <v>549</v>
      </c>
      <c r="B2570" t="s">
        <v>7</v>
      </c>
      <c r="C2570" t="s">
        <v>12</v>
      </c>
      <c r="D2570">
        <v>227.26</v>
      </c>
      <c r="E2570">
        <v>209.86</v>
      </c>
      <c r="F2570">
        <v>33742</v>
      </c>
      <c r="H2570">
        <f>_xlfn.LET(_xlpm.v, IFERROR(VLOOKUP($A2570, manifest!$A:$E, 3, FALSE), ""), IF(OR(_xlpm.v=0, _xlpm.v=""), "", _xlpm.v))</f>
        <v>50</v>
      </c>
      <c r="I2570" t="str">
        <f>_xlfn.LET(_xlpm.v, IFERROR(VLOOKUP($A2570, manifest!$A:$E, 5, FALSE), ""), IF(OR(_xlpm.v=0, _xlpm.v=""), "", _xlpm.v))</f>
        <v>female</v>
      </c>
    </row>
    <row r="2571" spans="1:9" x14ac:dyDescent="0.6">
      <c r="A2571">
        <v>549</v>
      </c>
      <c r="B2571" t="s">
        <v>7</v>
      </c>
      <c r="C2571" t="s">
        <v>13</v>
      </c>
      <c r="D2571">
        <v>227.59</v>
      </c>
      <c r="E2571">
        <v>177.4</v>
      </c>
      <c r="F2571">
        <v>33076</v>
      </c>
      <c r="H2571">
        <f>_xlfn.LET(_xlpm.v, IFERROR(VLOOKUP($A2571, manifest!$A:$E, 3, FALSE), ""), IF(OR(_xlpm.v=0, _xlpm.v=""), "", _xlpm.v))</f>
        <v>50</v>
      </c>
      <c r="I2571" t="str">
        <f>_xlfn.LET(_xlpm.v, IFERROR(VLOOKUP($A2571, manifest!$A:$E, 5, FALSE), ""), IF(OR(_xlpm.v=0, _xlpm.v=""), "", _xlpm.v))</f>
        <v>female</v>
      </c>
    </row>
    <row r="2572" spans="1:9" x14ac:dyDescent="0.6">
      <c r="A2572">
        <v>546</v>
      </c>
      <c r="B2572" t="s">
        <v>14</v>
      </c>
      <c r="C2572" t="s">
        <v>8</v>
      </c>
      <c r="D2572">
        <v>223.1</v>
      </c>
      <c r="E2572">
        <v>144.74</v>
      </c>
      <c r="F2572">
        <v>26232</v>
      </c>
      <c r="G2572" t="s">
        <v>9</v>
      </c>
      <c r="H2572">
        <f>_xlfn.LET(_xlpm.v, IFERROR(VLOOKUP($A2572, manifest!$A:$E, 3, FALSE), ""), IF(OR(_xlpm.v=0, _xlpm.v=""), "", _xlpm.v))</f>
        <v>70</v>
      </c>
      <c r="I2572" t="str">
        <f>_xlfn.LET(_xlpm.v, IFERROR(VLOOKUP($A2572, manifest!$A:$E, 5, FALSE), ""), IF(OR(_xlpm.v=0, _xlpm.v=""), "", _xlpm.v))</f>
        <v>male</v>
      </c>
    </row>
    <row r="2573" spans="1:9" x14ac:dyDescent="0.6">
      <c r="A2573">
        <v>546</v>
      </c>
      <c r="B2573" t="s">
        <v>14</v>
      </c>
      <c r="C2573" t="s">
        <v>10</v>
      </c>
      <c r="D2573">
        <v>235.01</v>
      </c>
      <c r="E2573">
        <v>167.28</v>
      </c>
      <c r="F2573">
        <v>26797</v>
      </c>
      <c r="H2573">
        <f>_xlfn.LET(_xlpm.v, IFERROR(VLOOKUP($A2573, manifest!$A:$E, 3, FALSE), ""), IF(OR(_xlpm.v=0, _xlpm.v=""), "", _xlpm.v))</f>
        <v>70</v>
      </c>
      <c r="I2573" t="str">
        <f>_xlfn.LET(_xlpm.v, IFERROR(VLOOKUP($A2573, manifest!$A:$E, 5, FALSE), ""), IF(OR(_xlpm.v=0, _xlpm.v=""), "", _xlpm.v))</f>
        <v>male</v>
      </c>
    </row>
    <row r="2574" spans="1:9" x14ac:dyDescent="0.6">
      <c r="A2574">
        <v>546</v>
      </c>
      <c r="B2574" t="s">
        <v>14</v>
      </c>
      <c r="C2574" t="s">
        <v>11</v>
      </c>
      <c r="D2574">
        <v>215.79</v>
      </c>
      <c r="E2574">
        <v>157.22999999999999</v>
      </c>
      <c r="F2574">
        <v>41973</v>
      </c>
      <c r="H2574">
        <f>_xlfn.LET(_xlpm.v, IFERROR(VLOOKUP($A2574, manifest!$A:$E, 3, FALSE), ""), IF(OR(_xlpm.v=0, _xlpm.v=""), "", _xlpm.v))</f>
        <v>70</v>
      </c>
      <c r="I2574" t="str">
        <f>_xlfn.LET(_xlpm.v, IFERROR(VLOOKUP($A2574, manifest!$A:$E, 5, FALSE), ""), IF(OR(_xlpm.v=0, _xlpm.v=""), "", _xlpm.v))</f>
        <v>male</v>
      </c>
    </row>
    <row r="2575" spans="1:9" x14ac:dyDescent="0.6">
      <c r="A2575">
        <v>546</v>
      </c>
      <c r="B2575" t="s">
        <v>14</v>
      </c>
      <c r="C2575" t="s">
        <v>12</v>
      </c>
      <c r="D2575">
        <v>242.13</v>
      </c>
      <c r="E2575">
        <v>179.41</v>
      </c>
      <c r="F2575">
        <v>37953</v>
      </c>
      <c r="H2575">
        <f>_xlfn.LET(_xlpm.v, IFERROR(VLOOKUP($A2575, manifest!$A:$E, 3, FALSE), ""), IF(OR(_xlpm.v=0, _xlpm.v=""), "", _xlpm.v))</f>
        <v>70</v>
      </c>
      <c r="I2575" t="str">
        <f>_xlfn.LET(_xlpm.v, IFERROR(VLOOKUP($A2575, manifest!$A:$E, 5, FALSE), ""), IF(OR(_xlpm.v=0, _xlpm.v=""), "", _xlpm.v))</f>
        <v>male</v>
      </c>
    </row>
    <row r="2576" spans="1:9" x14ac:dyDescent="0.6">
      <c r="A2576">
        <v>546</v>
      </c>
      <c r="B2576" t="s">
        <v>14</v>
      </c>
      <c r="C2576" t="s">
        <v>13</v>
      </c>
      <c r="D2576">
        <v>218.8</v>
      </c>
      <c r="E2576">
        <v>160.19</v>
      </c>
      <c r="F2576">
        <v>36406</v>
      </c>
      <c r="H2576">
        <f>_xlfn.LET(_xlpm.v, IFERROR(VLOOKUP($A2576, manifest!$A:$E, 3, FALSE), ""), IF(OR(_xlpm.v=0, _xlpm.v=""), "", _xlpm.v))</f>
        <v>70</v>
      </c>
      <c r="I2576" t="str">
        <f>_xlfn.LET(_xlpm.v, IFERROR(VLOOKUP($A2576, manifest!$A:$E, 5, FALSE), ""), IF(OR(_xlpm.v=0, _xlpm.v=""), "", _xlpm.v))</f>
        <v>male</v>
      </c>
    </row>
    <row r="2577" spans="1:9" x14ac:dyDescent="0.6">
      <c r="A2577">
        <v>530</v>
      </c>
      <c r="B2577" t="s">
        <v>14</v>
      </c>
      <c r="C2577" t="s">
        <v>8</v>
      </c>
      <c r="D2577">
        <v>204.06</v>
      </c>
      <c r="E2577">
        <v>166.08</v>
      </c>
      <c r="F2577">
        <v>19229</v>
      </c>
      <c r="G2577" t="s">
        <v>9</v>
      </c>
      <c r="H2577">
        <f>_xlfn.LET(_xlpm.v, IFERROR(VLOOKUP($A2577, manifest!$A:$E, 3, FALSE), ""), IF(OR(_xlpm.v=0, _xlpm.v=""), "", _xlpm.v))</f>
        <v>60</v>
      </c>
      <c r="I2577" t="str">
        <f>_xlfn.LET(_xlpm.v, IFERROR(VLOOKUP($A2577, manifest!$A:$E, 5, FALSE), ""), IF(OR(_xlpm.v=0, _xlpm.v=""), "", _xlpm.v))</f>
        <v>female</v>
      </c>
    </row>
    <row r="2578" spans="1:9" x14ac:dyDescent="0.6">
      <c r="A2578">
        <v>530</v>
      </c>
      <c r="B2578" t="s">
        <v>14</v>
      </c>
      <c r="C2578" t="s">
        <v>10</v>
      </c>
      <c r="D2578">
        <v>213.19</v>
      </c>
      <c r="E2578">
        <v>191.52</v>
      </c>
      <c r="F2578">
        <v>21751</v>
      </c>
      <c r="H2578">
        <f>_xlfn.LET(_xlpm.v, IFERROR(VLOOKUP($A2578, manifest!$A:$E, 3, FALSE), ""), IF(OR(_xlpm.v=0, _xlpm.v=""), "", _xlpm.v))</f>
        <v>60</v>
      </c>
      <c r="I2578" t="str">
        <f>_xlfn.LET(_xlpm.v, IFERROR(VLOOKUP($A2578, manifest!$A:$E, 5, FALSE), ""), IF(OR(_xlpm.v=0, _xlpm.v=""), "", _xlpm.v))</f>
        <v>female</v>
      </c>
    </row>
    <row r="2579" spans="1:9" x14ac:dyDescent="0.6">
      <c r="A2579">
        <v>530</v>
      </c>
      <c r="B2579" t="s">
        <v>14</v>
      </c>
      <c r="C2579" t="s">
        <v>11</v>
      </c>
      <c r="D2579">
        <v>201.57</v>
      </c>
      <c r="E2579">
        <v>181.05</v>
      </c>
      <c r="F2579">
        <v>25457</v>
      </c>
      <c r="H2579">
        <f>_xlfn.LET(_xlpm.v, IFERROR(VLOOKUP($A2579, manifest!$A:$E, 3, FALSE), ""), IF(OR(_xlpm.v=0, _xlpm.v=""), "", _xlpm.v))</f>
        <v>60</v>
      </c>
      <c r="I2579" t="str">
        <f>_xlfn.LET(_xlpm.v, IFERROR(VLOOKUP($A2579, manifest!$A:$E, 5, FALSE), ""), IF(OR(_xlpm.v=0, _xlpm.v=""), "", _xlpm.v))</f>
        <v>female</v>
      </c>
    </row>
    <row r="2580" spans="1:9" x14ac:dyDescent="0.6">
      <c r="A2580">
        <v>530</v>
      </c>
      <c r="B2580" t="s">
        <v>14</v>
      </c>
      <c r="C2580" t="s">
        <v>12</v>
      </c>
      <c r="D2580">
        <v>200.25</v>
      </c>
      <c r="E2580">
        <v>188.01</v>
      </c>
      <c r="F2580">
        <v>31200</v>
      </c>
      <c r="H2580">
        <f>_xlfn.LET(_xlpm.v, IFERROR(VLOOKUP($A2580, manifest!$A:$E, 3, FALSE), ""), IF(OR(_xlpm.v=0, _xlpm.v=""), "", _xlpm.v))</f>
        <v>60</v>
      </c>
      <c r="I2580" t="str">
        <f>_xlfn.LET(_xlpm.v, IFERROR(VLOOKUP($A2580, manifest!$A:$E, 5, FALSE), ""), IF(OR(_xlpm.v=0, _xlpm.v=""), "", _xlpm.v))</f>
        <v>female</v>
      </c>
    </row>
    <row r="2581" spans="1:9" x14ac:dyDescent="0.6">
      <c r="A2581">
        <v>530</v>
      </c>
      <c r="B2581" t="s">
        <v>14</v>
      </c>
      <c r="C2581" t="s">
        <v>13</v>
      </c>
      <c r="D2581">
        <v>206.06</v>
      </c>
      <c r="E2581">
        <v>194.47</v>
      </c>
      <c r="F2581">
        <v>31690</v>
      </c>
      <c r="H2581">
        <f>_xlfn.LET(_xlpm.v, IFERROR(VLOOKUP($A2581, manifest!$A:$E, 3, FALSE), ""), IF(OR(_xlpm.v=0, _xlpm.v=""), "", _xlpm.v))</f>
        <v>60</v>
      </c>
      <c r="I2581" t="str">
        <f>_xlfn.LET(_xlpm.v, IFERROR(VLOOKUP($A2581, manifest!$A:$E, 5, FALSE), ""), IF(OR(_xlpm.v=0, _xlpm.v=""), "", _xlpm.v))</f>
        <v>female</v>
      </c>
    </row>
    <row r="2582" spans="1:9" x14ac:dyDescent="0.6">
      <c r="A2582">
        <v>551</v>
      </c>
      <c r="B2582" t="s">
        <v>7</v>
      </c>
      <c r="C2582" t="s">
        <v>8</v>
      </c>
      <c r="D2582">
        <v>155.87</v>
      </c>
      <c r="E2582">
        <v>116.78</v>
      </c>
      <c r="F2582">
        <v>27966</v>
      </c>
      <c r="G2582" t="s">
        <v>15</v>
      </c>
      <c r="H2582">
        <f>_xlfn.LET(_xlpm.v, IFERROR(VLOOKUP($A2582, manifest!$A:$E, 3, FALSE), ""), IF(OR(_xlpm.v=0, _xlpm.v=""), "", _xlpm.v))</f>
        <v>60</v>
      </c>
      <c r="I2582" t="str">
        <f>_xlfn.LET(_xlpm.v, IFERROR(VLOOKUP($A2582, manifest!$A:$E, 5, FALSE), ""), IF(OR(_xlpm.v=0, _xlpm.v=""), "", _xlpm.v))</f>
        <v>female</v>
      </c>
    </row>
    <row r="2583" spans="1:9" x14ac:dyDescent="0.6">
      <c r="A2583">
        <v>551</v>
      </c>
      <c r="B2583" t="s">
        <v>7</v>
      </c>
      <c r="C2583" t="s">
        <v>10</v>
      </c>
      <c r="D2583">
        <v>148.43</v>
      </c>
      <c r="E2583">
        <v>129.31</v>
      </c>
      <c r="F2583">
        <v>31719</v>
      </c>
      <c r="H2583">
        <f>_xlfn.LET(_xlpm.v, IFERROR(VLOOKUP($A2583, manifest!$A:$E, 3, FALSE), ""), IF(OR(_xlpm.v=0, _xlpm.v=""), "", _xlpm.v))</f>
        <v>60</v>
      </c>
      <c r="I2583" t="str">
        <f>_xlfn.LET(_xlpm.v, IFERROR(VLOOKUP($A2583, manifest!$A:$E, 5, FALSE), ""), IF(OR(_xlpm.v=0, _xlpm.v=""), "", _xlpm.v))</f>
        <v>female</v>
      </c>
    </row>
    <row r="2584" spans="1:9" x14ac:dyDescent="0.6">
      <c r="A2584">
        <v>551</v>
      </c>
      <c r="B2584" t="s">
        <v>7</v>
      </c>
      <c r="C2584" t="s">
        <v>11</v>
      </c>
      <c r="D2584">
        <v>153.16999999999999</v>
      </c>
      <c r="E2584">
        <v>148.29</v>
      </c>
      <c r="F2584">
        <v>36885</v>
      </c>
      <c r="H2584">
        <f>_xlfn.LET(_xlpm.v, IFERROR(VLOOKUP($A2584, manifest!$A:$E, 3, FALSE), ""), IF(OR(_xlpm.v=0, _xlpm.v=""), "", _xlpm.v))</f>
        <v>60</v>
      </c>
      <c r="I2584" t="str">
        <f>_xlfn.LET(_xlpm.v, IFERROR(VLOOKUP($A2584, manifest!$A:$E, 5, FALSE), ""), IF(OR(_xlpm.v=0, _xlpm.v=""), "", _xlpm.v))</f>
        <v>female</v>
      </c>
    </row>
    <row r="2585" spans="1:9" x14ac:dyDescent="0.6">
      <c r="A2585">
        <v>551</v>
      </c>
      <c r="B2585" t="s">
        <v>7</v>
      </c>
      <c r="C2585" t="s">
        <v>12</v>
      </c>
      <c r="D2585">
        <v>156.69</v>
      </c>
      <c r="E2585">
        <v>161.38</v>
      </c>
      <c r="F2585">
        <v>41658</v>
      </c>
      <c r="H2585">
        <f>_xlfn.LET(_xlpm.v, IFERROR(VLOOKUP($A2585, manifest!$A:$E, 3, FALSE), ""), IF(OR(_xlpm.v=0, _xlpm.v=""), "", _xlpm.v))</f>
        <v>60</v>
      </c>
      <c r="I2585" t="str">
        <f>_xlfn.LET(_xlpm.v, IFERROR(VLOOKUP($A2585, manifest!$A:$E, 5, FALSE), ""), IF(OR(_xlpm.v=0, _xlpm.v=""), "", _xlpm.v))</f>
        <v>female</v>
      </c>
    </row>
    <row r="2586" spans="1:9" x14ac:dyDescent="0.6">
      <c r="A2586">
        <v>551</v>
      </c>
      <c r="B2586" t="s">
        <v>7</v>
      </c>
      <c r="C2586" t="s">
        <v>13</v>
      </c>
      <c r="D2586">
        <v>179</v>
      </c>
      <c r="E2586">
        <v>163.63</v>
      </c>
      <c r="F2586">
        <v>58100</v>
      </c>
      <c r="H2586">
        <f>_xlfn.LET(_xlpm.v, IFERROR(VLOOKUP($A2586, manifest!$A:$E, 3, FALSE), ""), IF(OR(_xlpm.v=0, _xlpm.v=""), "", _xlpm.v))</f>
        <v>60</v>
      </c>
      <c r="I2586" t="str">
        <f>_xlfn.LET(_xlpm.v, IFERROR(VLOOKUP($A2586, manifest!$A:$E, 5, FALSE), ""), IF(OR(_xlpm.v=0, _xlpm.v=""), "", _xlpm.v))</f>
        <v>female</v>
      </c>
    </row>
    <row r="2587" spans="1:9" x14ac:dyDescent="0.6">
      <c r="A2587">
        <v>561</v>
      </c>
      <c r="B2587" t="s">
        <v>14</v>
      </c>
      <c r="C2587" t="s">
        <v>8</v>
      </c>
      <c r="D2587">
        <v>249.95</v>
      </c>
      <c r="E2587">
        <v>193.71</v>
      </c>
      <c r="F2587">
        <v>50598</v>
      </c>
      <c r="G2587" t="s">
        <v>9</v>
      </c>
      <c r="H2587">
        <f>_xlfn.LET(_xlpm.v, IFERROR(VLOOKUP($A2587, manifest!$A:$E, 3, FALSE), ""), IF(OR(_xlpm.v=0, _xlpm.v=""), "", _xlpm.v))</f>
        <v>60</v>
      </c>
      <c r="I2587" t="str">
        <f>_xlfn.LET(_xlpm.v, IFERROR(VLOOKUP($A2587, manifest!$A:$E, 5, FALSE), ""), IF(OR(_xlpm.v=0, _xlpm.v=""), "", _xlpm.v))</f>
        <v>male</v>
      </c>
    </row>
    <row r="2588" spans="1:9" x14ac:dyDescent="0.6">
      <c r="A2588">
        <v>561</v>
      </c>
      <c r="B2588" t="s">
        <v>14</v>
      </c>
      <c r="C2588" t="s">
        <v>10</v>
      </c>
      <c r="D2588">
        <v>276.61</v>
      </c>
      <c r="E2588">
        <v>246.45</v>
      </c>
      <c r="F2588">
        <v>48006</v>
      </c>
      <c r="H2588">
        <f>_xlfn.LET(_xlpm.v, IFERROR(VLOOKUP($A2588, manifest!$A:$E, 3, FALSE), ""), IF(OR(_xlpm.v=0, _xlpm.v=""), "", _xlpm.v))</f>
        <v>60</v>
      </c>
      <c r="I2588" t="str">
        <f>_xlfn.LET(_xlpm.v, IFERROR(VLOOKUP($A2588, manifest!$A:$E, 5, FALSE), ""), IF(OR(_xlpm.v=0, _xlpm.v=""), "", _xlpm.v))</f>
        <v>male</v>
      </c>
    </row>
    <row r="2589" spans="1:9" x14ac:dyDescent="0.6">
      <c r="A2589">
        <v>561</v>
      </c>
      <c r="B2589" t="s">
        <v>14</v>
      </c>
      <c r="C2589" t="s">
        <v>11</v>
      </c>
      <c r="D2589">
        <v>278.31</v>
      </c>
      <c r="E2589">
        <v>263.68</v>
      </c>
      <c r="F2589">
        <v>57267</v>
      </c>
      <c r="H2589">
        <f>_xlfn.LET(_xlpm.v, IFERROR(VLOOKUP($A2589, manifest!$A:$E, 3, FALSE), ""), IF(OR(_xlpm.v=0, _xlpm.v=""), "", _xlpm.v))</f>
        <v>60</v>
      </c>
      <c r="I2589" t="str">
        <f>_xlfn.LET(_xlpm.v, IFERROR(VLOOKUP($A2589, manifest!$A:$E, 5, FALSE), ""), IF(OR(_xlpm.v=0, _xlpm.v=""), "", _xlpm.v))</f>
        <v>male</v>
      </c>
    </row>
    <row r="2590" spans="1:9" x14ac:dyDescent="0.6">
      <c r="A2590">
        <v>561</v>
      </c>
      <c r="B2590" t="s">
        <v>14</v>
      </c>
      <c r="C2590" t="s">
        <v>12</v>
      </c>
      <c r="D2590">
        <v>281.33</v>
      </c>
      <c r="E2590">
        <v>271.42</v>
      </c>
      <c r="F2590">
        <v>67813</v>
      </c>
      <c r="H2590">
        <f>_xlfn.LET(_xlpm.v, IFERROR(VLOOKUP($A2590, manifest!$A:$E, 3, FALSE), ""), IF(OR(_xlpm.v=0, _xlpm.v=""), "", _xlpm.v))</f>
        <v>60</v>
      </c>
      <c r="I2590" t="str">
        <f>_xlfn.LET(_xlpm.v, IFERROR(VLOOKUP($A2590, manifest!$A:$E, 5, FALSE), ""), IF(OR(_xlpm.v=0, _xlpm.v=""), "", _xlpm.v))</f>
        <v>male</v>
      </c>
    </row>
    <row r="2591" spans="1:9" x14ac:dyDescent="0.6">
      <c r="A2591">
        <v>561</v>
      </c>
      <c r="B2591" t="s">
        <v>14</v>
      </c>
      <c r="C2591" t="s">
        <v>13</v>
      </c>
      <c r="D2591">
        <v>326.63</v>
      </c>
      <c r="E2591">
        <v>270.56</v>
      </c>
      <c r="F2591">
        <v>65751</v>
      </c>
      <c r="H2591">
        <f>_xlfn.LET(_xlpm.v, IFERROR(VLOOKUP($A2591, manifest!$A:$E, 3, FALSE), ""), IF(OR(_xlpm.v=0, _xlpm.v=""), "", _xlpm.v))</f>
        <v>60</v>
      </c>
      <c r="I2591" t="str">
        <f>_xlfn.LET(_xlpm.v, IFERROR(VLOOKUP($A2591, manifest!$A:$E, 5, FALSE), ""), IF(OR(_xlpm.v=0, _xlpm.v=""), "", _xlpm.v))</f>
        <v>male</v>
      </c>
    </row>
    <row r="2592" spans="1:9" x14ac:dyDescent="0.6">
      <c r="A2592">
        <v>555</v>
      </c>
      <c r="B2592" t="s">
        <v>14</v>
      </c>
      <c r="C2592" t="s">
        <v>8</v>
      </c>
      <c r="D2592">
        <v>166.71</v>
      </c>
      <c r="E2592">
        <v>106.85</v>
      </c>
      <c r="F2592">
        <v>39502</v>
      </c>
      <c r="G2592" t="s">
        <v>9</v>
      </c>
      <c r="H2592">
        <f>_xlfn.LET(_xlpm.v, IFERROR(VLOOKUP($A2592, manifest!$A:$E, 3, FALSE), ""), IF(OR(_xlpm.v=0, _xlpm.v=""), "", _xlpm.v))</f>
        <v>60</v>
      </c>
      <c r="I2592" t="str">
        <f>_xlfn.LET(_xlpm.v, IFERROR(VLOOKUP($A2592, manifest!$A:$E, 5, FALSE), ""), IF(OR(_xlpm.v=0, _xlpm.v=""), "", _xlpm.v))</f>
        <v>female</v>
      </c>
    </row>
    <row r="2593" spans="1:9" x14ac:dyDescent="0.6">
      <c r="A2593">
        <v>555</v>
      </c>
      <c r="B2593" t="s">
        <v>14</v>
      </c>
      <c r="C2593" t="s">
        <v>10</v>
      </c>
      <c r="D2593">
        <v>159.38999999999999</v>
      </c>
      <c r="E2593">
        <v>109.21</v>
      </c>
      <c r="F2593">
        <v>44541</v>
      </c>
      <c r="H2593">
        <f>_xlfn.LET(_xlpm.v, IFERROR(VLOOKUP($A2593, manifest!$A:$E, 3, FALSE), ""), IF(OR(_xlpm.v=0, _xlpm.v=""), "", _xlpm.v))</f>
        <v>60</v>
      </c>
      <c r="I2593" t="str">
        <f>_xlfn.LET(_xlpm.v, IFERROR(VLOOKUP($A2593, manifest!$A:$E, 5, FALSE), ""), IF(OR(_xlpm.v=0, _xlpm.v=""), "", _xlpm.v))</f>
        <v>female</v>
      </c>
    </row>
    <row r="2594" spans="1:9" x14ac:dyDescent="0.6">
      <c r="A2594">
        <v>555</v>
      </c>
      <c r="B2594" t="s">
        <v>14</v>
      </c>
      <c r="C2594" t="s">
        <v>11</v>
      </c>
      <c r="D2594">
        <v>151.53</v>
      </c>
      <c r="E2594">
        <v>99.98</v>
      </c>
      <c r="F2594">
        <v>51175</v>
      </c>
      <c r="H2594">
        <f>_xlfn.LET(_xlpm.v, IFERROR(VLOOKUP($A2594, manifest!$A:$E, 3, FALSE), ""), IF(OR(_xlpm.v=0, _xlpm.v=""), "", _xlpm.v))</f>
        <v>60</v>
      </c>
      <c r="I2594" t="str">
        <f>_xlfn.LET(_xlpm.v, IFERROR(VLOOKUP($A2594, manifest!$A:$E, 5, FALSE), ""), IF(OR(_xlpm.v=0, _xlpm.v=""), "", _xlpm.v))</f>
        <v>female</v>
      </c>
    </row>
    <row r="2595" spans="1:9" x14ac:dyDescent="0.6">
      <c r="A2595">
        <v>555</v>
      </c>
      <c r="B2595" t="s">
        <v>14</v>
      </c>
      <c r="C2595" t="s">
        <v>12</v>
      </c>
      <c r="D2595">
        <v>167.73</v>
      </c>
      <c r="E2595">
        <v>123.52</v>
      </c>
      <c r="F2595">
        <v>49678</v>
      </c>
      <c r="H2595">
        <f>_xlfn.LET(_xlpm.v, IFERROR(VLOOKUP($A2595, manifest!$A:$E, 3, FALSE), ""), IF(OR(_xlpm.v=0, _xlpm.v=""), "", _xlpm.v))</f>
        <v>60</v>
      </c>
      <c r="I2595" t="str">
        <f>_xlfn.LET(_xlpm.v, IFERROR(VLOOKUP($A2595, manifest!$A:$E, 5, FALSE), ""), IF(OR(_xlpm.v=0, _xlpm.v=""), "", _xlpm.v))</f>
        <v>female</v>
      </c>
    </row>
    <row r="2596" spans="1:9" x14ac:dyDescent="0.6">
      <c r="A2596">
        <v>540</v>
      </c>
      <c r="B2596" t="s">
        <v>7</v>
      </c>
      <c r="C2596" t="s">
        <v>8</v>
      </c>
      <c r="D2596">
        <v>323.01</v>
      </c>
      <c r="E2596">
        <v>217.65</v>
      </c>
      <c r="F2596">
        <v>34642</v>
      </c>
      <c r="G2596" t="s">
        <v>9</v>
      </c>
      <c r="H2596">
        <f>_xlfn.LET(_xlpm.v, IFERROR(VLOOKUP($A2596, manifest!$A:$E, 3, FALSE), ""), IF(OR(_xlpm.v=0, _xlpm.v=""), "", _xlpm.v))</f>
        <v>50</v>
      </c>
      <c r="I2596" t="str">
        <f>_xlfn.LET(_xlpm.v, IFERROR(VLOOKUP($A2596, manifest!$A:$E, 5, FALSE), ""), IF(OR(_xlpm.v=0, _xlpm.v=""), "", _xlpm.v))</f>
        <v>male</v>
      </c>
    </row>
    <row r="2597" spans="1:9" x14ac:dyDescent="0.6">
      <c r="A2597">
        <v>540</v>
      </c>
      <c r="B2597" t="s">
        <v>7</v>
      </c>
      <c r="C2597" t="s">
        <v>10</v>
      </c>
      <c r="D2597">
        <v>327.48</v>
      </c>
      <c r="E2597">
        <v>237.29</v>
      </c>
      <c r="F2597">
        <v>37093</v>
      </c>
      <c r="H2597">
        <f>_xlfn.LET(_xlpm.v, IFERROR(VLOOKUP($A2597, manifest!$A:$E, 3, FALSE), ""), IF(OR(_xlpm.v=0, _xlpm.v=""), "", _xlpm.v))</f>
        <v>50</v>
      </c>
      <c r="I2597" t="str">
        <f>_xlfn.LET(_xlpm.v, IFERROR(VLOOKUP($A2597, manifest!$A:$E, 5, FALSE), ""), IF(OR(_xlpm.v=0, _xlpm.v=""), "", _xlpm.v))</f>
        <v>male</v>
      </c>
    </row>
    <row r="2598" spans="1:9" x14ac:dyDescent="0.6">
      <c r="A2598">
        <v>540</v>
      </c>
      <c r="B2598" t="s">
        <v>7</v>
      </c>
      <c r="C2598" t="s">
        <v>11</v>
      </c>
      <c r="D2598">
        <v>307.41000000000003</v>
      </c>
      <c r="E2598">
        <v>207.63</v>
      </c>
      <c r="F2598">
        <v>46774</v>
      </c>
      <c r="H2598">
        <f>_xlfn.LET(_xlpm.v, IFERROR(VLOOKUP($A2598, manifest!$A:$E, 3, FALSE), ""), IF(OR(_xlpm.v=0, _xlpm.v=""), "", _xlpm.v))</f>
        <v>50</v>
      </c>
      <c r="I2598" t="str">
        <f>_xlfn.LET(_xlpm.v, IFERROR(VLOOKUP($A2598, manifest!$A:$E, 5, FALSE), ""), IF(OR(_xlpm.v=0, _xlpm.v=""), "", _xlpm.v))</f>
        <v>male</v>
      </c>
    </row>
    <row r="2599" spans="1:9" x14ac:dyDescent="0.6">
      <c r="A2599">
        <v>540</v>
      </c>
      <c r="B2599" t="s">
        <v>7</v>
      </c>
      <c r="C2599" t="s">
        <v>12</v>
      </c>
      <c r="D2599">
        <v>283.68</v>
      </c>
      <c r="E2599">
        <v>202.85</v>
      </c>
      <c r="F2599">
        <v>65767</v>
      </c>
      <c r="H2599">
        <f>_xlfn.LET(_xlpm.v, IFERROR(VLOOKUP($A2599, manifest!$A:$E, 3, FALSE), ""), IF(OR(_xlpm.v=0, _xlpm.v=""), "", _xlpm.v))</f>
        <v>50</v>
      </c>
      <c r="I2599" t="str">
        <f>_xlfn.LET(_xlpm.v, IFERROR(VLOOKUP($A2599, manifest!$A:$E, 5, FALSE), ""), IF(OR(_xlpm.v=0, _xlpm.v=""), "", _xlpm.v))</f>
        <v>male</v>
      </c>
    </row>
    <row r="2600" spans="1:9" x14ac:dyDescent="0.6">
      <c r="A2600">
        <v>540</v>
      </c>
      <c r="B2600" t="s">
        <v>7</v>
      </c>
      <c r="C2600" t="s">
        <v>13</v>
      </c>
      <c r="D2600">
        <v>286.83</v>
      </c>
      <c r="E2600">
        <v>216.83</v>
      </c>
      <c r="F2600">
        <v>60077</v>
      </c>
      <c r="H2600">
        <f>_xlfn.LET(_xlpm.v, IFERROR(VLOOKUP($A2600, manifest!$A:$E, 3, FALSE), ""), IF(OR(_xlpm.v=0, _xlpm.v=""), "", _xlpm.v))</f>
        <v>50</v>
      </c>
      <c r="I2600" t="str">
        <f>_xlfn.LET(_xlpm.v, IFERROR(VLOOKUP($A2600, manifest!$A:$E, 5, FALSE), ""), IF(OR(_xlpm.v=0, _xlpm.v=""), "", _xlpm.v))</f>
        <v>male</v>
      </c>
    </row>
    <row r="2601" spans="1:9" x14ac:dyDescent="0.6">
      <c r="A2601">
        <v>543</v>
      </c>
      <c r="B2601" t="s">
        <v>14</v>
      </c>
      <c r="C2601" t="s">
        <v>8</v>
      </c>
      <c r="D2601">
        <v>208.11</v>
      </c>
      <c r="E2601">
        <v>155.35</v>
      </c>
      <c r="F2601">
        <v>23908</v>
      </c>
      <c r="G2601" t="s">
        <v>9</v>
      </c>
      <c r="H2601">
        <f>_xlfn.LET(_xlpm.v, IFERROR(VLOOKUP($A2601, manifest!$A:$E, 3, FALSE), ""), IF(OR(_xlpm.v=0, _xlpm.v=""), "", _xlpm.v))</f>
        <v>50</v>
      </c>
      <c r="I2601" t="str">
        <f>_xlfn.LET(_xlpm.v, IFERROR(VLOOKUP($A2601, manifest!$A:$E, 5, FALSE), ""), IF(OR(_xlpm.v=0, _xlpm.v=""), "", _xlpm.v))</f>
        <v>female</v>
      </c>
    </row>
    <row r="2602" spans="1:9" x14ac:dyDescent="0.6">
      <c r="A2602">
        <v>543</v>
      </c>
      <c r="B2602" t="s">
        <v>14</v>
      </c>
      <c r="C2602" t="s">
        <v>10</v>
      </c>
      <c r="D2602">
        <v>220.64</v>
      </c>
      <c r="E2602">
        <v>191.57</v>
      </c>
      <c r="F2602">
        <v>25234</v>
      </c>
      <c r="H2602">
        <f>_xlfn.LET(_xlpm.v, IFERROR(VLOOKUP($A2602, manifest!$A:$E, 3, FALSE), ""), IF(OR(_xlpm.v=0, _xlpm.v=""), "", _xlpm.v))</f>
        <v>50</v>
      </c>
      <c r="I2602" t="str">
        <f>_xlfn.LET(_xlpm.v, IFERROR(VLOOKUP($A2602, manifest!$A:$E, 5, FALSE), ""), IF(OR(_xlpm.v=0, _xlpm.v=""), "", _xlpm.v))</f>
        <v>female</v>
      </c>
    </row>
    <row r="2603" spans="1:9" x14ac:dyDescent="0.6">
      <c r="A2603">
        <v>543</v>
      </c>
      <c r="B2603" t="s">
        <v>14</v>
      </c>
      <c r="C2603" t="s">
        <v>11</v>
      </c>
      <c r="D2603">
        <v>217.02</v>
      </c>
      <c r="E2603">
        <v>174.61</v>
      </c>
      <c r="F2603">
        <v>32481</v>
      </c>
      <c r="H2603">
        <f>_xlfn.LET(_xlpm.v, IFERROR(VLOOKUP($A2603, manifest!$A:$E, 3, FALSE), ""), IF(OR(_xlpm.v=0, _xlpm.v=""), "", _xlpm.v))</f>
        <v>50</v>
      </c>
      <c r="I2603" t="str">
        <f>_xlfn.LET(_xlpm.v, IFERROR(VLOOKUP($A2603, manifest!$A:$E, 5, FALSE), ""), IF(OR(_xlpm.v=0, _xlpm.v=""), "", _xlpm.v))</f>
        <v>female</v>
      </c>
    </row>
    <row r="2604" spans="1:9" x14ac:dyDescent="0.6">
      <c r="A2604">
        <v>543</v>
      </c>
      <c r="B2604" t="s">
        <v>14</v>
      </c>
      <c r="C2604" t="s">
        <v>12</v>
      </c>
      <c r="D2604">
        <v>212.23</v>
      </c>
      <c r="E2604">
        <v>193.75</v>
      </c>
      <c r="F2604">
        <v>40734</v>
      </c>
      <c r="H2604">
        <f>_xlfn.LET(_xlpm.v, IFERROR(VLOOKUP($A2604, manifest!$A:$E, 3, FALSE), ""), IF(OR(_xlpm.v=0, _xlpm.v=""), "", _xlpm.v))</f>
        <v>50</v>
      </c>
      <c r="I2604" t="str">
        <f>_xlfn.LET(_xlpm.v, IFERROR(VLOOKUP($A2604, manifest!$A:$E, 5, FALSE), ""), IF(OR(_xlpm.v=0, _xlpm.v=""), "", _xlpm.v))</f>
        <v>female</v>
      </c>
    </row>
    <row r="2605" spans="1:9" x14ac:dyDescent="0.6">
      <c r="A2605">
        <v>543</v>
      </c>
      <c r="B2605" t="s">
        <v>14</v>
      </c>
      <c r="C2605" t="s">
        <v>13</v>
      </c>
      <c r="D2605">
        <v>211.77</v>
      </c>
      <c r="E2605">
        <v>187.81</v>
      </c>
      <c r="F2605">
        <v>40082</v>
      </c>
      <c r="H2605">
        <f>_xlfn.LET(_xlpm.v, IFERROR(VLOOKUP($A2605, manifest!$A:$E, 3, FALSE), ""), IF(OR(_xlpm.v=0, _xlpm.v=""), "", _xlpm.v))</f>
        <v>50</v>
      </c>
      <c r="I2605" t="str">
        <f>_xlfn.LET(_xlpm.v, IFERROR(VLOOKUP($A2605, manifest!$A:$E, 5, FALSE), ""), IF(OR(_xlpm.v=0, _xlpm.v=""), "", _xlpm.v))</f>
        <v>female</v>
      </c>
    </row>
    <row r="2606" spans="1:9" x14ac:dyDescent="0.6">
      <c r="A2606">
        <v>556</v>
      </c>
      <c r="B2606" t="s">
        <v>14</v>
      </c>
      <c r="C2606" t="s">
        <v>8</v>
      </c>
      <c r="D2606">
        <v>146.22</v>
      </c>
      <c r="E2606">
        <v>121.6</v>
      </c>
      <c r="F2606">
        <v>37105</v>
      </c>
      <c r="G2606" t="s">
        <v>15</v>
      </c>
      <c r="H2606">
        <f>_xlfn.LET(_xlpm.v, IFERROR(VLOOKUP($A2606, manifest!$A:$E, 3, FALSE), ""), IF(OR(_xlpm.v=0, _xlpm.v=""), "", _xlpm.v))</f>
        <v>60</v>
      </c>
      <c r="I2606" t="str">
        <f>_xlfn.LET(_xlpm.v, IFERROR(VLOOKUP($A2606, manifest!$A:$E, 5, FALSE), ""), IF(OR(_xlpm.v=0, _xlpm.v=""), "", _xlpm.v))</f>
        <v>female</v>
      </c>
    </row>
    <row r="2607" spans="1:9" x14ac:dyDescent="0.6">
      <c r="A2607">
        <v>556</v>
      </c>
      <c r="B2607" t="s">
        <v>14</v>
      </c>
      <c r="C2607" t="s">
        <v>10</v>
      </c>
      <c r="D2607">
        <v>160.84</v>
      </c>
      <c r="E2607">
        <v>137.30000000000001</v>
      </c>
      <c r="F2607">
        <v>38241</v>
      </c>
      <c r="H2607">
        <f>_xlfn.LET(_xlpm.v, IFERROR(VLOOKUP($A2607, manifest!$A:$E, 3, FALSE), ""), IF(OR(_xlpm.v=0, _xlpm.v=""), "", _xlpm.v))</f>
        <v>60</v>
      </c>
      <c r="I2607" t="str">
        <f>_xlfn.LET(_xlpm.v, IFERROR(VLOOKUP($A2607, manifest!$A:$E, 5, FALSE), ""), IF(OR(_xlpm.v=0, _xlpm.v=""), "", _xlpm.v))</f>
        <v>female</v>
      </c>
    </row>
    <row r="2608" spans="1:9" x14ac:dyDescent="0.6">
      <c r="A2608">
        <v>556</v>
      </c>
      <c r="B2608" t="s">
        <v>14</v>
      </c>
      <c r="C2608" t="s">
        <v>11</v>
      </c>
      <c r="D2608">
        <v>150.1</v>
      </c>
      <c r="E2608">
        <v>145.85</v>
      </c>
      <c r="F2608">
        <v>41386</v>
      </c>
      <c r="H2608">
        <f>_xlfn.LET(_xlpm.v, IFERROR(VLOOKUP($A2608, manifest!$A:$E, 3, FALSE), ""), IF(OR(_xlpm.v=0, _xlpm.v=""), "", _xlpm.v))</f>
        <v>60</v>
      </c>
      <c r="I2608" t="str">
        <f>_xlfn.LET(_xlpm.v, IFERROR(VLOOKUP($A2608, manifest!$A:$E, 5, FALSE), ""), IF(OR(_xlpm.v=0, _xlpm.v=""), "", _xlpm.v))</f>
        <v>female</v>
      </c>
    </row>
    <row r="2609" spans="1:9" x14ac:dyDescent="0.6">
      <c r="A2609">
        <v>556</v>
      </c>
      <c r="B2609" t="s">
        <v>14</v>
      </c>
      <c r="C2609" t="s">
        <v>12</v>
      </c>
      <c r="D2609">
        <v>180.82</v>
      </c>
      <c r="E2609">
        <v>195.71</v>
      </c>
      <c r="F2609">
        <v>49530</v>
      </c>
      <c r="H2609">
        <f>_xlfn.LET(_xlpm.v, IFERROR(VLOOKUP($A2609, manifest!$A:$E, 3, FALSE), ""), IF(OR(_xlpm.v=0, _xlpm.v=""), "", _xlpm.v))</f>
        <v>60</v>
      </c>
      <c r="I2609" t="str">
        <f>_xlfn.LET(_xlpm.v, IFERROR(VLOOKUP($A2609, manifest!$A:$E, 5, FALSE), ""), IF(OR(_xlpm.v=0, _xlpm.v=""), "", _xlpm.v))</f>
        <v>female</v>
      </c>
    </row>
    <row r="2610" spans="1:9" x14ac:dyDescent="0.6">
      <c r="A2610">
        <v>556</v>
      </c>
      <c r="B2610" t="s">
        <v>14</v>
      </c>
      <c r="C2610" t="s">
        <v>13</v>
      </c>
      <c r="D2610">
        <v>221.48</v>
      </c>
      <c r="E2610">
        <v>232.46</v>
      </c>
      <c r="F2610">
        <v>52970</v>
      </c>
      <c r="H2610">
        <f>_xlfn.LET(_xlpm.v, IFERROR(VLOOKUP($A2610, manifest!$A:$E, 3, FALSE), ""), IF(OR(_xlpm.v=0, _xlpm.v=""), "", _xlpm.v))</f>
        <v>60</v>
      </c>
      <c r="I2610" t="str">
        <f>_xlfn.LET(_xlpm.v, IFERROR(VLOOKUP($A2610, manifest!$A:$E, 5, FALSE), ""), IF(OR(_xlpm.v=0, _xlpm.v=""), "", _xlpm.v))</f>
        <v>female</v>
      </c>
    </row>
    <row r="2611" spans="1:9" x14ac:dyDescent="0.6">
      <c r="A2611">
        <v>560</v>
      </c>
      <c r="B2611" t="s">
        <v>7</v>
      </c>
      <c r="C2611" t="s">
        <v>8</v>
      </c>
      <c r="D2611">
        <v>195.62</v>
      </c>
      <c r="E2611">
        <v>115.81</v>
      </c>
      <c r="F2611">
        <v>26705</v>
      </c>
      <c r="G2611" t="s">
        <v>9</v>
      </c>
      <c r="H2611">
        <f>_xlfn.LET(_xlpm.v, IFERROR(VLOOKUP($A2611, manifest!$A:$E, 3, FALSE), ""), IF(OR(_xlpm.v=0, _xlpm.v=""), "", _xlpm.v))</f>
        <v>60</v>
      </c>
      <c r="I2611" t="str">
        <f>_xlfn.LET(_xlpm.v, IFERROR(VLOOKUP($A2611, manifest!$A:$E, 5, FALSE), ""), IF(OR(_xlpm.v=0, _xlpm.v=""), "", _xlpm.v))</f>
        <v>female</v>
      </c>
    </row>
    <row r="2612" spans="1:9" x14ac:dyDescent="0.6">
      <c r="A2612">
        <v>560</v>
      </c>
      <c r="B2612" t="s">
        <v>7</v>
      </c>
      <c r="C2612" t="s">
        <v>10</v>
      </c>
      <c r="D2612">
        <v>202.62</v>
      </c>
      <c r="E2612">
        <v>165.24</v>
      </c>
      <c r="F2612">
        <v>27288</v>
      </c>
      <c r="H2612">
        <f>_xlfn.LET(_xlpm.v, IFERROR(VLOOKUP($A2612, manifest!$A:$E, 3, FALSE), ""), IF(OR(_xlpm.v=0, _xlpm.v=""), "", _xlpm.v))</f>
        <v>60</v>
      </c>
      <c r="I2612" t="str">
        <f>_xlfn.LET(_xlpm.v, IFERROR(VLOOKUP($A2612, manifest!$A:$E, 5, FALSE), ""), IF(OR(_xlpm.v=0, _xlpm.v=""), "", _xlpm.v))</f>
        <v>female</v>
      </c>
    </row>
    <row r="2613" spans="1:9" x14ac:dyDescent="0.6">
      <c r="A2613">
        <v>560</v>
      </c>
      <c r="B2613" t="s">
        <v>7</v>
      </c>
      <c r="C2613" t="s">
        <v>11</v>
      </c>
      <c r="D2613">
        <v>193.6</v>
      </c>
      <c r="E2613">
        <v>166.17</v>
      </c>
      <c r="F2613">
        <v>36952</v>
      </c>
      <c r="H2613">
        <f>_xlfn.LET(_xlpm.v, IFERROR(VLOOKUP($A2613, manifest!$A:$E, 3, FALSE), ""), IF(OR(_xlpm.v=0, _xlpm.v=""), "", _xlpm.v))</f>
        <v>60</v>
      </c>
      <c r="I2613" t="str">
        <f>_xlfn.LET(_xlpm.v, IFERROR(VLOOKUP($A2613, manifest!$A:$E, 5, FALSE), ""), IF(OR(_xlpm.v=0, _xlpm.v=""), "", _xlpm.v))</f>
        <v>female</v>
      </c>
    </row>
    <row r="2614" spans="1:9" x14ac:dyDescent="0.6">
      <c r="A2614">
        <v>560</v>
      </c>
      <c r="B2614" t="s">
        <v>7</v>
      </c>
      <c r="C2614" t="s">
        <v>12</v>
      </c>
      <c r="D2614">
        <v>211.14</v>
      </c>
      <c r="E2614">
        <v>190.34</v>
      </c>
      <c r="F2614">
        <v>41601</v>
      </c>
      <c r="H2614">
        <f>_xlfn.LET(_xlpm.v, IFERROR(VLOOKUP($A2614, manifest!$A:$E, 3, FALSE), ""), IF(OR(_xlpm.v=0, _xlpm.v=""), "", _xlpm.v))</f>
        <v>60</v>
      </c>
      <c r="I2614" t="str">
        <f>_xlfn.LET(_xlpm.v, IFERROR(VLOOKUP($A2614, manifest!$A:$E, 5, FALSE), ""), IF(OR(_xlpm.v=0, _xlpm.v=""), "", _xlpm.v))</f>
        <v>female</v>
      </c>
    </row>
    <row r="2615" spans="1:9" x14ac:dyDescent="0.6">
      <c r="A2615">
        <v>560</v>
      </c>
      <c r="B2615" t="s">
        <v>7</v>
      </c>
      <c r="C2615" t="s">
        <v>13</v>
      </c>
      <c r="D2615">
        <v>191.23</v>
      </c>
      <c r="E2615">
        <v>176.18</v>
      </c>
      <c r="F2615">
        <v>41206</v>
      </c>
      <c r="H2615">
        <f>_xlfn.LET(_xlpm.v, IFERROR(VLOOKUP($A2615, manifest!$A:$E, 3, FALSE), ""), IF(OR(_xlpm.v=0, _xlpm.v=""), "", _xlpm.v))</f>
        <v>60</v>
      </c>
      <c r="I2615" t="str">
        <f>_xlfn.LET(_xlpm.v, IFERROR(VLOOKUP($A2615, manifest!$A:$E, 5, FALSE), ""), IF(OR(_xlpm.v=0, _xlpm.v=""), "", _xlpm.v))</f>
        <v>female</v>
      </c>
    </row>
    <row r="2616" spans="1:9" x14ac:dyDescent="0.6">
      <c r="A2616">
        <v>562</v>
      </c>
      <c r="B2616" t="s">
        <v>14</v>
      </c>
      <c r="C2616" t="s">
        <v>8</v>
      </c>
      <c r="D2616">
        <v>218.82</v>
      </c>
      <c r="E2616">
        <v>147.5</v>
      </c>
      <c r="F2616">
        <v>21550</v>
      </c>
      <c r="G2616" t="s">
        <v>9</v>
      </c>
      <c r="H2616">
        <f>_xlfn.LET(_xlpm.v, IFERROR(VLOOKUP($A2616, manifest!$A:$E, 3, FALSE), ""), IF(OR(_xlpm.v=0, _xlpm.v=""), "", _xlpm.v))</f>
        <v>50</v>
      </c>
      <c r="I2616" t="str">
        <f>_xlfn.LET(_xlpm.v, IFERROR(VLOOKUP($A2616, manifest!$A:$E, 5, FALSE), ""), IF(OR(_xlpm.v=0, _xlpm.v=""), "", _xlpm.v))</f>
        <v>female</v>
      </c>
    </row>
    <row r="2617" spans="1:9" x14ac:dyDescent="0.6">
      <c r="A2617">
        <v>562</v>
      </c>
      <c r="B2617" t="s">
        <v>14</v>
      </c>
      <c r="C2617" t="s">
        <v>10</v>
      </c>
      <c r="D2617">
        <v>237.22</v>
      </c>
      <c r="E2617">
        <v>183.07</v>
      </c>
      <c r="F2617">
        <v>25869</v>
      </c>
      <c r="H2617">
        <f>_xlfn.LET(_xlpm.v, IFERROR(VLOOKUP($A2617, manifest!$A:$E, 3, FALSE), ""), IF(OR(_xlpm.v=0, _xlpm.v=""), "", _xlpm.v))</f>
        <v>50</v>
      </c>
      <c r="I2617" t="str">
        <f>_xlfn.LET(_xlpm.v, IFERROR(VLOOKUP($A2617, manifest!$A:$E, 5, FALSE), ""), IF(OR(_xlpm.v=0, _xlpm.v=""), "", _xlpm.v))</f>
        <v>female</v>
      </c>
    </row>
    <row r="2618" spans="1:9" x14ac:dyDescent="0.6">
      <c r="A2618">
        <v>562</v>
      </c>
      <c r="B2618" t="s">
        <v>14</v>
      </c>
      <c r="C2618" t="s">
        <v>11</v>
      </c>
      <c r="D2618">
        <v>239.46</v>
      </c>
      <c r="E2618">
        <v>203.25</v>
      </c>
      <c r="F2618">
        <v>24506</v>
      </c>
      <c r="H2618">
        <f>_xlfn.LET(_xlpm.v, IFERROR(VLOOKUP($A2618, manifest!$A:$E, 3, FALSE), ""), IF(OR(_xlpm.v=0, _xlpm.v=""), "", _xlpm.v))</f>
        <v>50</v>
      </c>
      <c r="I2618" t="str">
        <f>_xlfn.LET(_xlpm.v, IFERROR(VLOOKUP($A2618, manifest!$A:$E, 5, FALSE), ""), IF(OR(_xlpm.v=0, _xlpm.v=""), "", _xlpm.v))</f>
        <v>female</v>
      </c>
    </row>
    <row r="2619" spans="1:9" x14ac:dyDescent="0.6">
      <c r="A2619">
        <v>562</v>
      </c>
      <c r="B2619" t="s">
        <v>14</v>
      </c>
      <c r="C2619" t="s">
        <v>12</v>
      </c>
      <c r="D2619">
        <v>242.54</v>
      </c>
      <c r="E2619">
        <v>221.33</v>
      </c>
      <c r="F2619">
        <v>31162</v>
      </c>
      <c r="H2619">
        <f>_xlfn.LET(_xlpm.v, IFERROR(VLOOKUP($A2619, manifest!$A:$E, 3, FALSE), ""), IF(OR(_xlpm.v=0, _xlpm.v=""), "", _xlpm.v))</f>
        <v>50</v>
      </c>
      <c r="I2619" t="str">
        <f>_xlfn.LET(_xlpm.v, IFERROR(VLOOKUP($A2619, manifest!$A:$E, 5, FALSE), ""), IF(OR(_xlpm.v=0, _xlpm.v=""), "", _xlpm.v))</f>
        <v>female</v>
      </c>
    </row>
    <row r="2620" spans="1:9" x14ac:dyDescent="0.6">
      <c r="A2620">
        <v>562</v>
      </c>
      <c r="B2620" t="s">
        <v>14</v>
      </c>
      <c r="C2620" t="s">
        <v>13</v>
      </c>
      <c r="D2620">
        <v>220.85</v>
      </c>
      <c r="E2620">
        <v>172.98</v>
      </c>
      <c r="F2620">
        <v>40014</v>
      </c>
      <c r="H2620">
        <f>_xlfn.LET(_xlpm.v, IFERROR(VLOOKUP($A2620, manifest!$A:$E, 3, FALSE), ""), IF(OR(_xlpm.v=0, _xlpm.v=""), "", _xlpm.v))</f>
        <v>50</v>
      </c>
      <c r="I2620" t="str">
        <f>_xlfn.LET(_xlpm.v, IFERROR(VLOOKUP($A2620, manifest!$A:$E, 5, FALSE), ""), IF(OR(_xlpm.v=0, _xlpm.v=""), "", _xlpm.v))</f>
        <v>female</v>
      </c>
    </row>
    <row r="2621" spans="1:9" x14ac:dyDescent="0.6">
      <c r="A2621">
        <v>534</v>
      </c>
      <c r="B2621" t="s">
        <v>14</v>
      </c>
      <c r="C2621" t="s">
        <v>8</v>
      </c>
      <c r="D2621">
        <v>178.81</v>
      </c>
      <c r="E2621">
        <v>181.9</v>
      </c>
      <c r="F2621">
        <v>27165</v>
      </c>
      <c r="G2621" t="s">
        <v>9</v>
      </c>
      <c r="H2621">
        <f>_xlfn.LET(_xlpm.v, IFERROR(VLOOKUP($A2621, manifest!$A:$E, 3, FALSE), ""), IF(OR(_xlpm.v=0, _xlpm.v=""), "", _xlpm.v))</f>
        <v>70</v>
      </c>
      <c r="I2621" t="str">
        <f>_xlfn.LET(_xlpm.v, IFERROR(VLOOKUP($A2621, manifest!$A:$E, 5, FALSE), ""), IF(OR(_xlpm.v=0, _xlpm.v=""), "", _xlpm.v))</f>
        <v>female</v>
      </c>
    </row>
    <row r="2622" spans="1:9" x14ac:dyDescent="0.6">
      <c r="A2622">
        <v>534</v>
      </c>
      <c r="B2622" t="s">
        <v>14</v>
      </c>
      <c r="C2622" t="s">
        <v>10</v>
      </c>
      <c r="D2622">
        <v>169.46</v>
      </c>
      <c r="E2622">
        <v>182.57</v>
      </c>
      <c r="F2622">
        <v>40418</v>
      </c>
      <c r="H2622">
        <f>_xlfn.LET(_xlpm.v, IFERROR(VLOOKUP($A2622, manifest!$A:$E, 3, FALSE), ""), IF(OR(_xlpm.v=0, _xlpm.v=""), "", _xlpm.v))</f>
        <v>70</v>
      </c>
      <c r="I2622" t="str">
        <f>_xlfn.LET(_xlpm.v, IFERROR(VLOOKUP($A2622, manifest!$A:$E, 5, FALSE), ""), IF(OR(_xlpm.v=0, _xlpm.v=""), "", _xlpm.v))</f>
        <v>female</v>
      </c>
    </row>
    <row r="2623" spans="1:9" x14ac:dyDescent="0.6">
      <c r="A2623">
        <v>534</v>
      </c>
      <c r="B2623" t="s">
        <v>14</v>
      </c>
      <c r="C2623" t="s">
        <v>11</v>
      </c>
      <c r="D2623">
        <v>163.68</v>
      </c>
      <c r="E2623">
        <v>171.86</v>
      </c>
      <c r="F2623">
        <v>44262</v>
      </c>
      <c r="H2623">
        <f>_xlfn.LET(_xlpm.v, IFERROR(VLOOKUP($A2623, manifest!$A:$E, 3, FALSE), ""), IF(OR(_xlpm.v=0, _xlpm.v=""), "", _xlpm.v))</f>
        <v>70</v>
      </c>
      <c r="I2623" t="str">
        <f>_xlfn.LET(_xlpm.v, IFERROR(VLOOKUP($A2623, manifest!$A:$E, 5, FALSE), ""), IF(OR(_xlpm.v=0, _xlpm.v=""), "", _xlpm.v))</f>
        <v>female</v>
      </c>
    </row>
    <row r="2624" spans="1:9" x14ac:dyDescent="0.6">
      <c r="A2624">
        <v>534</v>
      </c>
      <c r="B2624" t="s">
        <v>14</v>
      </c>
      <c r="C2624" t="s">
        <v>12</v>
      </c>
      <c r="D2624">
        <v>168.83</v>
      </c>
      <c r="E2624">
        <v>182.02</v>
      </c>
      <c r="F2624">
        <v>55428</v>
      </c>
      <c r="H2624">
        <f>_xlfn.LET(_xlpm.v, IFERROR(VLOOKUP($A2624, manifest!$A:$E, 3, FALSE), ""), IF(OR(_xlpm.v=0, _xlpm.v=""), "", _xlpm.v))</f>
        <v>70</v>
      </c>
      <c r="I2624" t="str">
        <f>_xlfn.LET(_xlpm.v, IFERROR(VLOOKUP($A2624, manifest!$A:$E, 5, FALSE), ""), IF(OR(_xlpm.v=0, _xlpm.v=""), "", _xlpm.v))</f>
        <v>female</v>
      </c>
    </row>
    <row r="2625" spans="1:9" x14ac:dyDescent="0.6">
      <c r="A2625">
        <v>534</v>
      </c>
      <c r="B2625" t="s">
        <v>14</v>
      </c>
      <c r="C2625" t="s">
        <v>13</v>
      </c>
      <c r="D2625">
        <v>156.11000000000001</v>
      </c>
      <c r="E2625">
        <v>180.32</v>
      </c>
      <c r="F2625">
        <v>55941</v>
      </c>
      <c r="H2625">
        <f>_xlfn.LET(_xlpm.v, IFERROR(VLOOKUP($A2625, manifest!$A:$E, 3, FALSE), ""), IF(OR(_xlpm.v=0, _xlpm.v=""), "", _xlpm.v))</f>
        <v>70</v>
      </c>
      <c r="I2625" t="str">
        <f>_xlfn.LET(_xlpm.v, IFERROR(VLOOKUP($A2625, manifest!$A:$E, 5, FALSE), ""), IF(OR(_xlpm.v=0, _xlpm.v=""), "", _xlpm.v))</f>
        <v>female</v>
      </c>
    </row>
    <row r="2626" spans="1:9" x14ac:dyDescent="0.6">
      <c r="A2626">
        <v>558</v>
      </c>
      <c r="B2626" t="s">
        <v>7</v>
      </c>
      <c r="C2626" t="s">
        <v>8</v>
      </c>
      <c r="D2626">
        <v>221.84</v>
      </c>
      <c r="E2626">
        <v>143.44</v>
      </c>
      <c r="F2626">
        <v>43241</v>
      </c>
      <c r="G2626" t="s">
        <v>9</v>
      </c>
      <c r="H2626">
        <f>_xlfn.LET(_xlpm.v, IFERROR(VLOOKUP($A2626, manifest!$A:$E, 3, FALSE), ""), IF(OR(_xlpm.v=0, _xlpm.v=""), "", _xlpm.v))</f>
        <v>50</v>
      </c>
      <c r="I2626" t="str">
        <f>_xlfn.LET(_xlpm.v, IFERROR(VLOOKUP($A2626, manifest!$A:$E, 5, FALSE), ""), IF(OR(_xlpm.v=0, _xlpm.v=""), "", _xlpm.v))</f>
        <v>male</v>
      </c>
    </row>
    <row r="2627" spans="1:9" x14ac:dyDescent="0.6">
      <c r="A2627">
        <v>558</v>
      </c>
      <c r="B2627" t="s">
        <v>7</v>
      </c>
      <c r="C2627" t="s">
        <v>10</v>
      </c>
      <c r="D2627">
        <v>272.47000000000003</v>
      </c>
      <c r="E2627">
        <v>230.62</v>
      </c>
      <c r="F2627">
        <v>38969</v>
      </c>
      <c r="H2627">
        <f>_xlfn.LET(_xlpm.v, IFERROR(VLOOKUP($A2627, manifest!$A:$E, 3, FALSE), ""), IF(OR(_xlpm.v=0, _xlpm.v=""), "", _xlpm.v))</f>
        <v>50</v>
      </c>
      <c r="I2627" t="str">
        <f>_xlfn.LET(_xlpm.v, IFERROR(VLOOKUP($A2627, manifest!$A:$E, 5, FALSE), ""), IF(OR(_xlpm.v=0, _xlpm.v=""), "", _xlpm.v))</f>
        <v>male</v>
      </c>
    </row>
    <row r="2628" spans="1:9" x14ac:dyDescent="0.6">
      <c r="A2628">
        <v>558</v>
      </c>
      <c r="B2628" t="s">
        <v>7</v>
      </c>
      <c r="C2628" t="s">
        <v>11</v>
      </c>
      <c r="D2628">
        <v>251.06</v>
      </c>
      <c r="E2628">
        <v>212.18</v>
      </c>
      <c r="F2628">
        <v>45845</v>
      </c>
      <c r="H2628">
        <f>_xlfn.LET(_xlpm.v, IFERROR(VLOOKUP($A2628, manifest!$A:$E, 3, FALSE), ""), IF(OR(_xlpm.v=0, _xlpm.v=""), "", _xlpm.v))</f>
        <v>50</v>
      </c>
      <c r="I2628" t="str">
        <f>_xlfn.LET(_xlpm.v, IFERROR(VLOOKUP($A2628, manifest!$A:$E, 5, FALSE), ""), IF(OR(_xlpm.v=0, _xlpm.v=""), "", _xlpm.v))</f>
        <v>male</v>
      </c>
    </row>
    <row r="2629" spans="1:9" x14ac:dyDescent="0.6">
      <c r="A2629">
        <v>558</v>
      </c>
      <c r="B2629" t="s">
        <v>7</v>
      </c>
      <c r="C2629" t="s">
        <v>12</v>
      </c>
      <c r="D2629">
        <v>215.99</v>
      </c>
      <c r="E2629">
        <v>169.67</v>
      </c>
      <c r="F2629">
        <v>54446</v>
      </c>
      <c r="H2629">
        <f>_xlfn.LET(_xlpm.v, IFERROR(VLOOKUP($A2629, manifest!$A:$E, 3, FALSE), ""), IF(OR(_xlpm.v=0, _xlpm.v=""), "", _xlpm.v))</f>
        <v>50</v>
      </c>
      <c r="I2629" t="str">
        <f>_xlfn.LET(_xlpm.v, IFERROR(VLOOKUP($A2629, manifest!$A:$E, 5, FALSE), ""), IF(OR(_xlpm.v=0, _xlpm.v=""), "", _xlpm.v))</f>
        <v>male</v>
      </c>
    </row>
    <row r="2630" spans="1:9" x14ac:dyDescent="0.6">
      <c r="A2630">
        <v>558</v>
      </c>
      <c r="B2630" t="s">
        <v>7</v>
      </c>
      <c r="C2630" t="s">
        <v>13</v>
      </c>
      <c r="D2630">
        <v>242.54</v>
      </c>
      <c r="E2630">
        <v>160.37</v>
      </c>
      <c r="F2630">
        <v>51672</v>
      </c>
      <c r="H2630">
        <f>_xlfn.LET(_xlpm.v, IFERROR(VLOOKUP($A2630, manifest!$A:$E, 3, FALSE), ""), IF(OR(_xlpm.v=0, _xlpm.v=""), "", _xlpm.v))</f>
        <v>50</v>
      </c>
      <c r="I2630" t="str">
        <f>_xlfn.LET(_xlpm.v, IFERROR(VLOOKUP($A2630, manifest!$A:$E, 5, FALSE), ""), IF(OR(_xlpm.v=0, _xlpm.v=""), "", _xlpm.v))</f>
        <v>male</v>
      </c>
    </row>
    <row r="2631" spans="1:9" x14ac:dyDescent="0.6">
      <c r="A2631">
        <v>542</v>
      </c>
      <c r="B2631" t="s">
        <v>7</v>
      </c>
      <c r="C2631" t="s">
        <v>8</v>
      </c>
      <c r="D2631">
        <v>212.16</v>
      </c>
      <c r="E2631">
        <v>155.91</v>
      </c>
      <c r="F2631">
        <v>45991</v>
      </c>
      <c r="G2631" t="s">
        <v>9</v>
      </c>
      <c r="H2631">
        <f>_xlfn.LET(_xlpm.v, IFERROR(VLOOKUP($A2631, manifest!$A:$E, 3, FALSE), ""), IF(OR(_xlpm.v=0, _xlpm.v=""), "", _xlpm.v))</f>
        <v>50</v>
      </c>
      <c r="I2631" t="str">
        <f>_xlfn.LET(_xlpm.v, IFERROR(VLOOKUP($A2631, manifest!$A:$E, 5, FALSE), ""), IF(OR(_xlpm.v=0, _xlpm.v=""), "", _xlpm.v))</f>
        <v>male</v>
      </c>
    </row>
    <row r="2632" spans="1:9" x14ac:dyDescent="0.6">
      <c r="A2632">
        <v>542</v>
      </c>
      <c r="B2632" t="s">
        <v>7</v>
      </c>
      <c r="C2632" t="s">
        <v>10</v>
      </c>
      <c r="D2632">
        <v>221.52</v>
      </c>
      <c r="E2632">
        <v>159.54</v>
      </c>
      <c r="F2632">
        <v>47697</v>
      </c>
      <c r="H2632">
        <f>_xlfn.LET(_xlpm.v, IFERROR(VLOOKUP($A2632, manifest!$A:$E, 3, FALSE), ""), IF(OR(_xlpm.v=0, _xlpm.v=""), "", _xlpm.v))</f>
        <v>50</v>
      </c>
      <c r="I2632" t="str">
        <f>_xlfn.LET(_xlpm.v, IFERROR(VLOOKUP($A2632, manifest!$A:$E, 5, FALSE), ""), IF(OR(_xlpm.v=0, _xlpm.v=""), "", _xlpm.v))</f>
        <v>male</v>
      </c>
    </row>
    <row r="2633" spans="1:9" x14ac:dyDescent="0.6">
      <c r="A2633">
        <v>542</v>
      </c>
      <c r="B2633" t="s">
        <v>7</v>
      </c>
      <c r="C2633" t="s">
        <v>11</v>
      </c>
      <c r="D2633">
        <v>223.4</v>
      </c>
      <c r="E2633">
        <v>173.45</v>
      </c>
      <c r="F2633">
        <v>50343</v>
      </c>
      <c r="H2633">
        <f>_xlfn.LET(_xlpm.v, IFERROR(VLOOKUP($A2633, manifest!$A:$E, 3, FALSE), ""), IF(OR(_xlpm.v=0, _xlpm.v=""), "", _xlpm.v))</f>
        <v>50</v>
      </c>
      <c r="I2633" t="str">
        <f>_xlfn.LET(_xlpm.v, IFERROR(VLOOKUP($A2633, manifest!$A:$E, 5, FALSE), ""), IF(OR(_xlpm.v=0, _xlpm.v=""), "", _xlpm.v))</f>
        <v>male</v>
      </c>
    </row>
    <row r="2634" spans="1:9" x14ac:dyDescent="0.6">
      <c r="A2634">
        <v>542</v>
      </c>
      <c r="B2634" t="s">
        <v>7</v>
      </c>
      <c r="C2634" t="s">
        <v>12</v>
      </c>
      <c r="D2634">
        <v>216.93</v>
      </c>
      <c r="E2634">
        <v>174.45</v>
      </c>
      <c r="F2634">
        <v>50045</v>
      </c>
      <c r="H2634">
        <f>_xlfn.LET(_xlpm.v, IFERROR(VLOOKUP($A2634, manifest!$A:$E, 3, FALSE), ""), IF(OR(_xlpm.v=0, _xlpm.v=""), "", _xlpm.v))</f>
        <v>50</v>
      </c>
      <c r="I2634" t="str">
        <f>_xlfn.LET(_xlpm.v, IFERROR(VLOOKUP($A2634, manifest!$A:$E, 5, FALSE), ""), IF(OR(_xlpm.v=0, _xlpm.v=""), "", _xlpm.v))</f>
        <v>male</v>
      </c>
    </row>
    <row r="2635" spans="1:9" x14ac:dyDescent="0.6">
      <c r="A2635">
        <v>542</v>
      </c>
      <c r="B2635" t="s">
        <v>7</v>
      </c>
      <c r="C2635" t="s">
        <v>13</v>
      </c>
      <c r="D2635">
        <v>200.89</v>
      </c>
      <c r="E2635">
        <v>150.87</v>
      </c>
      <c r="F2635">
        <v>64026</v>
      </c>
      <c r="H2635">
        <f>_xlfn.LET(_xlpm.v, IFERROR(VLOOKUP($A2635, manifest!$A:$E, 3, FALSE), ""), IF(OR(_xlpm.v=0, _xlpm.v=""), "", _xlpm.v))</f>
        <v>50</v>
      </c>
      <c r="I2635" t="str">
        <f>_xlfn.LET(_xlpm.v, IFERROR(VLOOKUP($A2635, manifest!$A:$E, 5, FALSE), ""), IF(OR(_xlpm.v=0, _xlpm.v=""), "", _xlpm.v))</f>
        <v>male</v>
      </c>
    </row>
    <row r="2636" spans="1:9" x14ac:dyDescent="0.6">
      <c r="A2636">
        <v>557</v>
      </c>
      <c r="B2636" t="s">
        <v>14</v>
      </c>
      <c r="C2636" t="s">
        <v>8</v>
      </c>
      <c r="D2636">
        <v>209.49</v>
      </c>
      <c r="E2636">
        <v>133.07</v>
      </c>
      <c r="F2636">
        <v>32945</v>
      </c>
      <c r="G2636" t="s">
        <v>9</v>
      </c>
      <c r="H2636">
        <f>_xlfn.LET(_xlpm.v, IFERROR(VLOOKUP($A2636, manifest!$A:$E, 3, FALSE), ""), IF(OR(_xlpm.v=0, _xlpm.v=""), "", _xlpm.v))</f>
        <v>50</v>
      </c>
      <c r="I2636" t="str">
        <f>_xlfn.LET(_xlpm.v, IFERROR(VLOOKUP($A2636, manifest!$A:$E, 5, FALSE), ""), IF(OR(_xlpm.v=0, _xlpm.v=""), "", _xlpm.v))</f>
        <v>male</v>
      </c>
    </row>
    <row r="2637" spans="1:9" x14ac:dyDescent="0.6">
      <c r="A2637">
        <v>557</v>
      </c>
      <c r="B2637" t="s">
        <v>14</v>
      </c>
      <c r="C2637" t="s">
        <v>10</v>
      </c>
      <c r="D2637">
        <v>230.59</v>
      </c>
      <c r="E2637">
        <v>196.16</v>
      </c>
      <c r="F2637">
        <v>34052</v>
      </c>
      <c r="H2637">
        <f>_xlfn.LET(_xlpm.v, IFERROR(VLOOKUP($A2637, manifest!$A:$E, 3, FALSE), ""), IF(OR(_xlpm.v=0, _xlpm.v=""), "", _xlpm.v))</f>
        <v>50</v>
      </c>
      <c r="I2637" t="str">
        <f>_xlfn.LET(_xlpm.v, IFERROR(VLOOKUP($A2637, manifest!$A:$E, 5, FALSE), ""), IF(OR(_xlpm.v=0, _xlpm.v=""), "", _xlpm.v))</f>
        <v>male</v>
      </c>
    </row>
    <row r="2638" spans="1:9" x14ac:dyDescent="0.6">
      <c r="A2638">
        <v>557</v>
      </c>
      <c r="B2638" t="s">
        <v>14</v>
      </c>
      <c r="C2638" t="s">
        <v>11</v>
      </c>
      <c r="D2638">
        <v>238.35</v>
      </c>
      <c r="E2638">
        <v>228.98</v>
      </c>
      <c r="F2638">
        <v>36953</v>
      </c>
      <c r="H2638">
        <f>_xlfn.LET(_xlpm.v, IFERROR(VLOOKUP($A2638, manifest!$A:$E, 3, FALSE), ""), IF(OR(_xlpm.v=0, _xlpm.v=""), "", _xlpm.v))</f>
        <v>50</v>
      </c>
      <c r="I2638" t="str">
        <f>_xlfn.LET(_xlpm.v, IFERROR(VLOOKUP($A2638, manifest!$A:$E, 5, FALSE), ""), IF(OR(_xlpm.v=0, _xlpm.v=""), "", _xlpm.v))</f>
        <v>male</v>
      </c>
    </row>
    <row r="2639" spans="1:9" x14ac:dyDescent="0.6">
      <c r="A2639">
        <v>557</v>
      </c>
      <c r="B2639" t="s">
        <v>14</v>
      </c>
      <c r="C2639" t="s">
        <v>12</v>
      </c>
      <c r="D2639">
        <v>239.19</v>
      </c>
      <c r="E2639">
        <v>240.01</v>
      </c>
      <c r="F2639">
        <v>39409</v>
      </c>
      <c r="H2639">
        <f>_xlfn.LET(_xlpm.v, IFERROR(VLOOKUP($A2639, manifest!$A:$E, 3, FALSE), ""), IF(OR(_xlpm.v=0, _xlpm.v=""), "", _xlpm.v))</f>
        <v>50</v>
      </c>
      <c r="I2639" t="str">
        <f>_xlfn.LET(_xlpm.v, IFERROR(VLOOKUP($A2639, manifest!$A:$E, 5, FALSE), ""), IF(OR(_xlpm.v=0, _xlpm.v=""), "", _xlpm.v))</f>
        <v>male</v>
      </c>
    </row>
    <row r="2640" spans="1:9" x14ac:dyDescent="0.6">
      <c r="A2640">
        <v>557</v>
      </c>
      <c r="B2640" t="s">
        <v>14</v>
      </c>
      <c r="C2640" t="s">
        <v>13</v>
      </c>
      <c r="D2640">
        <v>203.05</v>
      </c>
      <c r="E2640">
        <v>158.38999999999999</v>
      </c>
      <c r="F2640">
        <v>52757</v>
      </c>
      <c r="H2640">
        <f>_xlfn.LET(_xlpm.v, IFERROR(VLOOKUP($A2640, manifest!$A:$E, 3, FALSE), ""), IF(OR(_xlpm.v=0, _xlpm.v=""), "", _xlpm.v))</f>
        <v>50</v>
      </c>
      <c r="I2640" t="str">
        <f>_xlfn.LET(_xlpm.v, IFERROR(VLOOKUP($A2640, manifest!$A:$E, 5, FALSE), ""), IF(OR(_xlpm.v=0, _xlpm.v=""), "", _xlpm.v))</f>
        <v>male</v>
      </c>
    </row>
    <row r="2641" spans="1:9" x14ac:dyDescent="0.6">
      <c r="A2641">
        <v>544</v>
      </c>
      <c r="B2641" t="s">
        <v>14</v>
      </c>
      <c r="C2641" t="s">
        <v>8</v>
      </c>
      <c r="D2641">
        <v>267.41000000000003</v>
      </c>
      <c r="E2641">
        <v>133.32</v>
      </c>
      <c r="F2641">
        <v>17286</v>
      </c>
      <c r="G2641" t="s">
        <v>9</v>
      </c>
      <c r="H2641">
        <f>_xlfn.LET(_xlpm.v, IFERROR(VLOOKUP($A2641, manifest!$A:$E, 3, FALSE), ""), IF(OR(_xlpm.v=0, _xlpm.v=""), "", _xlpm.v))</f>
        <v>60</v>
      </c>
      <c r="I2641" t="str">
        <f>_xlfn.LET(_xlpm.v, IFERROR(VLOOKUP($A2641, manifest!$A:$E, 5, FALSE), ""), IF(OR(_xlpm.v=0, _xlpm.v=""), "", _xlpm.v))</f>
        <v>female</v>
      </c>
    </row>
    <row r="2642" spans="1:9" x14ac:dyDescent="0.6">
      <c r="A2642">
        <v>544</v>
      </c>
      <c r="B2642" t="s">
        <v>14</v>
      </c>
      <c r="C2642" t="s">
        <v>10</v>
      </c>
      <c r="D2642">
        <v>270.33</v>
      </c>
      <c r="E2642">
        <v>160.16</v>
      </c>
      <c r="F2642">
        <v>20685</v>
      </c>
      <c r="H2642">
        <f>_xlfn.LET(_xlpm.v, IFERROR(VLOOKUP($A2642, manifest!$A:$E, 3, FALSE), ""), IF(OR(_xlpm.v=0, _xlpm.v=""), "", _xlpm.v))</f>
        <v>60</v>
      </c>
      <c r="I2642" t="str">
        <f>_xlfn.LET(_xlpm.v, IFERROR(VLOOKUP($A2642, manifest!$A:$E, 5, FALSE), ""), IF(OR(_xlpm.v=0, _xlpm.v=""), "", _xlpm.v))</f>
        <v>female</v>
      </c>
    </row>
    <row r="2643" spans="1:9" x14ac:dyDescent="0.6">
      <c r="A2643">
        <v>544</v>
      </c>
      <c r="B2643" t="s">
        <v>14</v>
      </c>
      <c r="C2643" t="s">
        <v>11</v>
      </c>
      <c r="D2643">
        <v>260.95</v>
      </c>
      <c r="E2643">
        <v>175.48</v>
      </c>
      <c r="F2643">
        <v>22536</v>
      </c>
      <c r="H2643">
        <f>_xlfn.LET(_xlpm.v, IFERROR(VLOOKUP($A2643, manifest!$A:$E, 3, FALSE), ""), IF(OR(_xlpm.v=0, _xlpm.v=""), "", _xlpm.v))</f>
        <v>60</v>
      </c>
      <c r="I2643" t="str">
        <f>_xlfn.LET(_xlpm.v, IFERROR(VLOOKUP($A2643, manifest!$A:$E, 5, FALSE), ""), IF(OR(_xlpm.v=0, _xlpm.v=""), "", _xlpm.v))</f>
        <v>female</v>
      </c>
    </row>
    <row r="2644" spans="1:9" x14ac:dyDescent="0.6">
      <c r="A2644">
        <v>544</v>
      </c>
      <c r="B2644" t="s">
        <v>14</v>
      </c>
      <c r="C2644" t="s">
        <v>12</v>
      </c>
      <c r="D2644">
        <v>266.77</v>
      </c>
      <c r="E2644">
        <v>180.44</v>
      </c>
      <c r="F2644">
        <v>25780</v>
      </c>
      <c r="H2644">
        <f>_xlfn.LET(_xlpm.v, IFERROR(VLOOKUP($A2644, manifest!$A:$E, 3, FALSE), ""), IF(OR(_xlpm.v=0, _xlpm.v=""), "", _xlpm.v))</f>
        <v>60</v>
      </c>
      <c r="I2644" t="str">
        <f>_xlfn.LET(_xlpm.v, IFERROR(VLOOKUP($A2644, manifest!$A:$E, 5, FALSE), ""), IF(OR(_xlpm.v=0, _xlpm.v=""), "", _xlpm.v))</f>
        <v>female</v>
      </c>
    </row>
    <row r="2645" spans="1:9" x14ac:dyDescent="0.6">
      <c r="A2645">
        <v>544</v>
      </c>
      <c r="B2645" t="s">
        <v>14</v>
      </c>
      <c r="C2645" t="s">
        <v>13</v>
      </c>
      <c r="D2645">
        <v>249.95</v>
      </c>
      <c r="E2645">
        <v>166.4</v>
      </c>
      <c r="F2645">
        <v>29291</v>
      </c>
      <c r="H2645">
        <f>_xlfn.LET(_xlpm.v, IFERROR(VLOOKUP($A2645, manifest!$A:$E, 3, FALSE), ""), IF(OR(_xlpm.v=0, _xlpm.v=""), "", _xlpm.v))</f>
        <v>60</v>
      </c>
      <c r="I2645" t="str">
        <f>_xlfn.LET(_xlpm.v, IFERROR(VLOOKUP($A2645, manifest!$A:$E, 5, FALSE), ""), IF(OR(_xlpm.v=0, _xlpm.v=""), "", _xlpm.v))</f>
        <v>female</v>
      </c>
    </row>
    <row r="2646" spans="1:9" x14ac:dyDescent="0.6">
      <c r="A2646">
        <v>565</v>
      </c>
      <c r="B2646" t="s">
        <v>14</v>
      </c>
      <c r="C2646" t="s">
        <v>8</v>
      </c>
      <c r="D2646">
        <v>415.73</v>
      </c>
      <c r="E2646">
        <v>271.01</v>
      </c>
      <c r="F2646">
        <v>25914</v>
      </c>
      <c r="G2646" t="s">
        <v>9</v>
      </c>
      <c r="H2646">
        <f>_xlfn.LET(_xlpm.v, IFERROR(VLOOKUP($A2646, manifest!$A:$E, 3, FALSE), ""), IF(OR(_xlpm.v=0, _xlpm.v=""), "", _xlpm.v))</f>
        <v>60</v>
      </c>
      <c r="I2646" t="str">
        <f>_xlfn.LET(_xlpm.v, IFERROR(VLOOKUP($A2646, manifest!$A:$E, 5, FALSE), ""), IF(OR(_xlpm.v=0, _xlpm.v=""), "", _xlpm.v))</f>
        <v>female</v>
      </c>
    </row>
    <row r="2647" spans="1:9" x14ac:dyDescent="0.6">
      <c r="A2647">
        <v>565</v>
      </c>
      <c r="B2647" t="s">
        <v>14</v>
      </c>
      <c r="C2647" t="s">
        <v>10</v>
      </c>
      <c r="D2647">
        <v>396.42</v>
      </c>
      <c r="E2647">
        <v>285.83</v>
      </c>
      <c r="F2647">
        <v>31427</v>
      </c>
      <c r="H2647">
        <f>_xlfn.LET(_xlpm.v, IFERROR(VLOOKUP($A2647, manifest!$A:$E, 3, FALSE), ""), IF(OR(_xlpm.v=0, _xlpm.v=""), "", _xlpm.v))</f>
        <v>60</v>
      </c>
      <c r="I2647" t="str">
        <f>_xlfn.LET(_xlpm.v, IFERROR(VLOOKUP($A2647, manifest!$A:$E, 5, FALSE), ""), IF(OR(_xlpm.v=0, _xlpm.v=""), "", _xlpm.v))</f>
        <v>female</v>
      </c>
    </row>
    <row r="2648" spans="1:9" x14ac:dyDescent="0.6">
      <c r="A2648">
        <v>565</v>
      </c>
      <c r="B2648" t="s">
        <v>14</v>
      </c>
      <c r="C2648" t="s">
        <v>11</v>
      </c>
      <c r="D2648">
        <v>398.73</v>
      </c>
      <c r="E2648">
        <v>319.48</v>
      </c>
      <c r="F2648">
        <v>34373</v>
      </c>
      <c r="H2648">
        <f>_xlfn.LET(_xlpm.v, IFERROR(VLOOKUP($A2648, manifest!$A:$E, 3, FALSE), ""), IF(OR(_xlpm.v=0, _xlpm.v=""), "", _xlpm.v))</f>
        <v>60</v>
      </c>
      <c r="I2648" t="str">
        <f>_xlfn.LET(_xlpm.v, IFERROR(VLOOKUP($A2648, manifest!$A:$E, 5, FALSE), ""), IF(OR(_xlpm.v=0, _xlpm.v=""), "", _xlpm.v))</f>
        <v>female</v>
      </c>
    </row>
    <row r="2649" spans="1:9" x14ac:dyDescent="0.6">
      <c r="A2649">
        <v>565</v>
      </c>
      <c r="B2649" t="s">
        <v>14</v>
      </c>
      <c r="C2649" t="s">
        <v>12</v>
      </c>
      <c r="D2649">
        <v>357.42</v>
      </c>
      <c r="E2649">
        <v>283.13</v>
      </c>
      <c r="F2649">
        <v>48491</v>
      </c>
      <c r="H2649">
        <f>_xlfn.LET(_xlpm.v, IFERROR(VLOOKUP($A2649, manifest!$A:$E, 3, FALSE), ""), IF(OR(_xlpm.v=0, _xlpm.v=""), "", _xlpm.v))</f>
        <v>60</v>
      </c>
      <c r="I2649" t="str">
        <f>_xlfn.LET(_xlpm.v, IFERROR(VLOOKUP($A2649, manifest!$A:$E, 5, FALSE), ""), IF(OR(_xlpm.v=0, _xlpm.v=""), "", _xlpm.v))</f>
        <v>female</v>
      </c>
    </row>
    <row r="2650" spans="1:9" x14ac:dyDescent="0.6">
      <c r="A2650">
        <v>565</v>
      </c>
      <c r="B2650" t="s">
        <v>14</v>
      </c>
      <c r="C2650" t="s">
        <v>13</v>
      </c>
      <c r="D2650">
        <v>381.76</v>
      </c>
      <c r="E2650">
        <v>271.02999999999997</v>
      </c>
      <c r="F2650">
        <v>45701</v>
      </c>
      <c r="H2650">
        <f>_xlfn.LET(_xlpm.v, IFERROR(VLOOKUP($A2650, manifest!$A:$E, 3, FALSE), ""), IF(OR(_xlpm.v=0, _xlpm.v=""), "", _xlpm.v))</f>
        <v>60</v>
      </c>
      <c r="I2650" t="str">
        <f>_xlfn.LET(_xlpm.v, IFERROR(VLOOKUP($A2650, manifest!$A:$E, 5, FALSE), ""), IF(OR(_xlpm.v=0, _xlpm.v=""), "", _xlpm.v))</f>
        <v>female</v>
      </c>
    </row>
    <row r="2651" spans="1:9" x14ac:dyDescent="0.6">
      <c r="A2651">
        <v>552</v>
      </c>
      <c r="B2651" t="s">
        <v>14</v>
      </c>
      <c r="C2651" t="s">
        <v>8</v>
      </c>
      <c r="D2651">
        <v>147.58000000000001</v>
      </c>
      <c r="E2651">
        <v>117.45</v>
      </c>
      <c r="F2651">
        <v>40440</v>
      </c>
      <c r="G2651" t="s">
        <v>15</v>
      </c>
      <c r="H2651">
        <f>_xlfn.LET(_xlpm.v, IFERROR(VLOOKUP($A2651, manifest!$A:$E, 3, FALSE), ""), IF(OR(_xlpm.v=0, _xlpm.v=""), "", _xlpm.v))</f>
        <v>70</v>
      </c>
      <c r="I2651" t="str">
        <f>_xlfn.LET(_xlpm.v, IFERROR(VLOOKUP($A2651, manifest!$A:$E, 5, FALSE), ""), IF(OR(_xlpm.v=0, _xlpm.v=""), "", _xlpm.v))</f>
        <v>female</v>
      </c>
    </row>
    <row r="2652" spans="1:9" x14ac:dyDescent="0.6">
      <c r="A2652">
        <v>552</v>
      </c>
      <c r="B2652" t="s">
        <v>14</v>
      </c>
      <c r="C2652" t="s">
        <v>10</v>
      </c>
      <c r="D2652">
        <v>150.51</v>
      </c>
      <c r="E2652">
        <v>141.41999999999999</v>
      </c>
      <c r="F2652">
        <v>41859</v>
      </c>
      <c r="H2652">
        <f>_xlfn.LET(_xlpm.v, IFERROR(VLOOKUP($A2652, manifest!$A:$E, 3, FALSE), ""), IF(OR(_xlpm.v=0, _xlpm.v=""), "", _xlpm.v))</f>
        <v>70</v>
      </c>
      <c r="I2652" t="str">
        <f>_xlfn.LET(_xlpm.v, IFERROR(VLOOKUP($A2652, manifest!$A:$E, 5, FALSE), ""), IF(OR(_xlpm.v=0, _xlpm.v=""), "", _xlpm.v))</f>
        <v>female</v>
      </c>
    </row>
    <row r="2653" spans="1:9" x14ac:dyDescent="0.6">
      <c r="A2653">
        <v>552</v>
      </c>
      <c r="B2653" t="s">
        <v>14</v>
      </c>
      <c r="C2653" t="s">
        <v>11</v>
      </c>
      <c r="D2653">
        <v>155.5</v>
      </c>
      <c r="E2653">
        <v>163.25</v>
      </c>
      <c r="F2653">
        <v>52851</v>
      </c>
      <c r="H2653">
        <f>_xlfn.LET(_xlpm.v, IFERROR(VLOOKUP($A2653, manifest!$A:$E, 3, FALSE), ""), IF(OR(_xlpm.v=0, _xlpm.v=""), "", _xlpm.v))</f>
        <v>70</v>
      </c>
      <c r="I2653" t="str">
        <f>_xlfn.LET(_xlpm.v, IFERROR(VLOOKUP($A2653, manifest!$A:$E, 5, FALSE), ""), IF(OR(_xlpm.v=0, _xlpm.v=""), "", _xlpm.v))</f>
        <v>female</v>
      </c>
    </row>
    <row r="2654" spans="1:9" x14ac:dyDescent="0.6">
      <c r="A2654">
        <v>552</v>
      </c>
      <c r="B2654" t="s">
        <v>14</v>
      </c>
      <c r="C2654" t="s">
        <v>12</v>
      </c>
      <c r="D2654">
        <v>149.13</v>
      </c>
      <c r="E2654">
        <v>172.3</v>
      </c>
      <c r="F2654">
        <v>73000</v>
      </c>
      <c r="H2654">
        <f>_xlfn.LET(_xlpm.v, IFERROR(VLOOKUP($A2654, manifest!$A:$E, 3, FALSE), ""), IF(OR(_xlpm.v=0, _xlpm.v=""), "", _xlpm.v))</f>
        <v>70</v>
      </c>
      <c r="I2654" t="str">
        <f>_xlfn.LET(_xlpm.v, IFERROR(VLOOKUP($A2654, manifest!$A:$E, 5, FALSE), ""), IF(OR(_xlpm.v=0, _xlpm.v=""), "", _xlpm.v))</f>
        <v>female</v>
      </c>
    </row>
    <row r="2655" spans="1:9" x14ac:dyDescent="0.6">
      <c r="A2655">
        <v>552</v>
      </c>
      <c r="B2655" t="s">
        <v>14</v>
      </c>
      <c r="C2655" t="s">
        <v>13</v>
      </c>
      <c r="D2655">
        <v>165.46</v>
      </c>
      <c r="E2655">
        <v>178.09</v>
      </c>
      <c r="F2655">
        <v>74497</v>
      </c>
      <c r="H2655">
        <f>_xlfn.LET(_xlpm.v, IFERROR(VLOOKUP($A2655, manifest!$A:$E, 3, FALSE), ""), IF(OR(_xlpm.v=0, _xlpm.v=""), "", _xlpm.v))</f>
        <v>70</v>
      </c>
      <c r="I2655" t="str">
        <f>_xlfn.LET(_xlpm.v, IFERROR(VLOOKUP($A2655, manifest!$A:$E, 5, FALSE), ""), IF(OR(_xlpm.v=0, _xlpm.v=""), "", _xlpm.v))</f>
        <v>female</v>
      </c>
    </row>
    <row r="2656" spans="1:9" x14ac:dyDescent="0.6">
      <c r="A2656">
        <v>564</v>
      </c>
      <c r="B2656" t="s">
        <v>14</v>
      </c>
      <c r="C2656" t="s">
        <v>8</v>
      </c>
      <c r="D2656">
        <v>361.75</v>
      </c>
      <c r="E2656">
        <v>229.11</v>
      </c>
      <c r="F2656">
        <v>16459</v>
      </c>
      <c r="G2656" t="s">
        <v>9</v>
      </c>
      <c r="H2656">
        <f>_xlfn.LET(_xlpm.v, IFERROR(VLOOKUP($A2656, manifest!$A:$E, 3, FALSE), ""), IF(OR(_xlpm.v=0, _xlpm.v=""), "", _xlpm.v))</f>
        <v>50</v>
      </c>
      <c r="I2656" t="str">
        <f>_xlfn.LET(_xlpm.v, IFERROR(VLOOKUP($A2656, manifest!$A:$E, 5, FALSE), ""), IF(OR(_xlpm.v=0, _xlpm.v=""), "", _xlpm.v))</f>
        <v>female</v>
      </c>
    </row>
    <row r="2657" spans="1:9" x14ac:dyDescent="0.6">
      <c r="A2657">
        <v>564</v>
      </c>
      <c r="B2657" t="s">
        <v>14</v>
      </c>
      <c r="C2657" t="s">
        <v>10</v>
      </c>
      <c r="D2657">
        <v>349.36</v>
      </c>
      <c r="E2657">
        <v>246.95</v>
      </c>
      <c r="F2657">
        <v>19134</v>
      </c>
      <c r="H2657">
        <f>_xlfn.LET(_xlpm.v, IFERROR(VLOOKUP($A2657, manifest!$A:$E, 3, FALSE), ""), IF(OR(_xlpm.v=0, _xlpm.v=""), "", _xlpm.v))</f>
        <v>50</v>
      </c>
      <c r="I2657" t="str">
        <f>_xlfn.LET(_xlpm.v, IFERROR(VLOOKUP($A2657, manifest!$A:$E, 5, FALSE), ""), IF(OR(_xlpm.v=0, _xlpm.v=""), "", _xlpm.v))</f>
        <v>female</v>
      </c>
    </row>
    <row r="2658" spans="1:9" x14ac:dyDescent="0.6">
      <c r="A2658">
        <v>564</v>
      </c>
      <c r="B2658" t="s">
        <v>14</v>
      </c>
      <c r="C2658" t="s">
        <v>11</v>
      </c>
      <c r="D2658">
        <v>312.61</v>
      </c>
      <c r="E2658">
        <v>231.81</v>
      </c>
      <c r="F2658">
        <v>31045</v>
      </c>
      <c r="H2658">
        <f>_xlfn.LET(_xlpm.v, IFERROR(VLOOKUP($A2658, manifest!$A:$E, 3, FALSE), ""), IF(OR(_xlpm.v=0, _xlpm.v=""), "", _xlpm.v))</f>
        <v>50</v>
      </c>
      <c r="I2658" t="str">
        <f>_xlfn.LET(_xlpm.v, IFERROR(VLOOKUP($A2658, manifest!$A:$E, 5, FALSE), ""), IF(OR(_xlpm.v=0, _xlpm.v=""), "", _xlpm.v))</f>
        <v>female</v>
      </c>
    </row>
    <row r="2659" spans="1:9" x14ac:dyDescent="0.6">
      <c r="A2659">
        <v>564</v>
      </c>
      <c r="B2659" t="s">
        <v>14</v>
      </c>
      <c r="C2659" t="s">
        <v>12</v>
      </c>
      <c r="D2659">
        <v>373.61</v>
      </c>
      <c r="E2659">
        <v>271.06</v>
      </c>
      <c r="F2659">
        <v>32068</v>
      </c>
      <c r="H2659">
        <f>_xlfn.LET(_xlpm.v, IFERROR(VLOOKUP($A2659, manifest!$A:$E, 3, FALSE), ""), IF(OR(_xlpm.v=0, _xlpm.v=""), "", _xlpm.v))</f>
        <v>50</v>
      </c>
      <c r="I2659" t="str">
        <f>_xlfn.LET(_xlpm.v, IFERROR(VLOOKUP($A2659, manifest!$A:$E, 5, FALSE), ""), IF(OR(_xlpm.v=0, _xlpm.v=""), "", _xlpm.v))</f>
        <v>female</v>
      </c>
    </row>
    <row r="2660" spans="1:9" x14ac:dyDescent="0.6">
      <c r="A2660">
        <v>574</v>
      </c>
      <c r="B2660" t="s">
        <v>14</v>
      </c>
      <c r="C2660" t="s">
        <v>8</v>
      </c>
      <c r="D2660">
        <v>100.84</v>
      </c>
      <c r="E2660">
        <v>100.9</v>
      </c>
      <c r="F2660">
        <v>27568</v>
      </c>
      <c r="G2660" t="s">
        <v>17</v>
      </c>
      <c r="H2660">
        <f>_xlfn.LET(_xlpm.v, IFERROR(VLOOKUP($A2660, manifest!$A:$E, 3, FALSE), ""), IF(OR(_xlpm.v=0, _xlpm.v=""), "", _xlpm.v))</f>
        <v>60</v>
      </c>
      <c r="I2660" t="str">
        <f>_xlfn.LET(_xlpm.v, IFERROR(VLOOKUP($A2660, manifest!$A:$E, 5, FALSE), ""), IF(OR(_xlpm.v=0, _xlpm.v=""), "", _xlpm.v))</f>
        <v>female</v>
      </c>
    </row>
    <row r="2661" spans="1:9" x14ac:dyDescent="0.6">
      <c r="A2661">
        <v>574</v>
      </c>
      <c r="B2661" t="s">
        <v>14</v>
      </c>
      <c r="C2661" t="s">
        <v>10</v>
      </c>
      <c r="D2661">
        <v>104.65</v>
      </c>
      <c r="E2661">
        <v>121.18</v>
      </c>
      <c r="F2661">
        <v>34513</v>
      </c>
      <c r="H2661">
        <f>_xlfn.LET(_xlpm.v, IFERROR(VLOOKUP($A2661, manifest!$A:$E, 3, FALSE), ""), IF(OR(_xlpm.v=0, _xlpm.v=""), "", _xlpm.v))</f>
        <v>60</v>
      </c>
      <c r="I2661" t="str">
        <f>_xlfn.LET(_xlpm.v, IFERROR(VLOOKUP($A2661, manifest!$A:$E, 5, FALSE), ""), IF(OR(_xlpm.v=0, _xlpm.v=""), "", _xlpm.v))</f>
        <v>female</v>
      </c>
    </row>
    <row r="2662" spans="1:9" x14ac:dyDescent="0.6">
      <c r="A2662">
        <v>574</v>
      </c>
      <c r="B2662" t="s">
        <v>14</v>
      </c>
      <c r="C2662" t="s">
        <v>11</v>
      </c>
      <c r="D2662">
        <v>104.56</v>
      </c>
      <c r="E2662">
        <v>116.38</v>
      </c>
      <c r="F2662">
        <v>46481</v>
      </c>
      <c r="H2662">
        <f>_xlfn.LET(_xlpm.v, IFERROR(VLOOKUP($A2662, manifest!$A:$E, 3, FALSE), ""), IF(OR(_xlpm.v=0, _xlpm.v=""), "", _xlpm.v))</f>
        <v>60</v>
      </c>
      <c r="I2662" t="str">
        <f>_xlfn.LET(_xlpm.v, IFERROR(VLOOKUP($A2662, manifest!$A:$E, 5, FALSE), ""), IF(OR(_xlpm.v=0, _xlpm.v=""), "", _xlpm.v))</f>
        <v>female</v>
      </c>
    </row>
    <row r="2663" spans="1:9" x14ac:dyDescent="0.6">
      <c r="A2663">
        <v>574</v>
      </c>
      <c r="B2663" t="s">
        <v>14</v>
      </c>
      <c r="C2663" t="s">
        <v>12</v>
      </c>
      <c r="D2663">
        <v>86.97</v>
      </c>
      <c r="E2663">
        <v>149.81</v>
      </c>
      <c r="F2663">
        <v>42757</v>
      </c>
      <c r="H2663">
        <f>_xlfn.LET(_xlpm.v, IFERROR(VLOOKUP($A2663, manifest!$A:$E, 3, FALSE), ""), IF(OR(_xlpm.v=0, _xlpm.v=""), "", _xlpm.v))</f>
        <v>60</v>
      </c>
      <c r="I2663" t="str">
        <f>_xlfn.LET(_xlpm.v, IFERROR(VLOOKUP($A2663, manifest!$A:$E, 5, FALSE), ""), IF(OR(_xlpm.v=0, _xlpm.v=""), "", _xlpm.v))</f>
        <v>female</v>
      </c>
    </row>
    <row r="2664" spans="1:9" x14ac:dyDescent="0.6">
      <c r="A2664">
        <v>574</v>
      </c>
      <c r="B2664" t="s">
        <v>14</v>
      </c>
      <c r="C2664" t="s">
        <v>13</v>
      </c>
      <c r="D2664">
        <v>134.26</v>
      </c>
      <c r="E2664">
        <v>145.61000000000001</v>
      </c>
      <c r="F2664">
        <v>58229</v>
      </c>
      <c r="H2664">
        <f>_xlfn.LET(_xlpm.v, IFERROR(VLOOKUP($A2664, manifest!$A:$E, 3, FALSE), ""), IF(OR(_xlpm.v=0, _xlpm.v=""), "", _xlpm.v))</f>
        <v>60</v>
      </c>
      <c r="I2664" t="str">
        <f>_xlfn.LET(_xlpm.v, IFERROR(VLOOKUP($A2664, manifest!$A:$E, 5, FALSE), ""), IF(OR(_xlpm.v=0, _xlpm.v=""), "", _xlpm.v))</f>
        <v>female</v>
      </c>
    </row>
    <row r="2665" spans="1:9" x14ac:dyDescent="0.6">
      <c r="A2665">
        <v>566</v>
      </c>
      <c r="B2665" t="s">
        <v>7</v>
      </c>
      <c r="C2665" t="s">
        <v>8</v>
      </c>
      <c r="D2665">
        <v>169.75</v>
      </c>
      <c r="E2665">
        <v>102.54</v>
      </c>
      <c r="F2665">
        <v>31195</v>
      </c>
      <c r="G2665" t="s">
        <v>9</v>
      </c>
      <c r="H2665">
        <f>_xlfn.LET(_xlpm.v, IFERROR(VLOOKUP($A2665, manifest!$A:$E, 3, FALSE), ""), IF(OR(_xlpm.v=0, _xlpm.v=""), "", _xlpm.v))</f>
        <v>70</v>
      </c>
      <c r="I2665" t="str">
        <f>_xlfn.LET(_xlpm.v, IFERROR(VLOOKUP($A2665, manifest!$A:$E, 5, FALSE), ""), IF(OR(_xlpm.v=0, _xlpm.v=""), "", _xlpm.v))</f>
        <v>female</v>
      </c>
    </row>
    <row r="2666" spans="1:9" x14ac:dyDescent="0.6">
      <c r="A2666">
        <v>566</v>
      </c>
      <c r="B2666" t="s">
        <v>7</v>
      </c>
      <c r="C2666" t="s">
        <v>10</v>
      </c>
      <c r="D2666">
        <v>181.52</v>
      </c>
      <c r="E2666">
        <v>114.16</v>
      </c>
      <c r="F2666">
        <v>35071</v>
      </c>
      <c r="H2666">
        <f>_xlfn.LET(_xlpm.v, IFERROR(VLOOKUP($A2666, manifest!$A:$E, 3, FALSE), ""), IF(OR(_xlpm.v=0, _xlpm.v=""), "", _xlpm.v))</f>
        <v>70</v>
      </c>
      <c r="I2666" t="str">
        <f>_xlfn.LET(_xlpm.v, IFERROR(VLOOKUP($A2666, manifest!$A:$E, 5, FALSE), ""), IF(OR(_xlpm.v=0, _xlpm.v=""), "", _xlpm.v))</f>
        <v>female</v>
      </c>
    </row>
    <row r="2667" spans="1:9" x14ac:dyDescent="0.6">
      <c r="A2667">
        <v>566</v>
      </c>
      <c r="B2667" t="s">
        <v>7</v>
      </c>
      <c r="C2667" t="s">
        <v>11</v>
      </c>
      <c r="D2667">
        <v>172.59</v>
      </c>
      <c r="E2667">
        <v>122.49</v>
      </c>
      <c r="F2667">
        <v>36274</v>
      </c>
      <c r="H2667">
        <f>_xlfn.LET(_xlpm.v, IFERROR(VLOOKUP($A2667, manifest!$A:$E, 3, FALSE), ""), IF(OR(_xlpm.v=0, _xlpm.v=""), "", _xlpm.v))</f>
        <v>70</v>
      </c>
      <c r="I2667" t="str">
        <f>_xlfn.LET(_xlpm.v, IFERROR(VLOOKUP($A2667, manifest!$A:$E, 5, FALSE), ""), IF(OR(_xlpm.v=0, _xlpm.v=""), "", _xlpm.v))</f>
        <v>female</v>
      </c>
    </row>
    <row r="2668" spans="1:9" x14ac:dyDescent="0.6">
      <c r="A2668">
        <v>566</v>
      </c>
      <c r="B2668" t="s">
        <v>7</v>
      </c>
      <c r="C2668" t="s">
        <v>12</v>
      </c>
      <c r="D2668">
        <v>189.52</v>
      </c>
      <c r="E2668">
        <v>143.56</v>
      </c>
      <c r="F2668">
        <v>44351</v>
      </c>
      <c r="H2668">
        <f>_xlfn.LET(_xlpm.v, IFERROR(VLOOKUP($A2668, manifest!$A:$E, 3, FALSE), ""), IF(OR(_xlpm.v=0, _xlpm.v=""), "", _xlpm.v))</f>
        <v>70</v>
      </c>
      <c r="I2668" t="str">
        <f>_xlfn.LET(_xlpm.v, IFERROR(VLOOKUP($A2668, manifest!$A:$E, 5, FALSE), ""), IF(OR(_xlpm.v=0, _xlpm.v=""), "", _xlpm.v))</f>
        <v>female</v>
      </c>
    </row>
    <row r="2669" spans="1:9" x14ac:dyDescent="0.6">
      <c r="A2669">
        <v>566</v>
      </c>
      <c r="B2669" t="s">
        <v>7</v>
      </c>
      <c r="C2669" t="s">
        <v>13</v>
      </c>
      <c r="D2669">
        <v>185.52</v>
      </c>
      <c r="E2669">
        <v>158.91999999999999</v>
      </c>
      <c r="F2669">
        <v>52744</v>
      </c>
      <c r="H2669">
        <f>_xlfn.LET(_xlpm.v, IFERROR(VLOOKUP($A2669, manifest!$A:$E, 3, FALSE), ""), IF(OR(_xlpm.v=0, _xlpm.v=""), "", _xlpm.v))</f>
        <v>70</v>
      </c>
      <c r="I2669" t="str">
        <f>_xlfn.LET(_xlpm.v, IFERROR(VLOOKUP($A2669, manifest!$A:$E, 5, FALSE), ""), IF(OR(_xlpm.v=0, _xlpm.v=""), "", _xlpm.v))</f>
        <v>female</v>
      </c>
    </row>
    <row r="2670" spans="1:9" x14ac:dyDescent="0.6">
      <c r="A2670">
        <v>573</v>
      </c>
      <c r="B2670" t="s">
        <v>14</v>
      </c>
      <c r="C2670" t="s">
        <v>8</v>
      </c>
      <c r="D2670">
        <v>225.48</v>
      </c>
      <c r="E2670">
        <v>148.35</v>
      </c>
      <c r="F2670">
        <v>21357</v>
      </c>
      <c r="G2670" t="s">
        <v>9</v>
      </c>
      <c r="H2670">
        <f>_xlfn.LET(_xlpm.v, IFERROR(VLOOKUP($A2670, manifest!$A:$E, 3, FALSE), ""), IF(OR(_xlpm.v=0, _xlpm.v=""), "", _xlpm.v))</f>
        <v>60</v>
      </c>
      <c r="I2670" t="str">
        <f>_xlfn.LET(_xlpm.v, IFERROR(VLOOKUP($A2670, manifest!$A:$E, 5, FALSE), ""), IF(OR(_xlpm.v=0, _xlpm.v=""), "", _xlpm.v))</f>
        <v>female</v>
      </c>
    </row>
    <row r="2671" spans="1:9" x14ac:dyDescent="0.6">
      <c r="A2671">
        <v>573</v>
      </c>
      <c r="B2671" t="s">
        <v>14</v>
      </c>
      <c r="C2671" t="s">
        <v>10</v>
      </c>
      <c r="D2671">
        <v>242.92</v>
      </c>
      <c r="E2671">
        <v>176.4</v>
      </c>
      <c r="F2671">
        <v>23574</v>
      </c>
      <c r="H2671">
        <f>_xlfn.LET(_xlpm.v, IFERROR(VLOOKUP($A2671, manifest!$A:$E, 3, FALSE), ""), IF(OR(_xlpm.v=0, _xlpm.v=""), "", _xlpm.v))</f>
        <v>60</v>
      </c>
      <c r="I2671" t="str">
        <f>_xlfn.LET(_xlpm.v, IFERROR(VLOOKUP($A2671, manifest!$A:$E, 5, FALSE), ""), IF(OR(_xlpm.v=0, _xlpm.v=""), "", _xlpm.v))</f>
        <v>female</v>
      </c>
    </row>
    <row r="2672" spans="1:9" x14ac:dyDescent="0.6">
      <c r="A2672">
        <v>573</v>
      </c>
      <c r="B2672" t="s">
        <v>14</v>
      </c>
      <c r="C2672" t="s">
        <v>11</v>
      </c>
      <c r="D2672">
        <v>241.08</v>
      </c>
      <c r="E2672">
        <v>203.21</v>
      </c>
      <c r="F2672">
        <v>26279</v>
      </c>
      <c r="H2672">
        <f>_xlfn.LET(_xlpm.v, IFERROR(VLOOKUP($A2672, manifest!$A:$E, 3, FALSE), ""), IF(OR(_xlpm.v=0, _xlpm.v=""), "", _xlpm.v))</f>
        <v>60</v>
      </c>
      <c r="I2672" t="str">
        <f>_xlfn.LET(_xlpm.v, IFERROR(VLOOKUP($A2672, manifest!$A:$E, 5, FALSE), ""), IF(OR(_xlpm.v=0, _xlpm.v=""), "", _xlpm.v))</f>
        <v>female</v>
      </c>
    </row>
    <row r="2673" spans="1:9" x14ac:dyDescent="0.6">
      <c r="A2673">
        <v>573</v>
      </c>
      <c r="B2673" t="s">
        <v>14</v>
      </c>
      <c r="C2673" t="s">
        <v>12</v>
      </c>
      <c r="D2673">
        <v>234.38</v>
      </c>
      <c r="E2673">
        <v>181.09</v>
      </c>
      <c r="F2673">
        <v>33511</v>
      </c>
      <c r="H2673">
        <f>_xlfn.LET(_xlpm.v, IFERROR(VLOOKUP($A2673, manifest!$A:$E, 3, FALSE), ""), IF(OR(_xlpm.v=0, _xlpm.v=""), "", _xlpm.v))</f>
        <v>60</v>
      </c>
      <c r="I2673" t="str">
        <f>_xlfn.LET(_xlpm.v, IFERROR(VLOOKUP($A2673, manifest!$A:$E, 5, FALSE), ""), IF(OR(_xlpm.v=0, _xlpm.v=""), "", _xlpm.v))</f>
        <v>female</v>
      </c>
    </row>
    <row r="2674" spans="1:9" x14ac:dyDescent="0.6">
      <c r="A2674">
        <v>573</v>
      </c>
      <c r="B2674" t="s">
        <v>14</v>
      </c>
      <c r="C2674" t="s">
        <v>13</v>
      </c>
      <c r="D2674">
        <v>235.31</v>
      </c>
      <c r="E2674">
        <v>200.38</v>
      </c>
      <c r="F2674">
        <v>37376</v>
      </c>
      <c r="H2674">
        <f>_xlfn.LET(_xlpm.v, IFERROR(VLOOKUP($A2674, manifest!$A:$E, 3, FALSE), ""), IF(OR(_xlpm.v=0, _xlpm.v=""), "", _xlpm.v))</f>
        <v>60</v>
      </c>
      <c r="I2674" t="str">
        <f>_xlfn.LET(_xlpm.v, IFERROR(VLOOKUP($A2674, manifest!$A:$E, 5, FALSE), ""), IF(OR(_xlpm.v=0, _xlpm.v=""), "", _xlpm.v))</f>
        <v>female</v>
      </c>
    </row>
    <row r="2675" spans="1:9" x14ac:dyDescent="0.6">
      <c r="A2675">
        <v>569</v>
      </c>
      <c r="B2675" t="s">
        <v>7</v>
      </c>
      <c r="C2675" t="s">
        <v>8</v>
      </c>
      <c r="D2675">
        <v>171.69</v>
      </c>
      <c r="E2675">
        <v>142.80000000000001</v>
      </c>
      <c r="F2675">
        <v>35845</v>
      </c>
      <c r="G2675" t="s">
        <v>9</v>
      </c>
      <c r="H2675">
        <f>_xlfn.LET(_xlpm.v, IFERROR(VLOOKUP($A2675, manifest!$A:$E, 3, FALSE), ""), IF(OR(_xlpm.v=0, _xlpm.v=""), "", _xlpm.v))</f>
        <v>80</v>
      </c>
      <c r="I2675" t="str">
        <f>_xlfn.LET(_xlpm.v, IFERROR(VLOOKUP($A2675, manifest!$A:$E, 5, FALSE), ""), IF(OR(_xlpm.v=0, _xlpm.v=""), "", _xlpm.v))</f>
        <v>male</v>
      </c>
    </row>
    <row r="2676" spans="1:9" x14ac:dyDescent="0.6">
      <c r="A2676">
        <v>569</v>
      </c>
      <c r="B2676" t="s">
        <v>7</v>
      </c>
      <c r="C2676" t="s">
        <v>10</v>
      </c>
      <c r="D2676">
        <v>181.34</v>
      </c>
      <c r="E2676">
        <v>169.54</v>
      </c>
      <c r="F2676">
        <v>38920</v>
      </c>
      <c r="H2676">
        <f>_xlfn.LET(_xlpm.v, IFERROR(VLOOKUP($A2676, manifest!$A:$E, 3, FALSE), ""), IF(OR(_xlpm.v=0, _xlpm.v=""), "", _xlpm.v))</f>
        <v>80</v>
      </c>
      <c r="I2676" t="str">
        <f>_xlfn.LET(_xlpm.v, IFERROR(VLOOKUP($A2676, manifest!$A:$E, 5, FALSE), ""), IF(OR(_xlpm.v=0, _xlpm.v=""), "", _xlpm.v))</f>
        <v>male</v>
      </c>
    </row>
    <row r="2677" spans="1:9" x14ac:dyDescent="0.6">
      <c r="A2677">
        <v>569</v>
      </c>
      <c r="B2677" t="s">
        <v>7</v>
      </c>
      <c r="C2677" t="s">
        <v>11</v>
      </c>
      <c r="D2677">
        <v>175.2</v>
      </c>
      <c r="E2677">
        <v>163.34</v>
      </c>
      <c r="F2677">
        <v>41790</v>
      </c>
      <c r="H2677">
        <f>_xlfn.LET(_xlpm.v, IFERROR(VLOOKUP($A2677, manifest!$A:$E, 3, FALSE), ""), IF(OR(_xlpm.v=0, _xlpm.v=""), "", _xlpm.v))</f>
        <v>80</v>
      </c>
      <c r="I2677" t="str">
        <f>_xlfn.LET(_xlpm.v, IFERROR(VLOOKUP($A2677, manifest!$A:$E, 5, FALSE), ""), IF(OR(_xlpm.v=0, _xlpm.v=""), "", _xlpm.v))</f>
        <v>male</v>
      </c>
    </row>
    <row r="2678" spans="1:9" x14ac:dyDescent="0.6">
      <c r="A2678">
        <v>569</v>
      </c>
      <c r="B2678" t="s">
        <v>7</v>
      </c>
      <c r="C2678" t="s">
        <v>12</v>
      </c>
      <c r="D2678">
        <v>172.8</v>
      </c>
      <c r="E2678">
        <v>166.73</v>
      </c>
      <c r="F2678">
        <v>49764</v>
      </c>
      <c r="H2678">
        <f>_xlfn.LET(_xlpm.v, IFERROR(VLOOKUP($A2678, manifest!$A:$E, 3, FALSE), ""), IF(OR(_xlpm.v=0, _xlpm.v=""), "", _xlpm.v))</f>
        <v>80</v>
      </c>
      <c r="I2678" t="str">
        <f>_xlfn.LET(_xlpm.v, IFERROR(VLOOKUP($A2678, manifest!$A:$E, 5, FALSE), ""), IF(OR(_xlpm.v=0, _xlpm.v=""), "", _xlpm.v))</f>
        <v>male</v>
      </c>
    </row>
    <row r="2679" spans="1:9" x14ac:dyDescent="0.6">
      <c r="A2679">
        <v>569</v>
      </c>
      <c r="B2679" t="s">
        <v>7</v>
      </c>
      <c r="C2679" t="s">
        <v>13</v>
      </c>
      <c r="D2679">
        <v>200.11</v>
      </c>
      <c r="E2679">
        <v>200.38</v>
      </c>
      <c r="F2679">
        <v>50686</v>
      </c>
      <c r="H2679">
        <f>_xlfn.LET(_xlpm.v, IFERROR(VLOOKUP($A2679, manifest!$A:$E, 3, FALSE), ""), IF(OR(_xlpm.v=0, _xlpm.v=""), "", _xlpm.v))</f>
        <v>80</v>
      </c>
      <c r="I2679" t="str">
        <f>_xlfn.LET(_xlpm.v, IFERROR(VLOOKUP($A2679, manifest!$A:$E, 5, FALSE), ""), IF(OR(_xlpm.v=0, _xlpm.v=""), "", _xlpm.v))</f>
        <v>male</v>
      </c>
    </row>
    <row r="2680" spans="1:9" x14ac:dyDescent="0.6">
      <c r="A2680">
        <v>548</v>
      </c>
      <c r="B2680" t="s">
        <v>14</v>
      </c>
      <c r="C2680" t="s">
        <v>8</v>
      </c>
      <c r="D2680">
        <v>204.91</v>
      </c>
      <c r="E2680">
        <v>181.49</v>
      </c>
      <c r="F2680">
        <v>24682</v>
      </c>
      <c r="G2680" t="s">
        <v>9</v>
      </c>
      <c r="H2680">
        <f>_xlfn.LET(_xlpm.v, IFERROR(VLOOKUP($A2680, manifest!$A:$E, 3, FALSE), ""), IF(OR(_xlpm.v=0, _xlpm.v=""), "", _xlpm.v))</f>
        <v>50</v>
      </c>
      <c r="I2680" t="str">
        <f>_xlfn.LET(_xlpm.v, IFERROR(VLOOKUP($A2680, manifest!$A:$E, 5, FALSE), ""), IF(OR(_xlpm.v=0, _xlpm.v=""), "", _xlpm.v))</f>
        <v>male</v>
      </c>
    </row>
    <row r="2681" spans="1:9" x14ac:dyDescent="0.6">
      <c r="A2681">
        <v>548</v>
      </c>
      <c r="B2681" t="s">
        <v>14</v>
      </c>
      <c r="C2681" t="s">
        <v>10</v>
      </c>
      <c r="D2681">
        <v>221.71</v>
      </c>
      <c r="E2681">
        <v>213.6</v>
      </c>
      <c r="F2681">
        <v>27268</v>
      </c>
      <c r="H2681">
        <f>_xlfn.LET(_xlpm.v, IFERROR(VLOOKUP($A2681, manifest!$A:$E, 3, FALSE), ""), IF(OR(_xlpm.v=0, _xlpm.v=""), "", _xlpm.v))</f>
        <v>50</v>
      </c>
      <c r="I2681" t="str">
        <f>_xlfn.LET(_xlpm.v, IFERROR(VLOOKUP($A2681, manifest!$A:$E, 5, FALSE), ""), IF(OR(_xlpm.v=0, _xlpm.v=""), "", _xlpm.v))</f>
        <v>male</v>
      </c>
    </row>
    <row r="2682" spans="1:9" x14ac:dyDescent="0.6">
      <c r="A2682">
        <v>548</v>
      </c>
      <c r="B2682" t="s">
        <v>14</v>
      </c>
      <c r="C2682" t="s">
        <v>11</v>
      </c>
      <c r="D2682">
        <v>219.58</v>
      </c>
      <c r="E2682">
        <v>212.01</v>
      </c>
      <c r="F2682">
        <v>30433</v>
      </c>
      <c r="H2682">
        <f>_xlfn.LET(_xlpm.v, IFERROR(VLOOKUP($A2682, manifest!$A:$E, 3, FALSE), ""), IF(OR(_xlpm.v=0, _xlpm.v=""), "", _xlpm.v))</f>
        <v>50</v>
      </c>
      <c r="I2682" t="str">
        <f>_xlfn.LET(_xlpm.v, IFERROR(VLOOKUP($A2682, manifest!$A:$E, 5, FALSE), ""), IF(OR(_xlpm.v=0, _xlpm.v=""), "", _xlpm.v))</f>
        <v>male</v>
      </c>
    </row>
    <row r="2683" spans="1:9" x14ac:dyDescent="0.6">
      <c r="A2683">
        <v>548</v>
      </c>
      <c r="B2683" t="s">
        <v>14</v>
      </c>
      <c r="C2683" t="s">
        <v>12</v>
      </c>
      <c r="D2683">
        <v>225.99</v>
      </c>
      <c r="E2683">
        <v>224.48</v>
      </c>
      <c r="F2683">
        <v>30905</v>
      </c>
      <c r="H2683">
        <f>_xlfn.LET(_xlpm.v, IFERROR(VLOOKUP($A2683, manifest!$A:$E, 3, FALSE), ""), IF(OR(_xlpm.v=0, _xlpm.v=""), "", _xlpm.v))</f>
        <v>50</v>
      </c>
      <c r="I2683" t="str">
        <f>_xlfn.LET(_xlpm.v, IFERROR(VLOOKUP($A2683, manifest!$A:$E, 5, FALSE), ""), IF(OR(_xlpm.v=0, _xlpm.v=""), "", _xlpm.v))</f>
        <v>male</v>
      </c>
    </row>
    <row r="2684" spans="1:9" x14ac:dyDescent="0.6">
      <c r="A2684">
        <v>548</v>
      </c>
      <c r="B2684" t="s">
        <v>14</v>
      </c>
      <c r="C2684" t="s">
        <v>13</v>
      </c>
      <c r="D2684">
        <v>209.31</v>
      </c>
      <c r="E2684">
        <v>202.51</v>
      </c>
      <c r="F2684">
        <v>37503</v>
      </c>
      <c r="H2684">
        <f>_xlfn.LET(_xlpm.v, IFERROR(VLOOKUP($A2684, manifest!$A:$E, 3, FALSE), ""), IF(OR(_xlpm.v=0, _xlpm.v=""), "", _xlpm.v))</f>
        <v>50</v>
      </c>
      <c r="I2684" t="str">
        <f>_xlfn.LET(_xlpm.v, IFERROR(VLOOKUP($A2684, manifest!$A:$E, 5, FALSE), ""), IF(OR(_xlpm.v=0, _xlpm.v=""), "", _xlpm.v))</f>
        <v>male</v>
      </c>
    </row>
    <row r="2685" spans="1:9" x14ac:dyDescent="0.6">
      <c r="A2685">
        <v>571</v>
      </c>
      <c r="B2685" t="s">
        <v>14</v>
      </c>
      <c r="C2685" t="s">
        <v>8</v>
      </c>
      <c r="D2685">
        <v>139.53</v>
      </c>
      <c r="E2685">
        <v>133.9</v>
      </c>
      <c r="F2685">
        <v>44642</v>
      </c>
      <c r="G2685" t="s">
        <v>15</v>
      </c>
      <c r="H2685">
        <f>_xlfn.LET(_xlpm.v, IFERROR(VLOOKUP($A2685, manifest!$A:$E, 3, FALSE), ""), IF(OR(_xlpm.v=0, _xlpm.v=""), "", _xlpm.v))</f>
        <v>60</v>
      </c>
      <c r="I2685" t="str">
        <f>_xlfn.LET(_xlpm.v, IFERROR(VLOOKUP($A2685, manifest!$A:$E, 5, FALSE), ""), IF(OR(_xlpm.v=0, _xlpm.v=""), "", _xlpm.v))</f>
        <v>male</v>
      </c>
    </row>
    <row r="2686" spans="1:9" x14ac:dyDescent="0.6">
      <c r="A2686">
        <v>571</v>
      </c>
      <c r="B2686" t="s">
        <v>14</v>
      </c>
      <c r="C2686" t="s">
        <v>10</v>
      </c>
      <c r="D2686">
        <v>151.80000000000001</v>
      </c>
      <c r="E2686">
        <v>156.37</v>
      </c>
      <c r="F2686">
        <v>45456</v>
      </c>
      <c r="H2686">
        <f>_xlfn.LET(_xlpm.v, IFERROR(VLOOKUP($A2686, manifest!$A:$E, 3, FALSE), ""), IF(OR(_xlpm.v=0, _xlpm.v=""), "", _xlpm.v))</f>
        <v>60</v>
      </c>
      <c r="I2686" t="str">
        <f>_xlfn.LET(_xlpm.v, IFERROR(VLOOKUP($A2686, manifest!$A:$E, 5, FALSE), ""), IF(OR(_xlpm.v=0, _xlpm.v=""), "", _xlpm.v))</f>
        <v>male</v>
      </c>
    </row>
    <row r="2687" spans="1:9" x14ac:dyDescent="0.6">
      <c r="A2687">
        <v>571</v>
      </c>
      <c r="B2687" t="s">
        <v>14</v>
      </c>
      <c r="C2687" t="s">
        <v>11</v>
      </c>
      <c r="D2687">
        <v>147.69</v>
      </c>
      <c r="E2687">
        <v>150.96</v>
      </c>
      <c r="F2687">
        <v>77022</v>
      </c>
      <c r="H2687">
        <f>_xlfn.LET(_xlpm.v, IFERROR(VLOOKUP($A2687, manifest!$A:$E, 3, FALSE), ""), IF(OR(_xlpm.v=0, _xlpm.v=""), "", _xlpm.v))</f>
        <v>60</v>
      </c>
      <c r="I2687" t="str">
        <f>_xlfn.LET(_xlpm.v, IFERROR(VLOOKUP($A2687, manifest!$A:$E, 5, FALSE), ""), IF(OR(_xlpm.v=0, _xlpm.v=""), "", _xlpm.v))</f>
        <v>male</v>
      </c>
    </row>
    <row r="2688" spans="1:9" x14ac:dyDescent="0.6">
      <c r="A2688">
        <v>571</v>
      </c>
      <c r="B2688" t="s">
        <v>14</v>
      </c>
      <c r="C2688" t="s">
        <v>12</v>
      </c>
      <c r="D2688">
        <v>182.27</v>
      </c>
      <c r="E2688">
        <v>175.74</v>
      </c>
      <c r="F2688">
        <v>76452</v>
      </c>
      <c r="H2688">
        <f>_xlfn.LET(_xlpm.v, IFERROR(VLOOKUP($A2688, manifest!$A:$E, 3, FALSE), ""), IF(OR(_xlpm.v=0, _xlpm.v=""), "", _xlpm.v))</f>
        <v>60</v>
      </c>
      <c r="I2688" t="str">
        <f>_xlfn.LET(_xlpm.v, IFERROR(VLOOKUP($A2688, manifest!$A:$E, 5, FALSE), ""), IF(OR(_xlpm.v=0, _xlpm.v=""), "", _xlpm.v))</f>
        <v>male</v>
      </c>
    </row>
    <row r="2689" spans="1:9" x14ac:dyDescent="0.6">
      <c r="A2689">
        <v>571</v>
      </c>
      <c r="B2689" t="s">
        <v>14</v>
      </c>
      <c r="C2689" t="s">
        <v>13</v>
      </c>
      <c r="D2689">
        <v>272.17</v>
      </c>
      <c r="E2689">
        <v>187.53</v>
      </c>
      <c r="F2689">
        <v>91458</v>
      </c>
      <c r="H2689">
        <f>_xlfn.LET(_xlpm.v, IFERROR(VLOOKUP($A2689, manifest!$A:$E, 3, FALSE), ""), IF(OR(_xlpm.v=0, _xlpm.v=""), "", _xlpm.v))</f>
        <v>60</v>
      </c>
      <c r="I2689" t="str">
        <f>_xlfn.LET(_xlpm.v, IFERROR(VLOOKUP($A2689, manifest!$A:$E, 5, FALSE), ""), IF(OR(_xlpm.v=0, _xlpm.v=""), "", _xlpm.v))</f>
        <v>male</v>
      </c>
    </row>
    <row r="2690" spans="1:9" x14ac:dyDescent="0.6">
      <c r="A2690">
        <v>568</v>
      </c>
      <c r="B2690" t="s">
        <v>7</v>
      </c>
      <c r="C2690" t="s">
        <v>8</v>
      </c>
      <c r="D2690">
        <v>236.59</v>
      </c>
      <c r="E2690">
        <v>165.6</v>
      </c>
      <c r="F2690">
        <v>43486</v>
      </c>
      <c r="G2690" t="s">
        <v>9</v>
      </c>
      <c r="H2690">
        <f>_xlfn.LET(_xlpm.v, IFERROR(VLOOKUP($A2690, manifest!$A:$E, 3, FALSE), ""), IF(OR(_xlpm.v=0, _xlpm.v=""), "", _xlpm.v))</f>
        <v>60</v>
      </c>
      <c r="I2690" t="str">
        <f>_xlfn.LET(_xlpm.v, IFERROR(VLOOKUP($A2690, manifest!$A:$E, 5, FALSE), ""), IF(OR(_xlpm.v=0, _xlpm.v=""), "", _xlpm.v))</f>
        <v>male</v>
      </c>
    </row>
    <row r="2691" spans="1:9" x14ac:dyDescent="0.6">
      <c r="A2691">
        <v>568</v>
      </c>
      <c r="B2691" t="s">
        <v>7</v>
      </c>
      <c r="C2691" t="s">
        <v>10</v>
      </c>
      <c r="D2691">
        <v>255.23</v>
      </c>
      <c r="E2691">
        <v>171</v>
      </c>
      <c r="F2691">
        <v>46966</v>
      </c>
      <c r="H2691">
        <f>_xlfn.LET(_xlpm.v, IFERROR(VLOOKUP($A2691, manifest!$A:$E, 3, FALSE), ""), IF(OR(_xlpm.v=0, _xlpm.v=""), "", _xlpm.v))</f>
        <v>60</v>
      </c>
      <c r="I2691" t="str">
        <f>_xlfn.LET(_xlpm.v, IFERROR(VLOOKUP($A2691, manifest!$A:$E, 5, FALSE), ""), IF(OR(_xlpm.v=0, _xlpm.v=""), "", _xlpm.v))</f>
        <v>male</v>
      </c>
    </row>
    <row r="2692" spans="1:9" x14ac:dyDescent="0.6">
      <c r="A2692">
        <v>568</v>
      </c>
      <c r="B2692" t="s">
        <v>7</v>
      </c>
      <c r="C2692" t="s">
        <v>11</v>
      </c>
      <c r="D2692">
        <v>244.58</v>
      </c>
      <c r="E2692">
        <v>175.97</v>
      </c>
      <c r="F2692">
        <v>50839</v>
      </c>
      <c r="H2692">
        <f>_xlfn.LET(_xlpm.v, IFERROR(VLOOKUP($A2692, manifest!$A:$E, 3, FALSE), ""), IF(OR(_xlpm.v=0, _xlpm.v=""), "", _xlpm.v))</f>
        <v>60</v>
      </c>
      <c r="I2692" t="str">
        <f>_xlfn.LET(_xlpm.v, IFERROR(VLOOKUP($A2692, manifest!$A:$E, 5, FALSE), ""), IF(OR(_xlpm.v=0, _xlpm.v=""), "", _xlpm.v))</f>
        <v>male</v>
      </c>
    </row>
    <row r="2693" spans="1:9" x14ac:dyDescent="0.6">
      <c r="A2693">
        <v>568</v>
      </c>
      <c r="B2693" t="s">
        <v>7</v>
      </c>
      <c r="C2693" t="s">
        <v>12</v>
      </c>
      <c r="D2693">
        <v>241.42</v>
      </c>
      <c r="E2693">
        <v>180.36</v>
      </c>
      <c r="F2693">
        <v>47077</v>
      </c>
      <c r="H2693">
        <f>_xlfn.LET(_xlpm.v, IFERROR(VLOOKUP($A2693, manifest!$A:$E, 3, FALSE), ""), IF(OR(_xlpm.v=0, _xlpm.v=""), "", _xlpm.v))</f>
        <v>60</v>
      </c>
      <c r="I2693" t="str">
        <f>_xlfn.LET(_xlpm.v, IFERROR(VLOOKUP($A2693, manifest!$A:$E, 5, FALSE), ""), IF(OR(_xlpm.v=0, _xlpm.v=""), "", _xlpm.v))</f>
        <v>male</v>
      </c>
    </row>
    <row r="2694" spans="1:9" x14ac:dyDescent="0.6">
      <c r="A2694">
        <v>568</v>
      </c>
      <c r="B2694" t="s">
        <v>7</v>
      </c>
      <c r="C2694" t="s">
        <v>13</v>
      </c>
      <c r="D2694">
        <v>241.43</v>
      </c>
      <c r="E2694">
        <v>169.7</v>
      </c>
      <c r="F2694">
        <v>60502</v>
      </c>
      <c r="H2694">
        <f>_xlfn.LET(_xlpm.v, IFERROR(VLOOKUP($A2694, manifest!$A:$E, 3, FALSE), ""), IF(OR(_xlpm.v=0, _xlpm.v=""), "", _xlpm.v))</f>
        <v>60</v>
      </c>
      <c r="I2694" t="str">
        <f>_xlfn.LET(_xlpm.v, IFERROR(VLOOKUP($A2694, manifest!$A:$E, 5, FALSE), ""), IF(OR(_xlpm.v=0, _xlpm.v=""), "", _xlpm.v))</f>
        <v>male</v>
      </c>
    </row>
    <row r="2695" spans="1:9" x14ac:dyDescent="0.6">
      <c r="A2695">
        <v>567</v>
      </c>
      <c r="B2695" t="s">
        <v>14</v>
      </c>
      <c r="C2695" t="s">
        <v>8</v>
      </c>
      <c r="D2695">
        <v>165.45</v>
      </c>
      <c r="E2695">
        <v>89.44</v>
      </c>
      <c r="F2695">
        <v>28508</v>
      </c>
      <c r="G2695" t="s">
        <v>9</v>
      </c>
      <c r="H2695">
        <f>_xlfn.LET(_xlpm.v, IFERROR(VLOOKUP($A2695, manifest!$A:$E, 3, FALSE), ""), IF(OR(_xlpm.v=0, _xlpm.v=""), "", _xlpm.v))</f>
        <v>60</v>
      </c>
      <c r="I2695" t="str">
        <f>_xlfn.LET(_xlpm.v, IFERROR(VLOOKUP($A2695, manifest!$A:$E, 5, FALSE), ""), IF(OR(_xlpm.v=0, _xlpm.v=""), "", _xlpm.v))</f>
        <v>female</v>
      </c>
    </row>
    <row r="2696" spans="1:9" x14ac:dyDescent="0.6">
      <c r="A2696">
        <v>567</v>
      </c>
      <c r="B2696" t="s">
        <v>14</v>
      </c>
      <c r="C2696" t="s">
        <v>10</v>
      </c>
      <c r="D2696">
        <v>186.44</v>
      </c>
      <c r="E2696">
        <v>125.31</v>
      </c>
      <c r="F2696">
        <v>27561</v>
      </c>
      <c r="H2696">
        <f>_xlfn.LET(_xlpm.v, IFERROR(VLOOKUP($A2696, manifest!$A:$E, 3, FALSE), ""), IF(OR(_xlpm.v=0, _xlpm.v=""), "", _xlpm.v))</f>
        <v>60</v>
      </c>
      <c r="I2696" t="str">
        <f>_xlfn.LET(_xlpm.v, IFERROR(VLOOKUP($A2696, manifest!$A:$E, 5, FALSE), ""), IF(OR(_xlpm.v=0, _xlpm.v=""), "", _xlpm.v))</f>
        <v>female</v>
      </c>
    </row>
    <row r="2697" spans="1:9" x14ac:dyDescent="0.6">
      <c r="A2697">
        <v>567</v>
      </c>
      <c r="B2697" t="s">
        <v>14</v>
      </c>
      <c r="C2697" t="s">
        <v>11</v>
      </c>
      <c r="D2697">
        <v>202.15</v>
      </c>
      <c r="E2697">
        <v>141.88999999999999</v>
      </c>
      <c r="F2697">
        <v>31301</v>
      </c>
      <c r="H2697">
        <f>_xlfn.LET(_xlpm.v, IFERROR(VLOOKUP($A2697, manifest!$A:$E, 3, FALSE), ""), IF(OR(_xlpm.v=0, _xlpm.v=""), "", _xlpm.v))</f>
        <v>60</v>
      </c>
      <c r="I2697" t="str">
        <f>_xlfn.LET(_xlpm.v, IFERROR(VLOOKUP($A2697, manifest!$A:$E, 5, FALSE), ""), IF(OR(_xlpm.v=0, _xlpm.v=""), "", _xlpm.v))</f>
        <v>female</v>
      </c>
    </row>
    <row r="2698" spans="1:9" x14ac:dyDescent="0.6">
      <c r="A2698">
        <v>567</v>
      </c>
      <c r="B2698" t="s">
        <v>14</v>
      </c>
      <c r="C2698" t="s">
        <v>12</v>
      </c>
      <c r="D2698">
        <v>182.19</v>
      </c>
      <c r="E2698">
        <v>159.66</v>
      </c>
      <c r="F2698">
        <v>35065</v>
      </c>
      <c r="H2698">
        <f>_xlfn.LET(_xlpm.v, IFERROR(VLOOKUP($A2698, manifest!$A:$E, 3, FALSE), ""), IF(OR(_xlpm.v=0, _xlpm.v=""), "", _xlpm.v))</f>
        <v>60</v>
      </c>
      <c r="I2698" t="str">
        <f>_xlfn.LET(_xlpm.v, IFERROR(VLOOKUP($A2698, manifest!$A:$E, 5, FALSE), ""), IF(OR(_xlpm.v=0, _xlpm.v=""), "", _xlpm.v))</f>
        <v>female</v>
      </c>
    </row>
    <row r="2699" spans="1:9" x14ac:dyDescent="0.6">
      <c r="A2699">
        <v>567</v>
      </c>
      <c r="B2699" t="s">
        <v>14</v>
      </c>
      <c r="C2699" t="s">
        <v>13</v>
      </c>
      <c r="D2699">
        <v>207.47</v>
      </c>
      <c r="E2699">
        <v>174.87</v>
      </c>
      <c r="F2699">
        <v>45055</v>
      </c>
      <c r="H2699">
        <f>_xlfn.LET(_xlpm.v, IFERROR(VLOOKUP($A2699, manifest!$A:$E, 3, FALSE), ""), IF(OR(_xlpm.v=0, _xlpm.v=""), "", _xlpm.v))</f>
        <v>60</v>
      </c>
      <c r="I2699" t="str">
        <f>_xlfn.LET(_xlpm.v, IFERROR(VLOOKUP($A2699, manifest!$A:$E, 5, FALSE), ""), IF(OR(_xlpm.v=0, _xlpm.v=""), "", _xlpm.v))</f>
        <v>female</v>
      </c>
    </row>
    <row r="2700" spans="1:9" x14ac:dyDescent="0.6">
      <c r="A2700">
        <v>577</v>
      </c>
      <c r="B2700" t="s">
        <v>7</v>
      </c>
      <c r="C2700" t="s">
        <v>8</v>
      </c>
      <c r="D2700">
        <v>244.86</v>
      </c>
      <c r="E2700">
        <v>145.96</v>
      </c>
      <c r="F2700">
        <v>21190</v>
      </c>
      <c r="G2700" t="s">
        <v>9</v>
      </c>
      <c r="H2700">
        <f>_xlfn.LET(_xlpm.v, IFERROR(VLOOKUP($A2700, manifest!$A:$E, 3, FALSE), ""), IF(OR(_xlpm.v=0, _xlpm.v=""), "", _xlpm.v))</f>
        <v>50</v>
      </c>
      <c r="I2700" t="str">
        <f>_xlfn.LET(_xlpm.v, IFERROR(VLOOKUP($A2700, manifest!$A:$E, 5, FALSE), ""), IF(OR(_xlpm.v=0, _xlpm.v=""), "", _xlpm.v))</f>
        <v>female</v>
      </c>
    </row>
    <row r="2701" spans="1:9" x14ac:dyDescent="0.6">
      <c r="A2701">
        <v>577</v>
      </c>
      <c r="B2701" t="s">
        <v>7</v>
      </c>
      <c r="C2701" t="s">
        <v>10</v>
      </c>
      <c r="D2701">
        <v>248.52</v>
      </c>
      <c r="E2701">
        <v>153.24</v>
      </c>
      <c r="F2701">
        <v>24155</v>
      </c>
      <c r="H2701">
        <f>_xlfn.LET(_xlpm.v, IFERROR(VLOOKUP($A2701, manifest!$A:$E, 3, FALSE), ""), IF(OR(_xlpm.v=0, _xlpm.v=""), "", _xlpm.v))</f>
        <v>50</v>
      </c>
      <c r="I2701" t="str">
        <f>_xlfn.LET(_xlpm.v, IFERROR(VLOOKUP($A2701, manifest!$A:$E, 5, FALSE), ""), IF(OR(_xlpm.v=0, _xlpm.v=""), "", _xlpm.v))</f>
        <v>female</v>
      </c>
    </row>
    <row r="2702" spans="1:9" x14ac:dyDescent="0.6">
      <c r="A2702">
        <v>577</v>
      </c>
      <c r="B2702" t="s">
        <v>7</v>
      </c>
      <c r="C2702" t="s">
        <v>11</v>
      </c>
      <c r="D2702">
        <v>256.99</v>
      </c>
      <c r="E2702">
        <v>163.01</v>
      </c>
      <c r="F2702">
        <v>27737</v>
      </c>
      <c r="H2702">
        <f>_xlfn.LET(_xlpm.v, IFERROR(VLOOKUP($A2702, manifest!$A:$E, 3, FALSE), ""), IF(OR(_xlpm.v=0, _xlpm.v=""), "", _xlpm.v))</f>
        <v>50</v>
      </c>
      <c r="I2702" t="str">
        <f>_xlfn.LET(_xlpm.v, IFERROR(VLOOKUP($A2702, manifest!$A:$E, 5, FALSE), ""), IF(OR(_xlpm.v=0, _xlpm.v=""), "", _xlpm.v))</f>
        <v>female</v>
      </c>
    </row>
    <row r="2703" spans="1:9" x14ac:dyDescent="0.6">
      <c r="A2703">
        <v>577</v>
      </c>
      <c r="B2703" t="s">
        <v>7</v>
      </c>
      <c r="C2703" t="s">
        <v>12</v>
      </c>
      <c r="D2703">
        <v>231.65</v>
      </c>
      <c r="E2703">
        <v>138.5</v>
      </c>
      <c r="F2703">
        <v>28543</v>
      </c>
      <c r="H2703">
        <f>_xlfn.LET(_xlpm.v, IFERROR(VLOOKUP($A2703, manifest!$A:$E, 3, FALSE), ""), IF(OR(_xlpm.v=0, _xlpm.v=""), "", _xlpm.v))</f>
        <v>50</v>
      </c>
      <c r="I2703" t="str">
        <f>_xlfn.LET(_xlpm.v, IFERROR(VLOOKUP($A2703, manifest!$A:$E, 5, FALSE), ""), IF(OR(_xlpm.v=0, _xlpm.v=""), "", _xlpm.v))</f>
        <v>female</v>
      </c>
    </row>
    <row r="2704" spans="1:9" x14ac:dyDescent="0.6">
      <c r="A2704">
        <v>577</v>
      </c>
      <c r="B2704" t="s">
        <v>7</v>
      </c>
      <c r="C2704" t="s">
        <v>13</v>
      </c>
      <c r="D2704">
        <v>215.06</v>
      </c>
      <c r="E2704">
        <v>143.88</v>
      </c>
      <c r="F2704">
        <v>38592</v>
      </c>
      <c r="H2704">
        <f>_xlfn.LET(_xlpm.v, IFERROR(VLOOKUP($A2704, manifest!$A:$E, 3, FALSE), ""), IF(OR(_xlpm.v=0, _xlpm.v=""), "", _xlpm.v))</f>
        <v>50</v>
      </c>
      <c r="I2704" t="str">
        <f>_xlfn.LET(_xlpm.v, IFERROR(VLOOKUP($A2704, manifest!$A:$E, 5, FALSE), ""), IF(OR(_xlpm.v=0, _xlpm.v=""), "", _xlpm.v))</f>
        <v>female</v>
      </c>
    </row>
    <row r="2705" spans="1:9" x14ac:dyDescent="0.6">
      <c r="A2705">
        <v>572</v>
      </c>
      <c r="B2705" t="s">
        <v>14</v>
      </c>
      <c r="C2705" t="s">
        <v>8</v>
      </c>
      <c r="D2705">
        <v>193.54</v>
      </c>
      <c r="E2705">
        <v>127.96</v>
      </c>
      <c r="F2705">
        <v>41888</v>
      </c>
      <c r="G2705" t="s">
        <v>9</v>
      </c>
      <c r="H2705">
        <f>_xlfn.LET(_xlpm.v, IFERROR(VLOOKUP($A2705, manifest!$A:$E, 3, FALSE), ""), IF(OR(_xlpm.v=0, _xlpm.v=""), "", _xlpm.v))</f>
        <v>50</v>
      </c>
      <c r="I2705" t="str">
        <f>_xlfn.LET(_xlpm.v, IFERROR(VLOOKUP($A2705, manifest!$A:$E, 5, FALSE), ""), IF(OR(_xlpm.v=0, _xlpm.v=""), "", _xlpm.v))</f>
        <v>male</v>
      </c>
    </row>
    <row r="2706" spans="1:9" x14ac:dyDescent="0.6">
      <c r="A2706">
        <v>572</v>
      </c>
      <c r="B2706" t="s">
        <v>14</v>
      </c>
      <c r="C2706" t="s">
        <v>10</v>
      </c>
      <c r="D2706">
        <v>213.47</v>
      </c>
      <c r="E2706">
        <v>161.43</v>
      </c>
      <c r="F2706">
        <v>40178</v>
      </c>
      <c r="H2706">
        <f>_xlfn.LET(_xlpm.v, IFERROR(VLOOKUP($A2706, manifest!$A:$E, 3, FALSE), ""), IF(OR(_xlpm.v=0, _xlpm.v=""), "", _xlpm.v))</f>
        <v>50</v>
      </c>
      <c r="I2706" t="str">
        <f>_xlfn.LET(_xlpm.v, IFERROR(VLOOKUP($A2706, manifest!$A:$E, 5, FALSE), ""), IF(OR(_xlpm.v=0, _xlpm.v=""), "", _xlpm.v))</f>
        <v>male</v>
      </c>
    </row>
    <row r="2707" spans="1:9" x14ac:dyDescent="0.6">
      <c r="A2707">
        <v>572</v>
      </c>
      <c r="B2707" t="s">
        <v>14</v>
      </c>
      <c r="C2707" t="s">
        <v>11</v>
      </c>
      <c r="D2707">
        <v>223.05</v>
      </c>
      <c r="E2707">
        <v>195.86</v>
      </c>
      <c r="F2707">
        <v>41927</v>
      </c>
      <c r="H2707">
        <f>_xlfn.LET(_xlpm.v, IFERROR(VLOOKUP($A2707, manifest!$A:$E, 3, FALSE), ""), IF(OR(_xlpm.v=0, _xlpm.v=""), "", _xlpm.v))</f>
        <v>50</v>
      </c>
      <c r="I2707" t="str">
        <f>_xlfn.LET(_xlpm.v, IFERROR(VLOOKUP($A2707, manifest!$A:$E, 5, FALSE), ""), IF(OR(_xlpm.v=0, _xlpm.v=""), "", _xlpm.v))</f>
        <v>male</v>
      </c>
    </row>
    <row r="2708" spans="1:9" x14ac:dyDescent="0.6">
      <c r="A2708">
        <v>572</v>
      </c>
      <c r="B2708" t="s">
        <v>14</v>
      </c>
      <c r="C2708" t="s">
        <v>12</v>
      </c>
      <c r="D2708">
        <v>240.89</v>
      </c>
      <c r="E2708">
        <v>211.05</v>
      </c>
      <c r="F2708">
        <v>52154</v>
      </c>
      <c r="H2708">
        <f>_xlfn.LET(_xlpm.v, IFERROR(VLOOKUP($A2708, manifest!$A:$E, 3, FALSE), ""), IF(OR(_xlpm.v=0, _xlpm.v=""), "", _xlpm.v))</f>
        <v>50</v>
      </c>
      <c r="I2708" t="str">
        <f>_xlfn.LET(_xlpm.v, IFERROR(VLOOKUP($A2708, manifest!$A:$E, 5, FALSE), ""), IF(OR(_xlpm.v=0, _xlpm.v=""), "", _xlpm.v))</f>
        <v>male</v>
      </c>
    </row>
    <row r="2709" spans="1:9" x14ac:dyDescent="0.6">
      <c r="A2709">
        <v>572</v>
      </c>
      <c r="B2709" t="s">
        <v>14</v>
      </c>
      <c r="C2709" t="s">
        <v>13</v>
      </c>
      <c r="D2709">
        <v>198.03</v>
      </c>
      <c r="E2709">
        <v>148.25</v>
      </c>
      <c r="F2709">
        <v>62837</v>
      </c>
      <c r="H2709">
        <f>_xlfn.LET(_xlpm.v, IFERROR(VLOOKUP($A2709, manifest!$A:$E, 3, FALSE), ""), IF(OR(_xlpm.v=0, _xlpm.v=""), "", _xlpm.v))</f>
        <v>50</v>
      </c>
      <c r="I2709" t="str">
        <f>_xlfn.LET(_xlpm.v, IFERROR(VLOOKUP($A2709, manifest!$A:$E, 5, FALSE), ""), IF(OR(_xlpm.v=0, _xlpm.v=""), "", _xlpm.v))</f>
        <v>male</v>
      </c>
    </row>
    <row r="2710" spans="1:9" x14ac:dyDescent="0.6">
      <c r="A2710">
        <v>563</v>
      </c>
      <c r="B2710" t="s">
        <v>14</v>
      </c>
      <c r="C2710" t="s">
        <v>8</v>
      </c>
      <c r="D2710">
        <v>213.5</v>
      </c>
      <c r="E2710">
        <v>154.62</v>
      </c>
      <c r="F2710">
        <v>38475</v>
      </c>
      <c r="G2710" t="s">
        <v>9</v>
      </c>
      <c r="H2710">
        <f>_xlfn.LET(_xlpm.v, IFERROR(VLOOKUP($A2710, manifest!$A:$E, 3, FALSE), ""), IF(OR(_xlpm.v=0, _xlpm.v=""), "", _xlpm.v))</f>
        <v>60</v>
      </c>
      <c r="I2710" t="str">
        <f>_xlfn.LET(_xlpm.v, IFERROR(VLOOKUP($A2710, manifest!$A:$E, 5, FALSE), ""), IF(OR(_xlpm.v=0, _xlpm.v=""), "", _xlpm.v))</f>
        <v>male</v>
      </c>
    </row>
    <row r="2711" spans="1:9" x14ac:dyDescent="0.6">
      <c r="A2711">
        <v>563</v>
      </c>
      <c r="B2711" t="s">
        <v>14</v>
      </c>
      <c r="C2711" t="s">
        <v>10</v>
      </c>
      <c r="D2711">
        <v>220.38</v>
      </c>
      <c r="E2711">
        <v>150.4</v>
      </c>
      <c r="F2711">
        <v>36993</v>
      </c>
      <c r="H2711">
        <f>_xlfn.LET(_xlpm.v, IFERROR(VLOOKUP($A2711, manifest!$A:$E, 3, FALSE), ""), IF(OR(_xlpm.v=0, _xlpm.v=""), "", _xlpm.v))</f>
        <v>60</v>
      </c>
      <c r="I2711" t="str">
        <f>_xlfn.LET(_xlpm.v, IFERROR(VLOOKUP($A2711, manifest!$A:$E, 5, FALSE), ""), IF(OR(_xlpm.v=0, _xlpm.v=""), "", _xlpm.v))</f>
        <v>male</v>
      </c>
    </row>
    <row r="2712" spans="1:9" x14ac:dyDescent="0.6">
      <c r="A2712">
        <v>563</v>
      </c>
      <c r="B2712" t="s">
        <v>14</v>
      </c>
      <c r="C2712" t="s">
        <v>11</v>
      </c>
      <c r="D2712">
        <v>212.07</v>
      </c>
      <c r="E2712">
        <v>153.5</v>
      </c>
      <c r="F2712">
        <v>50128</v>
      </c>
      <c r="H2712">
        <f>_xlfn.LET(_xlpm.v, IFERROR(VLOOKUP($A2712, manifest!$A:$E, 3, FALSE), ""), IF(OR(_xlpm.v=0, _xlpm.v=""), "", _xlpm.v))</f>
        <v>60</v>
      </c>
      <c r="I2712" t="str">
        <f>_xlfn.LET(_xlpm.v, IFERROR(VLOOKUP($A2712, manifest!$A:$E, 5, FALSE), ""), IF(OR(_xlpm.v=0, _xlpm.v=""), "", _xlpm.v))</f>
        <v>male</v>
      </c>
    </row>
    <row r="2713" spans="1:9" x14ac:dyDescent="0.6">
      <c r="A2713">
        <v>563</v>
      </c>
      <c r="B2713" t="s">
        <v>14</v>
      </c>
      <c r="C2713" t="s">
        <v>12</v>
      </c>
      <c r="D2713">
        <v>210.14</v>
      </c>
      <c r="E2713">
        <v>149.65</v>
      </c>
      <c r="F2713">
        <v>68296</v>
      </c>
      <c r="H2713">
        <f>_xlfn.LET(_xlpm.v, IFERROR(VLOOKUP($A2713, manifest!$A:$E, 3, FALSE), ""), IF(OR(_xlpm.v=0, _xlpm.v=""), "", _xlpm.v))</f>
        <v>60</v>
      </c>
      <c r="I2713" t="str">
        <f>_xlfn.LET(_xlpm.v, IFERROR(VLOOKUP($A2713, manifest!$A:$E, 5, FALSE), ""), IF(OR(_xlpm.v=0, _xlpm.v=""), "", _xlpm.v))</f>
        <v>male</v>
      </c>
    </row>
    <row r="2714" spans="1:9" x14ac:dyDescent="0.6">
      <c r="A2714">
        <v>563</v>
      </c>
      <c r="B2714" t="s">
        <v>14</v>
      </c>
      <c r="C2714" t="s">
        <v>13</v>
      </c>
      <c r="D2714">
        <v>225.67</v>
      </c>
      <c r="E2714">
        <v>173.63</v>
      </c>
      <c r="F2714">
        <v>71468</v>
      </c>
      <c r="H2714">
        <f>_xlfn.LET(_xlpm.v, IFERROR(VLOOKUP($A2714, manifest!$A:$E, 3, FALSE), ""), IF(OR(_xlpm.v=0, _xlpm.v=""), "", _xlpm.v))</f>
        <v>60</v>
      </c>
      <c r="I2714" t="str">
        <f>_xlfn.LET(_xlpm.v, IFERROR(VLOOKUP($A2714, manifest!$A:$E, 5, FALSE), ""), IF(OR(_xlpm.v=0, _xlpm.v=""), "", _xlpm.v))</f>
        <v>male</v>
      </c>
    </row>
    <row r="2715" spans="1:9" x14ac:dyDescent="0.6">
      <c r="A2715">
        <v>575</v>
      </c>
      <c r="B2715" t="s">
        <v>7</v>
      </c>
      <c r="C2715" t="s">
        <v>8</v>
      </c>
      <c r="D2715">
        <v>202.08</v>
      </c>
      <c r="E2715">
        <v>147.69999999999999</v>
      </c>
      <c r="F2715">
        <v>41669</v>
      </c>
      <c r="G2715" t="s">
        <v>9</v>
      </c>
      <c r="H2715">
        <f>_xlfn.LET(_xlpm.v, IFERROR(VLOOKUP($A2715, manifest!$A:$E, 3, FALSE), ""), IF(OR(_xlpm.v=0, _xlpm.v=""), "", _xlpm.v))</f>
        <v>60</v>
      </c>
      <c r="I2715" t="str">
        <f>_xlfn.LET(_xlpm.v, IFERROR(VLOOKUP($A2715, manifest!$A:$E, 5, FALSE), ""), IF(OR(_xlpm.v=0, _xlpm.v=""), "", _xlpm.v))</f>
        <v>male</v>
      </c>
    </row>
    <row r="2716" spans="1:9" x14ac:dyDescent="0.6">
      <c r="A2716">
        <v>575</v>
      </c>
      <c r="B2716" t="s">
        <v>7</v>
      </c>
      <c r="C2716" t="s">
        <v>10</v>
      </c>
      <c r="D2716">
        <v>234.66</v>
      </c>
      <c r="E2716">
        <v>164.06</v>
      </c>
      <c r="F2716">
        <v>46054</v>
      </c>
      <c r="H2716">
        <f>_xlfn.LET(_xlpm.v, IFERROR(VLOOKUP($A2716, manifest!$A:$E, 3, FALSE), ""), IF(OR(_xlpm.v=0, _xlpm.v=""), "", _xlpm.v))</f>
        <v>60</v>
      </c>
      <c r="I2716" t="str">
        <f>_xlfn.LET(_xlpm.v, IFERROR(VLOOKUP($A2716, manifest!$A:$E, 5, FALSE), ""), IF(OR(_xlpm.v=0, _xlpm.v=""), "", _xlpm.v))</f>
        <v>male</v>
      </c>
    </row>
    <row r="2717" spans="1:9" x14ac:dyDescent="0.6">
      <c r="A2717">
        <v>575</v>
      </c>
      <c r="B2717" t="s">
        <v>7</v>
      </c>
      <c r="C2717" t="s">
        <v>11</v>
      </c>
      <c r="D2717">
        <v>219</v>
      </c>
      <c r="E2717">
        <v>162.37</v>
      </c>
      <c r="F2717">
        <v>57027</v>
      </c>
      <c r="H2717">
        <f>_xlfn.LET(_xlpm.v, IFERROR(VLOOKUP($A2717, manifest!$A:$E, 3, FALSE), ""), IF(OR(_xlpm.v=0, _xlpm.v=""), "", _xlpm.v))</f>
        <v>60</v>
      </c>
      <c r="I2717" t="str">
        <f>_xlfn.LET(_xlpm.v, IFERROR(VLOOKUP($A2717, manifest!$A:$E, 5, FALSE), ""), IF(OR(_xlpm.v=0, _xlpm.v=""), "", _xlpm.v))</f>
        <v>male</v>
      </c>
    </row>
    <row r="2718" spans="1:9" x14ac:dyDescent="0.6">
      <c r="A2718">
        <v>575</v>
      </c>
      <c r="B2718" t="s">
        <v>7</v>
      </c>
      <c r="C2718" t="s">
        <v>12</v>
      </c>
      <c r="D2718">
        <v>211.65</v>
      </c>
      <c r="E2718">
        <v>170.31</v>
      </c>
      <c r="F2718">
        <v>57592</v>
      </c>
      <c r="H2718">
        <f>_xlfn.LET(_xlpm.v, IFERROR(VLOOKUP($A2718, manifest!$A:$E, 3, FALSE), ""), IF(OR(_xlpm.v=0, _xlpm.v=""), "", _xlpm.v))</f>
        <v>60</v>
      </c>
      <c r="I2718" t="str">
        <f>_xlfn.LET(_xlpm.v, IFERROR(VLOOKUP($A2718, manifest!$A:$E, 5, FALSE), ""), IF(OR(_xlpm.v=0, _xlpm.v=""), "", _xlpm.v))</f>
        <v>male</v>
      </c>
    </row>
    <row r="2719" spans="1:9" x14ac:dyDescent="0.6">
      <c r="A2719">
        <v>575</v>
      </c>
      <c r="B2719" t="s">
        <v>7</v>
      </c>
      <c r="C2719" t="s">
        <v>13</v>
      </c>
      <c r="D2719">
        <v>220.02</v>
      </c>
      <c r="E2719">
        <v>179.82</v>
      </c>
      <c r="F2719">
        <v>63992</v>
      </c>
      <c r="H2719">
        <f>_xlfn.LET(_xlpm.v, IFERROR(VLOOKUP($A2719, manifest!$A:$E, 3, FALSE), ""), IF(OR(_xlpm.v=0, _xlpm.v=""), "", _xlpm.v))</f>
        <v>60</v>
      </c>
      <c r="I2719" t="str">
        <f>_xlfn.LET(_xlpm.v, IFERROR(VLOOKUP($A2719, manifest!$A:$E, 5, FALSE), ""), IF(OR(_xlpm.v=0, _xlpm.v=""), "", _xlpm.v))</f>
        <v>male</v>
      </c>
    </row>
    <row r="2720" spans="1:9" x14ac:dyDescent="0.6">
      <c r="A2720">
        <v>592</v>
      </c>
      <c r="B2720" t="s">
        <v>14</v>
      </c>
      <c r="C2720" t="s">
        <v>8</v>
      </c>
      <c r="D2720">
        <v>176.38</v>
      </c>
      <c r="E2720">
        <v>87.3</v>
      </c>
      <c r="F2720">
        <v>23166</v>
      </c>
      <c r="G2720" t="s">
        <v>9</v>
      </c>
      <c r="H2720">
        <f>_xlfn.LET(_xlpm.v, IFERROR(VLOOKUP($A2720, manifest!$A:$E, 3, FALSE), ""), IF(OR(_xlpm.v=0, _xlpm.v=""), "", _xlpm.v))</f>
        <v>50</v>
      </c>
      <c r="I2720" t="str">
        <f>_xlfn.LET(_xlpm.v, IFERROR(VLOOKUP($A2720, manifest!$A:$E, 5, FALSE), ""), IF(OR(_xlpm.v=0, _xlpm.v=""), "", _xlpm.v))</f>
        <v>female</v>
      </c>
    </row>
    <row r="2721" spans="1:9" x14ac:dyDescent="0.6">
      <c r="A2721">
        <v>592</v>
      </c>
      <c r="B2721" t="s">
        <v>14</v>
      </c>
      <c r="C2721" t="s">
        <v>10</v>
      </c>
      <c r="D2721">
        <v>204.39</v>
      </c>
      <c r="E2721">
        <v>136.16999999999999</v>
      </c>
      <c r="F2721">
        <v>24342</v>
      </c>
      <c r="H2721">
        <f>_xlfn.LET(_xlpm.v, IFERROR(VLOOKUP($A2721, manifest!$A:$E, 3, FALSE), ""), IF(OR(_xlpm.v=0, _xlpm.v=""), "", _xlpm.v))</f>
        <v>50</v>
      </c>
      <c r="I2721" t="str">
        <f>_xlfn.LET(_xlpm.v, IFERROR(VLOOKUP($A2721, manifest!$A:$E, 5, FALSE), ""), IF(OR(_xlpm.v=0, _xlpm.v=""), "", _xlpm.v))</f>
        <v>female</v>
      </c>
    </row>
    <row r="2722" spans="1:9" x14ac:dyDescent="0.6">
      <c r="A2722">
        <v>592</v>
      </c>
      <c r="B2722" t="s">
        <v>14</v>
      </c>
      <c r="C2722" t="s">
        <v>11</v>
      </c>
      <c r="D2722">
        <v>204.86</v>
      </c>
      <c r="E2722">
        <v>144.87</v>
      </c>
      <c r="F2722">
        <v>32467</v>
      </c>
      <c r="H2722">
        <f>_xlfn.LET(_xlpm.v, IFERROR(VLOOKUP($A2722, manifest!$A:$E, 3, FALSE), ""), IF(OR(_xlpm.v=0, _xlpm.v=""), "", _xlpm.v))</f>
        <v>50</v>
      </c>
      <c r="I2722" t="str">
        <f>_xlfn.LET(_xlpm.v, IFERROR(VLOOKUP($A2722, manifest!$A:$E, 5, FALSE), ""), IF(OR(_xlpm.v=0, _xlpm.v=""), "", _xlpm.v))</f>
        <v>female</v>
      </c>
    </row>
    <row r="2723" spans="1:9" x14ac:dyDescent="0.6">
      <c r="A2723">
        <v>592</v>
      </c>
      <c r="B2723" t="s">
        <v>14</v>
      </c>
      <c r="C2723" t="s">
        <v>12</v>
      </c>
      <c r="D2723">
        <v>214.5</v>
      </c>
      <c r="E2723">
        <v>172.41</v>
      </c>
      <c r="F2723">
        <v>36930</v>
      </c>
      <c r="H2723">
        <f>_xlfn.LET(_xlpm.v, IFERROR(VLOOKUP($A2723, manifest!$A:$E, 3, FALSE), ""), IF(OR(_xlpm.v=0, _xlpm.v=""), "", _xlpm.v))</f>
        <v>50</v>
      </c>
      <c r="I2723" t="str">
        <f>_xlfn.LET(_xlpm.v, IFERROR(VLOOKUP($A2723, manifest!$A:$E, 5, FALSE), ""), IF(OR(_xlpm.v=0, _xlpm.v=""), "", _xlpm.v))</f>
        <v>female</v>
      </c>
    </row>
    <row r="2724" spans="1:9" x14ac:dyDescent="0.6">
      <c r="A2724">
        <v>592</v>
      </c>
      <c r="B2724" t="s">
        <v>14</v>
      </c>
      <c r="C2724" t="s">
        <v>13</v>
      </c>
      <c r="D2724">
        <v>217.8</v>
      </c>
      <c r="E2724">
        <v>163.63</v>
      </c>
      <c r="F2724">
        <v>35167</v>
      </c>
      <c r="H2724">
        <f>_xlfn.LET(_xlpm.v, IFERROR(VLOOKUP($A2724, manifest!$A:$E, 3, FALSE), ""), IF(OR(_xlpm.v=0, _xlpm.v=""), "", _xlpm.v))</f>
        <v>50</v>
      </c>
      <c r="I2724" t="str">
        <f>_xlfn.LET(_xlpm.v, IFERROR(VLOOKUP($A2724, manifest!$A:$E, 5, FALSE), ""), IF(OR(_xlpm.v=0, _xlpm.v=""), "", _xlpm.v))</f>
        <v>female</v>
      </c>
    </row>
    <row r="2725" spans="1:9" x14ac:dyDescent="0.6">
      <c r="A2725">
        <v>580</v>
      </c>
      <c r="B2725" t="s">
        <v>7</v>
      </c>
      <c r="C2725" t="s">
        <v>8</v>
      </c>
      <c r="D2725">
        <v>220.14</v>
      </c>
      <c r="E2725">
        <v>149.38</v>
      </c>
      <c r="F2725">
        <v>25266</v>
      </c>
      <c r="G2725" t="s">
        <v>9</v>
      </c>
      <c r="H2725">
        <f>_xlfn.LET(_xlpm.v, IFERROR(VLOOKUP($A2725, manifest!$A:$E, 3, FALSE), ""), IF(OR(_xlpm.v=0, _xlpm.v=""), "", _xlpm.v))</f>
        <v>50</v>
      </c>
      <c r="I2725" t="str">
        <f>_xlfn.LET(_xlpm.v, IFERROR(VLOOKUP($A2725, manifest!$A:$E, 5, FALSE), ""), IF(OR(_xlpm.v=0, _xlpm.v=""), "", _xlpm.v))</f>
        <v>female</v>
      </c>
    </row>
    <row r="2726" spans="1:9" x14ac:dyDescent="0.6">
      <c r="A2726">
        <v>580</v>
      </c>
      <c r="B2726" t="s">
        <v>7</v>
      </c>
      <c r="C2726" t="s">
        <v>10</v>
      </c>
      <c r="D2726">
        <v>213.29</v>
      </c>
      <c r="E2726">
        <v>150.46</v>
      </c>
      <c r="F2726">
        <v>29927</v>
      </c>
      <c r="H2726">
        <f>_xlfn.LET(_xlpm.v, IFERROR(VLOOKUP($A2726, manifest!$A:$E, 3, FALSE), ""), IF(OR(_xlpm.v=0, _xlpm.v=""), "", _xlpm.v))</f>
        <v>50</v>
      </c>
      <c r="I2726" t="str">
        <f>_xlfn.LET(_xlpm.v, IFERROR(VLOOKUP($A2726, manifest!$A:$E, 5, FALSE), ""), IF(OR(_xlpm.v=0, _xlpm.v=""), "", _xlpm.v))</f>
        <v>female</v>
      </c>
    </row>
    <row r="2727" spans="1:9" x14ac:dyDescent="0.6">
      <c r="A2727">
        <v>580</v>
      </c>
      <c r="B2727" t="s">
        <v>7</v>
      </c>
      <c r="C2727" t="s">
        <v>11</v>
      </c>
      <c r="D2727">
        <v>198.29</v>
      </c>
      <c r="E2727">
        <v>146.61000000000001</v>
      </c>
      <c r="F2727">
        <v>39190</v>
      </c>
      <c r="H2727">
        <f>_xlfn.LET(_xlpm.v, IFERROR(VLOOKUP($A2727, manifest!$A:$E, 3, FALSE), ""), IF(OR(_xlpm.v=0, _xlpm.v=""), "", _xlpm.v))</f>
        <v>50</v>
      </c>
      <c r="I2727" t="str">
        <f>_xlfn.LET(_xlpm.v, IFERROR(VLOOKUP($A2727, manifest!$A:$E, 5, FALSE), ""), IF(OR(_xlpm.v=0, _xlpm.v=""), "", _xlpm.v))</f>
        <v>female</v>
      </c>
    </row>
    <row r="2728" spans="1:9" x14ac:dyDescent="0.6">
      <c r="A2728">
        <v>580</v>
      </c>
      <c r="B2728" t="s">
        <v>7</v>
      </c>
      <c r="C2728" t="s">
        <v>12</v>
      </c>
      <c r="D2728">
        <v>216.02</v>
      </c>
      <c r="E2728">
        <v>142.13</v>
      </c>
      <c r="F2728">
        <v>42934</v>
      </c>
      <c r="H2728">
        <f>_xlfn.LET(_xlpm.v, IFERROR(VLOOKUP($A2728, manifest!$A:$E, 3, FALSE), ""), IF(OR(_xlpm.v=0, _xlpm.v=""), "", _xlpm.v))</f>
        <v>50</v>
      </c>
      <c r="I2728" t="str">
        <f>_xlfn.LET(_xlpm.v, IFERROR(VLOOKUP($A2728, manifest!$A:$E, 5, FALSE), ""), IF(OR(_xlpm.v=0, _xlpm.v=""), "", _xlpm.v))</f>
        <v>female</v>
      </c>
    </row>
    <row r="2729" spans="1:9" x14ac:dyDescent="0.6">
      <c r="A2729">
        <v>580</v>
      </c>
      <c r="B2729" t="s">
        <v>7</v>
      </c>
      <c r="C2729" t="s">
        <v>13</v>
      </c>
      <c r="D2729">
        <v>211.34</v>
      </c>
      <c r="E2729">
        <v>149.44</v>
      </c>
      <c r="F2729">
        <v>40623</v>
      </c>
      <c r="H2729">
        <f>_xlfn.LET(_xlpm.v, IFERROR(VLOOKUP($A2729, manifest!$A:$E, 3, FALSE), ""), IF(OR(_xlpm.v=0, _xlpm.v=""), "", _xlpm.v))</f>
        <v>50</v>
      </c>
      <c r="I2729" t="str">
        <f>_xlfn.LET(_xlpm.v, IFERROR(VLOOKUP($A2729, manifest!$A:$E, 5, FALSE), ""), IF(OR(_xlpm.v=0, _xlpm.v=""), "", _xlpm.v))</f>
        <v>female</v>
      </c>
    </row>
    <row r="2730" spans="1:9" x14ac:dyDescent="0.6">
      <c r="A2730">
        <v>587</v>
      </c>
      <c r="B2730" t="s">
        <v>14</v>
      </c>
      <c r="C2730" t="s">
        <v>8</v>
      </c>
      <c r="D2730">
        <v>145.22</v>
      </c>
      <c r="E2730">
        <v>137.1</v>
      </c>
      <c r="F2730">
        <v>71231</v>
      </c>
      <c r="G2730" t="s">
        <v>15</v>
      </c>
      <c r="H2730">
        <f>_xlfn.LET(_xlpm.v, IFERROR(VLOOKUP($A2730, manifest!$A:$E, 3, FALSE), ""), IF(OR(_xlpm.v=0, _xlpm.v=""), "", _xlpm.v))</f>
        <v>80</v>
      </c>
      <c r="I2730" t="str">
        <f>_xlfn.LET(_xlpm.v, IFERROR(VLOOKUP($A2730, manifest!$A:$E, 5, FALSE), ""), IF(OR(_xlpm.v=0, _xlpm.v=""), "", _xlpm.v))</f>
        <v>male</v>
      </c>
    </row>
    <row r="2731" spans="1:9" x14ac:dyDescent="0.6">
      <c r="A2731">
        <v>587</v>
      </c>
      <c r="B2731" t="s">
        <v>14</v>
      </c>
      <c r="C2731" t="s">
        <v>10</v>
      </c>
      <c r="D2731">
        <v>145.36000000000001</v>
      </c>
      <c r="E2731">
        <v>155.06</v>
      </c>
      <c r="F2731">
        <v>82140</v>
      </c>
      <c r="H2731">
        <f>_xlfn.LET(_xlpm.v, IFERROR(VLOOKUP($A2731, manifest!$A:$E, 3, FALSE), ""), IF(OR(_xlpm.v=0, _xlpm.v=""), "", _xlpm.v))</f>
        <v>80</v>
      </c>
      <c r="I2731" t="str">
        <f>_xlfn.LET(_xlpm.v, IFERROR(VLOOKUP($A2731, manifest!$A:$E, 5, FALSE), ""), IF(OR(_xlpm.v=0, _xlpm.v=""), "", _xlpm.v))</f>
        <v>male</v>
      </c>
    </row>
    <row r="2732" spans="1:9" x14ac:dyDescent="0.6">
      <c r="A2732">
        <v>587</v>
      </c>
      <c r="B2732" t="s">
        <v>14</v>
      </c>
      <c r="C2732" t="s">
        <v>11</v>
      </c>
      <c r="D2732">
        <v>146.93</v>
      </c>
      <c r="E2732">
        <v>145.71</v>
      </c>
      <c r="F2732">
        <v>77351</v>
      </c>
      <c r="H2732">
        <f>_xlfn.LET(_xlpm.v, IFERROR(VLOOKUP($A2732, manifest!$A:$E, 3, FALSE), ""), IF(OR(_xlpm.v=0, _xlpm.v=""), "", _xlpm.v))</f>
        <v>80</v>
      </c>
      <c r="I2732" t="str">
        <f>_xlfn.LET(_xlpm.v, IFERROR(VLOOKUP($A2732, manifest!$A:$E, 5, FALSE), ""), IF(OR(_xlpm.v=0, _xlpm.v=""), "", _xlpm.v))</f>
        <v>male</v>
      </c>
    </row>
    <row r="2733" spans="1:9" x14ac:dyDescent="0.6">
      <c r="A2733">
        <v>587</v>
      </c>
      <c r="B2733" t="s">
        <v>14</v>
      </c>
      <c r="C2733" t="s">
        <v>12</v>
      </c>
      <c r="D2733">
        <v>157.88</v>
      </c>
      <c r="E2733">
        <v>161.68</v>
      </c>
      <c r="F2733">
        <v>82582</v>
      </c>
      <c r="H2733">
        <f>_xlfn.LET(_xlpm.v, IFERROR(VLOOKUP($A2733, manifest!$A:$E, 3, FALSE), ""), IF(OR(_xlpm.v=0, _xlpm.v=""), "", _xlpm.v))</f>
        <v>80</v>
      </c>
      <c r="I2733" t="str">
        <f>_xlfn.LET(_xlpm.v, IFERROR(VLOOKUP($A2733, manifest!$A:$E, 5, FALSE), ""), IF(OR(_xlpm.v=0, _xlpm.v=""), "", _xlpm.v))</f>
        <v>male</v>
      </c>
    </row>
    <row r="2734" spans="1:9" x14ac:dyDescent="0.6">
      <c r="A2734">
        <v>587</v>
      </c>
      <c r="B2734" t="s">
        <v>14</v>
      </c>
      <c r="C2734" t="s">
        <v>13</v>
      </c>
      <c r="D2734">
        <v>179.24</v>
      </c>
      <c r="E2734">
        <v>186.94</v>
      </c>
      <c r="F2734">
        <v>91151</v>
      </c>
      <c r="H2734">
        <f>_xlfn.LET(_xlpm.v, IFERROR(VLOOKUP($A2734, manifest!$A:$E, 3, FALSE), ""), IF(OR(_xlpm.v=0, _xlpm.v=""), "", _xlpm.v))</f>
        <v>80</v>
      </c>
      <c r="I2734" t="str">
        <f>_xlfn.LET(_xlpm.v, IFERROR(VLOOKUP($A2734, manifest!$A:$E, 5, FALSE), ""), IF(OR(_xlpm.v=0, _xlpm.v=""), "", _xlpm.v))</f>
        <v>male</v>
      </c>
    </row>
    <row r="2735" spans="1:9" x14ac:dyDescent="0.6">
      <c r="A2735">
        <v>587</v>
      </c>
      <c r="B2735" t="s">
        <v>14</v>
      </c>
      <c r="C2735" t="s">
        <v>16</v>
      </c>
      <c r="D2735">
        <v>198.93</v>
      </c>
      <c r="E2735">
        <v>212.58</v>
      </c>
      <c r="F2735">
        <v>95229</v>
      </c>
      <c r="H2735">
        <f>_xlfn.LET(_xlpm.v, IFERROR(VLOOKUP($A2735, manifest!$A:$E, 3, FALSE), ""), IF(OR(_xlpm.v=0, _xlpm.v=""), "", _xlpm.v))</f>
        <v>80</v>
      </c>
      <c r="I2735" t="str">
        <f>_xlfn.LET(_xlpm.v, IFERROR(VLOOKUP($A2735, manifest!$A:$E, 5, FALSE), ""), IF(OR(_xlpm.v=0, _xlpm.v=""), "", _xlpm.v))</f>
        <v>male</v>
      </c>
    </row>
    <row r="2736" spans="1:9" x14ac:dyDescent="0.6">
      <c r="A2736">
        <v>559</v>
      </c>
      <c r="B2736" t="s">
        <v>7</v>
      </c>
      <c r="C2736" t="s">
        <v>8</v>
      </c>
      <c r="D2736">
        <v>308.52999999999997</v>
      </c>
      <c r="E2736">
        <v>172.89</v>
      </c>
      <c r="F2736">
        <v>19109</v>
      </c>
      <c r="G2736" t="s">
        <v>9</v>
      </c>
      <c r="H2736">
        <f>_xlfn.LET(_xlpm.v, IFERROR(VLOOKUP($A2736, manifest!$A:$E, 3, FALSE), ""), IF(OR(_xlpm.v=0, _xlpm.v=""), "", _xlpm.v))</f>
        <v>50</v>
      </c>
      <c r="I2736" t="str">
        <f>_xlfn.LET(_xlpm.v, IFERROR(VLOOKUP($A2736, manifest!$A:$E, 5, FALSE), ""), IF(OR(_xlpm.v=0, _xlpm.v=""), "", _xlpm.v))</f>
        <v>female</v>
      </c>
    </row>
    <row r="2737" spans="1:9" x14ac:dyDescent="0.6">
      <c r="A2737">
        <v>559</v>
      </c>
      <c r="B2737" t="s">
        <v>7</v>
      </c>
      <c r="C2737" t="s">
        <v>10</v>
      </c>
      <c r="D2737">
        <v>305.51</v>
      </c>
      <c r="E2737">
        <v>198.77</v>
      </c>
      <c r="F2737">
        <v>21694</v>
      </c>
      <c r="H2737">
        <f>_xlfn.LET(_xlpm.v, IFERROR(VLOOKUP($A2737, manifest!$A:$E, 3, FALSE), ""), IF(OR(_xlpm.v=0, _xlpm.v=""), "", _xlpm.v))</f>
        <v>50</v>
      </c>
      <c r="I2737" t="str">
        <f>_xlfn.LET(_xlpm.v, IFERROR(VLOOKUP($A2737, manifest!$A:$E, 5, FALSE), ""), IF(OR(_xlpm.v=0, _xlpm.v=""), "", _xlpm.v))</f>
        <v>female</v>
      </c>
    </row>
    <row r="2738" spans="1:9" x14ac:dyDescent="0.6">
      <c r="A2738">
        <v>559</v>
      </c>
      <c r="B2738" t="s">
        <v>7</v>
      </c>
      <c r="C2738" t="s">
        <v>11</v>
      </c>
      <c r="D2738">
        <v>295.91000000000003</v>
      </c>
      <c r="E2738">
        <v>191.11</v>
      </c>
      <c r="F2738">
        <v>23322</v>
      </c>
      <c r="H2738">
        <f>_xlfn.LET(_xlpm.v, IFERROR(VLOOKUP($A2738, manifest!$A:$E, 3, FALSE), ""), IF(OR(_xlpm.v=0, _xlpm.v=""), "", _xlpm.v))</f>
        <v>50</v>
      </c>
      <c r="I2738" t="str">
        <f>_xlfn.LET(_xlpm.v, IFERROR(VLOOKUP($A2738, manifest!$A:$E, 5, FALSE), ""), IF(OR(_xlpm.v=0, _xlpm.v=""), "", _xlpm.v))</f>
        <v>female</v>
      </c>
    </row>
    <row r="2739" spans="1:9" x14ac:dyDescent="0.6">
      <c r="A2739">
        <v>559</v>
      </c>
      <c r="B2739" t="s">
        <v>7</v>
      </c>
      <c r="C2739" t="s">
        <v>12</v>
      </c>
      <c r="D2739">
        <v>289.70999999999998</v>
      </c>
      <c r="E2739">
        <v>194</v>
      </c>
      <c r="F2739">
        <v>29397</v>
      </c>
      <c r="H2739">
        <f>_xlfn.LET(_xlpm.v, IFERROR(VLOOKUP($A2739, manifest!$A:$E, 3, FALSE), ""), IF(OR(_xlpm.v=0, _xlpm.v=""), "", _xlpm.v))</f>
        <v>50</v>
      </c>
      <c r="I2739" t="str">
        <f>_xlfn.LET(_xlpm.v, IFERROR(VLOOKUP($A2739, manifest!$A:$E, 5, FALSE), ""), IF(OR(_xlpm.v=0, _xlpm.v=""), "", _xlpm.v))</f>
        <v>female</v>
      </c>
    </row>
    <row r="2740" spans="1:9" x14ac:dyDescent="0.6">
      <c r="A2740">
        <v>559</v>
      </c>
      <c r="B2740" t="s">
        <v>7</v>
      </c>
      <c r="C2740" t="s">
        <v>13</v>
      </c>
      <c r="D2740">
        <v>298.18</v>
      </c>
      <c r="E2740">
        <v>213.75</v>
      </c>
      <c r="F2740">
        <v>35038</v>
      </c>
      <c r="H2740">
        <f>_xlfn.LET(_xlpm.v, IFERROR(VLOOKUP($A2740, manifest!$A:$E, 3, FALSE), ""), IF(OR(_xlpm.v=0, _xlpm.v=""), "", _xlpm.v))</f>
        <v>50</v>
      </c>
      <c r="I2740" t="str">
        <f>_xlfn.LET(_xlpm.v, IFERROR(VLOOKUP($A2740, manifest!$A:$E, 5, FALSE), ""), IF(OR(_xlpm.v=0, _xlpm.v=""), "", _xlpm.v))</f>
        <v>female</v>
      </c>
    </row>
    <row r="2741" spans="1:9" x14ac:dyDescent="0.6">
      <c r="A2741">
        <v>582</v>
      </c>
      <c r="B2741" t="s">
        <v>14</v>
      </c>
      <c r="C2741" t="s">
        <v>8</v>
      </c>
      <c r="D2741">
        <v>196.61</v>
      </c>
      <c r="E2741">
        <v>138.58000000000001</v>
      </c>
      <c r="F2741">
        <v>22653</v>
      </c>
      <c r="G2741" t="s">
        <v>9</v>
      </c>
      <c r="H2741">
        <f>_xlfn.LET(_xlpm.v, IFERROR(VLOOKUP($A2741, manifest!$A:$E, 3, FALSE), ""), IF(OR(_xlpm.v=0, _xlpm.v=""), "", _xlpm.v))</f>
        <v>50</v>
      </c>
      <c r="I2741" t="str">
        <f>_xlfn.LET(_xlpm.v, IFERROR(VLOOKUP($A2741, manifest!$A:$E, 5, FALSE), ""), IF(OR(_xlpm.v=0, _xlpm.v=""), "", _xlpm.v))</f>
        <v>female</v>
      </c>
    </row>
    <row r="2742" spans="1:9" x14ac:dyDescent="0.6">
      <c r="A2742">
        <v>582</v>
      </c>
      <c r="B2742" t="s">
        <v>14</v>
      </c>
      <c r="C2742" t="s">
        <v>10</v>
      </c>
      <c r="D2742">
        <v>200.46</v>
      </c>
      <c r="E2742">
        <v>166.26</v>
      </c>
      <c r="F2742">
        <v>29205</v>
      </c>
      <c r="H2742">
        <f>_xlfn.LET(_xlpm.v, IFERROR(VLOOKUP($A2742, manifest!$A:$E, 3, FALSE), ""), IF(OR(_xlpm.v=0, _xlpm.v=""), "", _xlpm.v))</f>
        <v>50</v>
      </c>
      <c r="I2742" t="str">
        <f>_xlfn.LET(_xlpm.v, IFERROR(VLOOKUP($A2742, manifest!$A:$E, 5, FALSE), ""), IF(OR(_xlpm.v=0, _xlpm.v=""), "", _xlpm.v))</f>
        <v>female</v>
      </c>
    </row>
    <row r="2743" spans="1:9" x14ac:dyDescent="0.6">
      <c r="A2743">
        <v>582</v>
      </c>
      <c r="B2743" t="s">
        <v>14</v>
      </c>
      <c r="C2743" t="s">
        <v>11</v>
      </c>
      <c r="D2743">
        <v>202.81</v>
      </c>
      <c r="E2743">
        <v>176.38</v>
      </c>
      <c r="F2743">
        <v>37377</v>
      </c>
      <c r="H2743">
        <f>_xlfn.LET(_xlpm.v, IFERROR(VLOOKUP($A2743, manifest!$A:$E, 3, FALSE), ""), IF(OR(_xlpm.v=0, _xlpm.v=""), "", _xlpm.v))</f>
        <v>50</v>
      </c>
      <c r="I2743" t="str">
        <f>_xlfn.LET(_xlpm.v, IFERROR(VLOOKUP($A2743, manifest!$A:$E, 5, FALSE), ""), IF(OR(_xlpm.v=0, _xlpm.v=""), "", _xlpm.v))</f>
        <v>female</v>
      </c>
    </row>
    <row r="2744" spans="1:9" x14ac:dyDescent="0.6">
      <c r="A2744">
        <v>582</v>
      </c>
      <c r="B2744" t="s">
        <v>14</v>
      </c>
      <c r="C2744" t="s">
        <v>12</v>
      </c>
      <c r="D2744">
        <v>216.24</v>
      </c>
      <c r="E2744">
        <v>180.75</v>
      </c>
      <c r="F2744">
        <v>44122</v>
      </c>
      <c r="H2744">
        <f>_xlfn.LET(_xlpm.v, IFERROR(VLOOKUP($A2744, manifest!$A:$E, 3, FALSE), ""), IF(OR(_xlpm.v=0, _xlpm.v=""), "", _xlpm.v))</f>
        <v>50</v>
      </c>
      <c r="I2744" t="str">
        <f>_xlfn.LET(_xlpm.v, IFERROR(VLOOKUP($A2744, manifest!$A:$E, 5, FALSE), ""), IF(OR(_xlpm.v=0, _xlpm.v=""), "", _xlpm.v))</f>
        <v>female</v>
      </c>
    </row>
    <row r="2745" spans="1:9" x14ac:dyDescent="0.6">
      <c r="A2745">
        <v>582</v>
      </c>
      <c r="B2745" t="s">
        <v>14</v>
      </c>
      <c r="C2745" t="s">
        <v>13</v>
      </c>
      <c r="D2745">
        <v>188.73</v>
      </c>
      <c r="E2745">
        <v>192.42</v>
      </c>
      <c r="F2745">
        <v>48291</v>
      </c>
      <c r="H2745">
        <f>_xlfn.LET(_xlpm.v, IFERROR(VLOOKUP($A2745, manifest!$A:$E, 3, FALSE), ""), IF(OR(_xlpm.v=0, _xlpm.v=""), "", _xlpm.v))</f>
        <v>50</v>
      </c>
      <c r="I2745" t="str">
        <f>_xlfn.LET(_xlpm.v, IFERROR(VLOOKUP($A2745, manifest!$A:$E, 5, FALSE), ""), IF(OR(_xlpm.v=0, _xlpm.v=""), "", _xlpm.v))</f>
        <v>female</v>
      </c>
    </row>
    <row r="2746" spans="1:9" x14ac:dyDescent="0.6">
      <c r="A2746">
        <v>599</v>
      </c>
      <c r="B2746" t="s">
        <v>14</v>
      </c>
      <c r="C2746" t="s">
        <v>8</v>
      </c>
      <c r="D2746">
        <v>226.37</v>
      </c>
      <c r="E2746">
        <v>187.5</v>
      </c>
      <c r="F2746">
        <v>19857</v>
      </c>
      <c r="G2746" t="s">
        <v>9</v>
      </c>
      <c r="H2746">
        <f>_xlfn.LET(_xlpm.v, IFERROR(VLOOKUP($A2746, manifest!$A:$E, 3, FALSE), ""), IF(OR(_xlpm.v=0, _xlpm.v=""), "", _xlpm.v))</f>
        <v>50</v>
      </c>
      <c r="I2746" t="str">
        <f>_xlfn.LET(_xlpm.v, IFERROR(VLOOKUP($A2746, manifest!$A:$E, 5, FALSE), ""), IF(OR(_xlpm.v=0, _xlpm.v=""), "", _xlpm.v))</f>
        <v>female</v>
      </c>
    </row>
    <row r="2747" spans="1:9" x14ac:dyDescent="0.6">
      <c r="A2747">
        <v>599</v>
      </c>
      <c r="B2747" t="s">
        <v>14</v>
      </c>
      <c r="C2747" t="s">
        <v>10</v>
      </c>
      <c r="D2747">
        <v>233.02</v>
      </c>
      <c r="E2747">
        <v>217.89</v>
      </c>
      <c r="F2747">
        <v>24605</v>
      </c>
      <c r="H2747">
        <f>_xlfn.LET(_xlpm.v, IFERROR(VLOOKUP($A2747, manifest!$A:$E, 3, FALSE), ""), IF(OR(_xlpm.v=0, _xlpm.v=""), "", _xlpm.v))</f>
        <v>50</v>
      </c>
      <c r="I2747" t="str">
        <f>_xlfn.LET(_xlpm.v, IFERROR(VLOOKUP($A2747, manifest!$A:$E, 5, FALSE), ""), IF(OR(_xlpm.v=0, _xlpm.v=""), "", _xlpm.v))</f>
        <v>female</v>
      </c>
    </row>
    <row r="2748" spans="1:9" x14ac:dyDescent="0.6">
      <c r="A2748">
        <v>599</v>
      </c>
      <c r="B2748" t="s">
        <v>14</v>
      </c>
      <c r="C2748" t="s">
        <v>11</v>
      </c>
      <c r="D2748">
        <v>229.05</v>
      </c>
      <c r="E2748">
        <v>211.57</v>
      </c>
      <c r="F2748">
        <v>26835</v>
      </c>
      <c r="H2748">
        <f>_xlfn.LET(_xlpm.v, IFERROR(VLOOKUP($A2748, manifest!$A:$E, 3, FALSE), ""), IF(OR(_xlpm.v=0, _xlpm.v=""), "", _xlpm.v))</f>
        <v>50</v>
      </c>
      <c r="I2748" t="str">
        <f>_xlfn.LET(_xlpm.v, IFERROR(VLOOKUP($A2748, manifest!$A:$E, 5, FALSE), ""), IF(OR(_xlpm.v=0, _xlpm.v=""), "", _xlpm.v))</f>
        <v>female</v>
      </c>
    </row>
    <row r="2749" spans="1:9" x14ac:dyDescent="0.6">
      <c r="A2749">
        <v>599</v>
      </c>
      <c r="B2749" t="s">
        <v>14</v>
      </c>
      <c r="C2749" t="s">
        <v>12</v>
      </c>
      <c r="D2749">
        <v>216.91</v>
      </c>
      <c r="E2749">
        <v>177.89</v>
      </c>
      <c r="F2749">
        <v>31591</v>
      </c>
      <c r="H2749">
        <f>_xlfn.LET(_xlpm.v, IFERROR(VLOOKUP($A2749, manifest!$A:$E, 3, FALSE), ""), IF(OR(_xlpm.v=0, _xlpm.v=""), "", _xlpm.v))</f>
        <v>50</v>
      </c>
      <c r="I2749" t="str">
        <f>_xlfn.LET(_xlpm.v, IFERROR(VLOOKUP($A2749, manifest!$A:$E, 5, FALSE), ""), IF(OR(_xlpm.v=0, _xlpm.v=""), "", _xlpm.v))</f>
        <v>female</v>
      </c>
    </row>
    <row r="2750" spans="1:9" x14ac:dyDescent="0.6">
      <c r="A2750">
        <v>599</v>
      </c>
      <c r="B2750" t="s">
        <v>14</v>
      </c>
      <c r="C2750" t="s">
        <v>13</v>
      </c>
      <c r="D2750">
        <v>271.43</v>
      </c>
      <c r="E2750">
        <v>205.32</v>
      </c>
      <c r="F2750">
        <v>36061</v>
      </c>
      <c r="H2750">
        <f>_xlfn.LET(_xlpm.v, IFERROR(VLOOKUP($A2750, manifest!$A:$E, 3, FALSE), ""), IF(OR(_xlpm.v=0, _xlpm.v=""), "", _xlpm.v))</f>
        <v>50</v>
      </c>
      <c r="I2750" t="str">
        <f>_xlfn.LET(_xlpm.v, IFERROR(VLOOKUP($A2750, manifest!$A:$E, 5, FALSE), ""), IF(OR(_xlpm.v=0, _xlpm.v=""), "", _xlpm.v))</f>
        <v>female</v>
      </c>
    </row>
    <row r="2751" spans="1:9" x14ac:dyDescent="0.6">
      <c r="A2751">
        <v>584</v>
      </c>
      <c r="B2751" t="s">
        <v>7</v>
      </c>
      <c r="C2751" t="s">
        <v>8</v>
      </c>
      <c r="D2751">
        <v>180.28</v>
      </c>
      <c r="E2751">
        <v>140.83000000000001</v>
      </c>
      <c r="F2751">
        <v>20542</v>
      </c>
      <c r="G2751" t="s">
        <v>9</v>
      </c>
      <c r="H2751">
        <f>_xlfn.LET(_xlpm.v, IFERROR(VLOOKUP($A2751, manifest!$A:$E, 3, FALSE), ""), IF(OR(_xlpm.v=0, _xlpm.v=""), "", _xlpm.v))</f>
        <v>60</v>
      </c>
      <c r="I2751" t="str">
        <f>_xlfn.LET(_xlpm.v, IFERROR(VLOOKUP($A2751, manifest!$A:$E, 5, FALSE), ""), IF(OR(_xlpm.v=0, _xlpm.v=""), "", _xlpm.v))</f>
        <v>female</v>
      </c>
    </row>
    <row r="2752" spans="1:9" x14ac:dyDescent="0.6">
      <c r="A2752">
        <v>584</v>
      </c>
      <c r="B2752" t="s">
        <v>7</v>
      </c>
      <c r="C2752" t="s">
        <v>10</v>
      </c>
      <c r="D2752">
        <v>222.56</v>
      </c>
      <c r="E2752">
        <v>217.09</v>
      </c>
      <c r="F2752">
        <v>25311</v>
      </c>
      <c r="H2752">
        <f>_xlfn.LET(_xlpm.v, IFERROR(VLOOKUP($A2752, manifest!$A:$E, 3, FALSE), ""), IF(OR(_xlpm.v=0, _xlpm.v=""), "", _xlpm.v))</f>
        <v>60</v>
      </c>
      <c r="I2752" t="str">
        <f>_xlfn.LET(_xlpm.v, IFERROR(VLOOKUP($A2752, manifest!$A:$E, 5, FALSE), ""), IF(OR(_xlpm.v=0, _xlpm.v=""), "", _xlpm.v))</f>
        <v>female</v>
      </c>
    </row>
    <row r="2753" spans="1:9" x14ac:dyDescent="0.6">
      <c r="A2753">
        <v>584</v>
      </c>
      <c r="B2753" t="s">
        <v>7</v>
      </c>
      <c r="C2753" t="s">
        <v>11</v>
      </c>
      <c r="D2753">
        <v>210.48</v>
      </c>
      <c r="E2753">
        <v>197.33</v>
      </c>
      <c r="F2753">
        <v>30651</v>
      </c>
      <c r="H2753">
        <f>_xlfn.LET(_xlpm.v, IFERROR(VLOOKUP($A2753, manifest!$A:$E, 3, FALSE), ""), IF(OR(_xlpm.v=0, _xlpm.v=""), "", _xlpm.v))</f>
        <v>60</v>
      </c>
      <c r="I2753" t="str">
        <f>_xlfn.LET(_xlpm.v, IFERROR(VLOOKUP($A2753, manifest!$A:$E, 5, FALSE), ""), IF(OR(_xlpm.v=0, _xlpm.v=""), "", _xlpm.v))</f>
        <v>female</v>
      </c>
    </row>
    <row r="2754" spans="1:9" x14ac:dyDescent="0.6">
      <c r="A2754">
        <v>584</v>
      </c>
      <c r="B2754" t="s">
        <v>7</v>
      </c>
      <c r="C2754" t="s">
        <v>12</v>
      </c>
      <c r="D2754">
        <v>216.95</v>
      </c>
      <c r="E2754">
        <v>215</v>
      </c>
      <c r="F2754">
        <v>28832</v>
      </c>
      <c r="H2754">
        <f>_xlfn.LET(_xlpm.v, IFERROR(VLOOKUP($A2754, manifest!$A:$E, 3, FALSE), ""), IF(OR(_xlpm.v=0, _xlpm.v=""), "", _xlpm.v))</f>
        <v>60</v>
      </c>
      <c r="I2754" t="str">
        <f>_xlfn.LET(_xlpm.v, IFERROR(VLOOKUP($A2754, manifest!$A:$E, 5, FALSE), ""), IF(OR(_xlpm.v=0, _xlpm.v=""), "", _xlpm.v))</f>
        <v>female</v>
      </c>
    </row>
    <row r="2755" spans="1:9" x14ac:dyDescent="0.6">
      <c r="A2755">
        <v>584</v>
      </c>
      <c r="B2755" t="s">
        <v>7</v>
      </c>
      <c r="C2755" t="s">
        <v>13</v>
      </c>
      <c r="D2755">
        <v>241.47</v>
      </c>
      <c r="E2755">
        <v>229.61</v>
      </c>
      <c r="F2755">
        <v>36565</v>
      </c>
      <c r="H2755">
        <f>_xlfn.LET(_xlpm.v, IFERROR(VLOOKUP($A2755, manifest!$A:$E, 3, FALSE), ""), IF(OR(_xlpm.v=0, _xlpm.v=""), "", _xlpm.v))</f>
        <v>60</v>
      </c>
      <c r="I2755" t="str">
        <f>_xlfn.LET(_xlpm.v, IFERROR(VLOOKUP($A2755, manifest!$A:$E, 5, FALSE), ""), IF(OR(_xlpm.v=0, _xlpm.v=""), "", _xlpm.v))</f>
        <v>female</v>
      </c>
    </row>
    <row r="2756" spans="1:9" x14ac:dyDescent="0.6">
      <c r="A2756">
        <v>578</v>
      </c>
      <c r="B2756" t="s">
        <v>7</v>
      </c>
      <c r="C2756" t="s">
        <v>8</v>
      </c>
      <c r="D2756">
        <v>279.66000000000003</v>
      </c>
      <c r="E2756">
        <v>222.42</v>
      </c>
      <c r="F2756">
        <v>24360</v>
      </c>
      <c r="G2756" t="s">
        <v>9</v>
      </c>
      <c r="H2756">
        <f>_xlfn.LET(_xlpm.v, IFERROR(VLOOKUP($A2756, manifest!$A:$E, 3, FALSE), ""), IF(OR(_xlpm.v=0, _xlpm.v=""), "", _xlpm.v))</f>
        <v>60</v>
      </c>
      <c r="I2756" t="str">
        <f>_xlfn.LET(_xlpm.v, IFERROR(VLOOKUP($A2756, manifest!$A:$E, 5, FALSE), ""), IF(OR(_xlpm.v=0, _xlpm.v=""), "", _xlpm.v))</f>
        <v>male</v>
      </c>
    </row>
    <row r="2757" spans="1:9" x14ac:dyDescent="0.6">
      <c r="A2757">
        <v>578</v>
      </c>
      <c r="B2757" t="s">
        <v>7</v>
      </c>
      <c r="C2757" t="s">
        <v>10</v>
      </c>
      <c r="D2757">
        <v>291.76</v>
      </c>
      <c r="E2757">
        <v>238.98</v>
      </c>
      <c r="F2757">
        <v>25653</v>
      </c>
      <c r="H2757">
        <f>_xlfn.LET(_xlpm.v, IFERROR(VLOOKUP($A2757, manifest!$A:$E, 3, FALSE), ""), IF(OR(_xlpm.v=0, _xlpm.v=""), "", _xlpm.v))</f>
        <v>60</v>
      </c>
      <c r="I2757" t="str">
        <f>_xlfn.LET(_xlpm.v, IFERROR(VLOOKUP($A2757, manifest!$A:$E, 5, FALSE), ""), IF(OR(_xlpm.v=0, _xlpm.v=""), "", _xlpm.v))</f>
        <v>male</v>
      </c>
    </row>
    <row r="2758" spans="1:9" x14ac:dyDescent="0.6">
      <c r="A2758">
        <v>578</v>
      </c>
      <c r="B2758" t="s">
        <v>7</v>
      </c>
      <c r="C2758" t="s">
        <v>11</v>
      </c>
      <c r="D2758">
        <v>297.88</v>
      </c>
      <c r="E2758">
        <v>243.89</v>
      </c>
      <c r="F2758">
        <v>27775</v>
      </c>
      <c r="H2758">
        <f>_xlfn.LET(_xlpm.v, IFERROR(VLOOKUP($A2758, manifest!$A:$E, 3, FALSE), ""), IF(OR(_xlpm.v=0, _xlpm.v=""), "", _xlpm.v))</f>
        <v>60</v>
      </c>
      <c r="I2758" t="str">
        <f>_xlfn.LET(_xlpm.v, IFERROR(VLOOKUP($A2758, manifest!$A:$E, 5, FALSE), ""), IF(OR(_xlpm.v=0, _xlpm.v=""), "", _xlpm.v))</f>
        <v>male</v>
      </c>
    </row>
    <row r="2759" spans="1:9" x14ac:dyDescent="0.6">
      <c r="A2759">
        <v>578</v>
      </c>
      <c r="B2759" t="s">
        <v>7</v>
      </c>
      <c r="C2759" t="s">
        <v>12</v>
      </c>
      <c r="D2759">
        <v>270.69</v>
      </c>
      <c r="E2759">
        <v>209.58</v>
      </c>
      <c r="F2759">
        <v>36576</v>
      </c>
      <c r="H2759">
        <f>_xlfn.LET(_xlpm.v, IFERROR(VLOOKUP($A2759, manifest!$A:$E, 3, FALSE), ""), IF(OR(_xlpm.v=0, _xlpm.v=""), "", _xlpm.v))</f>
        <v>60</v>
      </c>
      <c r="I2759" t="str">
        <f>_xlfn.LET(_xlpm.v, IFERROR(VLOOKUP($A2759, manifest!$A:$E, 5, FALSE), ""), IF(OR(_xlpm.v=0, _xlpm.v=""), "", _xlpm.v))</f>
        <v>male</v>
      </c>
    </row>
    <row r="2760" spans="1:9" x14ac:dyDescent="0.6">
      <c r="A2760">
        <v>578</v>
      </c>
      <c r="B2760" t="s">
        <v>7</v>
      </c>
      <c r="C2760" t="s">
        <v>13</v>
      </c>
      <c r="D2760">
        <v>278.14999999999998</v>
      </c>
      <c r="E2760">
        <v>199</v>
      </c>
      <c r="F2760">
        <v>40150</v>
      </c>
      <c r="H2760">
        <f>_xlfn.LET(_xlpm.v, IFERROR(VLOOKUP($A2760, manifest!$A:$E, 3, FALSE), ""), IF(OR(_xlpm.v=0, _xlpm.v=""), "", _xlpm.v))</f>
        <v>60</v>
      </c>
      <c r="I2760" t="str">
        <f>_xlfn.LET(_xlpm.v, IFERROR(VLOOKUP($A2760, manifest!$A:$E, 5, FALSE), ""), IF(OR(_xlpm.v=0, _xlpm.v=""), "", _xlpm.v))</f>
        <v>male</v>
      </c>
    </row>
    <row r="2761" spans="1:9" x14ac:dyDescent="0.6">
      <c r="A2761">
        <v>588</v>
      </c>
      <c r="B2761" t="s">
        <v>14</v>
      </c>
      <c r="C2761" t="s">
        <v>8</v>
      </c>
      <c r="D2761">
        <v>176.64</v>
      </c>
      <c r="E2761">
        <v>160.13999999999999</v>
      </c>
      <c r="F2761">
        <v>34183</v>
      </c>
      <c r="G2761" t="s">
        <v>9</v>
      </c>
      <c r="H2761">
        <f>_xlfn.LET(_xlpm.v, IFERROR(VLOOKUP($A2761, manifest!$A:$E, 3, FALSE), ""), IF(OR(_xlpm.v=0, _xlpm.v=""), "", _xlpm.v))</f>
        <v>60</v>
      </c>
      <c r="I2761" t="str">
        <f>_xlfn.LET(_xlpm.v, IFERROR(VLOOKUP($A2761, manifest!$A:$E, 5, FALSE), ""), IF(OR(_xlpm.v=0, _xlpm.v=""), "", _xlpm.v))</f>
        <v>female</v>
      </c>
    </row>
    <row r="2762" spans="1:9" x14ac:dyDescent="0.6">
      <c r="A2762">
        <v>588</v>
      </c>
      <c r="B2762" t="s">
        <v>14</v>
      </c>
      <c r="C2762" t="s">
        <v>10</v>
      </c>
      <c r="D2762">
        <v>194.66</v>
      </c>
      <c r="E2762">
        <v>200.3</v>
      </c>
      <c r="F2762">
        <v>33079</v>
      </c>
      <c r="H2762">
        <f>_xlfn.LET(_xlpm.v, IFERROR(VLOOKUP($A2762, manifest!$A:$E, 3, FALSE), ""), IF(OR(_xlpm.v=0, _xlpm.v=""), "", _xlpm.v))</f>
        <v>60</v>
      </c>
      <c r="I2762" t="str">
        <f>_xlfn.LET(_xlpm.v, IFERROR(VLOOKUP($A2762, manifest!$A:$E, 5, FALSE), ""), IF(OR(_xlpm.v=0, _xlpm.v=""), "", _xlpm.v))</f>
        <v>female</v>
      </c>
    </row>
    <row r="2763" spans="1:9" x14ac:dyDescent="0.6">
      <c r="A2763">
        <v>588</v>
      </c>
      <c r="B2763" t="s">
        <v>14</v>
      </c>
      <c r="C2763" t="s">
        <v>11</v>
      </c>
      <c r="D2763">
        <v>184.23</v>
      </c>
      <c r="E2763">
        <v>185.93</v>
      </c>
      <c r="F2763">
        <v>39027</v>
      </c>
      <c r="H2763">
        <f>_xlfn.LET(_xlpm.v, IFERROR(VLOOKUP($A2763, manifest!$A:$E, 3, FALSE), ""), IF(OR(_xlpm.v=0, _xlpm.v=""), "", _xlpm.v))</f>
        <v>60</v>
      </c>
      <c r="I2763" t="str">
        <f>_xlfn.LET(_xlpm.v, IFERROR(VLOOKUP($A2763, manifest!$A:$E, 5, FALSE), ""), IF(OR(_xlpm.v=0, _xlpm.v=""), "", _xlpm.v))</f>
        <v>female</v>
      </c>
    </row>
    <row r="2764" spans="1:9" x14ac:dyDescent="0.6">
      <c r="A2764">
        <v>588</v>
      </c>
      <c r="B2764" t="s">
        <v>14</v>
      </c>
      <c r="C2764" t="s">
        <v>12</v>
      </c>
      <c r="D2764">
        <v>152.94999999999999</v>
      </c>
      <c r="E2764">
        <v>148.91999999999999</v>
      </c>
      <c r="F2764">
        <v>45081</v>
      </c>
      <c r="H2764">
        <f>_xlfn.LET(_xlpm.v, IFERROR(VLOOKUP($A2764, manifest!$A:$E, 3, FALSE), ""), IF(OR(_xlpm.v=0, _xlpm.v=""), "", _xlpm.v))</f>
        <v>60</v>
      </c>
      <c r="I2764" t="str">
        <f>_xlfn.LET(_xlpm.v, IFERROR(VLOOKUP($A2764, manifest!$A:$E, 5, FALSE), ""), IF(OR(_xlpm.v=0, _xlpm.v=""), "", _xlpm.v))</f>
        <v>female</v>
      </c>
    </row>
    <row r="2765" spans="1:9" x14ac:dyDescent="0.6">
      <c r="A2765">
        <v>588</v>
      </c>
      <c r="B2765" t="s">
        <v>14</v>
      </c>
      <c r="C2765" t="s">
        <v>13</v>
      </c>
      <c r="D2765">
        <v>178.62</v>
      </c>
      <c r="E2765">
        <v>182.78</v>
      </c>
      <c r="F2765">
        <v>47413</v>
      </c>
      <c r="H2765">
        <f>_xlfn.LET(_xlpm.v, IFERROR(VLOOKUP($A2765, manifest!$A:$E, 3, FALSE), ""), IF(OR(_xlpm.v=0, _xlpm.v=""), "", _xlpm.v))</f>
        <v>60</v>
      </c>
      <c r="I2765" t="str">
        <f>_xlfn.LET(_xlpm.v, IFERROR(VLOOKUP($A2765, manifest!$A:$E, 5, FALSE), ""), IF(OR(_xlpm.v=0, _xlpm.v=""), "", _xlpm.v))</f>
        <v>female</v>
      </c>
    </row>
    <row r="2766" spans="1:9" x14ac:dyDescent="0.6">
      <c r="A2766">
        <v>590</v>
      </c>
      <c r="B2766" t="s">
        <v>14</v>
      </c>
      <c r="C2766" t="s">
        <v>8</v>
      </c>
      <c r="D2766">
        <v>271.69</v>
      </c>
      <c r="E2766">
        <v>247.11</v>
      </c>
      <c r="F2766">
        <v>48303</v>
      </c>
      <c r="G2766" t="s">
        <v>9</v>
      </c>
      <c r="H2766">
        <f>_xlfn.LET(_xlpm.v, IFERROR(VLOOKUP($A2766, manifest!$A:$E, 3, FALSE), ""), IF(OR(_xlpm.v=0, _xlpm.v=""), "", _xlpm.v))</f>
        <v>70</v>
      </c>
      <c r="I2766" t="str">
        <f>_xlfn.LET(_xlpm.v, IFERROR(VLOOKUP($A2766, manifest!$A:$E, 5, FALSE), ""), IF(OR(_xlpm.v=0, _xlpm.v=""), "", _xlpm.v))</f>
        <v>male</v>
      </c>
    </row>
    <row r="2767" spans="1:9" x14ac:dyDescent="0.6">
      <c r="A2767">
        <v>590</v>
      </c>
      <c r="B2767" t="s">
        <v>14</v>
      </c>
      <c r="C2767" t="s">
        <v>10</v>
      </c>
      <c r="D2767">
        <v>275.91000000000003</v>
      </c>
      <c r="E2767">
        <v>255.24</v>
      </c>
      <c r="F2767">
        <v>50463</v>
      </c>
      <c r="H2767">
        <f>_xlfn.LET(_xlpm.v, IFERROR(VLOOKUP($A2767, manifest!$A:$E, 3, FALSE), ""), IF(OR(_xlpm.v=0, _xlpm.v=""), "", _xlpm.v))</f>
        <v>70</v>
      </c>
      <c r="I2767" t="str">
        <f>_xlfn.LET(_xlpm.v, IFERROR(VLOOKUP($A2767, manifest!$A:$E, 5, FALSE), ""), IF(OR(_xlpm.v=0, _xlpm.v=""), "", _xlpm.v))</f>
        <v>male</v>
      </c>
    </row>
    <row r="2768" spans="1:9" x14ac:dyDescent="0.6">
      <c r="A2768">
        <v>590</v>
      </c>
      <c r="B2768" t="s">
        <v>14</v>
      </c>
      <c r="C2768" t="s">
        <v>11</v>
      </c>
      <c r="D2768">
        <v>265.42</v>
      </c>
      <c r="E2768">
        <v>264.52999999999997</v>
      </c>
      <c r="F2768">
        <v>54478</v>
      </c>
      <c r="H2768">
        <f>_xlfn.LET(_xlpm.v, IFERROR(VLOOKUP($A2768, manifest!$A:$E, 3, FALSE), ""), IF(OR(_xlpm.v=0, _xlpm.v=""), "", _xlpm.v))</f>
        <v>70</v>
      </c>
      <c r="I2768" t="str">
        <f>_xlfn.LET(_xlpm.v, IFERROR(VLOOKUP($A2768, manifest!$A:$E, 5, FALSE), ""), IF(OR(_xlpm.v=0, _xlpm.v=""), "", _xlpm.v))</f>
        <v>male</v>
      </c>
    </row>
    <row r="2769" spans="1:9" x14ac:dyDescent="0.6">
      <c r="A2769">
        <v>590</v>
      </c>
      <c r="B2769" t="s">
        <v>14</v>
      </c>
      <c r="C2769" t="s">
        <v>12</v>
      </c>
      <c r="D2769">
        <v>371.71</v>
      </c>
      <c r="E2769">
        <v>272</v>
      </c>
      <c r="F2769">
        <v>52639</v>
      </c>
      <c r="H2769">
        <f>_xlfn.LET(_xlpm.v, IFERROR(VLOOKUP($A2769, manifest!$A:$E, 3, FALSE), ""), IF(OR(_xlpm.v=0, _xlpm.v=""), "", _xlpm.v))</f>
        <v>70</v>
      </c>
      <c r="I2769" t="str">
        <f>_xlfn.LET(_xlpm.v, IFERROR(VLOOKUP($A2769, manifest!$A:$E, 5, FALSE), ""), IF(OR(_xlpm.v=0, _xlpm.v=""), "", _xlpm.v))</f>
        <v>male</v>
      </c>
    </row>
    <row r="2770" spans="1:9" x14ac:dyDescent="0.6">
      <c r="A2770">
        <v>590</v>
      </c>
      <c r="B2770" t="s">
        <v>14</v>
      </c>
      <c r="C2770" t="s">
        <v>13</v>
      </c>
      <c r="D2770">
        <v>276.29000000000002</v>
      </c>
      <c r="E2770">
        <v>189.33</v>
      </c>
      <c r="F2770">
        <v>77274</v>
      </c>
      <c r="H2770">
        <f>_xlfn.LET(_xlpm.v, IFERROR(VLOOKUP($A2770, manifest!$A:$E, 3, FALSE), ""), IF(OR(_xlpm.v=0, _xlpm.v=""), "", _xlpm.v))</f>
        <v>70</v>
      </c>
      <c r="I2770" t="str">
        <f>_xlfn.LET(_xlpm.v, IFERROR(VLOOKUP($A2770, manifest!$A:$E, 5, FALSE), ""), IF(OR(_xlpm.v=0, _xlpm.v=""), "", _xlpm.v))</f>
        <v>male</v>
      </c>
    </row>
    <row r="2771" spans="1:9" x14ac:dyDescent="0.6">
      <c r="A2771">
        <v>576</v>
      </c>
      <c r="B2771" t="s">
        <v>7</v>
      </c>
      <c r="C2771" t="s">
        <v>8</v>
      </c>
      <c r="D2771">
        <v>230.71</v>
      </c>
      <c r="E2771">
        <v>174.2</v>
      </c>
      <c r="F2771">
        <v>24576</v>
      </c>
      <c r="G2771" t="s">
        <v>9</v>
      </c>
      <c r="H2771">
        <f>_xlfn.LET(_xlpm.v, IFERROR(VLOOKUP($A2771, manifest!$A:$E, 3, FALSE), ""), IF(OR(_xlpm.v=0, _xlpm.v=""), "", _xlpm.v))</f>
        <v>60</v>
      </c>
      <c r="I2771" t="str">
        <f>_xlfn.LET(_xlpm.v, IFERROR(VLOOKUP($A2771, manifest!$A:$E, 5, FALSE), ""), IF(OR(_xlpm.v=0, _xlpm.v=""), "", _xlpm.v))</f>
        <v>female</v>
      </c>
    </row>
    <row r="2772" spans="1:9" x14ac:dyDescent="0.6">
      <c r="A2772">
        <v>576</v>
      </c>
      <c r="B2772" t="s">
        <v>7</v>
      </c>
      <c r="C2772" t="s">
        <v>10</v>
      </c>
      <c r="D2772">
        <v>247.01</v>
      </c>
      <c r="E2772">
        <v>220.54</v>
      </c>
      <c r="F2772">
        <v>26649</v>
      </c>
      <c r="H2772">
        <f>_xlfn.LET(_xlpm.v, IFERROR(VLOOKUP($A2772, manifest!$A:$E, 3, FALSE), ""), IF(OR(_xlpm.v=0, _xlpm.v=""), "", _xlpm.v))</f>
        <v>60</v>
      </c>
      <c r="I2772" t="str">
        <f>_xlfn.LET(_xlpm.v, IFERROR(VLOOKUP($A2772, manifest!$A:$E, 5, FALSE), ""), IF(OR(_xlpm.v=0, _xlpm.v=""), "", _xlpm.v))</f>
        <v>female</v>
      </c>
    </row>
    <row r="2773" spans="1:9" x14ac:dyDescent="0.6">
      <c r="A2773">
        <v>576</v>
      </c>
      <c r="B2773" t="s">
        <v>7</v>
      </c>
      <c r="C2773" t="s">
        <v>11</v>
      </c>
      <c r="D2773">
        <v>237.54</v>
      </c>
      <c r="E2773">
        <v>222.08</v>
      </c>
      <c r="F2773">
        <v>32094</v>
      </c>
      <c r="H2773">
        <f>_xlfn.LET(_xlpm.v, IFERROR(VLOOKUP($A2773, manifest!$A:$E, 3, FALSE), ""), IF(OR(_xlpm.v=0, _xlpm.v=""), "", _xlpm.v))</f>
        <v>60</v>
      </c>
      <c r="I2773" t="str">
        <f>_xlfn.LET(_xlpm.v, IFERROR(VLOOKUP($A2773, manifest!$A:$E, 5, FALSE), ""), IF(OR(_xlpm.v=0, _xlpm.v=""), "", _xlpm.v))</f>
        <v>female</v>
      </c>
    </row>
    <row r="2774" spans="1:9" x14ac:dyDescent="0.6">
      <c r="A2774">
        <v>576</v>
      </c>
      <c r="B2774" t="s">
        <v>7</v>
      </c>
      <c r="C2774" t="s">
        <v>12</v>
      </c>
      <c r="D2774">
        <v>239.9</v>
      </c>
      <c r="E2774">
        <v>225.43</v>
      </c>
      <c r="F2774">
        <v>44881</v>
      </c>
      <c r="H2774">
        <f>_xlfn.LET(_xlpm.v, IFERROR(VLOOKUP($A2774, manifest!$A:$E, 3, FALSE), ""), IF(OR(_xlpm.v=0, _xlpm.v=""), "", _xlpm.v))</f>
        <v>60</v>
      </c>
      <c r="I2774" t="str">
        <f>_xlfn.LET(_xlpm.v, IFERROR(VLOOKUP($A2774, manifest!$A:$E, 5, FALSE), ""), IF(OR(_xlpm.v=0, _xlpm.v=""), "", _xlpm.v))</f>
        <v>female</v>
      </c>
    </row>
    <row r="2775" spans="1:9" x14ac:dyDescent="0.6">
      <c r="A2775">
        <v>576</v>
      </c>
      <c r="B2775" t="s">
        <v>7</v>
      </c>
      <c r="C2775" t="s">
        <v>13</v>
      </c>
      <c r="D2775">
        <v>253.73</v>
      </c>
      <c r="E2775">
        <v>183.27</v>
      </c>
      <c r="F2775">
        <v>43877</v>
      </c>
      <c r="H2775">
        <f>_xlfn.LET(_xlpm.v, IFERROR(VLOOKUP($A2775, manifest!$A:$E, 3, FALSE), ""), IF(OR(_xlpm.v=0, _xlpm.v=""), "", _xlpm.v))</f>
        <v>60</v>
      </c>
      <c r="I2775" t="str">
        <f>_xlfn.LET(_xlpm.v, IFERROR(VLOOKUP($A2775, manifest!$A:$E, 5, FALSE), ""), IF(OR(_xlpm.v=0, _xlpm.v=""), "", _xlpm.v))</f>
        <v>female</v>
      </c>
    </row>
    <row r="2776" spans="1:9" x14ac:dyDescent="0.6">
      <c r="A2776">
        <v>607</v>
      </c>
      <c r="B2776" t="s">
        <v>14</v>
      </c>
      <c r="C2776" t="s">
        <v>8</v>
      </c>
      <c r="D2776">
        <v>206.93</v>
      </c>
      <c r="E2776">
        <v>167.44</v>
      </c>
      <c r="F2776">
        <v>21287</v>
      </c>
      <c r="G2776" t="s">
        <v>9</v>
      </c>
      <c r="H2776">
        <f>_xlfn.LET(_xlpm.v, IFERROR(VLOOKUP($A2776, manifest!$A:$E, 3, FALSE), ""), IF(OR(_xlpm.v=0, _xlpm.v=""), "", _xlpm.v))</f>
        <v>50</v>
      </c>
      <c r="I2776" t="str">
        <f>_xlfn.LET(_xlpm.v, IFERROR(VLOOKUP($A2776, manifest!$A:$E, 5, FALSE), ""), IF(OR(_xlpm.v=0, _xlpm.v=""), "", _xlpm.v))</f>
        <v>female</v>
      </c>
    </row>
    <row r="2777" spans="1:9" x14ac:dyDescent="0.6">
      <c r="A2777">
        <v>607</v>
      </c>
      <c r="B2777" t="s">
        <v>14</v>
      </c>
      <c r="C2777" t="s">
        <v>10</v>
      </c>
      <c r="D2777">
        <v>199.37</v>
      </c>
      <c r="E2777">
        <v>179.55</v>
      </c>
      <c r="F2777">
        <v>27948</v>
      </c>
      <c r="H2777">
        <f>_xlfn.LET(_xlpm.v, IFERROR(VLOOKUP($A2777, manifest!$A:$E, 3, FALSE), ""), IF(OR(_xlpm.v=0, _xlpm.v=""), "", _xlpm.v))</f>
        <v>50</v>
      </c>
      <c r="I2777" t="str">
        <f>_xlfn.LET(_xlpm.v, IFERROR(VLOOKUP($A2777, manifest!$A:$E, 5, FALSE), ""), IF(OR(_xlpm.v=0, _xlpm.v=""), "", _xlpm.v))</f>
        <v>female</v>
      </c>
    </row>
    <row r="2778" spans="1:9" x14ac:dyDescent="0.6">
      <c r="A2778">
        <v>607</v>
      </c>
      <c r="B2778" t="s">
        <v>14</v>
      </c>
      <c r="C2778" t="s">
        <v>11</v>
      </c>
      <c r="D2778">
        <v>196.07</v>
      </c>
      <c r="E2778">
        <v>164.63</v>
      </c>
      <c r="F2778">
        <v>39194</v>
      </c>
      <c r="H2778">
        <f>_xlfn.LET(_xlpm.v, IFERROR(VLOOKUP($A2778, manifest!$A:$E, 3, FALSE), ""), IF(OR(_xlpm.v=0, _xlpm.v=""), "", _xlpm.v))</f>
        <v>50</v>
      </c>
      <c r="I2778" t="str">
        <f>_xlfn.LET(_xlpm.v, IFERROR(VLOOKUP($A2778, manifest!$A:$E, 5, FALSE), ""), IF(OR(_xlpm.v=0, _xlpm.v=""), "", _xlpm.v))</f>
        <v>female</v>
      </c>
    </row>
    <row r="2779" spans="1:9" x14ac:dyDescent="0.6">
      <c r="A2779">
        <v>607</v>
      </c>
      <c r="B2779" t="s">
        <v>14</v>
      </c>
      <c r="C2779" t="s">
        <v>12</v>
      </c>
      <c r="D2779">
        <v>208.53</v>
      </c>
      <c r="E2779">
        <v>159.69999999999999</v>
      </c>
      <c r="F2779">
        <v>36141</v>
      </c>
      <c r="H2779">
        <f>_xlfn.LET(_xlpm.v, IFERROR(VLOOKUP($A2779, manifest!$A:$E, 3, FALSE), ""), IF(OR(_xlpm.v=0, _xlpm.v=""), "", _xlpm.v))</f>
        <v>50</v>
      </c>
      <c r="I2779" t="str">
        <f>_xlfn.LET(_xlpm.v, IFERROR(VLOOKUP($A2779, manifest!$A:$E, 5, FALSE), ""), IF(OR(_xlpm.v=0, _xlpm.v=""), "", _xlpm.v))</f>
        <v>female</v>
      </c>
    </row>
    <row r="2780" spans="1:9" x14ac:dyDescent="0.6">
      <c r="A2780">
        <v>607</v>
      </c>
      <c r="B2780" t="s">
        <v>14</v>
      </c>
      <c r="C2780" t="s">
        <v>13</v>
      </c>
      <c r="D2780">
        <v>189.92</v>
      </c>
      <c r="E2780">
        <v>124.28</v>
      </c>
      <c r="F2780">
        <v>46722</v>
      </c>
      <c r="H2780">
        <f>_xlfn.LET(_xlpm.v, IFERROR(VLOOKUP($A2780, manifest!$A:$E, 3, FALSE), ""), IF(OR(_xlpm.v=0, _xlpm.v=""), "", _xlpm.v))</f>
        <v>50</v>
      </c>
      <c r="I2780" t="str">
        <f>_xlfn.LET(_xlpm.v, IFERROR(VLOOKUP($A2780, manifest!$A:$E, 5, FALSE), ""), IF(OR(_xlpm.v=0, _xlpm.v=""), "", _xlpm.v))</f>
        <v>female</v>
      </c>
    </row>
    <row r="2781" spans="1:9" x14ac:dyDescent="0.6">
      <c r="A2781">
        <v>604</v>
      </c>
      <c r="B2781" t="s">
        <v>14</v>
      </c>
      <c r="C2781" t="s">
        <v>8</v>
      </c>
      <c r="D2781">
        <v>181.04</v>
      </c>
      <c r="E2781">
        <v>97.66</v>
      </c>
      <c r="F2781">
        <v>18066</v>
      </c>
      <c r="G2781" t="s">
        <v>9</v>
      </c>
      <c r="H2781">
        <f>_xlfn.LET(_xlpm.v, IFERROR(VLOOKUP($A2781, manifest!$A:$E, 3, FALSE), ""), IF(OR(_xlpm.v=0, _xlpm.v=""), "", _xlpm.v))</f>
        <v>70</v>
      </c>
      <c r="I2781" t="str">
        <f>_xlfn.LET(_xlpm.v, IFERROR(VLOOKUP($A2781, manifest!$A:$E, 5, FALSE), ""), IF(OR(_xlpm.v=0, _xlpm.v=""), "", _xlpm.v))</f>
        <v>female</v>
      </c>
    </row>
    <row r="2782" spans="1:9" x14ac:dyDescent="0.6">
      <c r="A2782">
        <v>604</v>
      </c>
      <c r="B2782" t="s">
        <v>14</v>
      </c>
      <c r="C2782" t="s">
        <v>10</v>
      </c>
      <c r="D2782">
        <v>192.75</v>
      </c>
      <c r="E2782">
        <v>141.54</v>
      </c>
      <c r="F2782">
        <v>19857</v>
      </c>
      <c r="H2782">
        <f>_xlfn.LET(_xlpm.v, IFERROR(VLOOKUP($A2782, manifest!$A:$E, 3, FALSE), ""), IF(OR(_xlpm.v=0, _xlpm.v=""), "", _xlpm.v))</f>
        <v>70</v>
      </c>
      <c r="I2782" t="str">
        <f>_xlfn.LET(_xlpm.v, IFERROR(VLOOKUP($A2782, manifest!$A:$E, 5, FALSE), ""), IF(OR(_xlpm.v=0, _xlpm.v=""), "", _xlpm.v))</f>
        <v>female</v>
      </c>
    </row>
    <row r="2783" spans="1:9" x14ac:dyDescent="0.6">
      <c r="A2783">
        <v>604</v>
      </c>
      <c r="B2783" t="s">
        <v>14</v>
      </c>
      <c r="C2783" t="s">
        <v>11</v>
      </c>
      <c r="D2783">
        <v>185.34</v>
      </c>
      <c r="E2783">
        <v>137.08000000000001</v>
      </c>
      <c r="F2783">
        <v>23451</v>
      </c>
      <c r="H2783">
        <f>_xlfn.LET(_xlpm.v, IFERROR(VLOOKUP($A2783, manifest!$A:$E, 3, FALSE), ""), IF(OR(_xlpm.v=0, _xlpm.v=""), "", _xlpm.v))</f>
        <v>70</v>
      </c>
      <c r="I2783" t="str">
        <f>_xlfn.LET(_xlpm.v, IFERROR(VLOOKUP($A2783, manifest!$A:$E, 5, FALSE), ""), IF(OR(_xlpm.v=0, _xlpm.v=""), "", _xlpm.v))</f>
        <v>female</v>
      </c>
    </row>
    <row r="2784" spans="1:9" x14ac:dyDescent="0.6">
      <c r="A2784">
        <v>604</v>
      </c>
      <c r="B2784" t="s">
        <v>14</v>
      </c>
      <c r="C2784" t="s">
        <v>12</v>
      </c>
      <c r="D2784">
        <v>185.8</v>
      </c>
      <c r="E2784">
        <v>126.85</v>
      </c>
      <c r="F2784">
        <v>26358</v>
      </c>
      <c r="H2784">
        <f>_xlfn.LET(_xlpm.v, IFERROR(VLOOKUP($A2784, manifest!$A:$E, 3, FALSE), ""), IF(OR(_xlpm.v=0, _xlpm.v=""), "", _xlpm.v))</f>
        <v>70</v>
      </c>
      <c r="I2784" t="str">
        <f>_xlfn.LET(_xlpm.v, IFERROR(VLOOKUP($A2784, manifest!$A:$E, 5, FALSE), ""), IF(OR(_xlpm.v=0, _xlpm.v=""), "", _xlpm.v))</f>
        <v>female</v>
      </c>
    </row>
    <row r="2785" spans="1:9" x14ac:dyDescent="0.6">
      <c r="A2785">
        <v>604</v>
      </c>
      <c r="B2785" t="s">
        <v>14</v>
      </c>
      <c r="C2785" t="s">
        <v>13</v>
      </c>
      <c r="D2785">
        <v>179.06</v>
      </c>
      <c r="E2785">
        <v>104.34</v>
      </c>
      <c r="F2785">
        <v>28832</v>
      </c>
      <c r="H2785">
        <f>_xlfn.LET(_xlpm.v, IFERROR(VLOOKUP($A2785, manifest!$A:$E, 3, FALSE), ""), IF(OR(_xlpm.v=0, _xlpm.v=""), "", _xlpm.v))</f>
        <v>70</v>
      </c>
      <c r="I2785" t="str">
        <f>_xlfn.LET(_xlpm.v, IFERROR(VLOOKUP($A2785, manifest!$A:$E, 5, FALSE), ""), IF(OR(_xlpm.v=0, _xlpm.v=""), "", _xlpm.v))</f>
        <v>female</v>
      </c>
    </row>
    <row r="2786" spans="1:9" x14ac:dyDescent="0.6">
      <c r="A2786">
        <v>585</v>
      </c>
      <c r="B2786" t="s">
        <v>7</v>
      </c>
      <c r="C2786" t="s">
        <v>8</v>
      </c>
      <c r="D2786">
        <v>290.82</v>
      </c>
      <c r="E2786">
        <v>171.49</v>
      </c>
      <c r="F2786">
        <v>30794</v>
      </c>
      <c r="G2786" t="s">
        <v>9</v>
      </c>
      <c r="H2786">
        <f>_xlfn.LET(_xlpm.v, IFERROR(VLOOKUP($A2786, manifest!$A:$E, 3, FALSE), ""), IF(OR(_xlpm.v=0, _xlpm.v=""), "", _xlpm.v))</f>
        <v>50</v>
      </c>
      <c r="I2786" t="str">
        <f>_xlfn.LET(_xlpm.v, IFERROR(VLOOKUP($A2786, manifest!$A:$E, 5, FALSE), ""), IF(OR(_xlpm.v=0, _xlpm.v=""), "", _xlpm.v))</f>
        <v>female</v>
      </c>
    </row>
    <row r="2787" spans="1:9" x14ac:dyDescent="0.6">
      <c r="A2787">
        <v>585</v>
      </c>
      <c r="B2787" t="s">
        <v>7</v>
      </c>
      <c r="C2787" t="s">
        <v>10</v>
      </c>
      <c r="D2787">
        <v>314.57</v>
      </c>
      <c r="E2787">
        <v>206.03</v>
      </c>
      <c r="F2787">
        <v>34381</v>
      </c>
      <c r="H2787">
        <f>_xlfn.LET(_xlpm.v, IFERROR(VLOOKUP($A2787, manifest!$A:$E, 3, FALSE), ""), IF(OR(_xlpm.v=0, _xlpm.v=""), "", _xlpm.v))</f>
        <v>50</v>
      </c>
      <c r="I2787" t="str">
        <f>_xlfn.LET(_xlpm.v, IFERROR(VLOOKUP($A2787, manifest!$A:$E, 5, FALSE), ""), IF(OR(_xlpm.v=0, _xlpm.v=""), "", _xlpm.v))</f>
        <v>female</v>
      </c>
    </row>
    <row r="2788" spans="1:9" x14ac:dyDescent="0.6">
      <c r="A2788">
        <v>585</v>
      </c>
      <c r="B2788" t="s">
        <v>7</v>
      </c>
      <c r="C2788" t="s">
        <v>11</v>
      </c>
      <c r="D2788">
        <v>292.83999999999997</v>
      </c>
      <c r="E2788">
        <v>173.04</v>
      </c>
      <c r="F2788">
        <v>35334</v>
      </c>
      <c r="H2788">
        <f>_xlfn.LET(_xlpm.v, IFERROR(VLOOKUP($A2788, manifest!$A:$E, 3, FALSE), ""), IF(OR(_xlpm.v=0, _xlpm.v=""), "", _xlpm.v))</f>
        <v>50</v>
      </c>
      <c r="I2788" t="str">
        <f>_xlfn.LET(_xlpm.v, IFERROR(VLOOKUP($A2788, manifest!$A:$E, 5, FALSE), ""), IF(OR(_xlpm.v=0, _xlpm.v=""), "", _xlpm.v))</f>
        <v>female</v>
      </c>
    </row>
    <row r="2789" spans="1:9" x14ac:dyDescent="0.6">
      <c r="A2789">
        <v>585</v>
      </c>
      <c r="B2789" t="s">
        <v>7</v>
      </c>
      <c r="C2789" t="s">
        <v>12</v>
      </c>
      <c r="D2789">
        <v>291.98</v>
      </c>
      <c r="E2789">
        <v>176.31</v>
      </c>
      <c r="F2789">
        <v>38760</v>
      </c>
      <c r="H2789">
        <f>_xlfn.LET(_xlpm.v, IFERROR(VLOOKUP($A2789, manifest!$A:$E, 3, FALSE), ""), IF(OR(_xlpm.v=0, _xlpm.v=""), "", _xlpm.v))</f>
        <v>50</v>
      </c>
      <c r="I2789" t="str">
        <f>_xlfn.LET(_xlpm.v, IFERROR(VLOOKUP($A2789, manifest!$A:$E, 5, FALSE), ""), IF(OR(_xlpm.v=0, _xlpm.v=""), "", _xlpm.v))</f>
        <v>female</v>
      </c>
    </row>
    <row r="2790" spans="1:9" x14ac:dyDescent="0.6">
      <c r="A2790">
        <v>585</v>
      </c>
      <c r="B2790" t="s">
        <v>7</v>
      </c>
      <c r="C2790" t="s">
        <v>13</v>
      </c>
      <c r="D2790">
        <v>286.08</v>
      </c>
      <c r="E2790">
        <v>164.87</v>
      </c>
      <c r="F2790">
        <v>48227</v>
      </c>
      <c r="H2790">
        <f>_xlfn.LET(_xlpm.v, IFERROR(VLOOKUP($A2790, manifest!$A:$E, 3, FALSE), ""), IF(OR(_xlpm.v=0, _xlpm.v=""), "", _xlpm.v))</f>
        <v>50</v>
      </c>
      <c r="I2790" t="str">
        <f>_xlfn.LET(_xlpm.v, IFERROR(VLOOKUP($A2790, manifest!$A:$E, 5, FALSE), ""), IF(OR(_xlpm.v=0, _xlpm.v=""), "", _xlpm.v))</f>
        <v>female</v>
      </c>
    </row>
    <row r="2791" spans="1:9" x14ac:dyDescent="0.6">
      <c r="A2791">
        <v>603</v>
      </c>
      <c r="B2791" t="s">
        <v>14</v>
      </c>
      <c r="C2791" t="s">
        <v>8</v>
      </c>
      <c r="D2791">
        <v>153.53</v>
      </c>
      <c r="E2791">
        <v>123.33</v>
      </c>
      <c r="F2791">
        <v>19252</v>
      </c>
      <c r="G2791" t="s">
        <v>15</v>
      </c>
      <c r="H2791">
        <f>_xlfn.LET(_xlpm.v, IFERROR(VLOOKUP($A2791, manifest!$A:$E, 3, FALSE), ""), IF(OR(_xlpm.v=0, _xlpm.v=""), "", _xlpm.v))</f>
        <v>60</v>
      </c>
      <c r="I2791" t="str">
        <f>_xlfn.LET(_xlpm.v, IFERROR(VLOOKUP($A2791, manifest!$A:$E, 5, FALSE), ""), IF(OR(_xlpm.v=0, _xlpm.v=""), "", _xlpm.v))</f>
        <v>female</v>
      </c>
    </row>
    <row r="2792" spans="1:9" x14ac:dyDescent="0.6">
      <c r="A2792">
        <v>603</v>
      </c>
      <c r="B2792" t="s">
        <v>14</v>
      </c>
      <c r="C2792" t="s">
        <v>10</v>
      </c>
      <c r="D2792">
        <v>178.81</v>
      </c>
      <c r="E2792">
        <v>168.52</v>
      </c>
      <c r="F2792">
        <v>18680</v>
      </c>
      <c r="H2792">
        <f>_xlfn.LET(_xlpm.v, IFERROR(VLOOKUP($A2792, manifest!$A:$E, 3, FALSE), ""), IF(OR(_xlpm.v=0, _xlpm.v=""), "", _xlpm.v))</f>
        <v>60</v>
      </c>
      <c r="I2792" t="str">
        <f>_xlfn.LET(_xlpm.v, IFERROR(VLOOKUP($A2792, manifest!$A:$E, 5, FALSE), ""), IF(OR(_xlpm.v=0, _xlpm.v=""), "", _xlpm.v))</f>
        <v>female</v>
      </c>
    </row>
    <row r="2793" spans="1:9" x14ac:dyDescent="0.6">
      <c r="A2793">
        <v>603</v>
      </c>
      <c r="B2793" t="s">
        <v>14</v>
      </c>
      <c r="C2793" t="s">
        <v>11</v>
      </c>
      <c r="D2793">
        <v>170.34</v>
      </c>
      <c r="E2793">
        <v>153.71</v>
      </c>
      <c r="F2793">
        <v>23272</v>
      </c>
      <c r="H2793">
        <f>_xlfn.LET(_xlpm.v, IFERROR(VLOOKUP($A2793, manifest!$A:$E, 3, FALSE), ""), IF(OR(_xlpm.v=0, _xlpm.v=""), "", _xlpm.v))</f>
        <v>60</v>
      </c>
      <c r="I2793" t="str">
        <f>_xlfn.LET(_xlpm.v, IFERROR(VLOOKUP($A2793, manifest!$A:$E, 5, FALSE), ""), IF(OR(_xlpm.v=0, _xlpm.v=""), "", _xlpm.v))</f>
        <v>female</v>
      </c>
    </row>
    <row r="2794" spans="1:9" x14ac:dyDescent="0.6">
      <c r="A2794">
        <v>603</v>
      </c>
      <c r="B2794" t="s">
        <v>14</v>
      </c>
      <c r="C2794" t="s">
        <v>12</v>
      </c>
      <c r="D2794">
        <v>164.57</v>
      </c>
      <c r="E2794">
        <v>169.63</v>
      </c>
      <c r="F2794">
        <v>34566</v>
      </c>
      <c r="H2794">
        <f>_xlfn.LET(_xlpm.v, IFERROR(VLOOKUP($A2794, manifest!$A:$E, 3, FALSE), ""), IF(OR(_xlpm.v=0, _xlpm.v=""), "", _xlpm.v))</f>
        <v>60</v>
      </c>
      <c r="I2794" t="str">
        <f>_xlfn.LET(_xlpm.v, IFERROR(VLOOKUP($A2794, manifest!$A:$E, 5, FALSE), ""), IF(OR(_xlpm.v=0, _xlpm.v=""), "", _xlpm.v))</f>
        <v>female</v>
      </c>
    </row>
    <row r="2795" spans="1:9" x14ac:dyDescent="0.6">
      <c r="A2795">
        <v>603</v>
      </c>
      <c r="B2795" t="s">
        <v>14</v>
      </c>
      <c r="C2795" t="s">
        <v>13</v>
      </c>
      <c r="D2795">
        <v>176.13</v>
      </c>
      <c r="E2795">
        <v>163.63</v>
      </c>
      <c r="F2795">
        <v>32617</v>
      </c>
      <c r="H2795">
        <f>_xlfn.LET(_xlpm.v, IFERROR(VLOOKUP($A2795, manifest!$A:$E, 3, FALSE), ""), IF(OR(_xlpm.v=0, _xlpm.v=""), "", _xlpm.v))</f>
        <v>60</v>
      </c>
      <c r="I2795" t="str">
        <f>_xlfn.LET(_xlpm.v, IFERROR(VLOOKUP($A2795, manifest!$A:$E, 5, FALSE), ""), IF(OR(_xlpm.v=0, _xlpm.v=""), "", _xlpm.v))</f>
        <v>female</v>
      </c>
    </row>
    <row r="2796" spans="1:9" x14ac:dyDescent="0.6">
      <c r="A2796">
        <v>610</v>
      </c>
      <c r="B2796" t="s">
        <v>14</v>
      </c>
      <c r="C2796" t="s">
        <v>8</v>
      </c>
      <c r="D2796">
        <v>166.66</v>
      </c>
      <c r="E2796">
        <v>161.27000000000001</v>
      </c>
      <c r="F2796">
        <v>59136</v>
      </c>
      <c r="G2796" t="s">
        <v>9</v>
      </c>
      <c r="H2796">
        <f>_xlfn.LET(_xlpm.v, IFERROR(VLOOKUP($A2796, manifest!$A:$E, 3, FALSE), ""), IF(OR(_xlpm.v=0, _xlpm.v=""), "", _xlpm.v))</f>
        <v>70</v>
      </c>
      <c r="I2796" t="str">
        <f>_xlfn.LET(_xlpm.v, IFERROR(VLOOKUP($A2796, manifest!$A:$E, 5, FALSE), ""), IF(OR(_xlpm.v=0, _xlpm.v=""), "", _xlpm.v))</f>
        <v>male</v>
      </c>
    </row>
    <row r="2797" spans="1:9" x14ac:dyDescent="0.6">
      <c r="A2797">
        <v>610</v>
      </c>
      <c r="B2797" t="s">
        <v>14</v>
      </c>
      <c r="C2797" t="s">
        <v>10</v>
      </c>
      <c r="D2797">
        <v>179.47</v>
      </c>
      <c r="E2797">
        <v>181.48</v>
      </c>
      <c r="F2797">
        <v>59826</v>
      </c>
      <c r="H2797">
        <f>_xlfn.LET(_xlpm.v, IFERROR(VLOOKUP($A2797, manifest!$A:$E, 3, FALSE), ""), IF(OR(_xlpm.v=0, _xlpm.v=""), "", _xlpm.v))</f>
        <v>70</v>
      </c>
      <c r="I2797" t="str">
        <f>_xlfn.LET(_xlpm.v, IFERROR(VLOOKUP($A2797, manifest!$A:$E, 5, FALSE), ""), IF(OR(_xlpm.v=0, _xlpm.v=""), "", _xlpm.v))</f>
        <v>male</v>
      </c>
    </row>
    <row r="2798" spans="1:9" x14ac:dyDescent="0.6">
      <c r="A2798">
        <v>610</v>
      </c>
      <c r="B2798" t="s">
        <v>14</v>
      </c>
      <c r="C2798" t="s">
        <v>11</v>
      </c>
      <c r="D2798">
        <v>206.44</v>
      </c>
      <c r="E2798">
        <v>222.84</v>
      </c>
      <c r="F2798">
        <v>63484</v>
      </c>
      <c r="H2798">
        <f>_xlfn.LET(_xlpm.v, IFERROR(VLOOKUP($A2798, manifest!$A:$E, 3, FALSE), ""), IF(OR(_xlpm.v=0, _xlpm.v=""), "", _xlpm.v))</f>
        <v>70</v>
      </c>
      <c r="I2798" t="str">
        <f>_xlfn.LET(_xlpm.v, IFERROR(VLOOKUP($A2798, manifest!$A:$E, 5, FALSE), ""), IF(OR(_xlpm.v=0, _xlpm.v=""), "", _xlpm.v))</f>
        <v>male</v>
      </c>
    </row>
    <row r="2799" spans="1:9" x14ac:dyDescent="0.6">
      <c r="A2799">
        <v>610</v>
      </c>
      <c r="B2799" t="s">
        <v>14</v>
      </c>
      <c r="C2799" t="s">
        <v>12</v>
      </c>
      <c r="D2799">
        <v>184.37</v>
      </c>
      <c r="E2799">
        <v>198.2</v>
      </c>
      <c r="F2799">
        <v>73083</v>
      </c>
      <c r="H2799">
        <f>_xlfn.LET(_xlpm.v, IFERROR(VLOOKUP($A2799, manifest!$A:$E, 3, FALSE), ""), IF(OR(_xlpm.v=0, _xlpm.v=""), "", _xlpm.v))</f>
        <v>70</v>
      </c>
      <c r="I2799" t="str">
        <f>_xlfn.LET(_xlpm.v, IFERROR(VLOOKUP($A2799, manifest!$A:$E, 5, FALSE), ""), IF(OR(_xlpm.v=0, _xlpm.v=""), "", _xlpm.v))</f>
        <v>male</v>
      </c>
    </row>
    <row r="2800" spans="1:9" x14ac:dyDescent="0.6">
      <c r="A2800">
        <v>610</v>
      </c>
      <c r="B2800" t="s">
        <v>14</v>
      </c>
      <c r="C2800" t="s">
        <v>13</v>
      </c>
      <c r="D2800">
        <v>168.66</v>
      </c>
      <c r="E2800">
        <v>171.29</v>
      </c>
      <c r="F2800">
        <v>83766</v>
      </c>
      <c r="H2800">
        <f>_xlfn.LET(_xlpm.v, IFERROR(VLOOKUP($A2800, manifest!$A:$E, 3, FALSE), ""), IF(OR(_xlpm.v=0, _xlpm.v=""), "", _xlpm.v))</f>
        <v>70</v>
      </c>
      <c r="I2800" t="str">
        <f>_xlfn.LET(_xlpm.v, IFERROR(VLOOKUP($A2800, manifest!$A:$E, 5, FALSE), ""), IF(OR(_xlpm.v=0, _xlpm.v=""), "", _xlpm.v))</f>
        <v>male</v>
      </c>
    </row>
    <row r="2801" spans="1:9" x14ac:dyDescent="0.6">
      <c r="A2801">
        <v>596</v>
      </c>
      <c r="B2801" t="s">
        <v>14</v>
      </c>
      <c r="C2801" t="s">
        <v>8</v>
      </c>
      <c r="D2801">
        <v>236.16</v>
      </c>
      <c r="E2801">
        <v>130.79</v>
      </c>
      <c r="F2801">
        <v>16058</v>
      </c>
      <c r="G2801" t="s">
        <v>9</v>
      </c>
      <c r="H2801">
        <f>_xlfn.LET(_xlpm.v, IFERROR(VLOOKUP($A2801, manifest!$A:$E, 3, FALSE), ""), IF(OR(_xlpm.v=0, _xlpm.v=""), "", _xlpm.v))</f>
        <v>60</v>
      </c>
      <c r="I2801" t="str">
        <f>_xlfn.LET(_xlpm.v, IFERROR(VLOOKUP($A2801, manifest!$A:$E, 5, FALSE), ""), IF(OR(_xlpm.v=0, _xlpm.v=""), "", _xlpm.v))</f>
        <v>female</v>
      </c>
    </row>
    <row r="2802" spans="1:9" x14ac:dyDescent="0.6">
      <c r="A2802">
        <v>596</v>
      </c>
      <c r="B2802" t="s">
        <v>14</v>
      </c>
      <c r="C2802" t="s">
        <v>10</v>
      </c>
      <c r="D2802">
        <v>260.14999999999998</v>
      </c>
      <c r="E2802">
        <v>173.11</v>
      </c>
      <c r="F2802">
        <v>20511</v>
      </c>
      <c r="H2802">
        <f>_xlfn.LET(_xlpm.v, IFERROR(VLOOKUP($A2802, manifest!$A:$E, 3, FALSE), ""), IF(OR(_xlpm.v=0, _xlpm.v=""), "", _xlpm.v))</f>
        <v>60</v>
      </c>
      <c r="I2802" t="str">
        <f>_xlfn.LET(_xlpm.v, IFERROR(VLOOKUP($A2802, manifest!$A:$E, 5, FALSE), ""), IF(OR(_xlpm.v=0, _xlpm.v=""), "", _xlpm.v))</f>
        <v>female</v>
      </c>
    </row>
    <row r="2803" spans="1:9" x14ac:dyDescent="0.6">
      <c r="A2803">
        <v>596</v>
      </c>
      <c r="B2803" t="s">
        <v>14</v>
      </c>
      <c r="C2803" t="s">
        <v>11</v>
      </c>
      <c r="D2803">
        <v>270.91000000000003</v>
      </c>
      <c r="E2803">
        <v>192.95</v>
      </c>
      <c r="F2803">
        <v>22405</v>
      </c>
      <c r="H2803">
        <f>_xlfn.LET(_xlpm.v, IFERROR(VLOOKUP($A2803, manifest!$A:$E, 3, FALSE), ""), IF(OR(_xlpm.v=0, _xlpm.v=""), "", _xlpm.v))</f>
        <v>60</v>
      </c>
      <c r="I2803" t="str">
        <f>_xlfn.LET(_xlpm.v, IFERROR(VLOOKUP($A2803, manifest!$A:$E, 5, FALSE), ""), IF(OR(_xlpm.v=0, _xlpm.v=""), "", _xlpm.v))</f>
        <v>female</v>
      </c>
    </row>
    <row r="2804" spans="1:9" x14ac:dyDescent="0.6">
      <c r="A2804">
        <v>596</v>
      </c>
      <c r="B2804" t="s">
        <v>14</v>
      </c>
      <c r="C2804" t="s">
        <v>12</v>
      </c>
      <c r="D2804">
        <v>304.07</v>
      </c>
      <c r="E2804">
        <v>236.8</v>
      </c>
      <c r="F2804">
        <v>23354</v>
      </c>
      <c r="H2804">
        <f>_xlfn.LET(_xlpm.v, IFERROR(VLOOKUP($A2804, manifest!$A:$E, 3, FALSE), ""), IF(OR(_xlpm.v=0, _xlpm.v=""), "", _xlpm.v))</f>
        <v>60</v>
      </c>
      <c r="I2804" t="str">
        <f>_xlfn.LET(_xlpm.v, IFERROR(VLOOKUP($A2804, manifest!$A:$E, 5, FALSE), ""), IF(OR(_xlpm.v=0, _xlpm.v=""), "", _xlpm.v))</f>
        <v>female</v>
      </c>
    </row>
    <row r="2805" spans="1:9" x14ac:dyDescent="0.6">
      <c r="A2805">
        <v>596</v>
      </c>
      <c r="B2805" t="s">
        <v>14</v>
      </c>
      <c r="C2805" t="s">
        <v>13</v>
      </c>
      <c r="D2805">
        <v>267.14</v>
      </c>
      <c r="E2805">
        <v>184.89</v>
      </c>
      <c r="F2805">
        <v>29754</v>
      </c>
      <c r="H2805">
        <f>_xlfn.LET(_xlpm.v, IFERROR(VLOOKUP($A2805, manifest!$A:$E, 3, FALSE), ""), IF(OR(_xlpm.v=0, _xlpm.v=""), "", _xlpm.v))</f>
        <v>60</v>
      </c>
      <c r="I2805" t="str">
        <f>_xlfn.LET(_xlpm.v, IFERROR(VLOOKUP($A2805, manifest!$A:$E, 5, FALSE), ""), IF(OR(_xlpm.v=0, _xlpm.v=""), "", _xlpm.v))</f>
        <v>female</v>
      </c>
    </row>
    <row r="2806" spans="1:9" x14ac:dyDescent="0.6">
      <c r="A2806">
        <v>581</v>
      </c>
      <c r="B2806" t="s">
        <v>7</v>
      </c>
      <c r="C2806" t="s">
        <v>8</v>
      </c>
      <c r="D2806">
        <v>202.75</v>
      </c>
      <c r="E2806">
        <v>118.52</v>
      </c>
      <c r="F2806">
        <v>33916</v>
      </c>
      <c r="G2806" t="s">
        <v>9</v>
      </c>
      <c r="H2806">
        <f>_xlfn.LET(_xlpm.v, IFERROR(VLOOKUP($A2806, manifest!$A:$E, 3, FALSE), ""), IF(OR(_xlpm.v=0, _xlpm.v=""), "", _xlpm.v))</f>
        <v>70</v>
      </c>
      <c r="I2806" t="str">
        <f>_xlfn.LET(_xlpm.v, IFERROR(VLOOKUP($A2806, manifest!$A:$E, 5, FALSE), ""), IF(OR(_xlpm.v=0, _xlpm.v=""), "", _xlpm.v))</f>
        <v>female</v>
      </c>
    </row>
    <row r="2807" spans="1:9" x14ac:dyDescent="0.6">
      <c r="A2807">
        <v>581</v>
      </c>
      <c r="B2807" t="s">
        <v>7</v>
      </c>
      <c r="C2807" t="s">
        <v>10</v>
      </c>
      <c r="D2807">
        <v>267.3</v>
      </c>
      <c r="E2807">
        <v>129.75</v>
      </c>
      <c r="F2807">
        <v>35231</v>
      </c>
      <c r="H2807">
        <f>_xlfn.LET(_xlpm.v, IFERROR(VLOOKUP($A2807, manifest!$A:$E, 3, FALSE), ""), IF(OR(_xlpm.v=0, _xlpm.v=""), "", _xlpm.v))</f>
        <v>70</v>
      </c>
      <c r="I2807" t="str">
        <f>_xlfn.LET(_xlpm.v, IFERROR(VLOOKUP($A2807, manifest!$A:$E, 5, FALSE), ""), IF(OR(_xlpm.v=0, _xlpm.v=""), "", _xlpm.v))</f>
        <v>female</v>
      </c>
    </row>
    <row r="2808" spans="1:9" x14ac:dyDescent="0.6">
      <c r="A2808">
        <v>581</v>
      </c>
      <c r="B2808" t="s">
        <v>7</v>
      </c>
      <c r="C2808" t="s">
        <v>11</v>
      </c>
      <c r="D2808">
        <v>192.25</v>
      </c>
      <c r="E2808">
        <v>128.66999999999999</v>
      </c>
      <c r="F2808">
        <v>47521</v>
      </c>
      <c r="H2808">
        <f>_xlfn.LET(_xlpm.v, IFERROR(VLOOKUP($A2808, manifest!$A:$E, 3, FALSE), ""), IF(OR(_xlpm.v=0, _xlpm.v=""), "", _xlpm.v))</f>
        <v>70</v>
      </c>
      <c r="I2808" t="str">
        <f>_xlfn.LET(_xlpm.v, IFERROR(VLOOKUP($A2808, manifest!$A:$E, 5, FALSE), ""), IF(OR(_xlpm.v=0, _xlpm.v=""), "", _xlpm.v))</f>
        <v>female</v>
      </c>
    </row>
    <row r="2809" spans="1:9" x14ac:dyDescent="0.6">
      <c r="A2809">
        <v>581</v>
      </c>
      <c r="B2809" t="s">
        <v>7</v>
      </c>
      <c r="C2809" t="s">
        <v>12</v>
      </c>
      <c r="D2809">
        <v>210.8</v>
      </c>
      <c r="E2809">
        <v>180.73</v>
      </c>
      <c r="F2809">
        <v>48756</v>
      </c>
      <c r="H2809">
        <f>_xlfn.LET(_xlpm.v, IFERROR(VLOOKUP($A2809, manifest!$A:$E, 3, FALSE), ""), IF(OR(_xlpm.v=0, _xlpm.v=""), "", _xlpm.v))</f>
        <v>70</v>
      </c>
      <c r="I2809" t="str">
        <f>_xlfn.LET(_xlpm.v, IFERROR(VLOOKUP($A2809, manifest!$A:$E, 5, FALSE), ""), IF(OR(_xlpm.v=0, _xlpm.v=""), "", _xlpm.v))</f>
        <v>female</v>
      </c>
    </row>
    <row r="2810" spans="1:9" x14ac:dyDescent="0.6">
      <c r="A2810">
        <v>581</v>
      </c>
      <c r="B2810" t="s">
        <v>7</v>
      </c>
      <c r="C2810" t="s">
        <v>13</v>
      </c>
      <c r="D2810">
        <v>198.18</v>
      </c>
      <c r="E2810">
        <v>151.68</v>
      </c>
      <c r="F2810">
        <v>51167</v>
      </c>
      <c r="H2810">
        <f>_xlfn.LET(_xlpm.v, IFERROR(VLOOKUP($A2810, manifest!$A:$E, 3, FALSE), ""), IF(OR(_xlpm.v=0, _xlpm.v=""), "", _xlpm.v))</f>
        <v>70</v>
      </c>
      <c r="I2810" t="str">
        <f>_xlfn.LET(_xlpm.v, IFERROR(VLOOKUP($A2810, manifest!$A:$E, 5, FALSE), ""), IF(OR(_xlpm.v=0, _xlpm.v=""), "", _xlpm.v))</f>
        <v>female</v>
      </c>
    </row>
    <row r="2811" spans="1:9" x14ac:dyDescent="0.6">
      <c r="A2811">
        <v>586</v>
      </c>
      <c r="B2811" t="s">
        <v>14</v>
      </c>
      <c r="C2811" t="s">
        <v>8</v>
      </c>
      <c r="D2811">
        <v>221.02</v>
      </c>
      <c r="E2811">
        <v>194.61</v>
      </c>
      <c r="F2811">
        <v>31672</v>
      </c>
      <c r="G2811" t="s">
        <v>9</v>
      </c>
      <c r="H2811">
        <f>_xlfn.LET(_xlpm.v, IFERROR(VLOOKUP($A2811, manifest!$A:$E, 3, FALSE), ""), IF(OR(_xlpm.v=0, _xlpm.v=""), "", _xlpm.v))</f>
        <v>80</v>
      </c>
      <c r="I2811" t="str">
        <f>_xlfn.LET(_xlpm.v, IFERROR(VLOOKUP($A2811, manifest!$A:$E, 5, FALSE), ""), IF(OR(_xlpm.v=0, _xlpm.v=""), "", _xlpm.v))</f>
        <v>male</v>
      </c>
    </row>
    <row r="2812" spans="1:9" x14ac:dyDescent="0.6">
      <c r="A2812">
        <v>586</v>
      </c>
      <c r="B2812" t="s">
        <v>14</v>
      </c>
      <c r="C2812" t="s">
        <v>10</v>
      </c>
      <c r="D2812">
        <v>228.49</v>
      </c>
      <c r="E2812">
        <v>211.13</v>
      </c>
      <c r="F2812">
        <v>38478</v>
      </c>
      <c r="H2812">
        <f>_xlfn.LET(_xlpm.v, IFERROR(VLOOKUP($A2812, manifest!$A:$E, 3, FALSE), ""), IF(OR(_xlpm.v=0, _xlpm.v=""), "", _xlpm.v))</f>
        <v>80</v>
      </c>
      <c r="I2812" t="str">
        <f>_xlfn.LET(_xlpm.v, IFERROR(VLOOKUP($A2812, manifest!$A:$E, 5, FALSE), ""), IF(OR(_xlpm.v=0, _xlpm.v=""), "", _xlpm.v))</f>
        <v>male</v>
      </c>
    </row>
    <row r="2813" spans="1:9" x14ac:dyDescent="0.6">
      <c r="A2813">
        <v>586</v>
      </c>
      <c r="B2813" t="s">
        <v>14</v>
      </c>
      <c r="C2813" t="s">
        <v>11</v>
      </c>
      <c r="D2813">
        <v>241</v>
      </c>
      <c r="E2813">
        <v>222.61</v>
      </c>
      <c r="F2813">
        <v>41953</v>
      </c>
      <c r="H2813">
        <f>_xlfn.LET(_xlpm.v, IFERROR(VLOOKUP($A2813, manifest!$A:$E, 3, FALSE), ""), IF(OR(_xlpm.v=0, _xlpm.v=""), "", _xlpm.v))</f>
        <v>80</v>
      </c>
      <c r="I2813" t="str">
        <f>_xlfn.LET(_xlpm.v, IFERROR(VLOOKUP($A2813, manifest!$A:$E, 5, FALSE), ""), IF(OR(_xlpm.v=0, _xlpm.v=""), "", _xlpm.v))</f>
        <v>male</v>
      </c>
    </row>
    <row r="2814" spans="1:9" x14ac:dyDescent="0.6">
      <c r="A2814">
        <v>586</v>
      </c>
      <c r="B2814" t="s">
        <v>14</v>
      </c>
      <c r="C2814" t="s">
        <v>12</v>
      </c>
      <c r="D2814">
        <v>223.02</v>
      </c>
      <c r="E2814">
        <v>197.55</v>
      </c>
      <c r="F2814">
        <v>43815</v>
      </c>
      <c r="H2814">
        <f>_xlfn.LET(_xlpm.v, IFERROR(VLOOKUP($A2814, manifest!$A:$E, 3, FALSE), ""), IF(OR(_xlpm.v=0, _xlpm.v=""), "", _xlpm.v))</f>
        <v>80</v>
      </c>
      <c r="I2814" t="str">
        <f>_xlfn.LET(_xlpm.v, IFERROR(VLOOKUP($A2814, manifest!$A:$E, 5, FALSE), ""), IF(OR(_xlpm.v=0, _xlpm.v=""), "", _xlpm.v))</f>
        <v>male</v>
      </c>
    </row>
    <row r="2815" spans="1:9" x14ac:dyDescent="0.6">
      <c r="A2815">
        <v>586</v>
      </c>
      <c r="B2815" t="s">
        <v>14</v>
      </c>
      <c r="C2815" t="s">
        <v>13</v>
      </c>
      <c r="D2815">
        <v>265.76</v>
      </c>
      <c r="E2815">
        <v>249.52</v>
      </c>
      <c r="F2815">
        <v>43728</v>
      </c>
      <c r="H2815">
        <f>_xlfn.LET(_xlpm.v, IFERROR(VLOOKUP($A2815, manifest!$A:$E, 3, FALSE), ""), IF(OR(_xlpm.v=0, _xlpm.v=""), "", _xlpm.v))</f>
        <v>80</v>
      </c>
      <c r="I2815" t="str">
        <f>_xlfn.LET(_xlpm.v, IFERROR(VLOOKUP($A2815, manifest!$A:$E, 5, FALSE), ""), IF(OR(_xlpm.v=0, _xlpm.v=""), "", _xlpm.v))</f>
        <v>male</v>
      </c>
    </row>
    <row r="2816" spans="1:9" x14ac:dyDescent="0.6">
      <c r="A2816">
        <v>608</v>
      </c>
      <c r="B2816" t="s">
        <v>7</v>
      </c>
      <c r="C2816" t="s">
        <v>8</v>
      </c>
      <c r="D2816">
        <v>137.07</v>
      </c>
      <c r="E2816">
        <v>159.88</v>
      </c>
      <c r="F2816">
        <v>17764</v>
      </c>
      <c r="G2816" t="s">
        <v>15</v>
      </c>
      <c r="H2816">
        <f>_xlfn.LET(_xlpm.v, IFERROR(VLOOKUP($A2816, manifest!$A:$E, 3, FALSE), ""), IF(OR(_xlpm.v=0, _xlpm.v=""), "", _xlpm.v))</f>
        <v>70</v>
      </c>
      <c r="I2816" t="str">
        <f>_xlfn.LET(_xlpm.v, IFERROR(VLOOKUP($A2816, manifest!$A:$E, 5, FALSE), ""), IF(OR(_xlpm.v=0, _xlpm.v=""), "", _xlpm.v))</f>
        <v>female</v>
      </c>
    </row>
    <row r="2817" spans="1:9" x14ac:dyDescent="0.6">
      <c r="A2817">
        <v>608</v>
      </c>
      <c r="B2817" t="s">
        <v>7</v>
      </c>
      <c r="C2817" t="s">
        <v>10</v>
      </c>
      <c r="D2817">
        <v>183.26</v>
      </c>
      <c r="E2817">
        <v>196.53</v>
      </c>
      <c r="F2817">
        <v>23614</v>
      </c>
      <c r="H2817">
        <f>_xlfn.LET(_xlpm.v, IFERROR(VLOOKUP($A2817, manifest!$A:$E, 3, FALSE), ""), IF(OR(_xlpm.v=0, _xlpm.v=""), "", _xlpm.v))</f>
        <v>70</v>
      </c>
      <c r="I2817" t="str">
        <f>_xlfn.LET(_xlpm.v, IFERROR(VLOOKUP($A2817, manifest!$A:$E, 5, FALSE), ""), IF(OR(_xlpm.v=0, _xlpm.v=""), "", _xlpm.v))</f>
        <v>female</v>
      </c>
    </row>
    <row r="2818" spans="1:9" x14ac:dyDescent="0.6">
      <c r="A2818">
        <v>608</v>
      </c>
      <c r="B2818" t="s">
        <v>7</v>
      </c>
      <c r="C2818" t="s">
        <v>11</v>
      </c>
      <c r="D2818">
        <v>173.45</v>
      </c>
      <c r="E2818">
        <v>180.32</v>
      </c>
      <c r="F2818">
        <v>27346</v>
      </c>
      <c r="H2818">
        <f>_xlfn.LET(_xlpm.v, IFERROR(VLOOKUP($A2818, manifest!$A:$E, 3, FALSE), ""), IF(OR(_xlpm.v=0, _xlpm.v=""), "", _xlpm.v))</f>
        <v>70</v>
      </c>
      <c r="I2818" t="str">
        <f>_xlfn.LET(_xlpm.v, IFERROR(VLOOKUP($A2818, manifest!$A:$E, 5, FALSE), ""), IF(OR(_xlpm.v=0, _xlpm.v=""), "", _xlpm.v))</f>
        <v>female</v>
      </c>
    </row>
    <row r="2819" spans="1:9" x14ac:dyDescent="0.6">
      <c r="A2819">
        <v>608</v>
      </c>
      <c r="B2819" t="s">
        <v>7</v>
      </c>
      <c r="C2819" t="s">
        <v>12</v>
      </c>
      <c r="D2819">
        <v>184.62</v>
      </c>
      <c r="E2819">
        <v>209.49</v>
      </c>
      <c r="F2819">
        <v>32989</v>
      </c>
      <c r="H2819">
        <f>_xlfn.LET(_xlpm.v, IFERROR(VLOOKUP($A2819, manifest!$A:$E, 3, FALSE), ""), IF(OR(_xlpm.v=0, _xlpm.v=""), "", _xlpm.v))</f>
        <v>70</v>
      </c>
      <c r="I2819" t="str">
        <f>_xlfn.LET(_xlpm.v, IFERROR(VLOOKUP($A2819, manifest!$A:$E, 5, FALSE), ""), IF(OR(_xlpm.v=0, _xlpm.v=""), "", _xlpm.v))</f>
        <v>female</v>
      </c>
    </row>
    <row r="2820" spans="1:9" x14ac:dyDescent="0.6">
      <c r="A2820">
        <v>608</v>
      </c>
      <c r="B2820" t="s">
        <v>7</v>
      </c>
      <c r="C2820" t="s">
        <v>13</v>
      </c>
      <c r="D2820">
        <v>237.86</v>
      </c>
      <c r="E2820">
        <v>220.9</v>
      </c>
      <c r="F2820">
        <v>35169</v>
      </c>
      <c r="H2820">
        <f>_xlfn.LET(_xlpm.v, IFERROR(VLOOKUP($A2820, manifest!$A:$E, 3, FALSE), ""), IF(OR(_xlpm.v=0, _xlpm.v=""), "", _xlpm.v))</f>
        <v>70</v>
      </c>
      <c r="I2820" t="str">
        <f>_xlfn.LET(_xlpm.v, IFERROR(VLOOKUP($A2820, manifest!$A:$E, 5, FALSE), ""), IF(OR(_xlpm.v=0, _xlpm.v=""), "", _xlpm.v))</f>
        <v>female</v>
      </c>
    </row>
    <row r="2821" spans="1:9" x14ac:dyDescent="0.6">
      <c r="A2821">
        <v>570</v>
      </c>
      <c r="B2821" t="s">
        <v>14</v>
      </c>
      <c r="C2821" t="s">
        <v>8</v>
      </c>
      <c r="D2821">
        <v>116.08</v>
      </c>
      <c r="E2821">
        <v>139.63999999999999</v>
      </c>
      <c r="F2821">
        <v>66263</v>
      </c>
      <c r="G2821" t="s">
        <v>15</v>
      </c>
      <c r="H2821">
        <f>_xlfn.LET(_xlpm.v, IFERROR(VLOOKUP($A2821, manifest!$A:$E, 3, FALSE), ""), IF(OR(_xlpm.v=0, _xlpm.v=""), "", _xlpm.v))</f>
        <v>50</v>
      </c>
      <c r="I2821" t="str">
        <f>_xlfn.LET(_xlpm.v, IFERROR(VLOOKUP($A2821, manifest!$A:$E, 5, FALSE), ""), IF(OR(_xlpm.v=0, _xlpm.v=""), "", _xlpm.v))</f>
        <v>male</v>
      </c>
    </row>
    <row r="2822" spans="1:9" x14ac:dyDescent="0.6">
      <c r="A2822">
        <v>570</v>
      </c>
      <c r="B2822" t="s">
        <v>14</v>
      </c>
      <c r="C2822" t="s">
        <v>10</v>
      </c>
      <c r="D2822">
        <v>129.07</v>
      </c>
      <c r="E2822">
        <v>161.91999999999999</v>
      </c>
      <c r="F2822">
        <v>68070</v>
      </c>
      <c r="H2822">
        <f>_xlfn.LET(_xlpm.v, IFERROR(VLOOKUP($A2822, manifest!$A:$E, 3, FALSE), ""), IF(OR(_xlpm.v=0, _xlpm.v=""), "", _xlpm.v))</f>
        <v>50</v>
      </c>
      <c r="I2822" t="str">
        <f>_xlfn.LET(_xlpm.v, IFERROR(VLOOKUP($A2822, manifest!$A:$E, 5, FALSE), ""), IF(OR(_xlpm.v=0, _xlpm.v=""), "", _xlpm.v))</f>
        <v>male</v>
      </c>
    </row>
    <row r="2823" spans="1:9" x14ac:dyDescent="0.6">
      <c r="A2823">
        <v>570</v>
      </c>
      <c r="B2823" t="s">
        <v>14</v>
      </c>
      <c r="C2823" t="s">
        <v>11</v>
      </c>
      <c r="D2823">
        <v>138.66</v>
      </c>
      <c r="E2823">
        <v>179.68</v>
      </c>
      <c r="F2823">
        <v>71048</v>
      </c>
      <c r="H2823">
        <f>_xlfn.LET(_xlpm.v, IFERROR(VLOOKUP($A2823, manifest!$A:$E, 3, FALSE), ""), IF(OR(_xlpm.v=0, _xlpm.v=""), "", _xlpm.v))</f>
        <v>50</v>
      </c>
      <c r="I2823" t="str">
        <f>_xlfn.LET(_xlpm.v, IFERROR(VLOOKUP($A2823, manifest!$A:$E, 5, FALSE), ""), IF(OR(_xlpm.v=0, _xlpm.v=""), "", _xlpm.v))</f>
        <v>male</v>
      </c>
    </row>
    <row r="2824" spans="1:9" x14ac:dyDescent="0.6">
      <c r="A2824">
        <v>570</v>
      </c>
      <c r="B2824" t="s">
        <v>14</v>
      </c>
      <c r="C2824" t="s">
        <v>12</v>
      </c>
      <c r="D2824">
        <v>130.05000000000001</v>
      </c>
      <c r="E2824">
        <v>188.2</v>
      </c>
      <c r="F2824">
        <v>95238</v>
      </c>
      <c r="H2824">
        <f>_xlfn.LET(_xlpm.v, IFERROR(VLOOKUP($A2824, manifest!$A:$E, 3, FALSE), ""), IF(OR(_xlpm.v=0, _xlpm.v=""), "", _xlpm.v))</f>
        <v>50</v>
      </c>
      <c r="I2824" t="str">
        <f>_xlfn.LET(_xlpm.v, IFERROR(VLOOKUP($A2824, manifest!$A:$E, 5, FALSE), ""), IF(OR(_xlpm.v=0, _xlpm.v=""), "", _xlpm.v))</f>
        <v>male</v>
      </c>
    </row>
    <row r="2825" spans="1:9" x14ac:dyDescent="0.6">
      <c r="A2825">
        <v>570</v>
      </c>
      <c r="B2825" t="s">
        <v>14</v>
      </c>
      <c r="C2825" t="s">
        <v>13</v>
      </c>
      <c r="D2825">
        <v>133.93</v>
      </c>
      <c r="E2825">
        <v>171.01</v>
      </c>
      <c r="F2825">
        <v>81186</v>
      </c>
      <c r="H2825">
        <f>_xlfn.LET(_xlpm.v, IFERROR(VLOOKUP($A2825, manifest!$A:$E, 3, FALSE), ""), IF(OR(_xlpm.v=0, _xlpm.v=""), "", _xlpm.v))</f>
        <v>50</v>
      </c>
      <c r="I2825" t="str">
        <f>_xlfn.LET(_xlpm.v, IFERROR(VLOOKUP($A2825, manifest!$A:$E, 5, FALSE), ""), IF(OR(_xlpm.v=0, _xlpm.v=""), "", _xlpm.v))</f>
        <v>male</v>
      </c>
    </row>
    <row r="2826" spans="1:9" x14ac:dyDescent="0.6">
      <c r="A2826">
        <v>602</v>
      </c>
      <c r="B2826" t="s">
        <v>14</v>
      </c>
      <c r="C2826" t="s">
        <v>8</v>
      </c>
      <c r="D2826">
        <v>176.21</v>
      </c>
      <c r="E2826">
        <v>174.72</v>
      </c>
      <c r="F2826">
        <v>40703</v>
      </c>
      <c r="G2826" t="s">
        <v>9</v>
      </c>
      <c r="H2826">
        <f>_xlfn.LET(_xlpm.v, IFERROR(VLOOKUP($A2826, manifest!$A:$E, 3, FALSE), ""), IF(OR(_xlpm.v=0, _xlpm.v=""), "", _xlpm.v))</f>
        <v>60</v>
      </c>
      <c r="I2826" t="str">
        <f>_xlfn.LET(_xlpm.v, IFERROR(VLOOKUP($A2826, manifest!$A:$E, 5, FALSE), ""), IF(OR(_xlpm.v=0, _xlpm.v=""), "", _xlpm.v))</f>
        <v>male</v>
      </c>
    </row>
    <row r="2827" spans="1:9" x14ac:dyDescent="0.6">
      <c r="A2827">
        <v>602</v>
      </c>
      <c r="B2827" t="s">
        <v>14</v>
      </c>
      <c r="C2827" t="s">
        <v>10</v>
      </c>
      <c r="D2827">
        <v>179.55</v>
      </c>
      <c r="E2827">
        <v>183.91</v>
      </c>
      <c r="F2827">
        <v>45754</v>
      </c>
      <c r="H2827">
        <f>_xlfn.LET(_xlpm.v, IFERROR(VLOOKUP($A2827, manifest!$A:$E, 3, FALSE), ""), IF(OR(_xlpm.v=0, _xlpm.v=""), "", _xlpm.v))</f>
        <v>60</v>
      </c>
      <c r="I2827" t="str">
        <f>_xlfn.LET(_xlpm.v, IFERROR(VLOOKUP($A2827, manifest!$A:$E, 5, FALSE), ""), IF(OR(_xlpm.v=0, _xlpm.v=""), "", _xlpm.v))</f>
        <v>male</v>
      </c>
    </row>
    <row r="2828" spans="1:9" x14ac:dyDescent="0.6">
      <c r="A2828">
        <v>602</v>
      </c>
      <c r="B2828" t="s">
        <v>14</v>
      </c>
      <c r="C2828" t="s">
        <v>11</v>
      </c>
      <c r="D2828">
        <v>168.48</v>
      </c>
      <c r="E2828">
        <v>168.98</v>
      </c>
      <c r="F2828">
        <v>60454</v>
      </c>
      <c r="H2828">
        <f>_xlfn.LET(_xlpm.v, IFERROR(VLOOKUP($A2828, manifest!$A:$E, 3, FALSE), ""), IF(OR(_xlpm.v=0, _xlpm.v=""), "", _xlpm.v))</f>
        <v>60</v>
      </c>
      <c r="I2828" t="str">
        <f>_xlfn.LET(_xlpm.v, IFERROR(VLOOKUP($A2828, manifest!$A:$E, 5, FALSE), ""), IF(OR(_xlpm.v=0, _xlpm.v=""), "", _xlpm.v))</f>
        <v>male</v>
      </c>
    </row>
    <row r="2829" spans="1:9" x14ac:dyDescent="0.6">
      <c r="A2829">
        <v>602</v>
      </c>
      <c r="B2829" t="s">
        <v>14</v>
      </c>
      <c r="C2829" t="s">
        <v>12</v>
      </c>
      <c r="D2829">
        <v>190.92</v>
      </c>
      <c r="E2829">
        <v>199.35</v>
      </c>
      <c r="F2829">
        <v>58073</v>
      </c>
      <c r="H2829">
        <f>_xlfn.LET(_xlpm.v, IFERROR(VLOOKUP($A2829, manifest!$A:$E, 3, FALSE), ""), IF(OR(_xlpm.v=0, _xlpm.v=""), "", _xlpm.v))</f>
        <v>60</v>
      </c>
      <c r="I2829" t="str">
        <f>_xlfn.LET(_xlpm.v, IFERROR(VLOOKUP($A2829, manifest!$A:$E, 5, FALSE), ""), IF(OR(_xlpm.v=0, _xlpm.v=""), "", _xlpm.v))</f>
        <v>male</v>
      </c>
    </row>
    <row r="2830" spans="1:9" x14ac:dyDescent="0.6">
      <c r="A2830">
        <v>602</v>
      </c>
      <c r="B2830" t="s">
        <v>14</v>
      </c>
      <c r="C2830" t="s">
        <v>13</v>
      </c>
      <c r="D2830">
        <v>164.82</v>
      </c>
      <c r="E2830">
        <v>148.58000000000001</v>
      </c>
      <c r="F2830">
        <v>74755</v>
      </c>
      <c r="H2830">
        <f>_xlfn.LET(_xlpm.v, IFERROR(VLOOKUP($A2830, manifest!$A:$E, 3, FALSE), ""), IF(OR(_xlpm.v=0, _xlpm.v=""), "", _xlpm.v))</f>
        <v>60</v>
      </c>
      <c r="I2830" t="str">
        <f>_xlfn.LET(_xlpm.v, IFERROR(VLOOKUP($A2830, manifest!$A:$E, 5, FALSE), ""), IF(OR(_xlpm.v=0, _xlpm.v=""), "", _xlpm.v))</f>
        <v>male</v>
      </c>
    </row>
    <row r="2831" spans="1:9" x14ac:dyDescent="0.6">
      <c r="A2831">
        <v>621</v>
      </c>
      <c r="B2831" t="s">
        <v>7</v>
      </c>
      <c r="C2831" t="s">
        <v>8</v>
      </c>
      <c r="D2831">
        <v>175.49</v>
      </c>
      <c r="E2831">
        <v>99.65</v>
      </c>
      <c r="F2831">
        <v>15285</v>
      </c>
      <c r="G2831" t="s">
        <v>9</v>
      </c>
      <c r="H2831">
        <f>_xlfn.LET(_xlpm.v, IFERROR(VLOOKUP($A2831, manifest!$A:$E, 3, FALSE), ""), IF(OR(_xlpm.v=0, _xlpm.v=""), "", _xlpm.v))</f>
        <v>50</v>
      </c>
      <c r="I2831" t="str">
        <f>_xlfn.LET(_xlpm.v, IFERROR(VLOOKUP($A2831, manifest!$A:$E, 5, FALSE), ""), IF(OR(_xlpm.v=0, _xlpm.v=""), "", _xlpm.v))</f>
        <v>female</v>
      </c>
    </row>
    <row r="2832" spans="1:9" x14ac:dyDescent="0.6">
      <c r="A2832">
        <v>621</v>
      </c>
      <c r="B2832" t="s">
        <v>7</v>
      </c>
      <c r="C2832" t="s">
        <v>10</v>
      </c>
      <c r="D2832">
        <v>202.6</v>
      </c>
      <c r="E2832">
        <v>152.69999999999999</v>
      </c>
      <c r="F2832">
        <v>16792</v>
      </c>
      <c r="H2832">
        <f>_xlfn.LET(_xlpm.v, IFERROR(VLOOKUP($A2832, manifest!$A:$E, 3, FALSE), ""), IF(OR(_xlpm.v=0, _xlpm.v=""), "", _xlpm.v))</f>
        <v>50</v>
      </c>
      <c r="I2832" t="str">
        <f>_xlfn.LET(_xlpm.v, IFERROR(VLOOKUP($A2832, manifest!$A:$E, 5, FALSE), ""), IF(OR(_xlpm.v=0, _xlpm.v=""), "", _xlpm.v))</f>
        <v>female</v>
      </c>
    </row>
    <row r="2833" spans="1:9" x14ac:dyDescent="0.6">
      <c r="A2833">
        <v>621</v>
      </c>
      <c r="B2833" t="s">
        <v>7</v>
      </c>
      <c r="C2833" t="s">
        <v>11</v>
      </c>
      <c r="D2833">
        <v>190.19</v>
      </c>
      <c r="E2833">
        <v>148.38999999999999</v>
      </c>
      <c r="F2833">
        <v>19397</v>
      </c>
      <c r="H2833">
        <f>_xlfn.LET(_xlpm.v, IFERROR(VLOOKUP($A2833, manifest!$A:$E, 3, FALSE), ""), IF(OR(_xlpm.v=0, _xlpm.v=""), "", _xlpm.v))</f>
        <v>50</v>
      </c>
      <c r="I2833" t="str">
        <f>_xlfn.LET(_xlpm.v, IFERROR(VLOOKUP($A2833, manifest!$A:$E, 5, FALSE), ""), IF(OR(_xlpm.v=0, _xlpm.v=""), "", _xlpm.v))</f>
        <v>female</v>
      </c>
    </row>
    <row r="2834" spans="1:9" x14ac:dyDescent="0.6">
      <c r="A2834">
        <v>621</v>
      </c>
      <c r="B2834" t="s">
        <v>7</v>
      </c>
      <c r="C2834" t="s">
        <v>12</v>
      </c>
      <c r="D2834">
        <v>190.01</v>
      </c>
      <c r="E2834">
        <v>149.85</v>
      </c>
      <c r="F2834">
        <v>23314</v>
      </c>
      <c r="H2834">
        <f>_xlfn.LET(_xlpm.v, IFERROR(VLOOKUP($A2834, manifest!$A:$E, 3, FALSE), ""), IF(OR(_xlpm.v=0, _xlpm.v=""), "", _xlpm.v))</f>
        <v>50</v>
      </c>
      <c r="I2834" t="str">
        <f>_xlfn.LET(_xlpm.v, IFERROR(VLOOKUP($A2834, manifest!$A:$E, 5, FALSE), ""), IF(OR(_xlpm.v=0, _xlpm.v=""), "", _xlpm.v))</f>
        <v>female</v>
      </c>
    </row>
    <row r="2835" spans="1:9" x14ac:dyDescent="0.6">
      <c r="A2835">
        <v>621</v>
      </c>
      <c r="B2835" t="s">
        <v>7</v>
      </c>
      <c r="C2835" t="s">
        <v>13</v>
      </c>
      <c r="D2835">
        <v>176.19</v>
      </c>
      <c r="E2835">
        <v>125.28</v>
      </c>
      <c r="F2835">
        <v>26816</v>
      </c>
      <c r="H2835">
        <f>_xlfn.LET(_xlpm.v, IFERROR(VLOOKUP($A2835, manifest!$A:$E, 3, FALSE), ""), IF(OR(_xlpm.v=0, _xlpm.v=""), "", _xlpm.v))</f>
        <v>50</v>
      </c>
      <c r="I2835" t="str">
        <f>_xlfn.LET(_xlpm.v, IFERROR(VLOOKUP($A2835, manifest!$A:$E, 5, FALSE), ""), IF(OR(_xlpm.v=0, _xlpm.v=""), "", _xlpm.v))</f>
        <v>female</v>
      </c>
    </row>
    <row r="2836" spans="1:9" x14ac:dyDescent="0.6">
      <c r="A2836">
        <v>600</v>
      </c>
      <c r="B2836" t="s">
        <v>7</v>
      </c>
      <c r="C2836" t="s">
        <v>8</v>
      </c>
      <c r="D2836">
        <v>272.54000000000002</v>
      </c>
      <c r="E2836">
        <v>190.42</v>
      </c>
      <c r="F2836">
        <v>20007</v>
      </c>
      <c r="G2836" t="s">
        <v>9</v>
      </c>
      <c r="H2836">
        <f>_xlfn.LET(_xlpm.v, IFERROR(VLOOKUP($A2836, manifest!$A:$E, 3, FALSE), ""), IF(OR(_xlpm.v=0, _xlpm.v=""), "", _xlpm.v))</f>
        <v>50</v>
      </c>
      <c r="I2836" t="str">
        <f>_xlfn.LET(_xlpm.v, IFERROR(VLOOKUP($A2836, manifest!$A:$E, 5, FALSE), ""), IF(OR(_xlpm.v=0, _xlpm.v=""), "", _xlpm.v))</f>
        <v>male</v>
      </c>
    </row>
    <row r="2837" spans="1:9" x14ac:dyDescent="0.6">
      <c r="A2837">
        <v>600</v>
      </c>
      <c r="B2837" t="s">
        <v>7</v>
      </c>
      <c r="C2837" t="s">
        <v>10</v>
      </c>
      <c r="D2837">
        <v>270.33</v>
      </c>
      <c r="E2837">
        <v>186.27</v>
      </c>
      <c r="F2837">
        <v>24535</v>
      </c>
      <c r="H2837">
        <f>_xlfn.LET(_xlpm.v, IFERROR(VLOOKUP($A2837, manifest!$A:$E, 3, FALSE), ""), IF(OR(_xlpm.v=0, _xlpm.v=""), "", _xlpm.v))</f>
        <v>50</v>
      </c>
      <c r="I2837" t="str">
        <f>_xlfn.LET(_xlpm.v, IFERROR(VLOOKUP($A2837, manifest!$A:$E, 5, FALSE), ""), IF(OR(_xlpm.v=0, _xlpm.v=""), "", _xlpm.v))</f>
        <v>male</v>
      </c>
    </row>
    <row r="2838" spans="1:9" x14ac:dyDescent="0.6">
      <c r="A2838">
        <v>600</v>
      </c>
      <c r="B2838" t="s">
        <v>7</v>
      </c>
      <c r="C2838" t="s">
        <v>11</v>
      </c>
      <c r="D2838">
        <v>277.55</v>
      </c>
      <c r="E2838">
        <v>215.5</v>
      </c>
      <c r="F2838">
        <v>31516</v>
      </c>
      <c r="H2838">
        <f>_xlfn.LET(_xlpm.v, IFERROR(VLOOKUP($A2838, manifest!$A:$E, 3, FALSE), ""), IF(OR(_xlpm.v=0, _xlpm.v=""), "", _xlpm.v))</f>
        <v>50</v>
      </c>
      <c r="I2838" t="str">
        <f>_xlfn.LET(_xlpm.v, IFERROR(VLOOKUP($A2838, manifest!$A:$E, 5, FALSE), ""), IF(OR(_xlpm.v=0, _xlpm.v=""), "", _xlpm.v))</f>
        <v>male</v>
      </c>
    </row>
    <row r="2839" spans="1:9" x14ac:dyDescent="0.6">
      <c r="A2839">
        <v>600</v>
      </c>
      <c r="B2839" t="s">
        <v>7</v>
      </c>
      <c r="C2839" t="s">
        <v>12</v>
      </c>
      <c r="D2839">
        <v>377.67</v>
      </c>
      <c r="E2839">
        <v>203.36</v>
      </c>
      <c r="F2839">
        <v>29472</v>
      </c>
      <c r="H2839">
        <f>_xlfn.LET(_xlpm.v, IFERROR(VLOOKUP($A2839, manifest!$A:$E, 3, FALSE), ""), IF(OR(_xlpm.v=0, _xlpm.v=""), "", _xlpm.v))</f>
        <v>50</v>
      </c>
      <c r="I2839" t="str">
        <f>_xlfn.LET(_xlpm.v, IFERROR(VLOOKUP($A2839, manifest!$A:$E, 5, FALSE), ""), IF(OR(_xlpm.v=0, _xlpm.v=""), "", _xlpm.v))</f>
        <v>male</v>
      </c>
    </row>
    <row r="2840" spans="1:9" x14ac:dyDescent="0.6">
      <c r="A2840">
        <v>600</v>
      </c>
      <c r="B2840" t="s">
        <v>7</v>
      </c>
      <c r="C2840" t="s">
        <v>13</v>
      </c>
      <c r="D2840">
        <v>272.93</v>
      </c>
      <c r="E2840">
        <v>187.73</v>
      </c>
      <c r="F2840">
        <v>38437</v>
      </c>
      <c r="H2840">
        <f>_xlfn.LET(_xlpm.v, IFERROR(VLOOKUP($A2840, manifest!$A:$E, 3, FALSE), ""), IF(OR(_xlpm.v=0, _xlpm.v=""), "", _xlpm.v))</f>
        <v>50</v>
      </c>
      <c r="I2840" t="str">
        <f>_xlfn.LET(_xlpm.v, IFERROR(VLOOKUP($A2840, manifest!$A:$E, 5, FALSE), ""), IF(OR(_xlpm.v=0, _xlpm.v=""), "", _xlpm.v))</f>
        <v>male</v>
      </c>
    </row>
    <row r="2841" spans="1:9" x14ac:dyDescent="0.6">
      <c r="A2841">
        <v>597</v>
      </c>
      <c r="B2841" t="s">
        <v>14</v>
      </c>
      <c r="C2841" t="s">
        <v>8</v>
      </c>
      <c r="D2841">
        <v>129.07</v>
      </c>
      <c r="E2841">
        <v>85.34</v>
      </c>
      <c r="F2841">
        <v>28544</v>
      </c>
      <c r="G2841" t="s">
        <v>15</v>
      </c>
      <c r="H2841">
        <f>_xlfn.LET(_xlpm.v, IFERROR(VLOOKUP($A2841, manifest!$A:$E, 3, FALSE), ""), IF(OR(_xlpm.v=0, _xlpm.v=""), "", _xlpm.v))</f>
        <v>60</v>
      </c>
      <c r="I2841" t="str">
        <f>_xlfn.LET(_xlpm.v, IFERROR(VLOOKUP($A2841, manifest!$A:$E, 5, FALSE), ""), IF(OR(_xlpm.v=0, _xlpm.v=""), "", _xlpm.v))</f>
        <v>female</v>
      </c>
    </row>
    <row r="2842" spans="1:9" x14ac:dyDescent="0.6">
      <c r="A2842">
        <v>597</v>
      </c>
      <c r="B2842" t="s">
        <v>14</v>
      </c>
      <c r="C2842" t="s">
        <v>10</v>
      </c>
      <c r="D2842">
        <v>127.54</v>
      </c>
      <c r="E2842">
        <v>76.91</v>
      </c>
      <c r="F2842">
        <v>35824</v>
      </c>
      <c r="H2842">
        <f>_xlfn.LET(_xlpm.v, IFERROR(VLOOKUP($A2842, manifest!$A:$E, 3, FALSE), ""), IF(OR(_xlpm.v=0, _xlpm.v=""), "", _xlpm.v))</f>
        <v>60</v>
      </c>
      <c r="I2842" t="str">
        <f>_xlfn.LET(_xlpm.v, IFERROR(VLOOKUP($A2842, manifest!$A:$E, 5, FALSE), ""), IF(OR(_xlpm.v=0, _xlpm.v=""), "", _xlpm.v))</f>
        <v>female</v>
      </c>
    </row>
    <row r="2843" spans="1:9" x14ac:dyDescent="0.6">
      <c r="A2843">
        <v>597</v>
      </c>
      <c r="B2843" t="s">
        <v>14</v>
      </c>
      <c r="C2843" t="s">
        <v>11</v>
      </c>
      <c r="D2843">
        <v>111.68</v>
      </c>
      <c r="E2843">
        <v>81.99</v>
      </c>
      <c r="F2843">
        <v>34941</v>
      </c>
      <c r="H2843">
        <f>_xlfn.LET(_xlpm.v, IFERROR(VLOOKUP($A2843, manifest!$A:$E, 3, FALSE), ""), IF(OR(_xlpm.v=0, _xlpm.v=""), "", _xlpm.v))</f>
        <v>60</v>
      </c>
      <c r="I2843" t="str">
        <f>_xlfn.LET(_xlpm.v, IFERROR(VLOOKUP($A2843, manifest!$A:$E, 5, FALSE), ""), IF(OR(_xlpm.v=0, _xlpm.v=""), "", _xlpm.v))</f>
        <v>female</v>
      </c>
    </row>
    <row r="2844" spans="1:9" x14ac:dyDescent="0.6">
      <c r="A2844">
        <v>597</v>
      </c>
      <c r="B2844" t="s">
        <v>14</v>
      </c>
      <c r="C2844" t="s">
        <v>12</v>
      </c>
      <c r="D2844">
        <v>147.35</v>
      </c>
      <c r="E2844">
        <v>91.86</v>
      </c>
      <c r="F2844">
        <v>34994</v>
      </c>
      <c r="H2844">
        <f>_xlfn.LET(_xlpm.v, IFERROR(VLOOKUP($A2844, manifest!$A:$E, 3, FALSE), ""), IF(OR(_xlpm.v=0, _xlpm.v=""), "", _xlpm.v))</f>
        <v>60</v>
      </c>
      <c r="I2844" t="str">
        <f>_xlfn.LET(_xlpm.v, IFERROR(VLOOKUP($A2844, manifest!$A:$E, 5, FALSE), ""), IF(OR(_xlpm.v=0, _xlpm.v=""), "", _xlpm.v))</f>
        <v>female</v>
      </c>
    </row>
    <row r="2845" spans="1:9" x14ac:dyDescent="0.6">
      <c r="A2845">
        <v>597</v>
      </c>
      <c r="B2845" t="s">
        <v>14</v>
      </c>
      <c r="C2845" t="s">
        <v>13</v>
      </c>
      <c r="D2845">
        <v>170.93</v>
      </c>
      <c r="E2845">
        <v>117.56</v>
      </c>
      <c r="F2845">
        <v>39097</v>
      </c>
      <c r="H2845">
        <f>_xlfn.LET(_xlpm.v, IFERROR(VLOOKUP($A2845, manifest!$A:$E, 3, FALSE), ""), IF(OR(_xlpm.v=0, _xlpm.v=""), "", _xlpm.v))</f>
        <v>60</v>
      </c>
      <c r="I2845" t="str">
        <f>_xlfn.LET(_xlpm.v, IFERROR(VLOOKUP($A2845, manifest!$A:$E, 5, FALSE), ""), IF(OR(_xlpm.v=0, _xlpm.v=""), "", _xlpm.v))</f>
        <v>female</v>
      </c>
    </row>
    <row r="2846" spans="1:9" x14ac:dyDescent="0.6">
      <c r="A2846">
        <v>627</v>
      </c>
      <c r="B2846" t="s">
        <v>14</v>
      </c>
      <c r="C2846" t="s">
        <v>8</v>
      </c>
      <c r="D2846">
        <v>252.73</v>
      </c>
      <c r="E2846">
        <v>234.59</v>
      </c>
      <c r="F2846">
        <v>17666</v>
      </c>
      <c r="G2846" t="s">
        <v>9</v>
      </c>
      <c r="H2846">
        <f>_xlfn.LET(_xlpm.v, IFERROR(VLOOKUP($A2846, manifest!$A:$E, 3, FALSE), ""), IF(OR(_xlpm.v=0, _xlpm.v=""), "", _xlpm.v))</f>
        <v>80</v>
      </c>
      <c r="I2846" t="str">
        <f>_xlfn.LET(_xlpm.v, IFERROR(VLOOKUP($A2846, manifest!$A:$E, 5, FALSE), ""), IF(OR(_xlpm.v=0, _xlpm.v=""), "", _xlpm.v))</f>
        <v>female</v>
      </c>
    </row>
    <row r="2847" spans="1:9" x14ac:dyDescent="0.6">
      <c r="A2847">
        <v>627</v>
      </c>
      <c r="B2847" t="s">
        <v>14</v>
      </c>
      <c r="C2847" t="s">
        <v>10</v>
      </c>
      <c r="D2847">
        <v>267.52999999999997</v>
      </c>
      <c r="E2847">
        <v>241.39</v>
      </c>
      <c r="F2847">
        <v>22200</v>
      </c>
      <c r="H2847">
        <f>_xlfn.LET(_xlpm.v, IFERROR(VLOOKUP($A2847, manifest!$A:$E, 3, FALSE), ""), IF(OR(_xlpm.v=0, _xlpm.v=""), "", _xlpm.v))</f>
        <v>80</v>
      </c>
      <c r="I2847" t="str">
        <f>_xlfn.LET(_xlpm.v, IFERROR(VLOOKUP($A2847, manifest!$A:$E, 5, FALSE), ""), IF(OR(_xlpm.v=0, _xlpm.v=""), "", _xlpm.v))</f>
        <v>female</v>
      </c>
    </row>
    <row r="2848" spans="1:9" x14ac:dyDescent="0.6">
      <c r="A2848">
        <v>627</v>
      </c>
      <c r="B2848" t="s">
        <v>14</v>
      </c>
      <c r="C2848" t="s">
        <v>11</v>
      </c>
      <c r="D2848">
        <v>256.20999999999998</v>
      </c>
      <c r="E2848">
        <v>232.82</v>
      </c>
      <c r="F2848">
        <v>28168</v>
      </c>
      <c r="H2848">
        <f>_xlfn.LET(_xlpm.v, IFERROR(VLOOKUP($A2848, manifest!$A:$E, 3, FALSE), ""), IF(OR(_xlpm.v=0, _xlpm.v=""), "", _xlpm.v))</f>
        <v>80</v>
      </c>
      <c r="I2848" t="str">
        <f>_xlfn.LET(_xlpm.v, IFERROR(VLOOKUP($A2848, manifest!$A:$E, 5, FALSE), ""), IF(OR(_xlpm.v=0, _xlpm.v=""), "", _xlpm.v))</f>
        <v>female</v>
      </c>
    </row>
    <row r="2849" spans="1:9" x14ac:dyDescent="0.6">
      <c r="A2849">
        <v>627</v>
      </c>
      <c r="B2849" t="s">
        <v>14</v>
      </c>
      <c r="C2849" t="s">
        <v>12</v>
      </c>
      <c r="D2849">
        <v>245.02</v>
      </c>
      <c r="E2849">
        <v>231.25</v>
      </c>
      <c r="F2849">
        <v>30048</v>
      </c>
      <c r="H2849">
        <f>_xlfn.LET(_xlpm.v, IFERROR(VLOOKUP($A2849, manifest!$A:$E, 3, FALSE), ""), IF(OR(_xlpm.v=0, _xlpm.v=""), "", _xlpm.v))</f>
        <v>80</v>
      </c>
      <c r="I2849" t="str">
        <f>_xlfn.LET(_xlpm.v, IFERROR(VLOOKUP($A2849, manifest!$A:$E, 5, FALSE), ""), IF(OR(_xlpm.v=0, _xlpm.v=""), "", _xlpm.v))</f>
        <v>female</v>
      </c>
    </row>
    <row r="2850" spans="1:9" x14ac:dyDescent="0.6">
      <c r="A2850">
        <v>627</v>
      </c>
      <c r="B2850" t="s">
        <v>14</v>
      </c>
      <c r="C2850" t="s">
        <v>13</v>
      </c>
      <c r="D2850">
        <v>250.57</v>
      </c>
      <c r="E2850">
        <v>236.7</v>
      </c>
      <c r="F2850">
        <v>35101</v>
      </c>
      <c r="H2850">
        <f>_xlfn.LET(_xlpm.v, IFERROR(VLOOKUP($A2850, manifest!$A:$E, 3, FALSE), ""), IF(OR(_xlpm.v=0, _xlpm.v=""), "", _xlpm.v))</f>
        <v>80</v>
      </c>
      <c r="I2850" t="str">
        <f>_xlfn.LET(_xlpm.v, IFERROR(VLOOKUP($A2850, manifest!$A:$E, 5, FALSE), ""), IF(OR(_xlpm.v=0, _xlpm.v=""), "", _xlpm.v))</f>
        <v>female</v>
      </c>
    </row>
    <row r="2851" spans="1:9" x14ac:dyDescent="0.6">
      <c r="A2851">
        <v>594</v>
      </c>
      <c r="B2851" t="s">
        <v>7</v>
      </c>
      <c r="C2851" t="s">
        <v>8</v>
      </c>
      <c r="D2851">
        <v>152.44999999999999</v>
      </c>
      <c r="E2851">
        <v>100.74</v>
      </c>
      <c r="F2851">
        <v>27881</v>
      </c>
      <c r="G2851" t="s">
        <v>15</v>
      </c>
      <c r="H2851">
        <f>_xlfn.LET(_xlpm.v, IFERROR(VLOOKUP($A2851, manifest!$A:$E, 3, FALSE), ""), IF(OR(_xlpm.v=0, _xlpm.v=""), "", _xlpm.v))</f>
        <v>60</v>
      </c>
      <c r="I2851" t="str">
        <f>_xlfn.LET(_xlpm.v, IFERROR(VLOOKUP($A2851, manifest!$A:$E, 5, FALSE), ""), IF(OR(_xlpm.v=0, _xlpm.v=""), "", _xlpm.v))</f>
        <v>male</v>
      </c>
    </row>
    <row r="2852" spans="1:9" x14ac:dyDescent="0.6">
      <c r="A2852">
        <v>594</v>
      </c>
      <c r="B2852" t="s">
        <v>7</v>
      </c>
      <c r="C2852" t="s">
        <v>10</v>
      </c>
      <c r="D2852">
        <v>162.41</v>
      </c>
      <c r="E2852">
        <v>139.16999999999999</v>
      </c>
      <c r="F2852">
        <v>28289</v>
      </c>
      <c r="H2852">
        <f>_xlfn.LET(_xlpm.v, IFERROR(VLOOKUP($A2852, manifest!$A:$E, 3, FALSE), ""), IF(OR(_xlpm.v=0, _xlpm.v=""), "", _xlpm.v))</f>
        <v>60</v>
      </c>
      <c r="I2852" t="str">
        <f>_xlfn.LET(_xlpm.v, IFERROR(VLOOKUP($A2852, manifest!$A:$E, 5, FALSE), ""), IF(OR(_xlpm.v=0, _xlpm.v=""), "", _xlpm.v))</f>
        <v>male</v>
      </c>
    </row>
    <row r="2853" spans="1:9" x14ac:dyDescent="0.6">
      <c r="A2853">
        <v>594</v>
      </c>
      <c r="B2853" t="s">
        <v>7</v>
      </c>
      <c r="C2853" t="s">
        <v>11</v>
      </c>
      <c r="D2853">
        <v>155.5</v>
      </c>
      <c r="E2853">
        <v>137.63</v>
      </c>
      <c r="F2853">
        <v>32591</v>
      </c>
      <c r="H2853">
        <f>_xlfn.LET(_xlpm.v, IFERROR(VLOOKUP($A2853, manifest!$A:$E, 3, FALSE), ""), IF(OR(_xlpm.v=0, _xlpm.v=""), "", _xlpm.v))</f>
        <v>60</v>
      </c>
      <c r="I2853" t="str">
        <f>_xlfn.LET(_xlpm.v, IFERROR(VLOOKUP($A2853, manifest!$A:$E, 5, FALSE), ""), IF(OR(_xlpm.v=0, _xlpm.v=""), "", _xlpm.v))</f>
        <v>male</v>
      </c>
    </row>
    <row r="2854" spans="1:9" x14ac:dyDescent="0.6">
      <c r="A2854">
        <v>594</v>
      </c>
      <c r="B2854" t="s">
        <v>7</v>
      </c>
      <c r="C2854" t="s">
        <v>12</v>
      </c>
      <c r="D2854">
        <v>172.72</v>
      </c>
      <c r="E2854">
        <v>148.29</v>
      </c>
      <c r="F2854">
        <v>43967</v>
      </c>
      <c r="H2854">
        <f>_xlfn.LET(_xlpm.v, IFERROR(VLOOKUP($A2854, manifest!$A:$E, 3, FALSE), ""), IF(OR(_xlpm.v=0, _xlpm.v=""), "", _xlpm.v))</f>
        <v>60</v>
      </c>
      <c r="I2854" t="str">
        <f>_xlfn.LET(_xlpm.v, IFERROR(VLOOKUP($A2854, manifest!$A:$E, 5, FALSE), ""), IF(OR(_xlpm.v=0, _xlpm.v=""), "", _xlpm.v))</f>
        <v>male</v>
      </c>
    </row>
    <row r="2855" spans="1:9" x14ac:dyDescent="0.6">
      <c r="A2855">
        <v>594</v>
      </c>
      <c r="B2855" t="s">
        <v>7</v>
      </c>
      <c r="C2855" t="s">
        <v>13</v>
      </c>
      <c r="D2855">
        <v>204.49</v>
      </c>
      <c r="E2855">
        <v>174.68</v>
      </c>
      <c r="F2855">
        <v>39525</v>
      </c>
      <c r="H2855">
        <f>_xlfn.LET(_xlpm.v, IFERROR(VLOOKUP($A2855, manifest!$A:$E, 3, FALSE), ""), IF(OR(_xlpm.v=0, _xlpm.v=""), "", _xlpm.v))</f>
        <v>60</v>
      </c>
      <c r="I2855" t="str">
        <f>_xlfn.LET(_xlpm.v, IFERROR(VLOOKUP($A2855, manifest!$A:$E, 5, FALSE), ""), IF(OR(_xlpm.v=0, _xlpm.v=""), "", _xlpm.v))</f>
        <v>male</v>
      </c>
    </row>
    <row r="2856" spans="1:9" x14ac:dyDescent="0.6">
      <c r="A2856">
        <v>583</v>
      </c>
      <c r="B2856" t="s">
        <v>7</v>
      </c>
      <c r="C2856" t="s">
        <v>8</v>
      </c>
      <c r="D2856">
        <v>189.29</v>
      </c>
      <c r="E2856">
        <v>146.02000000000001</v>
      </c>
      <c r="F2856">
        <v>23370</v>
      </c>
      <c r="G2856" t="s">
        <v>9</v>
      </c>
      <c r="H2856">
        <f>_xlfn.LET(_xlpm.v, IFERROR(VLOOKUP($A2856, manifest!$A:$E, 3, FALSE), ""), IF(OR(_xlpm.v=0, _xlpm.v=""), "", _xlpm.v))</f>
        <v>60</v>
      </c>
      <c r="I2856" t="str">
        <f>_xlfn.LET(_xlpm.v, IFERROR(VLOOKUP($A2856, manifest!$A:$E, 5, FALSE), ""), IF(OR(_xlpm.v=0, _xlpm.v=""), "", _xlpm.v))</f>
        <v>female</v>
      </c>
    </row>
    <row r="2857" spans="1:9" x14ac:dyDescent="0.6">
      <c r="A2857">
        <v>583</v>
      </c>
      <c r="B2857" t="s">
        <v>7</v>
      </c>
      <c r="C2857" t="s">
        <v>10</v>
      </c>
      <c r="D2857">
        <v>221.82</v>
      </c>
      <c r="E2857">
        <v>205.95</v>
      </c>
      <c r="F2857">
        <v>26474</v>
      </c>
      <c r="H2857">
        <f>_xlfn.LET(_xlpm.v, IFERROR(VLOOKUP($A2857, manifest!$A:$E, 3, FALSE), ""), IF(OR(_xlpm.v=0, _xlpm.v=""), "", _xlpm.v))</f>
        <v>60</v>
      </c>
      <c r="I2857" t="str">
        <f>_xlfn.LET(_xlpm.v, IFERROR(VLOOKUP($A2857, manifest!$A:$E, 5, FALSE), ""), IF(OR(_xlpm.v=0, _xlpm.v=""), "", _xlpm.v))</f>
        <v>female</v>
      </c>
    </row>
    <row r="2858" spans="1:9" x14ac:dyDescent="0.6">
      <c r="A2858">
        <v>583</v>
      </c>
      <c r="B2858" t="s">
        <v>7</v>
      </c>
      <c r="C2858" t="s">
        <v>11</v>
      </c>
      <c r="D2858">
        <v>210.85</v>
      </c>
      <c r="E2858">
        <v>230.27</v>
      </c>
      <c r="F2858">
        <v>40991</v>
      </c>
      <c r="H2858">
        <f>_xlfn.LET(_xlpm.v, IFERROR(VLOOKUP($A2858, manifest!$A:$E, 3, FALSE), ""), IF(OR(_xlpm.v=0, _xlpm.v=""), "", _xlpm.v))</f>
        <v>60</v>
      </c>
      <c r="I2858" t="str">
        <f>_xlfn.LET(_xlpm.v, IFERROR(VLOOKUP($A2858, manifest!$A:$E, 5, FALSE), ""), IF(OR(_xlpm.v=0, _xlpm.v=""), "", _xlpm.v))</f>
        <v>female</v>
      </c>
    </row>
    <row r="2859" spans="1:9" x14ac:dyDescent="0.6">
      <c r="A2859">
        <v>583</v>
      </c>
      <c r="B2859" t="s">
        <v>7</v>
      </c>
      <c r="C2859" t="s">
        <v>12</v>
      </c>
      <c r="D2859">
        <v>235.92</v>
      </c>
      <c r="E2859">
        <v>228.89</v>
      </c>
      <c r="F2859">
        <v>43558</v>
      </c>
      <c r="H2859">
        <f>_xlfn.LET(_xlpm.v, IFERROR(VLOOKUP($A2859, manifest!$A:$E, 3, FALSE), ""), IF(OR(_xlpm.v=0, _xlpm.v=""), "", _xlpm.v))</f>
        <v>60</v>
      </c>
      <c r="I2859" t="str">
        <f>_xlfn.LET(_xlpm.v, IFERROR(VLOOKUP($A2859, manifest!$A:$E, 5, FALSE), ""), IF(OR(_xlpm.v=0, _xlpm.v=""), "", _xlpm.v))</f>
        <v>female</v>
      </c>
    </row>
    <row r="2860" spans="1:9" x14ac:dyDescent="0.6">
      <c r="A2860">
        <v>583</v>
      </c>
      <c r="B2860" t="s">
        <v>7</v>
      </c>
      <c r="C2860" t="s">
        <v>13</v>
      </c>
      <c r="D2860">
        <v>249.03</v>
      </c>
      <c r="E2860">
        <v>236.54</v>
      </c>
      <c r="F2860">
        <v>44621</v>
      </c>
      <c r="H2860">
        <f>_xlfn.LET(_xlpm.v, IFERROR(VLOOKUP($A2860, manifest!$A:$E, 3, FALSE), ""), IF(OR(_xlpm.v=0, _xlpm.v=""), "", _xlpm.v))</f>
        <v>60</v>
      </c>
      <c r="I2860" t="str">
        <f>_xlfn.LET(_xlpm.v, IFERROR(VLOOKUP($A2860, manifest!$A:$E, 5, FALSE), ""), IF(OR(_xlpm.v=0, _xlpm.v=""), "", _xlpm.v))</f>
        <v>female</v>
      </c>
    </row>
    <row r="2861" spans="1:9" x14ac:dyDescent="0.6">
      <c r="A2861">
        <v>606</v>
      </c>
      <c r="B2861" t="s">
        <v>14</v>
      </c>
      <c r="C2861" t="s">
        <v>8</v>
      </c>
      <c r="D2861">
        <v>186.16</v>
      </c>
      <c r="E2861">
        <v>156.11000000000001</v>
      </c>
      <c r="F2861">
        <v>41940</v>
      </c>
      <c r="G2861" t="s">
        <v>9</v>
      </c>
      <c r="H2861">
        <f>_xlfn.LET(_xlpm.v, IFERROR(VLOOKUP($A2861, manifest!$A:$E, 3, FALSE), ""), IF(OR(_xlpm.v=0, _xlpm.v=""), "", _xlpm.v))</f>
        <v>50</v>
      </c>
      <c r="I2861" t="str">
        <f>_xlfn.LET(_xlpm.v, IFERROR(VLOOKUP($A2861, manifest!$A:$E, 5, FALSE), ""), IF(OR(_xlpm.v=0, _xlpm.v=""), "", _xlpm.v))</f>
        <v>male</v>
      </c>
    </row>
    <row r="2862" spans="1:9" x14ac:dyDescent="0.6">
      <c r="A2862">
        <v>606</v>
      </c>
      <c r="B2862" t="s">
        <v>14</v>
      </c>
      <c r="C2862" t="s">
        <v>10</v>
      </c>
      <c r="D2862">
        <v>194.56</v>
      </c>
      <c r="E2862">
        <v>180.1</v>
      </c>
      <c r="F2862">
        <v>46469</v>
      </c>
      <c r="H2862">
        <f>_xlfn.LET(_xlpm.v, IFERROR(VLOOKUP($A2862, manifest!$A:$E, 3, FALSE), ""), IF(OR(_xlpm.v=0, _xlpm.v=""), "", _xlpm.v))</f>
        <v>50</v>
      </c>
      <c r="I2862" t="str">
        <f>_xlfn.LET(_xlpm.v, IFERROR(VLOOKUP($A2862, manifest!$A:$E, 5, FALSE), ""), IF(OR(_xlpm.v=0, _xlpm.v=""), "", _xlpm.v))</f>
        <v>male</v>
      </c>
    </row>
    <row r="2863" spans="1:9" x14ac:dyDescent="0.6">
      <c r="A2863">
        <v>606</v>
      </c>
      <c r="B2863" t="s">
        <v>14</v>
      </c>
      <c r="C2863" t="s">
        <v>11</v>
      </c>
      <c r="D2863">
        <v>184.02</v>
      </c>
      <c r="E2863">
        <v>201.2</v>
      </c>
      <c r="F2863">
        <v>57063</v>
      </c>
      <c r="H2863">
        <f>_xlfn.LET(_xlpm.v, IFERROR(VLOOKUP($A2863, manifest!$A:$E, 3, FALSE), ""), IF(OR(_xlpm.v=0, _xlpm.v=""), "", _xlpm.v))</f>
        <v>50</v>
      </c>
      <c r="I2863" t="str">
        <f>_xlfn.LET(_xlpm.v, IFERROR(VLOOKUP($A2863, manifest!$A:$E, 5, FALSE), ""), IF(OR(_xlpm.v=0, _xlpm.v=""), "", _xlpm.v))</f>
        <v>male</v>
      </c>
    </row>
    <row r="2864" spans="1:9" x14ac:dyDescent="0.6">
      <c r="A2864">
        <v>606</v>
      </c>
      <c r="B2864" t="s">
        <v>14</v>
      </c>
      <c r="C2864" t="s">
        <v>12</v>
      </c>
      <c r="D2864">
        <v>184.28</v>
      </c>
      <c r="E2864">
        <v>184.26</v>
      </c>
      <c r="F2864">
        <v>65624</v>
      </c>
      <c r="H2864">
        <f>_xlfn.LET(_xlpm.v, IFERROR(VLOOKUP($A2864, manifest!$A:$E, 3, FALSE), ""), IF(OR(_xlpm.v=0, _xlpm.v=""), "", _xlpm.v))</f>
        <v>50</v>
      </c>
      <c r="I2864" t="str">
        <f>_xlfn.LET(_xlpm.v, IFERROR(VLOOKUP($A2864, manifest!$A:$E, 5, FALSE), ""), IF(OR(_xlpm.v=0, _xlpm.v=""), "", _xlpm.v))</f>
        <v>male</v>
      </c>
    </row>
    <row r="2865" spans="1:9" x14ac:dyDescent="0.6">
      <c r="A2865">
        <v>606</v>
      </c>
      <c r="B2865" t="s">
        <v>14</v>
      </c>
      <c r="C2865" t="s">
        <v>13</v>
      </c>
      <c r="D2865">
        <v>177</v>
      </c>
      <c r="E2865">
        <v>149.56</v>
      </c>
      <c r="F2865">
        <v>62097</v>
      </c>
      <c r="H2865">
        <f>_xlfn.LET(_xlpm.v, IFERROR(VLOOKUP($A2865, manifest!$A:$E, 3, FALSE), ""), IF(OR(_xlpm.v=0, _xlpm.v=""), "", _xlpm.v))</f>
        <v>50</v>
      </c>
      <c r="I2865" t="str">
        <f>_xlfn.LET(_xlpm.v, IFERROR(VLOOKUP($A2865, manifest!$A:$E, 5, FALSE), ""), IF(OR(_xlpm.v=0, _xlpm.v=""), "", _xlpm.v))</f>
        <v>male</v>
      </c>
    </row>
    <row r="2866" spans="1:9" x14ac:dyDescent="0.6">
      <c r="A2866">
        <v>593</v>
      </c>
      <c r="B2866" t="s">
        <v>14</v>
      </c>
      <c r="C2866" t="s">
        <v>8</v>
      </c>
      <c r="D2866">
        <v>124.84</v>
      </c>
      <c r="E2866">
        <v>116.31</v>
      </c>
      <c r="F2866">
        <v>52792</v>
      </c>
      <c r="G2866" t="s">
        <v>15</v>
      </c>
      <c r="H2866">
        <f>_xlfn.LET(_xlpm.v, IFERROR(VLOOKUP($A2866, manifest!$A:$E, 3, FALSE), ""), IF(OR(_xlpm.v=0, _xlpm.v=""), "", _xlpm.v))</f>
        <v>50</v>
      </c>
      <c r="I2866" t="str">
        <f>_xlfn.LET(_xlpm.v, IFERROR(VLOOKUP($A2866, manifest!$A:$E, 5, FALSE), ""), IF(OR(_xlpm.v=0, _xlpm.v=""), "", _xlpm.v))</f>
        <v>male</v>
      </c>
    </row>
    <row r="2867" spans="1:9" x14ac:dyDescent="0.6">
      <c r="A2867">
        <v>593</v>
      </c>
      <c r="B2867" t="s">
        <v>14</v>
      </c>
      <c r="C2867" t="s">
        <v>10</v>
      </c>
      <c r="D2867">
        <v>144.72</v>
      </c>
      <c r="E2867">
        <v>152.13</v>
      </c>
      <c r="F2867">
        <v>59580</v>
      </c>
      <c r="H2867">
        <f>_xlfn.LET(_xlpm.v, IFERROR(VLOOKUP($A2867, manifest!$A:$E, 3, FALSE), ""), IF(OR(_xlpm.v=0, _xlpm.v=""), "", _xlpm.v))</f>
        <v>50</v>
      </c>
      <c r="I2867" t="str">
        <f>_xlfn.LET(_xlpm.v, IFERROR(VLOOKUP($A2867, manifest!$A:$E, 5, FALSE), ""), IF(OR(_xlpm.v=0, _xlpm.v=""), "", _xlpm.v))</f>
        <v>male</v>
      </c>
    </row>
    <row r="2868" spans="1:9" x14ac:dyDescent="0.6">
      <c r="A2868">
        <v>593</v>
      </c>
      <c r="B2868" t="s">
        <v>14</v>
      </c>
      <c r="C2868" t="s">
        <v>11</v>
      </c>
      <c r="D2868">
        <v>145.91999999999999</v>
      </c>
      <c r="E2868">
        <v>143.86000000000001</v>
      </c>
      <c r="F2868">
        <v>70404</v>
      </c>
      <c r="H2868">
        <f>_xlfn.LET(_xlpm.v, IFERROR(VLOOKUP($A2868, manifest!$A:$E, 3, FALSE), ""), IF(OR(_xlpm.v=0, _xlpm.v=""), "", _xlpm.v))</f>
        <v>50</v>
      </c>
      <c r="I2868" t="str">
        <f>_xlfn.LET(_xlpm.v, IFERROR(VLOOKUP($A2868, manifest!$A:$E, 5, FALSE), ""), IF(OR(_xlpm.v=0, _xlpm.v=""), "", _xlpm.v))</f>
        <v>male</v>
      </c>
    </row>
    <row r="2869" spans="1:9" x14ac:dyDescent="0.6">
      <c r="A2869">
        <v>593</v>
      </c>
      <c r="B2869" t="s">
        <v>14</v>
      </c>
      <c r="C2869" t="s">
        <v>12</v>
      </c>
      <c r="D2869">
        <v>146.75</v>
      </c>
      <c r="E2869">
        <v>142.24</v>
      </c>
      <c r="F2869">
        <v>72612</v>
      </c>
      <c r="H2869">
        <f>_xlfn.LET(_xlpm.v, IFERROR(VLOOKUP($A2869, manifest!$A:$E, 3, FALSE), ""), IF(OR(_xlpm.v=0, _xlpm.v=""), "", _xlpm.v))</f>
        <v>50</v>
      </c>
      <c r="I2869" t="str">
        <f>_xlfn.LET(_xlpm.v, IFERROR(VLOOKUP($A2869, manifest!$A:$E, 5, FALSE), ""), IF(OR(_xlpm.v=0, _xlpm.v=""), "", _xlpm.v))</f>
        <v>male</v>
      </c>
    </row>
    <row r="2870" spans="1:9" x14ac:dyDescent="0.6">
      <c r="A2870">
        <v>593</v>
      </c>
      <c r="B2870" t="s">
        <v>14</v>
      </c>
      <c r="C2870" t="s">
        <v>13</v>
      </c>
      <c r="D2870">
        <v>139.11000000000001</v>
      </c>
      <c r="E2870">
        <v>116.02</v>
      </c>
      <c r="F2870">
        <v>74535</v>
      </c>
      <c r="H2870">
        <f>_xlfn.LET(_xlpm.v, IFERROR(VLOOKUP($A2870, manifest!$A:$E, 3, FALSE), ""), IF(OR(_xlpm.v=0, _xlpm.v=""), "", _xlpm.v))</f>
        <v>50</v>
      </c>
      <c r="I2870" t="str">
        <f>_xlfn.LET(_xlpm.v, IFERROR(VLOOKUP($A2870, manifest!$A:$E, 5, FALSE), ""), IF(OR(_xlpm.v=0, _xlpm.v=""), "", _xlpm.v))</f>
        <v>male</v>
      </c>
    </row>
    <row r="2871" spans="1:9" x14ac:dyDescent="0.6">
      <c r="A2871">
        <v>609</v>
      </c>
      <c r="B2871" t="s">
        <v>7</v>
      </c>
      <c r="C2871" t="s">
        <v>8</v>
      </c>
      <c r="D2871">
        <v>142.57</v>
      </c>
      <c r="E2871">
        <v>106.01</v>
      </c>
      <c r="F2871">
        <v>43933</v>
      </c>
      <c r="G2871" t="s">
        <v>15</v>
      </c>
      <c r="H2871">
        <f>_xlfn.LET(_xlpm.v, IFERROR(VLOOKUP($A2871, manifest!$A:$E, 3, FALSE), ""), IF(OR(_xlpm.v=0, _xlpm.v=""), "", _xlpm.v))</f>
        <v>60</v>
      </c>
      <c r="I2871" t="str">
        <f>_xlfn.LET(_xlpm.v, IFERROR(VLOOKUP($A2871, manifest!$A:$E, 5, FALSE), ""), IF(OR(_xlpm.v=0, _xlpm.v=""), "", _xlpm.v))</f>
        <v>male</v>
      </c>
    </row>
    <row r="2872" spans="1:9" x14ac:dyDescent="0.6">
      <c r="A2872">
        <v>609</v>
      </c>
      <c r="B2872" t="s">
        <v>7</v>
      </c>
      <c r="C2872" t="s">
        <v>10</v>
      </c>
      <c r="D2872">
        <v>148.52000000000001</v>
      </c>
      <c r="E2872">
        <v>115.43</v>
      </c>
      <c r="F2872">
        <v>42926</v>
      </c>
      <c r="H2872">
        <f>_xlfn.LET(_xlpm.v, IFERROR(VLOOKUP($A2872, manifest!$A:$E, 3, FALSE), ""), IF(OR(_xlpm.v=0, _xlpm.v=""), "", _xlpm.v))</f>
        <v>60</v>
      </c>
      <c r="I2872" t="str">
        <f>_xlfn.LET(_xlpm.v, IFERROR(VLOOKUP($A2872, manifest!$A:$E, 5, FALSE), ""), IF(OR(_xlpm.v=0, _xlpm.v=""), "", _xlpm.v))</f>
        <v>male</v>
      </c>
    </row>
    <row r="2873" spans="1:9" x14ac:dyDescent="0.6">
      <c r="A2873">
        <v>609</v>
      </c>
      <c r="B2873" t="s">
        <v>7</v>
      </c>
      <c r="C2873" t="s">
        <v>11</v>
      </c>
      <c r="D2873">
        <v>139.43</v>
      </c>
      <c r="E2873">
        <v>103.64</v>
      </c>
      <c r="F2873">
        <v>47027</v>
      </c>
      <c r="H2873">
        <f>_xlfn.LET(_xlpm.v, IFERROR(VLOOKUP($A2873, manifest!$A:$E, 3, FALSE), ""), IF(OR(_xlpm.v=0, _xlpm.v=""), "", _xlpm.v))</f>
        <v>60</v>
      </c>
      <c r="I2873" t="str">
        <f>_xlfn.LET(_xlpm.v, IFERROR(VLOOKUP($A2873, manifest!$A:$E, 5, FALSE), ""), IF(OR(_xlpm.v=0, _xlpm.v=""), "", _xlpm.v))</f>
        <v>male</v>
      </c>
    </row>
    <row r="2874" spans="1:9" x14ac:dyDescent="0.6">
      <c r="A2874">
        <v>609</v>
      </c>
      <c r="B2874" t="s">
        <v>7</v>
      </c>
      <c r="C2874" t="s">
        <v>12</v>
      </c>
      <c r="D2874">
        <v>149.74</v>
      </c>
      <c r="E2874">
        <v>131.27000000000001</v>
      </c>
      <c r="F2874">
        <v>72192</v>
      </c>
      <c r="H2874">
        <f>_xlfn.LET(_xlpm.v, IFERROR(VLOOKUP($A2874, manifest!$A:$E, 3, FALSE), ""), IF(OR(_xlpm.v=0, _xlpm.v=""), "", _xlpm.v))</f>
        <v>60</v>
      </c>
      <c r="I2874" t="str">
        <f>_xlfn.LET(_xlpm.v, IFERROR(VLOOKUP($A2874, manifest!$A:$E, 5, FALSE), ""), IF(OR(_xlpm.v=0, _xlpm.v=""), "", _xlpm.v))</f>
        <v>male</v>
      </c>
    </row>
    <row r="2875" spans="1:9" x14ac:dyDescent="0.6">
      <c r="A2875">
        <v>609</v>
      </c>
      <c r="B2875" t="s">
        <v>7</v>
      </c>
      <c r="C2875" t="s">
        <v>13</v>
      </c>
      <c r="D2875">
        <v>181.72</v>
      </c>
      <c r="E2875">
        <v>146.04</v>
      </c>
      <c r="F2875">
        <v>67728</v>
      </c>
      <c r="H2875">
        <f>_xlfn.LET(_xlpm.v, IFERROR(VLOOKUP($A2875, manifest!$A:$E, 3, FALSE), ""), IF(OR(_xlpm.v=0, _xlpm.v=""), "", _xlpm.v))</f>
        <v>60</v>
      </c>
      <c r="I2875" t="str">
        <f>_xlfn.LET(_xlpm.v, IFERROR(VLOOKUP($A2875, manifest!$A:$E, 5, FALSE), ""), IF(OR(_xlpm.v=0, _xlpm.v=""), "", _xlpm.v))</f>
        <v>male</v>
      </c>
    </row>
    <row r="2876" spans="1:9" x14ac:dyDescent="0.6">
      <c r="A2876">
        <v>591</v>
      </c>
      <c r="B2876" t="s">
        <v>14</v>
      </c>
      <c r="C2876" t="s">
        <v>8</v>
      </c>
      <c r="D2876">
        <v>250.87</v>
      </c>
      <c r="E2876">
        <v>146.13</v>
      </c>
      <c r="F2876">
        <v>42849</v>
      </c>
      <c r="G2876" t="s">
        <v>9</v>
      </c>
      <c r="H2876">
        <f>_xlfn.LET(_xlpm.v, IFERROR(VLOOKUP($A2876, manifest!$A:$E, 3, FALSE), ""), IF(OR(_xlpm.v=0, _xlpm.v=""), "", _xlpm.v))</f>
        <v>50</v>
      </c>
      <c r="I2876" t="str">
        <f>_xlfn.LET(_xlpm.v, IFERROR(VLOOKUP($A2876, manifest!$A:$E, 5, FALSE), ""), IF(OR(_xlpm.v=0, _xlpm.v=""), "", _xlpm.v))</f>
        <v>male</v>
      </c>
    </row>
    <row r="2877" spans="1:9" x14ac:dyDescent="0.6">
      <c r="A2877">
        <v>591</v>
      </c>
      <c r="B2877" t="s">
        <v>14</v>
      </c>
      <c r="C2877" t="s">
        <v>10</v>
      </c>
      <c r="D2877">
        <v>270.52</v>
      </c>
      <c r="E2877">
        <v>171.05</v>
      </c>
      <c r="F2877">
        <v>48593</v>
      </c>
      <c r="H2877">
        <f>_xlfn.LET(_xlpm.v, IFERROR(VLOOKUP($A2877, manifest!$A:$E, 3, FALSE), ""), IF(OR(_xlpm.v=0, _xlpm.v=""), "", _xlpm.v))</f>
        <v>50</v>
      </c>
      <c r="I2877" t="str">
        <f>_xlfn.LET(_xlpm.v, IFERROR(VLOOKUP($A2877, manifest!$A:$E, 5, FALSE), ""), IF(OR(_xlpm.v=0, _xlpm.v=""), "", _xlpm.v))</f>
        <v>male</v>
      </c>
    </row>
    <row r="2878" spans="1:9" x14ac:dyDescent="0.6">
      <c r="A2878">
        <v>591</v>
      </c>
      <c r="B2878" t="s">
        <v>14</v>
      </c>
      <c r="C2878" t="s">
        <v>11</v>
      </c>
      <c r="D2878">
        <v>260.27999999999997</v>
      </c>
      <c r="E2878">
        <v>182.35</v>
      </c>
      <c r="F2878">
        <v>67304</v>
      </c>
      <c r="H2878">
        <f>_xlfn.LET(_xlpm.v, IFERROR(VLOOKUP($A2878, manifest!$A:$E, 3, FALSE), ""), IF(OR(_xlpm.v=0, _xlpm.v=""), "", _xlpm.v))</f>
        <v>50</v>
      </c>
      <c r="I2878" t="str">
        <f>_xlfn.LET(_xlpm.v, IFERROR(VLOOKUP($A2878, manifest!$A:$E, 5, FALSE), ""), IF(OR(_xlpm.v=0, _xlpm.v=""), "", _xlpm.v))</f>
        <v>male</v>
      </c>
    </row>
    <row r="2879" spans="1:9" x14ac:dyDescent="0.6">
      <c r="A2879">
        <v>591</v>
      </c>
      <c r="B2879" t="s">
        <v>14</v>
      </c>
      <c r="C2879" t="s">
        <v>12</v>
      </c>
      <c r="D2879">
        <v>278.02999999999997</v>
      </c>
      <c r="E2879">
        <v>194.54</v>
      </c>
      <c r="F2879">
        <v>61033</v>
      </c>
      <c r="H2879">
        <f>_xlfn.LET(_xlpm.v, IFERROR(VLOOKUP($A2879, manifest!$A:$E, 3, FALSE), ""), IF(OR(_xlpm.v=0, _xlpm.v=""), "", _xlpm.v))</f>
        <v>50</v>
      </c>
      <c r="I2879" t="str">
        <f>_xlfn.LET(_xlpm.v, IFERROR(VLOOKUP($A2879, manifest!$A:$E, 5, FALSE), ""), IF(OR(_xlpm.v=0, _xlpm.v=""), "", _xlpm.v))</f>
        <v>male</v>
      </c>
    </row>
    <row r="2880" spans="1:9" x14ac:dyDescent="0.6">
      <c r="A2880">
        <v>591</v>
      </c>
      <c r="B2880" t="s">
        <v>14</v>
      </c>
      <c r="C2880" t="s">
        <v>13</v>
      </c>
      <c r="D2880">
        <v>252.81</v>
      </c>
      <c r="E2880">
        <v>160.19999999999999</v>
      </c>
      <c r="F2880">
        <v>65666</v>
      </c>
      <c r="H2880">
        <f>_xlfn.LET(_xlpm.v, IFERROR(VLOOKUP($A2880, manifest!$A:$E, 3, FALSE), ""), IF(OR(_xlpm.v=0, _xlpm.v=""), "", _xlpm.v))</f>
        <v>50</v>
      </c>
      <c r="I2880" t="str">
        <f>_xlfn.LET(_xlpm.v, IFERROR(VLOOKUP($A2880, manifest!$A:$E, 5, FALSE), ""), IF(OR(_xlpm.v=0, _xlpm.v=""), "", _xlpm.v))</f>
        <v>male</v>
      </c>
    </row>
    <row r="2881" spans="1:9" x14ac:dyDescent="0.6">
      <c r="A2881">
        <v>614</v>
      </c>
      <c r="B2881" t="s">
        <v>7</v>
      </c>
      <c r="C2881" t="s">
        <v>8</v>
      </c>
      <c r="D2881">
        <v>214.13</v>
      </c>
      <c r="E2881">
        <v>132.56</v>
      </c>
      <c r="F2881">
        <v>29737</v>
      </c>
      <c r="G2881" t="s">
        <v>9</v>
      </c>
      <c r="H2881">
        <f>_xlfn.LET(_xlpm.v, IFERROR(VLOOKUP($A2881, manifest!$A:$E, 3, FALSE), ""), IF(OR(_xlpm.v=0, _xlpm.v=""), "", _xlpm.v))</f>
        <v>60</v>
      </c>
      <c r="I2881" t="str">
        <f>_xlfn.LET(_xlpm.v, IFERROR(VLOOKUP($A2881, manifest!$A:$E, 5, FALSE), ""), IF(OR(_xlpm.v=0, _xlpm.v=""), "", _xlpm.v))</f>
        <v>male</v>
      </c>
    </row>
    <row r="2882" spans="1:9" x14ac:dyDescent="0.6">
      <c r="A2882">
        <v>614</v>
      </c>
      <c r="B2882" t="s">
        <v>7</v>
      </c>
      <c r="C2882" t="s">
        <v>10</v>
      </c>
      <c r="D2882">
        <v>225.06</v>
      </c>
      <c r="E2882">
        <v>136.27000000000001</v>
      </c>
      <c r="F2882">
        <v>35351</v>
      </c>
      <c r="H2882">
        <f>_xlfn.LET(_xlpm.v, IFERROR(VLOOKUP($A2882, manifest!$A:$E, 3, FALSE), ""), IF(OR(_xlpm.v=0, _xlpm.v=""), "", _xlpm.v))</f>
        <v>60</v>
      </c>
      <c r="I2882" t="str">
        <f>_xlfn.LET(_xlpm.v, IFERROR(VLOOKUP($A2882, manifest!$A:$E, 5, FALSE), ""), IF(OR(_xlpm.v=0, _xlpm.v=""), "", _xlpm.v))</f>
        <v>male</v>
      </c>
    </row>
    <row r="2883" spans="1:9" x14ac:dyDescent="0.6">
      <c r="A2883">
        <v>614</v>
      </c>
      <c r="B2883" t="s">
        <v>7</v>
      </c>
      <c r="C2883" t="s">
        <v>11</v>
      </c>
      <c r="D2883">
        <v>225.19</v>
      </c>
      <c r="E2883">
        <v>141.9</v>
      </c>
      <c r="F2883">
        <v>34112</v>
      </c>
      <c r="H2883">
        <f>_xlfn.LET(_xlpm.v, IFERROR(VLOOKUP($A2883, manifest!$A:$E, 3, FALSE), ""), IF(OR(_xlpm.v=0, _xlpm.v=""), "", _xlpm.v))</f>
        <v>60</v>
      </c>
      <c r="I2883" t="str">
        <f>_xlfn.LET(_xlpm.v, IFERROR(VLOOKUP($A2883, manifest!$A:$E, 5, FALSE), ""), IF(OR(_xlpm.v=0, _xlpm.v=""), "", _xlpm.v))</f>
        <v>male</v>
      </c>
    </row>
    <row r="2884" spans="1:9" x14ac:dyDescent="0.6">
      <c r="A2884">
        <v>614</v>
      </c>
      <c r="B2884" t="s">
        <v>7</v>
      </c>
      <c r="C2884" t="s">
        <v>12</v>
      </c>
      <c r="D2884">
        <v>245.84</v>
      </c>
      <c r="E2884">
        <v>167.02</v>
      </c>
      <c r="F2884">
        <v>40797</v>
      </c>
      <c r="H2884">
        <f>_xlfn.LET(_xlpm.v, IFERROR(VLOOKUP($A2884, manifest!$A:$E, 3, FALSE), ""), IF(OR(_xlpm.v=0, _xlpm.v=""), "", _xlpm.v))</f>
        <v>60</v>
      </c>
      <c r="I2884" t="str">
        <f>_xlfn.LET(_xlpm.v, IFERROR(VLOOKUP($A2884, manifest!$A:$E, 5, FALSE), ""), IF(OR(_xlpm.v=0, _xlpm.v=""), "", _xlpm.v))</f>
        <v>male</v>
      </c>
    </row>
    <row r="2885" spans="1:9" x14ac:dyDescent="0.6">
      <c r="A2885">
        <v>614</v>
      </c>
      <c r="B2885" t="s">
        <v>7</v>
      </c>
      <c r="C2885" t="s">
        <v>13</v>
      </c>
      <c r="D2885">
        <v>232.24</v>
      </c>
      <c r="E2885">
        <v>144.29</v>
      </c>
      <c r="F2885">
        <v>55181</v>
      </c>
      <c r="H2885">
        <f>_xlfn.LET(_xlpm.v, IFERROR(VLOOKUP($A2885, manifest!$A:$E, 3, FALSE), ""), IF(OR(_xlpm.v=0, _xlpm.v=""), "", _xlpm.v))</f>
        <v>60</v>
      </c>
      <c r="I2885" t="str">
        <f>_xlfn.LET(_xlpm.v, IFERROR(VLOOKUP($A2885, manifest!$A:$E, 5, FALSE), ""), IF(OR(_xlpm.v=0, _xlpm.v=""), "", _xlpm.v))</f>
        <v>male</v>
      </c>
    </row>
    <row r="2886" spans="1:9" x14ac:dyDescent="0.6">
      <c r="A2886">
        <v>613</v>
      </c>
      <c r="B2886" t="s">
        <v>7</v>
      </c>
      <c r="C2886" t="s">
        <v>8</v>
      </c>
      <c r="D2886">
        <v>220.86</v>
      </c>
      <c r="E2886">
        <v>117.33</v>
      </c>
      <c r="F2886">
        <v>33343</v>
      </c>
      <c r="G2886" t="s">
        <v>9</v>
      </c>
      <c r="H2886">
        <f>_xlfn.LET(_xlpm.v, IFERROR(VLOOKUP($A2886, manifest!$A:$E, 3, FALSE), ""), IF(OR(_xlpm.v=0, _xlpm.v=""), "", _xlpm.v))</f>
        <v>50</v>
      </c>
      <c r="I2886" t="str">
        <f>_xlfn.LET(_xlpm.v, IFERROR(VLOOKUP($A2886, manifest!$A:$E, 5, FALSE), ""), IF(OR(_xlpm.v=0, _xlpm.v=""), "", _xlpm.v))</f>
        <v>male</v>
      </c>
    </row>
    <row r="2887" spans="1:9" x14ac:dyDescent="0.6">
      <c r="A2887">
        <v>613</v>
      </c>
      <c r="B2887" t="s">
        <v>7</v>
      </c>
      <c r="C2887" t="s">
        <v>10</v>
      </c>
      <c r="D2887">
        <v>216.75</v>
      </c>
      <c r="E2887">
        <v>122.96</v>
      </c>
      <c r="F2887">
        <v>31697</v>
      </c>
      <c r="H2887">
        <f>_xlfn.LET(_xlpm.v, IFERROR(VLOOKUP($A2887, manifest!$A:$E, 3, FALSE), ""), IF(OR(_xlpm.v=0, _xlpm.v=""), "", _xlpm.v))</f>
        <v>50</v>
      </c>
      <c r="I2887" t="str">
        <f>_xlfn.LET(_xlpm.v, IFERROR(VLOOKUP($A2887, manifest!$A:$E, 5, FALSE), ""), IF(OR(_xlpm.v=0, _xlpm.v=""), "", _xlpm.v))</f>
        <v>male</v>
      </c>
    </row>
    <row r="2888" spans="1:9" x14ac:dyDescent="0.6">
      <c r="A2888">
        <v>613</v>
      </c>
      <c r="B2888" t="s">
        <v>7</v>
      </c>
      <c r="C2888" t="s">
        <v>11</v>
      </c>
      <c r="D2888">
        <v>229.12</v>
      </c>
      <c r="E2888">
        <v>152.46</v>
      </c>
      <c r="F2888">
        <v>43684</v>
      </c>
      <c r="H2888">
        <f>_xlfn.LET(_xlpm.v, IFERROR(VLOOKUP($A2888, manifest!$A:$E, 3, FALSE), ""), IF(OR(_xlpm.v=0, _xlpm.v=""), "", _xlpm.v))</f>
        <v>50</v>
      </c>
      <c r="I2888" t="str">
        <f>_xlfn.LET(_xlpm.v, IFERROR(VLOOKUP($A2888, manifest!$A:$E, 5, FALSE), ""), IF(OR(_xlpm.v=0, _xlpm.v=""), "", _xlpm.v))</f>
        <v>male</v>
      </c>
    </row>
    <row r="2889" spans="1:9" x14ac:dyDescent="0.6">
      <c r="A2889">
        <v>613</v>
      </c>
      <c r="B2889" t="s">
        <v>7</v>
      </c>
      <c r="C2889" t="s">
        <v>12</v>
      </c>
      <c r="D2889">
        <v>242.07</v>
      </c>
      <c r="E2889">
        <v>169.52</v>
      </c>
      <c r="F2889">
        <v>42840</v>
      </c>
      <c r="H2889">
        <f>_xlfn.LET(_xlpm.v, IFERROR(VLOOKUP($A2889, manifest!$A:$E, 3, FALSE), ""), IF(OR(_xlpm.v=0, _xlpm.v=""), "", _xlpm.v))</f>
        <v>50</v>
      </c>
      <c r="I2889" t="str">
        <f>_xlfn.LET(_xlpm.v, IFERROR(VLOOKUP($A2889, manifest!$A:$E, 5, FALSE), ""), IF(OR(_xlpm.v=0, _xlpm.v=""), "", _xlpm.v))</f>
        <v>male</v>
      </c>
    </row>
    <row r="2890" spans="1:9" x14ac:dyDescent="0.6">
      <c r="A2890">
        <v>613</v>
      </c>
      <c r="B2890" t="s">
        <v>7</v>
      </c>
      <c r="C2890" t="s">
        <v>13</v>
      </c>
      <c r="D2890">
        <v>234.68</v>
      </c>
      <c r="E2890">
        <v>134.71</v>
      </c>
      <c r="F2890">
        <v>50497</v>
      </c>
      <c r="H2890">
        <f>_xlfn.LET(_xlpm.v, IFERROR(VLOOKUP($A2890, manifest!$A:$E, 3, FALSE), ""), IF(OR(_xlpm.v=0, _xlpm.v=""), "", _xlpm.v))</f>
        <v>50</v>
      </c>
      <c r="I2890" t="str">
        <f>_xlfn.LET(_xlpm.v, IFERROR(VLOOKUP($A2890, manifest!$A:$E, 5, FALSE), ""), IF(OR(_xlpm.v=0, _xlpm.v=""), "", _xlpm.v))</f>
        <v>male</v>
      </c>
    </row>
    <row r="2891" spans="1:9" x14ac:dyDescent="0.6">
      <c r="A2891">
        <v>620</v>
      </c>
      <c r="B2891" t="s">
        <v>14</v>
      </c>
      <c r="C2891" t="s">
        <v>8</v>
      </c>
      <c r="D2891">
        <v>148.49</v>
      </c>
      <c r="E2891">
        <v>123.75</v>
      </c>
      <c r="F2891">
        <v>18825</v>
      </c>
      <c r="G2891" t="s">
        <v>15</v>
      </c>
      <c r="H2891">
        <f>_xlfn.LET(_xlpm.v, IFERROR(VLOOKUP($A2891, manifest!$A:$E, 3, FALSE), ""), IF(OR(_xlpm.v=0, _xlpm.v=""), "", _xlpm.v))</f>
        <v>60</v>
      </c>
      <c r="I2891" t="str">
        <f>_xlfn.LET(_xlpm.v, IFERROR(VLOOKUP($A2891, manifest!$A:$E, 5, FALSE), ""), IF(OR(_xlpm.v=0, _xlpm.v=""), "", _xlpm.v))</f>
        <v>female</v>
      </c>
    </row>
    <row r="2892" spans="1:9" x14ac:dyDescent="0.6">
      <c r="A2892">
        <v>620</v>
      </c>
      <c r="B2892" t="s">
        <v>14</v>
      </c>
      <c r="C2892" t="s">
        <v>10</v>
      </c>
      <c r="D2892">
        <v>187.09</v>
      </c>
      <c r="E2892">
        <v>183.99</v>
      </c>
      <c r="F2892">
        <v>21772</v>
      </c>
      <c r="H2892">
        <f>_xlfn.LET(_xlpm.v, IFERROR(VLOOKUP($A2892, manifest!$A:$E, 3, FALSE), ""), IF(OR(_xlpm.v=0, _xlpm.v=""), "", _xlpm.v))</f>
        <v>60</v>
      </c>
      <c r="I2892" t="str">
        <f>_xlfn.LET(_xlpm.v, IFERROR(VLOOKUP($A2892, manifest!$A:$E, 5, FALSE), ""), IF(OR(_xlpm.v=0, _xlpm.v=""), "", _xlpm.v))</f>
        <v>female</v>
      </c>
    </row>
    <row r="2893" spans="1:9" x14ac:dyDescent="0.6">
      <c r="A2893">
        <v>620</v>
      </c>
      <c r="B2893" t="s">
        <v>14</v>
      </c>
      <c r="C2893" t="s">
        <v>11</v>
      </c>
      <c r="D2893">
        <v>192.77</v>
      </c>
      <c r="E2893">
        <v>194.2</v>
      </c>
      <c r="F2893">
        <v>22460</v>
      </c>
      <c r="H2893">
        <f>_xlfn.LET(_xlpm.v, IFERROR(VLOOKUP($A2893, manifest!$A:$E, 3, FALSE), ""), IF(OR(_xlpm.v=0, _xlpm.v=""), "", _xlpm.v))</f>
        <v>60</v>
      </c>
      <c r="I2893" t="str">
        <f>_xlfn.LET(_xlpm.v, IFERROR(VLOOKUP($A2893, manifest!$A:$E, 5, FALSE), ""), IF(OR(_xlpm.v=0, _xlpm.v=""), "", _xlpm.v))</f>
        <v>female</v>
      </c>
    </row>
    <row r="2894" spans="1:9" x14ac:dyDescent="0.6">
      <c r="A2894">
        <v>620</v>
      </c>
      <c r="B2894" t="s">
        <v>14</v>
      </c>
      <c r="C2894" t="s">
        <v>12</v>
      </c>
      <c r="D2894">
        <v>193.25</v>
      </c>
      <c r="E2894">
        <v>177.36</v>
      </c>
      <c r="F2894">
        <v>24589</v>
      </c>
      <c r="H2894">
        <f>_xlfn.LET(_xlpm.v, IFERROR(VLOOKUP($A2894, manifest!$A:$E, 3, FALSE), ""), IF(OR(_xlpm.v=0, _xlpm.v=""), "", _xlpm.v))</f>
        <v>60</v>
      </c>
      <c r="I2894" t="str">
        <f>_xlfn.LET(_xlpm.v, IFERROR(VLOOKUP($A2894, manifest!$A:$E, 5, FALSE), ""), IF(OR(_xlpm.v=0, _xlpm.v=""), "", _xlpm.v))</f>
        <v>female</v>
      </c>
    </row>
    <row r="2895" spans="1:9" x14ac:dyDescent="0.6">
      <c r="A2895">
        <v>620</v>
      </c>
      <c r="B2895" t="s">
        <v>14</v>
      </c>
      <c r="C2895" t="s">
        <v>13</v>
      </c>
      <c r="D2895">
        <v>190.42</v>
      </c>
      <c r="E2895">
        <v>173.1</v>
      </c>
      <c r="F2895">
        <v>28907</v>
      </c>
      <c r="H2895">
        <f>_xlfn.LET(_xlpm.v, IFERROR(VLOOKUP($A2895, manifest!$A:$E, 3, FALSE), ""), IF(OR(_xlpm.v=0, _xlpm.v=""), "", _xlpm.v))</f>
        <v>60</v>
      </c>
      <c r="I2895" t="str">
        <f>_xlfn.LET(_xlpm.v, IFERROR(VLOOKUP($A2895, manifest!$A:$E, 5, FALSE), ""), IF(OR(_xlpm.v=0, _xlpm.v=""), "", _xlpm.v))</f>
        <v>female</v>
      </c>
    </row>
    <row r="2896" spans="1:9" x14ac:dyDescent="0.6">
      <c r="A2896">
        <v>612</v>
      </c>
      <c r="B2896" t="s">
        <v>14</v>
      </c>
      <c r="C2896" t="s">
        <v>8</v>
      </c>
      <c r="D2896">
        <v>223.84</v>
      </c>
      <c r="E2896">
        <v>115.19</v>
      </c>
      <c r="F2896">
        <v>35795</v>
      </c>
      <c r="G2896" t="s">
        <v>9</v>
      </c>
      <c r="H2896">
        <f>_xlfn.LET(_xlpm.v, IFERROR(VLOOKUP($A2896, manifest!$A:$E, 3, FALSE), ""), IF(OR(_xlpm.v=0, _xlpm.v=""), "", _xlpm.v))</f>
        <v>50</v>
      </c>
      <c r="I2896" t="str">
        <f>_xlfn.LET(_xlpm.v, IFERROR(VLOOKUP($A2896, manifest!$A:$E, 5, FALSE), ""), IF(OR(_xlpm.v=0, _xlpm.v=""), "", _xlpm.v))</f>
        <v>male</v>
      </c>
    </row>
    <row r="2897" spans="1:9" x14ac:dyDescent="0.6">
      <c r="A2897">
        <v>612</v>
      </c>
      <c r="B2897" t="s">
        <v>14</v>
      </c>
      <c r="C2897" t="s">
        <v>10</v>
      </c>
      <c r="D2897">
        <v>233.6</v>
      </c>
      <c r="E2897">
        <v>144.93</v>
      </c>
      <c r="F2897">
        <v>37381</v>
      </c>
      <c r="H2897">
        <f>_xlfn.LET(_xlpm.v, IFERROR(VLOOKUP($A2897, manifest!$A:$E, 3, FALSE), ""), IF(OR(_xlpm.v=0, _xlpm.v=""), "", _xlpm.v))</f>
        <v>50</v>
      </c>
      <c r="I2897" t="str">
        <f>_xlfn.LET(_xlpm.v, IFERROR(VLOOKUP($A2897, manifest!$A:$E, 5, FALSE), ""), IF(OR(_xlpm.v=0, _xlpm.v=""), "", _xlpm.v))</f>
        <v>male</v>
      </c>
    </row>
    <row r="2898" spans="1:9" x14ac:dyDescent="0.6">
      <c r="A2898">
        <v>612</v>
      </c>
      <c r="B2898" t="s">
        <v>14</v>
      </c>
      <c r="C2898" t="s">
        <v>11</v>
      </c>
      <c r="D2898">
        <v>229.34</v>
      </c>
      <c r="E2898">
        <v>152.46</v>
      </c>
      <c r="F2898">
        <v>41047</v>
      </c>
      <c r="H2898">
        <f>_xlfn.LET(_xlpm.v, IFERROR(VLOOKUP($A2898, manifest!$A:$E, 3, FALSE), ""), IF(OR(_xlpm.v=0, _xlpm.v=""), "", _xlpm.v))</f>
        <v>50</v>
      </c>
      <c r="I2898" t="str">
        <f>_xlfn.LET(_xlpm.v, IFERROR(VLOOKUP($A2898, manifest!$A:$E, 5, FALSE), ""), IF(OR(_xlpm.v=0, _xlpm.v=""), "", _xlpm.v))</f>
        <v>male</v>
      </c>
    </row>
    <row r="2899" spans="1:9" x14ac:dyDescent="0.6">
      <c r="A2899">
        <v>612</v>
      </c>
      <c r="B2899" t="s">
        <v>14</v>
      </c>
      <c r="C2899" t="s">
        <v>12</v>
      </c>
      <c r="D2899">
        <v>253.02</v>
      </c>
      <c r="E2899">
        <v>189.98</v>
      </c>
      <c r="F2899">
        <v>44424</v>
      </c>
      <c r="H2899">
        <f>_xlfn.LET(_xlpm.v, IFERROR(VLOOKUP($A2899, manifest!$A:$E, 3, FALSE), ""), IF(OR(_xlpm.v=0, _xlpm.v=""), "", _xlpm.v))</f>
        <v>50</v>
      </c>
      <c r="I2899" t="str">
        <f>_xlfn.LET(_xlpm.v, IFERROR(VLOOKUP($A2899, manifest!$A:$E, 5, FALSE), ""), IF(OR(_xlpm.v=0, _xlpm.v=""), "", _xlpm.v))</f>
        <v>male</v>
      </c>
    </row>
    <row r="2900" spans="1:9" x14ac:dyDescent="0.6">
      <c r="A2900">
        <v>612</v>
      </c>
      <c r="B2900" t="s">
        <v>14</v>
      </c>
      <c r="C2900" t="s">
        <v>13</v>
      </c>
      <c r="D2900">
        <v>259.89999999999998</v>
      </c>
      <c r="E2900">
        <v>176.89</v>
      </c>
      <c r="F2900">
        <v>44167</v>
      </c>
      <c r="H2900">
        <f>_xlfn.LET(_xlpm.v, IFERROR(VLOOKUP($A2900, manifest!$A:$E, 3, FALSE), ""), IF(OR(_xlpm.v=0, _xlpm.v=""), "", _xlpm.v))</f>
        <v>50</v>
      </c>
      <c r="I2900" t="str">
        <f>_xlfn.LET(_xlpm.v, IFERROR(VLOOKUP($A2900, manifest!$A:$E, 5, FALSE), ""), IF(OR(_xlpm.v=0, _xlpm.v=""), "", _xlpm.v))</f>
        <v>male</v>
      </c>
    </row>
    <row r="2901" spans="1:9" x14ac:dyDescent="0.6">
      <c r="A2901">
        <v>622</v>
      </c>
      <c r="B2901" t="s">
        <v>7</v>
      </c>
      <c r="C2901" t="s">
        <v>8</v>
      </c>
      <c r="D2901">
        <v>220.9</v>
      </c>
      <c r="E2901">
        <v>165</v>
      </c>
      <c r="F2901">
        <v>20756</v>
      </c>
      <c r="G2901" t="s">
        <v>9</v>
      </c>
      <c r="H2901">
        <f>_xlfn.LET(_xlpm.v, IFERROR(VLOOKUP($A2901, manifest!$A:$E, 3, FALSE), ""), IF(OR(_xlpm.v=0, _xlpm.v=""), "", _xlpm.v))</f>
        <v>50</v>
      </c>
      <c r="I2901" t="str">
        <f>_xlfn.LET(_xlpm.v, IFERROR(VLOOKUP($A2901, manifest!$A:$E, 5, FALSE), ""), IF(OR(_xlpm.v=0, _xlpm.v=""), "", _xlpm.v))</f>
        <v>female</v>
      </c>
    </row>
    <row r="2902" spans="1:9" x14ac:dyDescent="0.6">
      <c r="A2902">
        <v>622</v>
      </c>
      <c r="B2902" t="s">
        <v>7</v>
      </c>
      <c r="C2902" t="s">
        <v>10</v>
      </c>
      <c r="D2902">
        <v>232.64</v>
      </c>
      <c r="E2902">
        <v>212.07</v>
      </c>
      <c r="F2902">
        <v>22022</v>
      </c>
      <c r="H2902">
        <f>_xlfn.LET(_xlpm.v, IFERROR(VLOOKUP($A2902, manifest!$A:$E, 3, FALSE), ""), IF(OR(_xlpm.v=0, _xlpm.v=""), "", _xlpm.v))</f>
        <v>50</v>
      </c>
      <c r="I2902" t="str">
        <f>_xlfn.LET(_xlpm.v, IFERROR(VLOOKUP($A2902, manifest!$A:$E, 5, FALSE), ""), IF(OR(_xlpm.v=0, _xlpm.v=""), "", _xlpm.v))</f>
        <v>female</v>
      </c>
    </row>
    <row r="2903" spans="1:9" x14ac:dyDescent="0.6">
      <c r="A2903">
        <v>622</v>
      </c>
      <c r="B2903" t="s">
        <v>7</v>
      </c>
      <c r="C2903" t="s">
        <v>11</v>
      </c>
      <c r="D2903">
        <v>211.98</v>
      </c>
      <c r="E2903">
        <v>200.48</v>
      </c>
      <c r="F2903">
        <v>23610</v>
      </c>
      <c r="H2903">
        <f>_xlfn.LET(_xlpm.v, IFERROR(VLOOKUP($A2903, manifest!$A:$E, 3, FALSE), ""), IF(OR(_xlpm.v=0, _xlpm.v=""), "", _xlpm.v))</f>
        <v>50</v>
      </c>
      <c r="I2903" t="str">
        <f>_xlfn.LET(_xlpm.v, IFERROR(VLOOKUP($A2903, manifest!$A:$E, 5, FALSE), ""), IF(OR(_xlpm.v=0, _xlpm.v=""), "", _xlpm.v))</f>
        <v>female</v>
      </c>
    </row>
    <row r="2904" spans="1:9" x14ac:dyDescent="0.6">
      <c r="A2904">
        <v>622</v>
      </c>
      <c r="B2904" t="s">
        <v>7</v>
      </c>
      <c r="C2904" t="s">
        <v>12</v>
      </c>
      <c r="D2904">
        <v>199.07</v>
      </c>
      <c r="E2904">
        <v>167.1</v>
      </c>
      <c r="F2904">
        <v>32351</v>
      </c>
      <c r="H2904">
        <f>_xlfn.LET(_xlpm.v, IFERROR(VLOOKUP($A2904, manifest!$A:$E, 3, FALSE), ""), IF(OR(_xlpm.v=0, _xlpm.v=""), "", _xlpm.v))</f>
        <v>50</v>
      </c>
      <c r="I2904" t="str">
        <f>_xlfn.LET(_xlpm.v, IFERROR(VLOOKUP($A2904, manifest!$A:$E, 5, FALSE), ""), IF(OR(_xlpm.v=0, _xlpm.v=""), "", _xlpm.v))</f>
        <v>female</v>
      </c>
    </row>
    <row r="2905" spans="1:9" x14ac:dyDescent="0.6">
      <c r="A2905">
        <v>622</v>
      </c>
      <c r="B2905" t="s">
        <v>7</v>
      </c>
      <c r="C2905" t="s">
        <v>13</v>
      </c>
      <c r="D2905">
        <v>184.55</v>
      </c>
      <c r="E2905">
        <v>149.01</v>
      </c>
      <c r="F2905">
        <v>37873</v>
      </c>
      <c r="H2905">
        <f>_xlfn.LET(_xlpm.v, IFERROR(VLOOKUP($A2905, manifest!$A:$E, 3, FALSE), ""), IF(OR(_xlpm.v=0, _xlpm.v=""), "", _xlpm.v))</f>
        <v>50</v>
      </c>
      <c r="I2905" t="str">
        <f>_xlfn.LET(_xlpm.v, IFERROR(VLOOKUP($A2905, manifest!$A:$E, 5, FALSE), ""), IF(OR(_xlpm.v=0, _xlpm.v=""), "", _xlpm.v))</f>
        <v>female</v>
      </c>
    </row>
    <row r="2906" spans="1:9" x14ac:dyDescent="0.6">
      <c r="A2906">
        <v>619</v>
      </c>
      <c r="B2906" t="s">
        <v>14</v>
      </c>
      <c r="C2906" t="s">
        <v>8</v>
      </c>
      <c r="D2906">
        <v>205.29</v>
      </c>
      <c r="E2906">
        <v>120.27</v>
      </c>
      <c r="F2906">
        <v>31180</v>
      </c>
      <c r="G2906" t="s">
        <v>9</v>
      </c>
      <c r="H2906">
        <f>_xlfn.LET(_xlpm.v, IFERROR(VLOOKUP($A2906, manifest!$A:$E, 3, FALSE), ""), IF(OR(_xlpm.v=0, _xlpm.v=""), "", _xlpm.v))</f>
        <v>60</v>
      </c>
      <c r="I2906" t="str">
        <f>_xlfn.LET(_xlpm.v, IFERROR(VLOOKUP($A2906, manifest!$A:$E, 5, FALSE), ""), IF(OR(_xlpm.v=0, _xlpm.v=""), "", _xlpm.v))</f>
        <v>female</v>
      </c>
    </row>
    <row r="2907" spans="1:9" x14ac:dyDescent="0.6">
      <c r="A2907">
        <v>619</v>
      </c>
      <c r="B2907" t="s">
        <v>14</v>
      </c>
      <c r="C2907" t="s">
        <v>10</v>
      </c>
      <c r="D2907">
        <v>229.52</v>
      </c>
      <c r="E2907">
        <v>173.31</v>
      </c>
      <c r="F2907">
        <v>38752</v>
      </c>
      <c r="H2907">
        <f>_xlfn.LET(_xlpm.v, IFERROR(VLOOKUP($A2907, manifest!$A:$E, 3, FALSE), ""), IF(OR(_xlpm.v=0, _xlpm.v=""), "", _xlpm.v))</f>
        <v>60</v>
      </c>
      <c r="I2907" t="str">
        <f>_xlfn.LET(_xlpm.v, IFERROR(VLOOKUP($A2907, manifest!$A:$E, 5, FALSE), ""), IF(OR(_xlpm.v=0, _xlpm.v=""), "", _xlpm.v))</f>
        <v>female</v>
      </c>
    </row>
    <row r="2908" spans="1:9" x14ac:dyDescent="0.6">
      <c r="A2908">
        <v>619</v>
      </c>
      <c r="B2908" t="s">
        <v>14</v>
      </c>
      <c r="C2908" t="s">
        <v>11</v>
      </c>
      <c r="D2908">
        <v>233.76</v>
      </c>
      <c r="E2908">
        <v>206.82</v>
      </c>
      <c r="F2908">
        <v>46018</v>
      </c>
      <c r="H2908">
        <f>_xlfn.LET(_xlpm.v, IFERROR(VLOOKUP($A2908, manifest!$A:$E, 3, FALSE), ""), IF(OR(_xlpm.v=0, _xlpm.v=""), "", _xlpm.v))</f>
        <v>60</v>
      </c>
      <c r="I2908" t="str">
        <f>_xlfn.LET(_xlpm.v, IFERROR(VLOOKUP($A2908, manifest!$A:$E, 5, FALSE), ""), IF(OR(_xlpm.v=0, _xlpm.v=""), "", _xlpm.v))</f>
        <v>female</v>
      </c>
    </row>
    <row r="2909" spans="1:9" x14ac:dyDescent="0.6">
      <c r="A2909">
        <v>619</v>
      </c>
      <c r="B2909" t="s">
        <v>14</v>
      </c>
      <c r="C2909" t="s">
        <v>12</v>
      </c>
      <c r="D2909">
        <v>220.8</v>
      </c>
      <c r="E2909">
        <v>208.57</v>
      </c>
      <c r="F2909">
        <v>55369</v>
      </c>
      <c r="H2909">
        <f>_xlfn.LET(_xlpm.v, IFERROR(VLOOKUP($A2909, manifest!$A:$E, 3, FALSE), ""), IF(OR(_xlpm.v=0, _xlpm.v=""), "", _xlpm.v))</f>
        <v>60</v>
      </c>
      <c r="I2909" t="str">
        <f>_xlfn.LET(_xlpm.v, IFERROR(VLOOKUP($A2909, manifest!$A:$E, 5, FALSE), ""), IF(OR(_xlpm.v=0, _xlpm.v=""), "", _xlpm.v))</f>
        <v>female</v>
      </c>
    </row>
    <row r="2910" spans="1:9" x14ac:dyDescent="0.6">
      <c r="A2910">
        <v>619</v>
      </c>
      <c r="B2910" t="s">
        <v>14</v>
      </c>
      <c r="C2910" t="s">
        <v>13</v>
      </c>
      <c r="D2910">
        <v>228.94</v>
      </c>
      <c r="E2910">
        <v>225.7</v>
      </c>
      <c r="F2910">
        <v>60396</v>
      </c>
      <c r="H2910">
        <f>_xlfn.LET(_xlpm.v, IFERROR(VLOOKUP($A2910, manifest!$A:$E, 3, FALSE), ""), IF(OR(_xlpm.v=0, _xlpm.v=""), "", _xlpm.v))</f>
        <v>60</v>
      </c>
      <c r="I2910" t="str">
        <f>_xlfn.LET(_xlpm.v, IFERROR(VLOOKUP($A2910, manifest!$A:$E, 5, FALSE), ""), IF(OR(_xlpm.v=0, _xlpm.v=""), "", _xlpm.v))</f>
        <v>female</v>
      </c>
    </row>
    <row r="2911" spans="1:9" x14ac:dyDescent="0.6">
      <c r="A2911">
        <v>598</v>
      </c>
      <c r="B2911" t="s">
        <v>14</v>
      </c>
      <c r="C2911" t="s">
        <v>8</v>
      </c>
      <c r="D2911">
        <v>169.73</v>
      </c>
      <c r="E2911">
        <v>189.14</v>
      </c>
      <c r="F2911">
        <v>23969</v>
      </c>
      <c r="G2911" t="s">
        <v>9</v>
      </c>
      <c r="H2911">
        <f>_xlfn.LET(_xlpm.v, IFERROR(VLOOKUP($A2911, manifest!$A:$E, 3, FALSE), ""), IF(OR(_xlpm.v=0, _xlpm.v=""), "", _xlpm.v))</f>
        <v>60</v>
      </c>
      <c r="I2911" t="str">
        <f>_xlfn.LET(_xlpm.v, IFERROR(VLOOKUP($A2911, manifest!$A:$E, 5, FALSE), ""), IF(OR(_xlpm.v=0, _xlpm.v=""), "", _xlpm.v))</f>
        <v>female</v>
      </c>
    </row>
    <row r="2912" spans="1:9" x14ac:dyDescent="0.6">
      <c r="A2912">
        <v>598</v>
      </c>
      <c r="B2912" t="s">
        <v>14</v>
      </c>
      <c r="C2912" t="s">
        <v>10</v>
      </c>
      <c r="D2912">
        <v>177.6</v>
      </c>
      <c r="E2912">
        <v>211.61</v>
      </c>
      <c r="F2912">
        <v>23166</v>
      </c>
      <c r="H2912">
        <f>_xlfn.LET(_xlpm.v, IFERROR(VLOOKUP($A2912, manifest!$A:$E, 3, FALSE), ""), IF(OR(_xlpm.v=0, _xlpm.v=""), "", _xlpm.v))</f>
        <v>60</v>
      </c>
      <c r="I2912" t="str">
        <f>_xlfn.LET(_xlpm.v, IFERROR(VLOOKUP($A2912, manifest!$A:$E, 5, FALSE), ""), IF(OR(_xlpm.v=0, _xlpm.v=""), "", _xlpm.v))</f>
        <v>female</v>
      </c>
    </row>
    <row r="2913" spans="1:9" x14ac:dyDescent="0.6">
      <c r="A2913">
        <v>598</v>
      </c>
      <c r="B2913" t="s">
        <v>14</v>
      </c>
      <c r="C2913" t="s">
        <v>11</v>
      </c>
      <c r="D2913">
        <v>176.89</v>
      </c>
      <c r="E2913">
        <v>200.21</v>
      </c>
      <c r="F2913">
        <v>25770</v>
      </c>
      <c r="H2913">
        <f>_xlfn.LET(_xlpm.v, IFERROR(VLOOKUP($A2913, manifest!$A:$E, 3, FALSE), ""), IF(OR(_xlpm.v=0, _xlpm.v=""), "", _xlpm.v))</f>
        <v>60</v>
      </c>
      <c r="I2913" t="str">
        <f>_xlfn.LET(_xlpm.v, IFERROR(VLOOKUP($A2913, manifest!$A:$E, 5, FALSE), ""), IF(OR(_xlpm.v=0, _xlpm.v=""), "", _xlpm.v))</f>
        <v>female</v>
      </c>
    </row>
    <row r="2914" spans="1:9" x14ac:dyDescent="0.6">
      <c r="A2914">
        <v>598</v>
      </c>
      <c r="B2914" t="s">
        <v>14</v>
      </c>
      <c r="C2914" t="s">
        <v>12</v>
      </c>
      <c r="D2914">
        <v>160.33000000000001</v>
      </c>
      <c r="E2914">
        <v>211.78</v>
      </c>
      <c r="F2914">
        <v>35566</v>
      </c>
      <c r="H2914">
        <f>_xlfn.LET(_xlpm.v, IFERROR(VLOOKUP($A2914, manifest!$A:$E, 3, FALSE), ""), IF(OR(_xlpm.v=0, _xlpm.v=""), "", _xlpm.v))</f>
        <v>60</v>
      </c>
      <c r="I2914" t="str">
        <f>_xlfn.LET(_xlpm.v, IFERROR(VLOOKUP($A2914, manifest!$A:$E, 5, FALSE), ""), IF(OR(_xlpm.v=0, _xlpm.v=""), "", _xlpm.v))</f>
        <v>female</v>
      </c>
    </row>
    <row r="2915" spans="1:9" x14ac:dyDescent="0.6">
      <c r="A2915">
        <v>598</v>
      </c>
      <c r="B2915" t="s">
        <v>14</v>
      </c>
      <c r="C2915" t="s">
        <v>13</v>
      </c>
      <c r="D2915">
        <v>208.06</v>
      </c>
      <c r="E2915">
        <v>197.69</v>
      </c>
      <c r="F2915">
        <v>40699</v>
      </c>
      <c r="H2915">
        <f>_xlfn.LET(_xlpm.v, IFERROR(VLOOKUP($A2915, manifest!$A:$E, 3, FALSE), ""), IF(OR(_xlpm.v=0, _xlpm.v=""), "", _xlpm.v))</f>
        <v>60</v>
      </c>
      <c r="I2915" t="str">
        <f>_xlfn.LET(_xlpm.v, IFERROR(VLOOKUP($A2915, manifest!$A:$E, 5, FALSE), ""), IF(OR(_xlpm.v=0, _xlpm.v=""), "", _xlpm.v))</f>
        <v>female</v>
      </c>
    </row>
    <row r="2916" spans="1:9" x14ac:dyDescent="0.6">
      <c r="A2916">
        <v>611</v>
      </c>
      <c r="B2916" t="s">
        <v>7</v>
      </c>
      <c r="C2916" t="s">
        <v>8</v>
      </c>
      <c r="D2916">
        <v>304.86</v>
      </c>
      <c r="E2916">
        <v>202.63</v>
      </c>
      <c r="F2916">
        <v>34311</v>
      </c>
      <c r="G2916" t="s">
        <v>9</v>
      </c>
      <c r="H2916">
        <f>_xlfn.LET(_xlpm.v, IFERROR(VLOOKUP($A2916, manifest!$A:$E, 3, FALSE), ""), IF(OR(_xlpm.v=0, _xlpm.v=""), "", _xlpm.v))</f>
        <v>60</v>
      </c>
      <c r="I2916" t="str">
        <f>_xlfn.LET(_xlpm.v, IFERROR(VLOOKUP($A2916, manifest!$A:$E, 5, FALSE), ""), IF(OR(_xlpm.v=0, _xlpm.v=""), "", _xlpm.v))</f>
        <v>female</v>
      </c>
    </row>
    <row r="2917" spans="1:9" x14ac:dyDescent="0.6">
      <c r="A2917">
        <v>611</v>
      </c>
      <c r="B2917" t="s">
        <v>7</v>
      </c>
      <c r="C2917" t="s">
        <v>10</v>
      </c>
      <c r="D2917">
        <v>282.93</v>
      </c>
      <c r="E2917">
        <v>207.62</v>
      </c>
      <c r="F2917">
        <v>39141</v>
      </c>
      <c r="H2917">
        <f>_xlfn.LET(_xlpm.v, IFERROR(VLOOKUP($A2917, manifest!$A:$E, 3, FALSE), ""), IF(OR(_xlpm.v=0, _xlpm.v=""), "", _xlpm.v))</f>
        <v>60</v>
      </c>
      <c r="I2917" t="str">
        <f>_xlfn.LET(_xlpm.v, IFERROR(VLOOKUP($A2917, manifest!$A:$E, 5, FALSE), ""), IF(OR(_xlpm.v=0, _xlpm.v=""), "", _xlpm.v))</f>
        <v>female</v>
      </c>
    </row>
    <row r="2918" spans="1:9" x14ac:dyDescent="0.6">
      <c r="A2918">
        <v>611</v>
      </c>
      <c r="B2918" t="s">
        <v>7</v>
      </c>
      <c r="C2918" t="s">
        <v>11</v>
      </c>
      <c r="D2918">
        <v>283.14999999999998</v>
      </c>
      <c r="E2918">
        <v>210.83</v>
      </c>
      <c r="F2918">
        <v>51976</v>
      </c>
      <c r="H2918">
        <f>_xlfn.LET(_xlpm.v, IFERROR(VLOOKUP($A2918, manifest!$A:$E, 3, FALSE), ""), IF(OR(_xlpm.v=0, _xlpm.v=""), "", _xlpm.v))</f>
        <v>60</v>
      </c>
      <c r="I2918" t="str">
        <f>_xlfn.LET(_xlpm.v, IFERROR(VLOOKUP($A2918, manifest!$A:$E, 5, FALSE), ""), IF(OR(_xlpm.v=0, _xlpm.v=""), "", _xlpm.v))</f>
        <v>female</v>
      </c>
    </row>
    <row r="2919" spans="1:9" x14ac:dyDescent="0.6">
      <c r="A2919">
        <v>611</v>
      </c>
      <c r="B2919" t="s">
        <v>7</v>
      </c>
      <c r="C2919" t="s">
        <v>12</v>
      </c>
      <c r="D2919">
        <v>286.24</v>
      </c>
      <c r="E2919">
        <v>216.33</v>
      </c>
      <c r="F2919">
        <v>55772</v>
      </c>
      <c r="H2919">
        <f>_xlfn.LET(_xlpm.v, IFERROR(VLOOKUP($A2919, manifest!$A:$E, 3, FALSE), ""), IF(OR(_xlpm.v=0, _xlpm.v=""), "", _xlpm.v))</f>
        <v>60</v>
      </c>
      <c r="I2919" t="str">
        <f>_xlfn.LET(_xlpm.v, IFERROR(VLOOKUP($A2919, manifest!$A:$E, 5, FALSE), ""), IF(OR(_xlpm.v=0, _xlpm.v=""), "", _xlpm.v))</f>
        <v>female</v>
      </c>
    </row>
    <row r="2920" spans="1:9" x14ac:dyDescent="0.6">
      <c r="A2920">
        <v>611</v>
      </c>
      <c r="B2920" t="s">
        <v>7</v>
      </c>
      <c r="C2920" t="s">
        <v>13</v>
      </c>
      <c r="D2920">
        <v>264.95999999999998</v>
      </c>
      <c r="E2920">
        <v>187.57</v>
      </c>
      <c r="F2920">
        <v>63393</v>
      </c>
      <c r="H2920">
        <f>_xlfn.LET(_xlpm.v, IFERROR(VLOOKUP($A2920, manifest!$A:$E, 3, FALSE), ""), IF(OR(_xlpm.v=0, _xlpm.v=""), "", _xlpm.v))</f>
        <v>60</v>
      </c>
      <c r="I2920" t="str">
        <f>_xlfn.LET(_xlpm.v, IFERROR(VLOOKUP($A2920, manifest!$A:$E, 5, FALSE), ""), IF(OR(_xlpm.v=0, _xlpm.v=""), "", _xlpm.v))</f>
        <v>female</v>
      </c>
    </row>
    <row r="2921" spans="1:9" x14ac:dyDescent="0.6">
      <c r="A2921">
        <v>630</v>
      </c>
      <c r="B2921" t="s">
        <v>7</v>
      </c>
      <c r="C2921" t="s">
        <v>8</v>
      </c>
      <c r="D2921">
        <v>169.43</v>
      </c>
      <c r="E2921">
        <v>109.96</v>
      </c>
      <c r="F2921">
        <v>21850</v>
      </c>
      <c r="G2921" t="s">
        <v>9</v>
      </c>
      <c r="H2921">
        <f>_xlfn.LET(_xlpm.v, IFERROR(VLOOKUP($A2921, manifest!$A:$E, 3, FALSE), ""), IF(OR(_xlpm.v=0, _xlpm.v=""), "", _xlpm.v))</f>
        <v>60</v>
      </c>
      <c r="I2921" t="str">
        <f>_xlfn.LET(_xlpm.v, IFERROR(VLOOKUP($A2921, manifest!$A:$E, 5, FALSE), ""), IF(OR(_xlpm.v=0, _xlpm.v=""), "", _xlpm.v))</f>
        <v>female</v>
      </c>
    </row>
    <row r="2922" spans="1:9" x14ac:dyDescent="0.6">
      <c r="A2922">
        <v>630</v>
      </c>
      <c r="B2922" t="s">
        <v>7</v>
      </c>
      <c r="C2922" t="s">
        <v>10</v>
      </c>
      <c r="D2922">
        <v>188.73</v>
      </c>
      <c r="E2922">
        <v>161.04</v>
      </c>
      <c r="F2922">
        <v>28714</v>
      </c>
      <c r="H2922">
        <f>_xlfn.LET(_xlpm.v, IFERROR(VLOOKUP($A2922, manifest!$A:$E, 3, FALSE), ""), IF(OR(_xlpm.v=0, _xlpm.v=""), "", _xlpm.v))</f>
        <v>60</v>
      </c>
      <c r="I2922" t="str">
        <f>_xlfn.LET(_xlpm.v, IFERROR(VLOOKUP($A2922, manifest!$A:$E, 5, FALSE), ""), IF(OR(_xlpm.v=0, _xlpm.v=""), "", _xlpm.v))</f>
        <v>female</v>
      </c>
    </row>
    <row r="2923" spans="1:9" x14ac:dyDescent="0.6">
      <c r="A2923">
        <v>630</v>
      </c>
      <c r="B2923" t="s">
        <v>7</v>
      </c>
      <c r="C2923" t="s">
        <v>11</v>
      </c>
      <c r="D2923">
        <v>187.62</v>
      </c>
      <c r="E2923">
        <v>166.1</v>
      </c>
      <c r="F2923">
        <v>36107</v>
      </c>
      <c r="H2923">
        <f>_xlfn.LET(_xlpm.v, IFERROR(VLOOKUP($A2923, manifest!$A:$E, 3, FALSE), ""), IF(OR(_xlpm.v=0, _xlpm.v=""), "", _xlpm.v))</f>
        <v>60</v>
      </c>
      <c r="I2923" t="str">
        <f>_xlfn.LET(_xlpm.v, IFERROR(VLOOKUP($A2923, manifest!$A:$E, 5, FALSE), ""), IF(OR(_xlpm.v=0, _xlpm.v=""), "", _xlpm.v))</f>
        <v>female</v>
      </c>
    </row>
    <row r="2924" spans="1:9" x14ac:dyDescent="0.6">
      <c r="A2924">
        <v>630</v>
      </c>
      <c r="B2924" t="s">
        <v>7</v>
      </c>
      <c r="C2924" t="s">
        <v>12</v>
      </c>
      <c r="D2924">
        <v>241.76</v>
      </c>
      <c r="E2924">
        <v>251.65</v>
      </c>
      <c r="F2924">
        <v>42405</v>
      </c>
      <c r="H2924">
        <f>_xlfn.LET(_xlpm.v, IFERROR(VLOOKUP($A2924, manifest!$A:$E, 3, FALSE), ""), IF(OR(_xlpm.v=0, _xlpm.v=""), "", _xlpm.v))</f>
        <v>60</v>
      </c>
      <c r="I2924" t="str">
        <f>_xlfn.LET(_xlpm.v, IFERROR(VLOOKUP($A2924, manifest!$A:$E, 5, FALSE), ""), IF(OR(_xlpm.v=0, _xlpm.v=""), "", _xlpm.v))</f>
        <v>female</v>
      </c>
    </row>
    <row r="2925" spans="1:9" x14ac:dyDescent="0.6">
      <c r="A2925">
        <v>630</v>
      </c>
      <c r="B2925" t="s">
        <v>7</v>
      </c>
      <c r="C2925" t="s">
        <v>13</v>
      </c>
      <c r="D2925">
        <v>201.24</v>
      </c>
      <c r="E2925">
        <v>205.25</v>
      </c>
      <c r="F2925">
        <v>44090</v>
      </c>
      <c r="H2925">
        <f>_xlfn.LET(_xlpm.v, IFERROR(VLOOKUP($A2925, manifest!$A:$E, 3, FALSE), ""), IF(OR(_xlpm.v=0, _xlpm.v=""), "", _xlpm.v))</f>
        <v>60</v>
      </c>
      <c r="I2925" t="str">
        <f>_xlfn.LET(_xlpm.v, IFERROR(VLOOKUP($A2925, manifest!$A:$E, 5, FALSE), ""), IF(OR(_xlpm.v=0, _xlpm.v=""), "", _xlpm.v))</f>
        <v>female</v>
      </c>
    </row>
    <row r="2926" spans="1:9" x14ac:dyDescent="0.6">
      <c r="A2926">
        <v>589</v>
      </c>
      <c r="B2926" t="s">
        <v>14</v>
      </c>
      <c r="C2926" t="s">
        <v>8</v>
      </c>
      <c r="D2926">
        <v>310.87</v>
      </c>
      <c r="E2926">
        <v>240.38</v>
      </c>
      <c r="F2926">
        <v>23985</v>
      </c>
      <c r="G2926" t="s">
        <v>9</v>
      </c>
      <c r="H2926">
        <f>_xlfn.LET(_xlpm.v, IFERROR(VLOOKUP($A2926, manifest!$A:$E, 3, FALSE), ""), IF(OR(_xlpm.v=0, _xlpm.v=""), "", _xlpm.v))</f>
        <v>70</v>
      </c>
      <c r="I2926" t="str">
        <f>_xlfn.LET(_xlpm.v, IFERROR(VLOOKUP($A2926, manifest!$A:$E, 5, FALSE), ""), IF(OR(_xlpm.v=0, _xlpm.v=""), "", _xlpm.v))</f>
        <v>female</v>
      </c>
    </row>
    <row r="2927" spans="1:9" x14ac:dyDescent="0.6">
      <c r="A2927">
        <v>589</v>
      </c>
      <c r="B2927" t="s">
        <v>14</v>
      </c>
      <c r="C2927" t="s">
        <v>10</v>
      </c>
      <c r="D2927">
        <v>323.20999999999998</v>
      </c>
      <c r="E2927">
        <v>269.68</v>
      </c>
      <c r="F2927">
        <v>26921</v>
      </c>
      <c r="H2927">
        <f>_xlfn.LET(_xlpm.v, IFERROR(VLOOKUP($A2927, manifest!$A:$E, 3, FALSE), ""), IF(OR(_xlpm.v=0, _xlpm.v=""), "", _xlpm.v))</f>
        <v>70</v>
      </c>
      <c r="I2927" t="str">
        <f>_xlfn.LET(_xlpm.v, IFERROR(VLOOKUP($A2927, manifest!$A:$E, 5, FALSE), ""), IF(OR(_xlpm.v=0, _xlpm.v=""), "", _xlpm.v))</f>
        <v>female</v>
      </c>
    </row>
    <row r="2928" spans="1:9" x14ac:dyDescent="0.6">
      <c r="A2928">
        <v>589</v>
      </c>
      <c r="B2928" t="s">
        <v>14</v>
      </c>
      <c r="C2928" t="s">
        <v>11</v>
      </c>
      <c r="D2928">
        <v>311.70999999999998</v>
      </c>
      <c r="E2928">
        <v>262.26</v>
      </c>
      <c r="F2928">
        <v>35279</v>
      </c>
      <c r="H2928">
        <f>_xlfn.LET(_xlpm.v, IFERROR(VLOOKUP($A2928, manifest!$A:$E, 3, FALSE), ""), IF(OR(_xlpm.v=0, _xlpm.v=""), "", _xlpm.v))</f>
        <v>70</v>
      </c>
      <c r="I2928" t="str">
        <f>_xlfn.LET(_xlpm.v, IFERROR(VLOOKUP($A2928, manifest!$A:$E, 5, FALSE), ""), IF(OR(_xlpm.v=0, _xlpm.v=""), "", _xlpm.v))</f>
        <v>female</v>
      </c>
    </row>
    <row r="2929" spans="1:9" x14ac:dyDescent="0.6">
      <c r="A2929">
        <v>589</v>
      </c>
      <c r="B2929" t="s">
        <v>14</v>
      </c>
      <c r="C2929" t="s">
        <v>12</v>
      </c>
      <c r="D2929">
        <v>311.14</v>
      </c>
      <c r="E2929">
        <v>282.68</v>
      </c>
      <c r="F2929">
        <v>40686</v>
      </c>
      <c r="H2929">
        <f>_xlfn.LET(_xlpm.v, IFERROR(VLOOKUP($A2929, manifest!$A:$E, 3, FALSE), ""), IF(OR(_xlpm.v=0, _xlpm.v=""), "", _xlpm.v))</f>
        <v>70</v>
      </c>
      <c r="I2929" t="str">
        <f>_xlfn.LET(_xlpm.v, IFERROR(VLOOKUP($A2929, manifest!$A:$E, 5, FALSE), ""), IF(OR(_xlpm.v=0, _xlpm.v=""), "", _xlpm.v))</f>
        <v>female</v>
      </c>
    </row>
    <row r="2930" spans="1:9" x14ac:dyDescent="0.6">
      <c r="A2930">
        <v>589</v>
      </c>
      <c r="B2930" t="s">
        <v>14</v>
      </c>
      <c r="C2930" t="s">
        <v>13</v>
      </c>
      <c r="D2930">
        <v>323.7</v>
      </c>
      <c r="E2930">
        <v>238.76</v>
      </c>
      <c r="F2930">
        <v>49750</v>
      </c>
      <c r="H2930">
        <f>_xlfn.LET(_xlpm.v, IFERROR(VLOOKUP($A2930, manifest!$A:$E, 3, FALSE), ""), IF(OR(_xlpm.v=0, _xlpm.v=""), "", _xlpm.v))</f>
        <v>70</v>
      </c>
      <c r="I2930" t="str">
        <f>_xlfn.LET(_xlpm.v, IFERROR(VLOOKUP($A2930, manifest!$A:$E, 5, FALSE), ""), IF(OR(_xlpm.v=0, _xlpm.v=""), "", _xlpm.v))</f>
        <v>female</v>
      </c>
    </row>
    <row r="2931" spans="1:9" x14ac:dyDescent="0.6">
      <c r="A2931">
        <v>615</v>
      </c>
      <c r="B2931" t="s">
        <v>7</v>
      </c>
      <c r="C2931" t="s">
        <v>8</v>
      </c>
      <c r="D2931">
        <v>183.21</v>
      </c>
      <c r="E2931">
        <v>167.24</v>
      </c>
      <c r="F2931">
        <v>50870</v>
      </c>
      <c r="G2931" t="s">
        <v>9</v>
      </c>
      <c r="H2931">
        <f>_xlfn.LET(_xlpm.v, IFERROR(VLOOKUP($A2931, manifest!$A:$E, 3, FALSE), ""), IF(OR(_xlpm.v=0, _xlpm.v=""), "", _xlpm.v))</f>
        <v>50</v>
      </c>
      <c r="I2931" t="str">
        <f>_xlfn.LET(_xlpm.v, IFERROR(VLOOKUP($A2931, manifest!$A:$E, 5, FALSE), ""), IF(OR(_xlpm.v=0, _xlpm.v=""), "", _xlpm.v))</f>
        <v>male</v>
      </c>
    </row>
    <row r="2932" spans="1:9" x14ac:dyDescent="0.6">
      <c r="A2932">
        <v>615</v>
      </c>
      <c r="B2932" t="s">
        <v>7</v>
      </c>
      <c r="C2932" t="s">
        <v>10</v>
      </c>
      <c r="D2932">
        <v>182.11</v>
      </c>
      <c r="E2932">
        <v>179.82</v>
      </c>
      <c r="F2932">
        <v>54284</v>
      </c>
      <c r="H2932">
        <f>_xlfn.LET(_xlpm.v, IFERROR(VLOOKUP($A2932, manifest!$A:$E, 3, FALSE), ""), IF(OR(_xlpm.v=0, _xlpm.v=""), "", _xlpm.v))</f>
        <v>50</v>
      </c>
      <c r="I2932" t="str">
        <f>_xlfn.LET(_xlpm.v, IFERROR(VLOOKUP($A2932, manifest!$A:$E, 5, FALSE), ""), IF(OR(_xlpm.v=0, _xlpm.v=""), "", _xlpm.v))</f>
        <v>male</v>
      </c>
    </row>
    <row r="2933" spans="1:9" x14ac:dyDescent="0.6">
      <c r="A2933">
        <v>615</v>
      </c>
      <c r="B2933" t="s">
        <v>7</v>
      </c>
      <c r="C2933" t="s">
        <v>11</v>
      </c>
      <c r="D2933">
        <v>199.4</v>
      </c>
      <c r="E2933">
        <v>190.49</v>
      </c>
      <c r="F2933">
        <v>54460</v>
      </c>
      <c r="H2933">
        <f>_xlfn.LET(_xlpm.v, IFERROR(VLOOKUP($A2933, manifest!$A:$E, 3, FALSE), ""), IF(OR(_xlpm.v=0, _xlpm.v=""), "", _xlpm.v))</f>
        <v>50</v>
      </c>
      <c r="I2933" t="str">
        <f>_xlfn.LET(_xlpm.v, IFERROR(VLOOKUP($A2933, manifest!$A:$E, 5, FALSE), ""), IF(OR(_xlpm.v=0, _xlpm.v=""), "", _xlpm.v))</f>
        <v>male</v>
      </c>
    </row>
    <row r="2934" spans="1:9" x14ac:dyDescent="0.6">
      <c r="A2934">
        <v>615</v>
      </c>
      <c r="B2934" t="s">
        <v>7</v>
      </c>
      <c r="C2934" t="s">
        <v>12</v>
      </c>
      <c r="D2934">
        <v>176.27</v>
      </c>
      <c r="E2934">
        <v>147.69</v>
      </c>
      <c r="F2934">
        <v>61991</v>
      </c>
      <c r="H2934">
        <f>_xlfn.LET(_xlpm.v, IFERROR(VLOOKUP($A2934, manifest!$A:$E, 3, FALSE), ""), IF(OR(_xlpm.v=0, _xlpm.v=""), "", _xlpm.v))</f>
        <v>50</v>
      </c>
      <c r="I2934" t="str">
        <f>_xlfn.LET(_xlpm.v, IFERROR(VLOOKUP($A2934, manifest!$A:$E, 5, FALSE), ""), IF(OR(_xlpm.v=0, _xlpm.v=""), "", _xlpm.v))</f>
        <v>male</v>
      </c>
    </row>
    <row r="2935" spans="1:9" x14ac:dyDescent="0.6">
      <c r="A2935">
        <v>605</v>
      </c>
      <c r="B2935" t="s">
        <v>14</v>
      </c>
      <c r="C2935" t="s">
        <v>8</v>
      </c>
      <c r="D2935">
        <v>174.78</v>
      </c>
      <c r="E2935">
        <v>132.69</v>
      </c>
      <c r="F2935">
        <v>23322</v>
      </c>
      <c r="G2935" t="s">
        <v>9</v>
      </c>
      <c r="H2935">
        <f>_xlfn.LET(_xlpm.v, IFERROR(VLOOKUP($A2935, manifest!$A:$E, 3, FALSE), ""), IF(OR(_xlpm.v=0, _xlpm.v=""), "", _xlpm.v))</f>
        <v>70</v>
      </c>
      <c r="I2935" t="str">
        <f>_xlfn.LET(_xlpm.v, IFERROR(VLOOKUP($A2935, manifest!$A:$E, 5, FALSE), ""), IF(OR(_xlpm.v=0, _xlpm.v=""), "", _xlpm.v))</f>
        <v>female</v>
      </c>
    </row>
    <row r="2936" spans="1:9" x14ac:dyDescent="0.6">
      <c r="A2936">
        <v>605</v>
      </c>
      <c r="B2936" t="s">
        <v>14</v>
      </c>
      <c r="C2936" t="s">
        <v>10</v>
      </c>
      <c r="D2936">
        <v>167.76</v>
      </c>
      <c r="E2936">
        <v>154.56</v>
      </c>
      <c r="F2936">
        <v>26550</v>
      </c>
      <c r="H2936">
        <f>_xlfn.LET(_xlpm.v, IFERROR(VLOOKUP($A2936, manifest!$A:$E, 3, FALSE), ""), IF(OR(_xlpm.v=0, _xlpm.v=""), "", _xlpm.v))</f>
        <v>70</v>
      </c>
      <c r="I2936" t="str">
        <f>_xlfn.LET(_xlpm.v, IFERROR(VLOOKUP($A2936, manifest!$A:$E, 5, FALSE), ""), IF(OR(_xlpm.v=0, _xlpm.v=""), "", _xlpm.v))</f>
        <v>female</v>
      </c>
    </row>
    <row r="2937" spans="1:9" x14ac:dyDescent="0.6">
      <c r="A2937">
        <v>605</v>
      </c>
      <c r="B2937" t="s">
        <v>14</v>
      </c>
      <c r="C2937" t="s">
        <v>11</v>
      </c>
      <c r="D2937">
        <v>171.99</v>
      </c>
      <c r="E2937">
        <v>183.14</v>
      </c>
      <c r="F2937">
        <v>41236</v>
      </c>
      <c r="H2937">
        <f>_xlfn.LET(_xlpm.v, IFERROR(VLOOKUP($A2937, manifest!$A:$E, 3, FALSE), ""), IF(OR(_xlpm.v=0, _xlpm.v=""), "", _xlpm.v))</f>
        <v>70</v>
      </c>
      <c r="I2937" t="str">
        <f>_xlfn.LET(_xlpm.v, IFERROR(VLOOKUP($A2937, manifest!$A:$E, 5, FALSE), ""), IF(OR(_xlpm.v=0, _xlpm.v=""), "", _xlpm.v))</f>
        <v>female</v>
      </c>
    </row>
    <row r="2938" spans="1:9" x14ac:dyDescent="0.6">
      <c r="A2938">
        <v>605</v>
      </c>
      <c r="B2938" t="s">
        <v>14</v>
      </c>
      <c r="C2938" t="s">
        <v>12</v>
      </c>
      <c r="D2938">
        <v>198.95</v>
      </c>
      <c r="E2938">
        <v>195.33</v>
      </c>
      <c r="F2938">
        <v>40966</v>
      </c>
      <c r="H2938">
        <f>_xlfn.LET(_xlpm.v, IFERROR(VLOOKUP($A2938, manifest!$A:$E, 3, FALSE), ""), IF(OR(_xlpm.v=0, _xlpm.v=""), "", _xlpm.v))</f>
        <v>70</v>
      </c>
      <c r="I2938" t="str">
        <f>_xlfn.LET(_xlpm.v, IFERROR(VLOOKUP($A2938, manifest!$A:$E, 5, FALSE), ""), IF(OR(_xlpm.v=0, _xlpm.v=""), "", _xlpm.v))</f>
        <v>female</v>
      </c>
    </row>
    <row r="2939" spans="1:9" x14ac:dyDescent="0.6">
      <c r="A2939">
        <v>605</v>
      </c>
      <c r="B2939" t="s">
        <v>14</v>
      </c>
      <c r="C2939" t="s">
        <v>13</v>
      </c>
      <c r="D2939">
        <v>244.6</v>
      </c>
      <c r="E2939">
        <v>197.81</v>
      </c>
      <c r="F2939">
        <v>36550</v>
      </c>
      <c r="H2939">
        <f>_xlfn.LET(_xlpm.v, IFERROR(VLOOKUP($A2939, manifest!$A:$E, 3, FALSE), ""), IF(OR(_xlpm.v=0, _xlpm.v=""), "", _xlpm.v))</f>
        <v>70</v>
      </c>
      <c r="I2939" t="str">
        <f>_xlfn.LET(_xlpm.v, IFERROR(VLOOKUP($A2939, manifest!$A:$E, 5, FALSE), ""), IF(OR(_xlpm.v=0, _xlpm.v=""), "", _xlpm.v))</f>
        <v>female</v>
      </c>
    </row>
    <row r="2940" spans="1:9" x14ac:dyDescent="0.6">
      <c r="A2940">
        <v>601</v>
      </c>
      <c r="B2940" t="s">
        <v>14</v>
      </c>
      <c r="C2940" t="s">
        <v>8</v>
      </c>
      <c r="D2940">
        <v>195.19</v>
      </c>
      <c r="E2940">
        <v>92.59</v>
      </c>
      <c r="F2940">
        <v>19847</v>
      </c>
      <c r="G2940" t="s">
        <v>9</v>
      </c>
      <c r="H2940">
        <f>_xlfn.LET(_xlpm.v, IFERROR(VLOOKUP($A2940, manifest!$A:$E, 3, FALSE), ""), IF(OR(_xlpm.v=0, _xlpm.v=""), "", _xlpm.v))</f>
        <v>60</v>
      </c>
      <c r="I2940" t="str">
        <f>_xlfn.LET(_xlpm.v, IFERROR(VLOOKUP($A2940, manifest!$A:$E, 5, FALSE), ""), IF(OR(_xlpm.v=0, _xlpm.v=""), "", _xlpm.v))</f>
        <v>female</v>
      </c>
    </row>
    <row r="2941" spans="1:9" x14ac:dyDescent="0.6">
      <c r="A2941">
        <v>601</v>
      </c>
      <c r="B2941" t="s">
        <v>14</v>
      </c>
      <c r="C2941" t="s">
        <v>10</v>
      </c>
      <c r="D2941">
        <v>208.44</v>
      </c>
      <c r="E2941">
        <v>142.03</v>
      </c>
      <c r="F2941">
        <v>24895</v>
      </c>
      <c r="H2941">
        <f>_xlfn.LET(_xlpm.v, IFERROR(VLOOKUP($A2941, manifest!$A:$E, 3, FALSE), ""), IF(OR(_xlpm.v=0, _xlpm.v=""), "", _xlpm.v))</f>
        <v>60</v>
      </c>
      <c r="I2941" t="str">
        <f>_xlfn.LET(_xlpm.v, IFERROR(VLOOKUP($A2941, manifest!$A:$E, 5, FALSE), ""), IF(OR(_xlpm.v=0, _xlpm.v=""), "", _xlpm.v))</f>
        <v>female</v>
      </c>
    </row>
    <row r="2942" spans="1:9" x14ac:dyDescent="0.6">
      <c r="A2942">
        <v>601</v>
      </c>
      <c r="B2942" t="s">
        <v>14</v>
      </c>
      <c r="C2942" t="s">
        <v>11</v>
      </c>
      <c r="D2942">
        <v>224.51</v>
      </c>
      <c r="E2942">
        <v>185.85</v>
      </c>
      <c r="F2942">
        <v>28372</v>
      </c>
      <c r="H2942">
        <f>_xlfn.LET(_xlpm.v, IFERROR(VLOOKUP($A2942, manifest!$A:$E, 3, FALSE), ""), IF(OR(_xlpm.v=0, _xlpm.v=""), "", _xlpm.v))</f>
        <v>60</v>
      </c>
      <c r="I2942" t="str">
        <f>_xlfn.LET(_xlpm.v, IFERROR(VLOOKUP($A2942, manifest!$A:$E, 5, FALSE), ""), IF(OR(_xlpm.v=0, _xlpm.v=""), "", _xlpm.v))</f>
        <v>female</v>
      </c>
    </row>
    <row r="2943" spans="1:9" x14ac:dyDescent="0.6">
      <c r="A2943">
        <v>601</v>
      </c>
      <c r="B2943" t="s">
        <v>14</v>
      </c>
      <c r="C2943" t="s">
        <v>12</v>
      </c>
      <c r="D2943">
        <v>206.24</v>
      </c>
      <c r="E2943">
        <v>180.55</v>
      </c>
      <c r="F2943">
        <v>31005</v>
      </c>
      <c r="H2943">
        <f>_xlfn.LET(_xlpm.v, IFERROR(VLOOKUP($A2943, manifest!$A:$E, 3, FALSE), ""), IF(OR(_xlpm.v=0, _xlpm.v=""), "", _xlpm.v))</f>
        <v>60</v>
      </c>
      <c r="I2943" t="str">
        <f>_xlfn.LET(_xlpm.v, IFERROR(VLOOKUP($A2943, manifest!$A:$E, 5, FALSE), ""), IF(OR(_xlpm.v=0, _xlpm.v=""), "", _xlpm.v))</f>
        <v>female</v>
      </c>
    </row>
    <row r="2944" spans="1:9" x14ac:dyDescent="0.6">
      <c r="A2944">
        <v>601</v>
      </c>
      <c r="B2944" t="s">
        <v>14</v>
      </c>
      <c r="C2944" t="s">
        <v>13</v>
      </c>
      <c r="D2944">
        <v>202.07</v>
      </c>
      <c r="E2944">
        <v>176.2</v>
      </c>
      <c r="F2944">
        <v>38656</v>
      </c>
      <c r="H2944">
        <f>_xlfn.LET(_xlpm.v, IFERROR(VLOOKUP($A2944, manifest!$A:$E, 3, FALSE), ""), IF(OR(_xlpm.v=0, _xlpm.v=""), "", _xlpm.v))</f>
        <v>60</v>
      </c>
      <c r="I2944" t="str">
        <f>_xlfn.LET(_xlpm.v, IFERROR(VLOOKUP($A2944, manifest!$A:$E, 5, FALSE), ""), IF(OR(_xlpm.v=0, _xlpm.v=""), "", _xlpm.v))</f>
        <v>female</v>
      </c>
    </row>
    <row r="2945" spans="1:9" x14ac:dyDescent="0.6">
      <c r="A2945">
        <v>595</v>
      </c>
      <c r="B2945" t="s">
        <v>7</v>
      </c>
      <c r="C2945" t="s">
        <v>8</v>
      </c>
      <c r="D2945">
        <v>202.46</v>
      </c>
      <c r="E2945">
        <v>115.28</v>
      </c>
      <c r="F2945">
        <v>24727</v>
      </c>
      <c r="G2945" t="s">
        <v>9</v>
      </c>
      <c r="H2945">
        <f>_xlfn.LET(_xlpm.v, IFERROR(VLOOKUP($A2945, manifest!$A:$E, 3, FALSE), ""), IF(OR(_xlpm.v=0, _xlpm.v=""), "", _xlpm.v))</f>
        <v>60</v>
      </c>
      <c r="I2945" t="str">
        <f>_xlfn.LET(_xlpm.v, IFERROR(VLOOKUP($A2945, manifest!$A:$E, 5, FALSE), ""), IF(OR(_xlpm.v=0, _xlpm.v=""), "", _xlpm.v))</f>
        <v>male</v>
      </c>
    </row>
    <row r="2946" spans="1:9" x14ac:dyDescent="0.6">
      <c r="A2946">
        <v>595</v>
      </c>
      <c r="B2946" t="s">
        <v>7</v>
      </c>
      <c r="C2946" t="s">
        <v>10</v>
      </c>
      <c r="D2946">
        <v>227.51</v>
      </c>
      <c r="E2946">
        <v>140.22999999999999</v>
      </c>
      <c r="F2946">
        <v>23458</v>
      </c>
      <c r="H2946">
        <f>_xlfn.LET(_xlpm.v, IFERROR(VLOOKUP($A2946, manifest!$A:$E, 3, FALSE), ""), IF(OR(_xlpm.v=0, _xlpm.v=""), "", _xlpm.v))</f>
        <v>60</v>
      </c>
      <c r="I2946" t="str">
        <f>_xlfn.LET(_xlpm.v, IFERROR(VLOOKUP($A2946, manifest!$A:$E, 5, FALSE), ""), IF(OR(_xlpm.v=0, _xlpm.v=""), "", _xlpm.v))</f>
        <v>male</v>
      </c>
    </row>
    <row r="2947" spans="1:9" x14ac:dyDescent="0.6">
      <c r="A2947">
        <v>595</v>
      </c>
      <c r="B2947" t="s">
        <v>7</v>
      </c>
      <c r="C2947" t="s">
        <v>11</v>
      </c>
      <c r="D2947">
        <v>218.65</v>
      </c>
      <c r="E2947">
        <v>157.19999999999999</v>
      </c>
      <c r="F2947">
        <v>37274</v>
      </c>
      <c r="H2947">
        <f>_xlfn.LET(_xlpm.v, IFERROR(VLOOKUP($A2947, manifest!$A:$E, 3, FALSE), ""), IF(OR(_xlpm.v=0, _xlpm.v=""), "", _xlpm.v))</f>
        <v>60</v>
      </c>
      <c r="I2947" t="str">
        <f>_xlfn.LET(_xlpm.v, IFERROR(VLOOKUP($A2947, manifest!$A:$E, 5, FALSE), ""), IF(OR(_xlpm.v=0, _xlpm.v=""), "", _xlpm.v))</f>
        <v>male</v>
      </c>
    </row>
    <row r="2948" spans="1:9" x14ac:dyDescent="0.6">
      <c r="A2948">
        <v>595</v>
      </c>
      <c r="B2948" t="s">
        <v>7</v>
      </c>
      <c r="C2948" t="s">
        <v>12</v>
      </c>
      <c r="D2948">
        <v>230.95</v>
      </c>
      <c r="E2948">
        <v>167.44</v>
      </c>
      <c r="F2948">
        <v>47264</v>
      </c>
      <c r="H2948">
        <f>_xlfn.LET(_xlpm.v, IFERROR(VLOOKUP($A2948, manifest!$A:$E, 3, FALSE), ""), IF(OR(_xlpm.v=0, _xlpm.v=""), "", _xlpm.v))</f>
        <v>60</v>
      </c>
      <c r="I2948" t="str">
        <f>_xlfn.LET(_xlpm.v, IFERROR(VLOOKUP($A2948, manifest!$A:$E, 5, FALSE), ""), IF(OR(_xlpm.v=0, _xlpm.v=""), "", _xlpm.v))</f>
        <v>male</v>
      </c>
    </row>
    <row r="2949" spans="1:9" x14ac:dyDescent="0.6">
      <c r="A2949">
        <v>595</v>
      </c>
      <c r="B2949" t="s">
        <v>7</v>
      </c>
      <c r="C2949" t="s">
        <v>13</v>
      </c>
      <c r="D2949">
        <v>213.57</v>
      </c>
      <c r="E2949">
        <v>140.72999999999999</v>
      </c>
      <c r="F2949">
        <v>50240</v>
      </c>
      <c r="H2949">
        <f>_xlfn.LET(_xlpm.v, IFERROR(VLOOKUP($A2949, manifest!$A:$E, 3, FALSE), ""), IF(OR(_xlpm.v=0, _xlpm.v=""), "", _xlpm.v))</f>
        <v>60</v>
      </c>
      <c r="I2949" t="str">
        <f>_xlfn.LET(_xlpm.v, IFERROR(VLOOKUP($A2949, manifest!$A:$E, 5, FALSE), ""), IF(OR(_xlpm.v=0, _xlpm.v=""), "", _xlpm.v))</f>
        <v>male</v>
      </c>
    </row>
    <row r="2950" spans="1:9" x14ac:dyDescent="0.6">
      <c r="A2950">
        <v>579</v>
      </c>
      <c r="B2950" t="s">
        <v>7</v>
      </c>
      <c r="C2950" t="s">
        <v>8</v>
      </c>
      <c r="D2950">
        <v>124.69</v>
      </c>
      <c r="E2950">
        <v>126.9</v>
      </c>
      <c r="F2950">
        <v>37839</v>
      </c>
      <c r="G2950" t="s">
        <v>15</v>
      </c>
      <c r="H2950">
        <f>_xlfn.LET(_xlpm.v, IFERROR(VLOOKUP($A2950, manifest!$A:$E, 3, FALSE), ""), IF(OR(_xlpm.v=0, _xlpm.v=""), "", _xlpm.v))</f>
        <v>60</v>
      </c>
      <c r="I2950" t="str">
        <f>_xlfn.LET(_xlpm.v, IFERROR(VLOOKUP($A2950, manifest!$A:$E, 5, FALSE), ""), IF(OR(_xlpm.v=0, _xlpm.v=""), "", _xlpm.v))</f>
        <v>male</v>
      </c>
    </row>
    <row r="2951" spans="1:9" x14ac:dyDescent="0.6">
      <c r="A2951">
        <v>579</v>
      </c>
      <c r="B2951" t="s">
        <v>7</v>
      </c>
      <c r="C2951" t="s">
        <v>10</v>
      </c>
      <c r="D2951">
        <v>139.33000000000001</v>
      </c>
      <c r="E2951">
        <v>138.29</v>
      </c>
      <c r="F2951">
        <v>44083</v>
      </c>
      <c r="H2951">
        <f>_xlfn.LET(_xlpm.v, IFERROR(VLOOKUP($A2951, manifest!$A:$E, 3, FALSE), ""), IF(OR(_xlpm.v=0, _xlpm.v=""), "", _xlpm.v))</f>
        <v>60</v>
      </c>
      <c r="I2951" t="str">
        <f>_xlfn.LET(_xlpm.v, IFERROR(VLOOKUP($A2951, manifest!$A:$E, 5, FALSE), ""), IF(OR(_xlpm.v=0, _xlpm.v=""), "", _xlpm.v))</f>
        <v>male</v>
      </c>
    </row>
    <row r="2952" spans="1:9" x14ac:dyDescent="0.6">
      <c r="A2952">
        <v>579</v>
      </c>
      <c r="B2952" t="s">
        <v>7</v>
      </c>
      <c r="C2952" t="s">
        <v>11</v>
      </c>
      <c r="D2952">
        <v>151.29</v>
      </c>
      <c r="E2952">
        <v>162.93</v>
      </c>
      <c r="F2952">
        <v>55368</v>
      </c>
      <c r="H2952">
        <f>_xlfn.LET(_xlpm.v, IFERROR(VLOOKUP($A2952, manifest!$A:$E, 3, FALSE), ""), IF(OR(_xlpm.v=0, _xlpm.v=""), "", _xlpm.v))</f>
        <v>60</v>
      </c>
      <c r="I2952" t="str">
        <f>_xlfn.LET(_xlpm.v, IFERROR(VLOOKUP($A2952, manifest!$A:$E, 5, FALSE), ""), IF(OR(_xlpm.v=0, _xlpm.v=""), "", _xlpm.v))</f>
        <v>male</v>
      </c>
    </row>
    <row r="2953" spans="1:9" x14ac:dyDescent="0.6">
      <c r="A2953">
        <v>579</v>
      </c>
      <c r="B2953" t="s">
        <v>7</v>
      </c>
      <c r="C2953" t="s">
        <v>12</v>
      </c>
      <c r="D2953">
        <v>162.74</v>
      </c>
      <c r="E2953">
        <v>150.49</v>
      </c>
      <c r="F2953">
        <v>63538</v>
      </c>
      <c r="H2953">
        <f>_xlfn.LET(_xlpm.v, IFERROR(VLOOKUP($A2953, manifest!$A:$E, 3, FALSE), ""), IF(OR(_xlpm.v=0, _xlpm.v=""), "", _xlpm.v))</f>
        <v>60</v>
      </c>
      <c r="I2953" t="str">
        <f>_xlfn.LET(_xlpm.v, IFERROR(VLOOKUP($A2953, manifest!$A:$E, 5, FALSE), ""), IF(OR(_xlpm.v=0, _xlpm.v=""), "", _xlpm.v))</f>
        <v>male</v>
      </c>
    </row>
    <row r="2954" spans="1:9" x14ac:dyDescent="0.6">
      <c r="A2954">
        <v>579</v>
      </c>
      <c r="B2954" t="s">
        <v>7</v>
      </c>
      <c r="C2954" t="s">
        <v>13</v>
      </c>
      <c r="D2954">
        <v>196.78</v>
      </c>
      <c r="E2954">
        <v>179.42</v>
      </c>
      <c r="F2954">
        <v>65034</v>
      </c>
      <c r="H2954">
        <f>_xlfn.LET(_xlpm.v, IFERROR(VLOOKUP($A2954, manifest!$A:$E, 3, FALSE), ""), IF(OR(_xlpm.v=0, _xlpm.v=""), "", _xlpm.v))</f>
        <v>60</v>
      </c>
      <c r="I2954" t="str">
        <f>_xlfn.LET(_xlpm.v, IFERROR(VLOOKUP($A2954, manifest!$A:$E, 5, FALSE), ""), IF(OR(_xlpm.v=0, _xlpm.v=""), "", _xlpm.v))</f>
        <v>male</v>
      </c>
    </row>
    <row r="2955" spans="1:9" x14ac:dyDescent="0.6">
      <c r="A2955">
        <v>634</v>
      </c>
      <c r="B2955" t="s">
        <v>7</v>
      </c>
      <c r="C2955" t="s">
        <v>8</v>
      </c>
      <c r="D2955">
        <v>192.75</v>
      </c>
      <c r="E2955">
        <v>139.81</v>
      </c>
      <c r="F2955">
        <v>30815</v>
      </c>
      <c r="G2955" t="s">
        <v>9</v>
      </c>
      <c r="H2955">
        <f>_xlfn.LET(_xlpm.v, IFERROR(VLOOKUP($A2955, manifest!$A:$E, 3, FALSE), ""), IF(OR(_xlpm.v=0, _xlpm.v=""), "", _xlpm.v))</f>
        <v>60</v>
      </c>
      <c r="I2955" t="str">
        <f>_xlfn.LET(_xlpm.v, IFERROR(VLOOKUP($A2955, manifest!$A:$E, 5, FALSE), ""), IF(OR(_xlpm.v=0, _xlpm.v=""), "", _xlpm.v))</f>
        <v>female</v>
      </c>
    </row>
    <row r="2956" spans="1:9" x14ac:dyDescent="0.6">
      <c r="A2956">
        <v>634</v>
      </c>
      <c r="B2956" t="s">
        <v>7</v>
      </c>
      <c r="C2956" t="s">
        <v>10</v>
      </c>
      <c r="D2956">
        <v>210.14</v>
      </c>
      <c r="E2956">
        <v>167.98</v>
      </c>
      <c r="F2956">
        <v>33826</v>
      </c>
      <c r="H2956">
        <f>_xlfn.LET(_xlpm.v, IFERROR(VLOOKUP($A2956, manifest!$A:$E, 3, FALSE), ""), IF(OR(_xlpm.v=0, _xlpm.v=""), "", _xlpm.v))</f>
        <v>60</v>
      </c>
      <c r="I2956" t="str">
        <f>_xlfn.LET(_xlpm.v, IFERROR(VLOOKUP($A2956, manifest!$A:$E, 5, FALSE), ""), IF(OR(_xlpm.v=0, _xlpm.v=""), "", _xlpm.v))</f>
        <v>female</v>
      </c>
    </row>
    <row r="2957" spans="1:9" x14ac:dyDescent="0.6">
      <c r="A2957">
        <v>634</v>
      </c>
      <c r="B2957" t="s">
        <v>7</v>
      </c>
      <c r="C2957" t="s">
        <v>11</v>
      </c>
      <c r="D2957">
        <v>201.16</v>
      </c>
      <c r="E2957">
        <v>185.05</v>
      </c>
      <c r="F2957">
        <v>47268</v>
      </c>
      <c r="H2957">
        <f>_xlfn.LET(_xlpm.v, IFERROR(VLOOKUP($A2957, manifest!$A:$E, 3, FALSE), ""), IF(OR(_xlpm.v=0, _xlpm.v=""), "", _xlpm.v))</f>
        <v>60</v>
      </c>
      <c r="I2957" t="str">
        <f>_xlfn.LET(_xlpm.v, IFERROR(VLOOKUP($A2957, manifest!$A:$E, 5, FALSE), ""), IF(OR(_xlpm.v=0, _xlpm.v=""), "", _xlpm.v))</f>
        <v>female</v>
      </c>
    </row>
    <row r="2958" spans="1:9" x14ac:dyDescent="0.6">
      <c r="A2958">
        <v>634</v>
      </c>
      <c r="B2958" t="s">
        <v>7</v>
      </c>
      <c r="C2958" t="s">
        <v>12</v>
      </c>
      <c r="D2958">
        <v>193.35</v>
      </c>
      <c r="E2958">
        <v>174.53</v>
      </c>
      <c r="F2958">
        <v>47553</v>
      </c>
      <c r="H2958">
        <f>_xlfn.LET(_xlpm.v, IFERROR(VLOOKUP($A2958, manifest!$A:$E, 3, FALSE), ""), IF(OR(_xlpm.v=0, _xlpm.v=""), "", _xlpm.v))</f>
        <v>60</v>
      </c>
      <c r="I2958" t="str">
        <f>_xlfn.LET(_xlpm.v, IFERROR(VLOOKUP($A2958, manifest!$A:$E, 5, FALSE), ""), IF(OR(_xlpm.v=0, _xlpm.v=""), "", _xlpm.v))</f>
        <v>female</v>
      </c>
    </row>
    <row r="2959" spans="1:9" x14ac:dyDescent="0.6">
      <c r="A2959">
        <v>634</v>
      </c>
      <c r="B2959" t="s">
        <v>7</v>
      </c>
      <c r="C2959" t="s">
        <v>13</v>
      </c>
      <c r="D2959">
        <v>214.35</v>
      </c>
      <c r="E2959">
        <v>185.61</v>
      </c>
      <c r="F2959">
        <v>53117</v>
      </c>
      <c r="H2959">
        <f>_xlfn.LET(_xlpm.v, IFERROR(VLOOKUP($A2959, manifest!$A:$E, 3, FALSE), ""), IF(OR(_xlpm.v=0, _xlpm.v=""), "", _xlpm.v))</f>
        <v>60</v>
      </c>
      <c r="I2959" t="str">
        <f>_xlfn.LET(_xlpm.v, IFERROR(VLOOKUP($A2959, manifest!$A:$E, 5, FALSE), ""), IF(OR(_xlpm.v=0, _xlpm.v=""), "", _xlpm.v))</f>
        <v>female</v>
      </c>
    </row>
    <row r="2960" spans="1:9" x14ac:dyDescent="0.6">
      <c r="A2960">
        <v>623</v>
      </c>
      <c r="B2960" t="s">
        <v>7</v>
      </c>
      <c r="C2960" t="s">
        <v>8</v>
      </c>
      <c r="D2960">
        <v>209.1</v>
      </c>
      <c r="E2960">
        <v>137.21</v>
      </c>
      <c r="F2960">
        <v>31459</v>
      </c>
      <c r="G2960" t="s">
        <v>9</v>
      </c>
      <c r="H2960">
        <f>_xlfn.LET(_xlpm.v, IFERROR(VLOOKUP($A2960, manifest!$A:$E, 3, FALSE), ""), IF(OR(_xlpm.v=0, _xlpm.v=""), "", _xlpm.v))</f>
        <v>60</v>
      </c>
      <c r="I2960" t="str">
        <f>_xlfn.LET(_xlpm.v, IFERROR(VLOOKUP($A2960, manifest!$A:$E, 5, FALSE), ""), IF(OR(_xlpm.v=0, _xlpm.v=""), "", _xlpm.v))</f>
        <v>male</v>
      </c>
    </row>
    <row r="2961" spans="1:9" x14ac:dyDescent="0.6">
      <c r="A2961">
        <v>623</v>
      </c>
      <c r="B2961" t="s">
        <v>7</v>
      </c>
      <c r="C2961" t="s">
        <v>10</v>
      </c>
      <c r="D2961">
        <v>212.13</v>
      </c>
      <c r="E2961">
        <v>166.38</v>
      </c>
      <c r="F2961">
        <v>35766</v>
      </c>
      <c r="H2961">
        <f>_xlfn.LET(_xlpm.v, IFERROR(VLOOKUP($A2961, manifest!$A:$E, 3, FALSE), ""), IF(OR(_xlpm.v=0, _xlpm.v=""), "", _xlpm.v))</f>
        <v>60</v>
      </c>
      <c r="I2961" t="str">
        <f>_xlfn.LET(_xlpm.v, IFERROR(VLOOKUP($A2961, manifest!$A:$E, 5, FALSE), ""), IF(OR(_xlpm.v=0, _xlpm.v=""), "", _xlpm.v))</f>
        <v>male</v>
      </c>
    </row>
    <row r="2962" spans="1:9" x14ac:dyDescent="0.6">
      <c r="A2962">
        <v>623</v>
      </c>
      <c r="B2962" t="s">
        <v>7</v>
      </c>
      <c r="C2962" t="s">
        <v>11</v>
      </c>
      <c r="D2962">
        <v>191.45</v>
      </c>
      <c r="E2962">
        <v>150.4</v>
      </c>
      <c r="F2962">
        <v>37904</v>
      </c>
      <c r="H2962">
        <f>_xlfn.LET(_xlpm.v, IFERROR(VLOOKUP($A2962, manifest!$A:$E, 3, FALSE), ""), IF(OR(_xlpm.v=0, _xlpm.v=""), "", _xlpm.v))</f>
        <v>60</v>
      </c>
      <c r="I2962" t="str">
        <f>_xlfn.LET(_xlpm.v, IFERROR(VLOOKUP($A2962, manifest!$A:$E, 5, FALSE), ""), IF(OR(_xlpm.v=0, _xlpm.v=""), "", _xlpm.v))</f>
        <v>male</v>
      </c>
    </row>
    <row r="2963" spans="1:9" x14ac:dyDescent="0.6">
      <c r="A2963">
        <v>623</v>
      </c>
      <c r="B2963" t="s">
        <v>7</v>
      </c>
      <c r="C2963" t="s">
        <v>12</v>
      </c>
      <c r="D2963">
        <v>185.16</v>
      </c>
      <c r="E2963">
        <v>149.96</v>
      </c>
      <c r="F2963">
        <v>37843</v>
      </c>
      <c r="H2963">
        <f>_xlfn.LET(_xlpm.v, IFERROR(VLOOKUP($A2963, manifest!$A:$E, 3, FALSE), ""), IF(OR(_xlpm.v=0, _xlpm.v=""), "", _xlpm.v))</f>
        <v>60</v>
      </c>
      <c r="I2963" t="str">
        <f>_xlfn.LET(_xlpm.v, IFERROR(VLOOKUP($A2963, manifest!$A:$E, 5, FALSE), ""), IF(OR(_xlpm.v=0, _xlpm.v=""), "", _xlpm.v))</f>
        <v>male</v>
      </c>
    </row>
    <row r="2964" spans="1:9" x14ac:dyDescent="0.6">
      <c r="A2964">
        <v>623</v>
      </c>
      <c r="B2964" t="s">
        <v>7</v>
      </c>
      <c r="C2964" t="s">
        <v>13</v>
      </c>
      <c r="D2964">
        <v>220.33</v>
      </c>
      <c r="E2964">
        <v>175.02</v>
      </c>
      <c r="F2964">
        <v>48812</v>
      </c>
      <c r="H2964">
        <f>_xlfn.LET(_xlpm.v, IFERROR(VLOOKUP($A2964, manifest!$A:$E, 3, FALSE), ""), IF(OR(_xlpm.v=0, _xlpm.v=""), "", _xlpm.v))</f>
        <v>60</v>
      </c>
      <c r="I2964" t="str">
        <f>_xlfn.LET(_xlpm.v, IFERROR(VLOOKUP($A2964, manifest!$A:$E, 5, FALSE), ""), IF(OR(_xlpm.v=0, _xlpm.v=""), "", _xlpm.v))</f>
        <v>male</v>
      </c>
    </row>
    <row r="2965" spans="1:9" x14ac:dyDescent="0.6">
      <c r="A2965">
        <v>631</v>
      </c>
      <c r="B2965" t="s">
        <v>14</v>
      </c>
      <c r="C2965" t="s">
        <v>8</v>
      </c>
      <c r="D2965">
        <v>215.14</v>
      </c>
      <c r="E2965">
        <v>111.37</v>
      </c>
      <c r="F2965">
        <v>41357</v>
      </c>
      <c r="G2965" t="s">
        <v>9</v>
      </c>
      <c r="H2965">
        <f>_xlfn.LET(_xlpm.v, IFERROR(VLOOKUP($A2965, manifest!$A:$E, 3, FALSE), ""), IF(OR(_xlpm.v=0, _xlpm.v=""), "", _xlpm.v))</f>
        <v>60</v>
      </c>
      <c r="I2965" t="str">
        <f>_xlfn.LET(_xlpm.v, IFERROR(VLOOKUP($A2965, manifest!$A:$E, 5, FALSE), ""), IF(OR(_xlpm.v=0, _xlpm.v=""), "", _xlpm.v))</f>
        <v>male</v>
      </c>
    </row>
    <row r="2966" spans="1:9" x14ac:dyDescent="0.6">
      <c r="A2966">
        <v>631</v>
      </c>
      <c r="B2966" t="s">
        <v>14</v>
      </c>
      <c r="C2966" t="s">
        <v>10</v>
      </c>
      <c r="D2966">
        <v>249.07</v>
      </c>
      <c r="E2966">
        <v>162.44</v>
      </c>
      <c r="F2966">
        <v>43710</v>
      </c>
      <c r="H2966">
        <f>_xlfn.LET(_xlpm.v, IFERROR(VLOOKUP($A2966, manifest!$A:$E, 3, FALSE), ""), IF(OR(_xlpm.v=0, _xlpm.v=""), "", _xlpm.v))</f>
        <v>60</v>
      </c>
      <c r="I2966" t="str">
        <f>_xlfn.LET(_xlpm.v, IFERROR(VLOOKUP($A2966, manifest!$A:$E, 5, FALSE), ""), IF(OR(_xlpm.v=0, _xlpm.v=""), "", _xlpm.v))</f>
        <v>male</v>
      </c>
    </row>
    <row r="2967" spans="1:9" x14ac:dyDescent="0.6">
      <c r="A2967">
        <v>631</v>
      </c>
      <c r="B2967" t="s">
        <v>14</v>
      </c>
      <c r="C2967" t="s">
        <v>11</v>
      </c>
      <c r="D2967">
        <v>222.97</v>
      </c>
      <c r="E2967">
        <v>133.51</v>
      </c>
      <c r="F2967">
        <v>59174</v>
      </c>
      <c r="H2967">
        <f>_xlfn.LET(_xlpm.v, IFERROR(VLOOKUP($A2967, manifest!$A:$E, 3, FALSE), ""), IF(OR(_xlpm.v=0, _xlpm.v=""), "", _xlpm.v))</f>
        <v>60</v>
      </c>
      <c r="I2967" t="str">
        <f>_xlfn.LET(_xlpm.v, IFERROR(VLOOKUP($A2967, manifest!$A:$E, 5, FALSE), ""), IF(OR(_xlpm.v=0, _xlpm.v=""), "", _xlpm.v))</f>
        <v>male</v>
      </c>
    </row>
    <row r="2968" spans="1:9" x14ac:dyDescent="0.6">
      <c r="A2968">
        <v>631</v>
      </c>
      <c r="B2968" t="s">
        <v>14</v>
      </c>
      <c r="C2968" t="s">
        <v>12</v>
      </c>
      <c r="D2968">
        <v>241.66</v>
      </c>
      <c r="E2968">
        <v>131.22</v>
      </c>
      <c r="F2968">
        <v>72936</v>
      </c>
      <c r="H2968">
        <f>_xlfn.LET(_xlpm.v, IFERROR(VLOOKUP($A2968, manifest!$A:$E, 3, FALSE), ""), IF(OR(_xlpm.v=0, _xlpm.v=""), "", _xlpm.v))</f>
        <v>60</v>
      </c>
      <c r="I2968" t="str">
        <f>_xlfn.LET(_xlpm.v, IFERROR(VLOOKUP($A2968, manifest!$A:$E, 5, FALSE), ""), IF(OR(_xlpm.v=0, _xlpm.v=""), "", _xlpm.v))</f>
        <v>male</v>
      </c>
    </row>
    <row r="2969" spans="1:9" x14ac:dyDescent="0.6">
      <c r="A2969">
        <v>631</v>
      </c>
      <c r="B2969" t="s">
        <v>14</v>
      </c>
      <c r="C2969" t="s">
        <v>13</v>
      </c>
      <c r="D2969">
        <v>229.75</v>
      </c>
      <c r="E2969">
        <v>109.22</v>
      </c>
      <c r="F2969">
        <v>63415</v>
      </c>
      <c r="H2969">
        <f>_xlfn.LET(_xlpm.v, IFERROR(VLOOKUP($A2969, manifest!$A:$E, 3, FALSE), ""), IF(OR(_xlpm.v=0, _xlpm.v=""), "", _xlpm.v))</f>
        <v>60</v>
      </c>
      <c r="I2969" t="str">
        <f>_xlfn.LET(_xlpm.v, IFERROR(VLOOKUP($A2969, manifest!$A:$E, 5, FALSE), ""), IF(OR(_xlpm.v=0, _xlpm.v=""), "", _xlpm.v))</f>
        <v>male</v>
      </c>
    </row>
    <row r="2970" spans="1:9" x14ac:dyDescent="0.6">
      <c r="A2970">
        <v>628</v>
      </c>
      <c r="B2970" t="s">
        <v>14</v>
      </c>
      <c r="C2970" t="s">
        <v>8</v>
      </c>
      <c r="D2970">
        <v>187.23</v>
      </c>
      <c r="E2970">
        <v>154.84</v>
      </c>
      <c r="F2970">
        <v>24933</v>
      </c>
      <c r="G2970" t="s">
        <v>9</v>
      </c>
      <c r="H2970">
        <f>_xlfn.LET(_xlpm.v, IFERROR(VLOOKUP($A2970, manifest!$A:$E, 3, FALSE), ""), IF(OR(_xlpm.v=0, _xlpm.v=""), "", _xlpm.v))</f>
        <v>60</v>
      </c>
      <c r="I2970" t="str">
        <f>_xlfn.LET(_xlpm.v, IFERROR(VLOOKUP($A2970, manifest!$A:$E, 5, FALSE), ""), IF(OR(_xlpm.v=0, _xlpm.v=""), "", _xlpm.v))</f>
        <v>female</v>
      </c>
    </row>
    <row r="2971" spans="1:9" x14ac:dyDescent="0.6">
      <c r="A2971">
        <v>628</v>
      </c>
      <c r="B2971" t="s">
        <v>14</v>
      </c>
      <c r="C2971" t="s">
        <v>10</v>
      </c>
      <c r="D2971">
        <v>211.75</v>
      </c>
      <c r="E2971">
        <v>197.85</v>
      </c>
      <c r="F2971">
        <v>28119</v>
      </c>
      <c r="H2971">
        <f>_xlfn.LET(_xlpm.v, IFERROR(VLOOKUP($A2971, manifest!$A:$E, 3, FALSE), ""), IF(OR(_xlpm.v=0, _xlpm.v=""), "", _xlpm.v))</f>
        <v>60</v>
      </c>
      <c r="I2971" t="str">
        <f>_xlfn.LET(_xlpm.v, IFERROR(VLOOKUP($A2971, manifest!$A:$E, 5, FALSE), ""), IF(OR(_xlpm.v=0, _xlpm.v=""), "", _xlpm.v))</f>
        <v>female</v>
      </c>
    </row>
    <row r="2972" spans="1:9" x14ac:dyDescent="0.6">
      <c r="A2972">
        <v>628</v>
      </c>
      <c r="B2972" t="s">
        <v>14</v>
      </c>
      <c r="C2972" t="s">
        <v>11</v>
      </c>
      <c r="D2972">
        <v>222.33</v>
      </c>
      <c r="E2972">
        <v>223.43</v>
      </c>
      <c r="F2972">
        <v>30659</v>
      </c>
      <c r="H2972">
        <f>_xlfn.LET(_xlpm.v, IFERROR(VLOOKUP($A2972, manifest!$A:$E, 3, FALSE), ""), IF(OR(_xlpm.v=0, _xlpm.v=""), "", _xlpm.v))</f>
        <v>60</v>
      </c>
      <c r="I2972" t="str">
        <f>_xlfn.LET(_xlpm.v, IFERROR(VLOOKUP($A2972, manifest!$A:$E, 5, FALSE), ""), IF(OR(_xlpm.v=0, _xlpm.v=""), "", _xlpm.v))</f>
        <v>female</v>
      </c>
    </row>
    <row r="2973" spans="1:9" x14ac:dyDescent="0.6">
      <c r="A2973">
        <v>628</v>
      </c>
      <c r="B2973" t="s">
        <v>14</v>
      </c>
      <c r="C2973" t="s">
        <v>12</v>
      </c>
      <c r="D2973">
        <v>196.68</v>
      </c>
      <c r="E2973">
        <v>191.32</v>
      </c>
      <c r="F2973">
        <v>33077</v>
      </c>
      <c r="H2973">
        <f>_xlfn.LET(_xlpm.v, IFERROR(VLOOKUP($A2973, manifest!$A:$E, 3, FALSE), ""), IF(OR(_xlpm.v=0, _xlpm.v=""), "", _xlpm.v))</f>
        <v>60</v>
      </c>
      <c r="I2973" t="str">
        <f>_xlfn.LET(_xlpm.v, IFERROR(VLOOKUP($A2973, manifest!$A:$E, 5, FALSE), ""), IF(OR(_xlpm.v=0, _xlpm.v=""), "", _xlpm.v))</f>
        <v>female</v>
      </c>
    </row>
    <row r="2974" spans="1:9" x14ac:dyDescent="0.6">
      <c r="A2974">
        <v>628</v>
      </c>
      <c r="B2974" t="s">
        <v>14</v>
      </c>
      <c r="C2974" t="s">
        <v>13</v>
      </c>
      <c r="D2974">
        <v>187.56</v>
      </c>
      <c r="E2974">
        <v>158.41999999999999</v>
      </c>
      <c r="F2974">
        <v>36952</v>
      </c>
      <c r="H2974">
        <f>_xlfn.LET(_xlpm.v, IFERROR(VLOOKUP($A2974, manifest!$A:$E, 3, FALSE), ""), IF(OR(_xlpm.v=0, _xlpm.v=""), "", _xlpm.v))</f>
        <v>60</v>
      </c>
      <c r="I2974" t="str">
        <f>_xlfn.LET(_xlpm.v, IFERROR(VLOOKUP($A2974, manifest!$A:$E, 5, FALSE), ""), IF(OR(_xlpm.v=0, _xlpm.v=""), "", _xlpm.v))</f>
        <v>female</v>
      </c>
    </row>
    <row r="2975" spans="1:9" x14ac:dyDescent="0.6">
      <c r="A2975">
        <v>625</v>
      </c>
      <c r="B2975" t="s">
        <v>14</v>
      </c>
      <c r="C2975" t="s">
        <v>8</v>
      </c>
      <c r="D2975">
        <v>180.26</v>
      </c>
      <c r="E2975">
        <v>141.47</v>
      </c>
      <c r="F2975">
        <v>33931</v>
      </c>
      <c r="G2975" t="s">
        <v>9</v>
      </c>
      <c r="H2975">
        <f>_xlfn.LET(_xlpm.v, IFERROR(VLOOKUP($A2975, manifest!$A:$E, 3, FALSE), ""), IF(OR(_xlpm.v=0, _xlpm.v=""), "", _xlpm.v))</f>
        <v>70</v>
      </c>
      <c r="I2975" t="str">
        <f>_xlfn.LET(_xlpm.v, IFERROR(VLOOKUP($A2975, manifest!$A:$E, 5, FALSE), ""), IF(OR(_xlpm.v=0, _xlpm.v=""), "", _xlpm.v))</f>
        <v>female</v>
      </c>
    </row>
    <row r="2976" spans="1:9" x14ac:dyDescent="0.6">
      <c r="A2976">
        <v>625</v>
      </c>
      <c r="B2976" t="s">
        <v>14</v>
      </c>
      <c r="C2976" t="s">
        <v>10</v>
      </c>
      <c r="D2976">
        <v>195.03</v>
      </c>
      <c r="E2976">
        <v>150.16</v>
      </c>
      <c r="F2976">
        <v>36531</v>
      </c>
      <c r="H2976">
        <f>_xlfn.LET(_xlpm.v, IFERROR(VLOOKUP($A2976, manifest!$A:$E, 3, FALSE), ""), IF(OR(_xlpm.v=0, _xlpm.v=""), "", _xlpm.v))</f>
        <v>70</v>
      </c>
      <c r="I2976" t="str">
        <f>_xlfn.LET(_xlpm.v, IFERROR(VLOOKUP($A2976, manifest!$A:$E, 5, FALSE), ""), IF(OR(_xlpm.v=0, _xlpm.v=""), "", _xlpm.v))</f>
        <v>female</v>
      </c>
    </row>
    <row r="2977" spans="1:9" x14ac:dyDescent="0.6">
      <c r="A2977">
        <v>625</v>
      </c>
      <c r="B2977" t="s">
        <v>14</v>
      </c>
      <c r="C2977" t="s">
        <v>11</v>
      </c>
      <c r="D2977">
        <v>192.35</v>
      </c>
      <c r="E2977">
        <v>163.43</v>
      </c>
      <c r="F2977">
        <v>40454</v>
      </c>
      <c r="H2977">
        <f>_xlfn.LET(_xlpm.v, IFERROR(VLOOKUP($A2977, manifest!$A:$E, 3, FALSE), ""), IF(OR(_xlpm.v=0, _xlpm.v=""), "", _xlpm.v))</f>
        <v>70</v>
      </c>
      <c r="I2977" t="str">
        <f>_xlfn.LET(_xlpm.v, IFERROR(VLOOKUP($A2977, manifest!$A:$E, 5, FALSE), ""), IF(OR(_xlpm.v=0, _xlpm.v=""), "", _xlpm.v))</f>
        <v>female</v>
      </c>
    </row>
    <row r="2978" spans="1:9" x14ac:dyDescent="0.6">
      <c r="A2978">
        <v>625</v>
      </c>
      <c r="B2978" t="s">
        <v>14</v>
      </c>
      <c r="C2978" t="s">
        <v>12</v>
      </c>
      <c r="D2978">
        <v>251.66</v>
      </c>
      <c r="E2978">
        <v>243.34</v>
      </c>
      <c r="F2978">
        <v>42697</v>
      </c>
      <c r="H2978">
        <f>_xlfn.LET(_xlpm.v, IFERROR(VLOOKUP($A2978, manifest!$A:$E, 3, FALSE), ""), IF(OR(_xlpm.v=0, _xlpm.v=""), "", _xlpm.v))</f>
        <v>70</v>
      </c>
      <c r="I2978" t="str">
        <f>_xlfn.LET(_xlpm.v, IFERROR(VLOOKUP($A2978, manifest!$A:$E, 5, FALSE), ""), IF(OR(_xlpm.v=0, _xlpm.v=""), "", _xlpm.v))</f>
        <v>female</v>
      </c>
    </row>
    <row r="2979" spans="1:9" x14ac:dyDescent="0.6">
      <c r="A2979">
        <v>625</v>
      </c>
      <c r="B2979" t="s">
        <v>14</v>
      </c>
      <c r="C2979" t="s">
        <v>13</v>
      </c>
      <c r="D2979">
        <v>230.38</v>
      </c>
      <c r="E2979">
        <v>243.64</v>
      </c>
      <c r="F2979">
        <v>40622</v>
      </c>
      <c r="H2979">
        <f>_xlfn.LET(_xlpm.v, IFERROR(VLOOKUP($A2979, manifest!$A:$E, 3, FALSE), ""), IF(OR(_xlpm.v=0, _xlpm.v=""), "", _xlpm.v))</f>
        <v>70</v>
      </c>
      <c r="I2979" t="str">
        <f>_xlfn.LET(_xlpm.v, IFERROR(VLOOKUP($A2979, manifest!$A:$E, 5, FALSE), ""), IF(OR(_xlpm.v=0, _xlpm.v=""), "", _xlpm.v))</f>
        <v>female</v>
      </c>
    </row>
    <row r="2980" spans="1:9" x14ac:dyDescent="0.6">
      <c r="A2980">
        <v>629</v>
      </c>
      <c r="B2980" t="s">
        <v>7</v>
      </c>
      <c r="C2980" t="s">
        <v>8</v>
      </c>
      <c r="D2980">
        <v>264.60000000000002</v>
      </c>
      <c r="E2980">
        <v>191.53</v>
      </c>
      <c r="F2980">
        <v>42115</v>
      </c>
      <c r="G2980" t="s">
        <v>9</v>
      </c>
      <c r="H2980">
        <f>_xlfn.LET(_xlpm.v, IFERROR(VLOOKUP($A2980, manifest!$A:$E, 3, FALSE), ""), IF(OR(_xlpm.v=0, _xlpm.v=""), "", _xlpm.v))</f>
        <v>60</v>
      </c>
      <c r="I2980" t="str">
        <f>_xlfn.LET(_xlpm.v, IFERROR(VLOOKUP($A2980, manifest!$A:$E, 5, FALSE), ""), IF(OR(_xlpm.v=0, _xlpm.v=""), "", _xlpm.v))</f>
        <v>female</v>
      </c>
    </row>
    <row r="2981" spans="1:9" x14ac:dyDescent="0.6">
      <c r="A2981">
        <v>629</v>
      </c>
      <c r="B2981" t="s">
        <v>7</v>
      </c>
      <c r="C2981" t="s">
        <v>10</v>
      </c>
      <c r="D2981">
        <v>287.91000000000003</v>
      </c>
      <c r="E2981">
        <v>223.86</v>
      </c>
      <c r="F2981">
        <v>42641</v>
      </c>
      <c r="H2981">
        <f>_xlfn.LET(_xlpm.v, IFERROR(VLOOKUP($A2981, manifest!$A:$E, 3, FALSE), ""), IF(OR(_xlpm.v=0, _xlpm.v=""), "", _xlpm.v))</f>
        <v>60</v>
      </c>
      <c r="I2981" t="str">
        <f>_xlfn.LET(_xlpm.v, IFERROR(VLOOKUP($A2981, manifest!$A:$E, 5, FALSE), ""), IF(OR(_xlpm.v=0, _xlpm.v=""), "", _xlpm.v))</f>
        <v>female</v>
      </c>
    </row>
    <row r="2982" spans="1:9" x14ac:dyDescent="0.6">
      <c r="A2982">
        <v>629</v>
      </c>
      <c r="B2982" t="s">
        <v>7</v>
      </c>
      <c r="C2982" t="s">
        <v>11</v>
      </c>
      <c r="D2982">
        <v>281.04000000000002</v>
      </c>
      <c r="E2982">
        <v>234.69</v>
      </c>
      <c r="F2982">
        <v>44549</v>
      </c>
      <c r="H2982">
        <f>_xlfn.LET(_xlpm.v, IFERROR(VLOOKUP($A2982, manifest!$A:$E, 3, FALSE), ""), IF(OR(_xlpm.v=0, _xlpm.v=""), "", _xlpm.v))</f>
        <v>60</v>
      </c>
      <c r="I2982" t="str">
        <f>_xlfn.LET(_xlpm.v, IFERROR(VLOOKUP($A2982, manifest!$A:$E, 5, FALSE), ""), IF(OR(_xlpm.v=0, _xlpm.v=""), "", _xlpm.v))</f>
        <v>female</v>
      </c>
    </row>
    <row r="2983" spans="1:9" x14ac:dyDescent="0.6">
      <c r="A2983">
        <v>629</v>
      </c>
      <c r="B2983" t="s">
        <v>7</v>
      </c>
      <c r="C2983" t="s">
        <v>12</v>
      </c>
      <c r="D2983">
        <v>289.69</v>
      </c>
      <c r="E2983">
        <v>251.25</v>
      </c>
      <c r="F2983">
        <v>50862</v>
      </c>
      <c r="H2983">
        <f>_xlfn.LET(_xlpm.v, IFERROR(VLOOKUP($A2983, manifest!$A:$E, 3, FALSE), ""), IF(OR(_xlpm.v=0, _xlpm.v=""), "", _xlpm.v))</f>
        <v>60</v>
      </c>
      <c r="I2983" t="str">
        <f>_xlfn.LET(_xlpm.v, IFERROR(VLOOKUP($A2983, manifest!$A:$E, 5, FALSE), ""), IF(OR(_xlpm.v=0, _xlpm.v=""), "", _xlpm.v))</f>
        <v>female</v>
      </c>
    </row>
    <row r="2984" spans="1:9" x14ac:dyDescent="0.6">
      <c r="A2984">
        <v>629</v>
      </c>
      <c r="B2984" t="s">
        <v>7</v>
      </c>
      <c r="C2984" t="s">
        <v>13</v>
      </c>
      <c r="D2984">
        <v>270.29000000000002</v>
      </c>
      <c r="E2984">
        <v>224.29</v>
      </c>
      <c r="F2984">
        <v>56293</v>
      </c>
      <c r="H2984">
        <f>_xlfn.LET(_xlpm.v, IFERROR(VLOOKUP($A2984, manifest!$A:$E, 3, FALSE), ""), IF(OR(_xlpm.v=0, _xlpm.v=""), "", _xlpm.v))</f>
        <v>60</v>
      </c>
      <c r="I2984" t="str">
        <f>_xlfn.LET(_xlpm.v, IFERROR(VLOOKUP($A2984, manifest!$A:$E, 5, FALSE), ""), IF(OR(_xlpm.v=0, _xlpm.v=""), "", _xlpm.v))</f>
        <v>female</v>
      </c>
    </row>
    <row r="2985" spans="1:9" x14ac:dyDescent="0.6">
      <c r="A2985">
        <v>616</v>
      </c>
      <c r="B2985" t="s">
        <v>7</v>
      </c>
      <c r="C2985" t="s">
        <v>8</v>
      </c>
      <c r="D2985">
        <v>296.38</v>
      </c>
      <c r="E2985">
        <v>180.2</v>
      </c>
      <c r="F2985">
        <v>46356</v>
      </c>
      <c r="G2985" t="s">
        <v>9</v>
      </c>
      <c r="H2985">
        <f>_xlfn.LET(_xlpm.v, IFERROR(VLOOKUP($A2985, manifest!$A:$E, 3, FALSE), ""), IF(OR(_xlpm.v=0, _xlpm.v=""), "", _xlpm.v))</f>
        <v>50</v>
      </c>
      <c r="I2985" t="str">
        <f>_xlfn.LET(_xlpm.v, IFERROR(VLOOKUP($A2985, manifest!$A:$E, 5, FALSE), ""), IF(OR(_xlpm.v=0, _xlpm.v=""), "", _xlpm.v))</f>
        <v>female</v>
      </c>
    </row>
    <row r="2986" spans="1:9" x14ac:dyDescent="0.6">
      <c r="A2986">
        <v>616</v>
      </c>
      <c r="B2986" t="s">
        <v>7</v>
      </c>
      <c r="C2986" t="s">
        <v>10</v>
      </c>
      <c r="D2986">
        <v>316.39</v>
      </c>
      <c r="E2986">
        <v>216.25</v>
      </c>
      <c r="F2986">
        <v>46963</v>
      </c>
      <c r="H2986">
        <f>_xlfn.LET(_xlpm.v, IFERROR(VLOOKUP($A2986, manifest!$A:$E, 3, FALSE), ""), IF(OR(_xlpm.v=0, _xlpm.v=""), "", _xlpm.v))</f>
        <v>50</v>
      </c>
      <c r="I2986" t="str">
        <f>_xlfn.LET(_xlpm.v, IFERROR(VLOOKUP($A2986, manifest!$A:$E, 5, FALSE), ""), IF(OR(_xlpm.v=0, _xlpm.v=""), "", _xlpm.v))</f>
        <v>female</v>
      </c>
    </row>
    <row r="2987" spans="1:9" x14ac:dyDescent="0.6">
      <c r="A2987">
        <v>616</v>
      </c>
      <c r="B2987" t="s">
        <v>7</v>
      </c>
      <c r="C2987" t="s">
        <v>11</v>
      </c>
      <c r="D2987">
        <v>327.33999999999997</v>
      </c>
      <c r="E2987">
        <v>229</v>
      </c>
      <c r="F2987">
        <v>48965</v>
      </c>
      <c r="H2987">
        <f>_xlfn.LET(_xlpm.v, IFERROR(VLOOKUP($A2987, manifest!$A:$E, 3, FALSE), ""), IF(OR(_xlpm.v=0, _xlpm.v=""), "", _xlpm.v))</f>
        <v>50</v>
      </c>
      <c r="I2987" t="str">
        <f>_xlfn.LET(_xlpm.v, IFERROR(VLOOKUP($A2987, manifest!$A:$E, 5, FALSE), ""), IF(OR(_xlpm.v=0, _xlpm.v=""), "", _xlpm.v))</f>
        <v>female</v>
      </c>
    </row>
    <row r="2988" spans="1:9" x14ac:dyDescent="0.6">
      <c r="A2988">
        <v>616</v>
      </c>
      <c r="B2988" t="s">
        <v>7</v>
      </c>
      <c r="C2988" t="s">
        <v>12</v>
      </c>
      <c r="D2988">
        <v>322.47000000000003</v>
      </c>
      <c r="E2988">
        <v>213.83</v>
      </c>
      <c r="F2988">
        <v>49352</v>
      </c>
      <c r="H2988">
        <f>_xlfn.LET(_xlpm.v, IFERROR(VLOOKUP($A2988, manifest!$A:$E, 3, FALSE), ""), IF(OR(_xlpm.v=0, _xlpm.v=""), "", _xlpm.v))</f>
        <v>50</v>
      </c>
      <c r="I2988" t="str">
        <f>_xlfn.LET(_xlpm.v, IFERROR(VLOOKUP($A2988, manifest!$A:$E, 5, FALSE), ""), IF(OR(_xlpm.v=0, _xlpm.v=""), "", _xlpm.v))</f>
        <v>female</v>
      </c>
    </row>
    <row r="2989" spans="1:9" x14ac:dyDescent="0.6">
      <c r="A2989">
        <v>616</v>
      </c>
      <c r="B2989" t="s">
        <v>7</v>
      </c>
      <c r="C2989" t="s">
        <v>13</v>
      </c>
      <c r="D2989">
        <v>290.17</v>
      </c>
      <c r="E2989">
        <v>173.65</v>
      </c>
      <c r="F2989">
        <v>62854</v>
      </c>
      <c r="H2989">
        <f>_xlfn.LET(_xlpm.v, IFERROR(VLOOKUP($A2989, manifest!$A:$E, 3, FALSE), ""), IF(OR(_xlpm.v=0, _xlpm.v=""), "", _xlpm.v))</f>
        <v>50</v>
      </c>
      <c r="I2989" t="str">
        <f>_xlfn.LET(_xlpm.v, IFERROR(VLOOKUP($A2989, manifest!$A:$E, 5, FALSE), ""), IF(OR(_xlpm.v=0, _xlpm.v=""), "", _xlpm.v))</f>
        <v>female</v>
      </c>
    </row>
    <row r="2990" spans="1:9" x14ac:dyDescent="0.6">
      <c r="A2990">
        <v>645</v>
      </c>
      <c r="B2990" t="s">
        <v>14</v>
      </c>
      <c r="C2990" t="s">
        <v>8</v>
      </c>
      <c r="D2990">
        <v>221.96</v>
      </c>
      <c r="E2990">
        <v>155.11000000000001</v>
      </c>
      <c r="F2990">
        <v>20834</v>
      </c>
      <c r="G2990" t="s">
        <v>9</v>
      </c>
      <c r="H2990">
        <f>_xlfn.LET(_xlpm.v, IFERROR(VLOOKUP($A2990, manifest!$A:$E, 3, FALSE), ""), IF(OR(_xlpm.v=0, _xlpm.v=""), "", _xlpm.v))</f>
        <v>60</v>
      </c>
      <c r="I2990" t="str">
        <f>_xlfn.LET(_xlpm.v, IFERROR(VLOOKUP($A2990, manifest!$A:$E, 5, FALSE), ""), IF(OR(_xlpm.v=0, _xlpm.v=""), "", _xlpm.v))</f>
        <v>female</v>
      </c>
    </row>
    <row r="2991" spans="1:9" x14ac:dyDescent="0.6">
      <c r="A2991">
        <v>645</v>
      </c>
      <c r="B2991" t="s">
        <v>14</v>
      </c>
      <c r="C2991" t="s">
        <v>10</v>
      </c>
      <c r="D2991">
        <v>230.85</v>
      </c>
      <c r="E2991">
        <v>170.75</v>
      </c>
      <c r="F2991">
        <v>24175</v>
      </c>
      <c r="H2991">
        <f>_xlfn.LET(_xlpm.v, IFERROR(VLOOKUP($A2991, manifest!$A:$E, 3, FALSE), ""), IF(OR(_xlpm.v=0, _xlpm.v=""), "", _xlpm.v))</f>
        <v>60</v>
      </c>
      <c r="I2991" t="str">
        <f>_xlfn.LET(_xlpm.v, IFERROR(VLOOKUP($A2991, manifest!$A:$E, 5, FALSE), ""), IF(OR(_xlpm.v=0, _xlpm.v=""), "", _xlpm.v))</f>
        <v>female</v>
      </c>
    </row>
    <row r="2992" spans="1:9" x14ac:dyDescent="0.6">
      <c r="A2992">
        <v>645</v>
      </c>
      <c r="B2992" t="s">
        <v>14</v>
      </c>
      <c r="C2992" t="s">
        <v>11</v>
      </c>
      <c r="D2992">
        <v>211.85</v>
      </c>
      <c r="E2992">
        <v>146.68</v>
      </c>
      <c r="F2992">
        <v>28532</v>
      </c>
      <c r="H2992">
        <f>_xlfn.LET(_xlpm.v, IFERROR(VLOOKUP($A2992, manifest!$A:$E, 3, FALSE), ""), IF(OR(_xlpm.v=0, _xlpm.v=""), "", _xlpm.v))</f>
        <v>60</v>
      </c>
      <c r="I2992" t="str">
        <f>_xlfn.LET(_xlpm.v, IFERROR(VLOOKUP($A2992, manifest!$A:$E, 5, FALSE), ""), IF(OR(_xlpm.v=0, _xlpm.v=""), "", _xlpm.v))</f>
        <v>female</v>
      </c>
    </row>
    <row r="2993" spans="1:9" x14ac:dyDescent="0.6">
      <c r="A2993">
        <v>645</v>
      </c>
      <c r="B2993" t="s">
        <v>14</v>
      </c>
      <c r="C2993" t="s">
        <v>12</v>
      </c>
      <c r="D2993">
        <v>213.04</v>
      </c>
      <c r="E2993">
        <v>168.32</v>
      </c>
      <c r="F2993">
        <v>35340</v>
      </c>
      <c r="H2993">
        <f>_xlfn.LET(_xlpm.v, IFERROR(VLOOKUP($A2993, manifest!$A:$E, 3, FALSE), ""), IF(OR(_xlpm.v=0, _xlpm.v=""), "", _xlpm.v))</f>
        <v>60</v>
      </c>
      <c r="I2993" t="str">
        <f>_xlfn.LET(_xlpm.v, IFERROR(VLOOKUP($A2993, manifest!$A:$E, 5, FALSE), ""), IF(OR(_xlpm.v=0, _xlpm.v=""), "", _xlpm.v))</f>
        <v>female</v>
      </c>
    </row>
    <row r="2994" spans="1:9" x14ac:dyDescent="0.6">
      <c r="A2994">
        <v>645</v>
      </c>
      <c r="B2994" t="s">
        <v>14</v>
      </c>
      <c r="C2994" t="s">
        <v>13</v>
      </c>
      <c r="D2994">
        <v>219.61</v>
      </c>
      <c r="E2994">
        <v>184.46</v>
      </c>
      <c r="F2994">
        <v>39762</v>
      </c>
      <c r="H2994">
        <f>_xlfn.LET(_xlpm.v, IFERROR(VLOOKUP($A2994, manifest!$A:$E, 3, FALSE), ""), IF(OR(_xlpm.v=0, _xlpm.v=""), "", _xlpm.v))</f>
        <v>60</v>
      </c>
      <c r="I2994" t="str">
        <f>_xlfn.LET(_xlpm.v, IFERROR(VLOOKUP($A2994, manifest!$A:$E, 5, FALSE), ""), IF(OR(_xlpm.v=0, _xlpm.v=""), "", _xlpm.v))</f>
        <v>female</v>
      </c>
    </row>
    <row r="2995" spans="1:9" x14ac:dyDescent="0.6">
      <c r="A2995">
        <v>637</v>
      </c>
      <c r="B2995" t="s">
        <v>14</v>
      </c>
      <c r="C2995" t="s">
        <v>8</v>
      </c>
      <c r="D2995">
        <v>165.01</v>
      </c>
      <c r="E2995">
        <v>137.41</v>
      </c>
      <c r="F2995">
        <v>31669</v>
      </c>
      <c r="G2995" t="s">
        <v>9</v>
      </c>
      <c r="H2995">
        <f>_xlfn.LET(_xlpm.v, IFERROR(VLOOKUP($A2995, manifest!$A:$E, 3, FALSE), ""), IF(OR(_xlpm.v=0, _xlpm.v=""), "", _xlpm.v))</f>
        <v>60</v>
      </c>
      <c r="I2995" t="str">
        <f>_xlfn.LET(_xlpm.v, IFERROR(VLOOKUP($A2995, manifest!$A:$E, 5, FALSE), ""), IF(OR(_xlpm.v=0, _xlpm.v=""), "", _xlpm.v))</f>
        <v>female</v>
      </c>
    </row>
    <row r="2996" spans="1:9" x14ac:dyDescent="0.6">
      <c r="A2996">
        <v>637</v>
      </c>
      <c r="B2996" t="s">
        <v>14</v>
      </c>
      <c r="C2996" t="s">
        <v>10</v>
      </c>
      <c r="D2996">
        <v>234.99</v>
      </c>
      <c r="E2996">
        <v>208.24</v>
      </c>
      <c r="F2996">
        <v>33243</v>
      </c>
      <c r="H2996">
        <f>_xlfn.LET(_xlpm.v, IFERROR(VLOOKUP($A2996, manifest!$A:$E, 3, FALSE), ""), IF(OR(_xlpm.v=0, _xlpm.v=""), "", _xlpm.v))</f>
        <v>60</v>
      </c>
      <c r="I2996" t="str">
        <f>_xlfn.LET(_xlpm.v, IFERROR(VLOOKUP($A2996, manifest!$A:$E, 5, FALSE), ""), IF(OR(_xlpm.v=0, _xlpm.v=""), "", _xlpm.v))</f>
        <v>female</v>
      </c>
    </row>
    <row r="2997" spans="1:9" x14ac:dyDescent="0.6">
      <c r="A2997">
        <v>637</v>
      </c>
      <c r="B2997" t="s">
        <v>14</v>
      </c>
      <c r="C2997" t="s">
        <v>11</v>
      </c>
      <c r="D2997">
        <v>197.27</v>
      </c>
      <c r="E2997">
        <v>223.88</v>
      </c>
      <c r="F2997">
        <v>39344</v>
      </c>
      <c r="H2997">
        <f>_xlfn.LET(_xlpm.v, IFERROR(VLOOKUP($A2997, manifest!$A:$E, 3, FALSE), ""), IF(OR(_xlpm.v=0, _xlpm.v=""), "", _xlpm.v))</f>
        <v>60</v>
      </c>
      <c r="I2997" t="str">
        <f>_xlfn.LET(_xlpm.v, IFERROR(VLOOKUP($A2997, manifest!$A:$E, 5, FALSE), ""), IF(OR(_xlpm.v=0, _xlpm.v=""), "", _xlpm.v))</f>
        <v>female</v>
      </c>
    </row>
    <row r="2998" spans="1:9" x14ac:dyDescent="0.6">
      <c r="A2998">
        <v>637</v>
      </c>
      <c r="B2998" t="s">
        <v>14</v>
      </c>
      <c r="C2998" t="s">
        <v>12</v>
      </c>
      <c r="D2998">
        <v>180.61</v>
      </c>
      <c r="E2998">
        <v>217.27</v>
      </c>
      <c r="F2998">
        <v>51815</v>
      </c>
      <c r="H2998">
        <f>_xlfn.LET(_xlpm.v, IFERROR(VLOOKUP($A2998, manifest!$A:$E, 3, FALSE), ""), IF(OR(_xlpm.v=0, _xlpm.v=""), "", _xlpm.v))</f>
        <v>60</v>
      </c>
      <c r="I2998" t="str">
        <f>_xlfn.LET(_xlpm.v, IFERROR(VLOOKUP($A2998, manifest!$A:$E, 5, FALSE), ""), IF(OR(_xlpm.v=0, _xlpm.v=""), "", _xlpm.v))</f>
        <v>female</v>
      </c>
    </row>
    <row r="2999" spans="1:9" x14ac:dyDescent="0.6">
      <c r="A2999">
        <v>637</v>
      </c>
      <c r="B2999" t="s">
        <v>14</v>
      </c>
      <c r="C2999" t="s">
        <v>13</v>
      </c>
      <c r="D2999">
        <v>200.4</v>
      </c>
      <c r="E2999">
        <v>176.97</v>
      </c>
      <c r="F2999">
        <v>44594</v>
      </c>
      <c r="H2999">
        <f>_xlfn.LET(_xlpm.v, IFERROR(VLOOKUP($A2999, manifest!$A:$E, 3, FALSE), ""), IF(OR(_xlpm.v=0, _xlpm.v=""), "", _xlpm.v))</f>
        <v>60</v>
      </c>
      <c r="I2999" t="str">
        <f>_xlfn.LET(_xlpm.v, IFERROR(VLOOKUP($A2999, manifest!$A:$E, 5, FALSE), ""), IF(OR(_xlpm.v=0, _xlpm.v=""), "", _xlpm.v))</f>
        <v>female</v>
      </c>
    </row>
    <row r="3000" spans="1:9" x14ac:dyDescent="0.6">
      <c r="A3000">
        <v>624</v>
      </c>
      <c r="B3000" t="s">
        <v>14</v>
      </c>
      <c r="C3000" t="s">
        <v>8</v>
      </c>
      <c r="D3000">
        <v>255.01</v>
      </c>
      <c r="E3000">
        <v>205.64</v>
      </c>
      <c r="F3000">
        <v>22576</v>
      </c>
      <c r="G3000" t="s">
        <v>9</v>
      </c>
      <c r="H3000">
        <f>_xlfn.LET(_xlpm.v, IFERROR(VLOOKUP($A3000, manifest!$A:$E, 3, FALSE), ""), IF(OR(_xlpm.v=0, _xlpm.v=""), "", _xlpm.v))</f>
        <v>50</v>
      </c>
      <c r="I3000" t="str">
        <f>_xlfn.LET(_xlpm.v, IFERROR(VLOOKUP($A3000, manifest!$A:$E, 5, FALSE), ""), IF(OR(_xlpm.v=0, _xlpm.v=""), "", _xlpm.v))</f>
        <v>female</v>
      </c>
    </row>
    <row r="3001" spans="1:9" x14ac:dyDescent="0.6">
      <c r="A3001">
        <v>624</v>
      </c>
      <c r="B3001" t="s">
        <v>14</v>
      </c>
      <c r="C3001" t="s">
        <v>10</v>
      </c>
      <c r="D3001">
        <v>286.54000000000002</v>
      </c>
      <c r="E3001">
        <v>249.84</v>
      </c>
      <c r="F3001">
        <v>29369</v>
      </c>
      <c r="H3001">
        <f>_xlfn.LET(_xlpm.v, IFERROR(VLOOKUP($A3001, manifest!$A:$E, 3, FALSE), ""), IF(OR(_xlpm.v=0, _xlpm.v=""), "", _xlpm.v))</f>
        <v>50</v>
      </c>
      <c r="I3001" t="str">
        <f>_xlfn.LET(_xlpm.v, IFERROR(VLOOKUP($A3001, manifest!$A:$E, 5, FALSE), ""), IF(OR(_xlpm.v=0, _xlpm.v=""), "", _xlpm.v))</f>
        <v>female</v>
      </c>
    </row>
    <row r="3002" spans="1:9" x14ac:dyDescent="0.6">
      <c r="A3002">
        <v>624</v>
      </c>
      <c r="B3002" t="s">
        <v>14</v>
      </c>
      <c r="C3002" t="s">
        <v>11</v>
      </c>
      <c r="D3002">
        <v>271.06</v>
      </c>
      <c r="E3002">
        <v>238.34</v>
      </c>
      <c r="F3002">
        <v>37016</v>
      </c>
      <c r="H3002">
        <f>_xlfn.LET(_xlpm.v, IFERROR(VLOOKUP($A3002, manifest!$A:$E, 3, FALSE), ""), IF(OR(_xlpm.v=0, _xlpm.v=""), "", _xlpm.v))</f>
        <v>50</v>
      </c>
      <c r="I3002" t="str">
        <f>_xlfn.LET(_xlpm.v, IFERROR(VLOOKUP($A3002, manifest!$A:$E, 5, FALSE), ""), IF(OR(_xlpm.v=0, _xlpm.v=""), "", _xlpm.v))</f>
        <v>female</v>
      </c>
    </row>
    <row r="3003" spans="1:9" x14ac:dyDescent="0.6">
      <c r="A3003">
        <v>624</v>
      </c>
      <c r="B3003" t="s">
        <v>14</v>
      </c>
      <c r="C3003" t="s">
        <v>12</v>
      </c>
      <c r="D3003">
        <v>257.68</v>
      </c>
      <c r="E3003">
        <v>227.12</v>
      </c>
      <c r="F3003">
        <v>40910</v>
      </c>
      <c r="H3003">
        <f>_xlfn.LET(_xlpm.v, IFERROR(VLOOKUP($A3003, manifest!$A:$E, 3, FALSE), ""), IF(OR(_xlpm.v=0, _xlpm.v=""), "", _xlpm.v))</f>
        <v>50</v>
      </c>
      <c r="I3003" t="str">
        <f>_xlfn.LET(_xlpm.v, IFERROR(VLOOKUP($A3003, manifest!$A:$E, 5, FALSE), ""), IF(OR(_xlpm.v=0, _xlpm.v=""), "", _xlpm.v))</f>
        <v>female</v>
      </c>
    </row>
    <row r="3004" spans="1:9" x14ac:dyDescent="0.6">
      <c r="A3004">
        <v>624</v>
      </c>
      <c r="B3004" t="s">
        <v>14</v>
      </c>
      <c r="C3004" t="s">
        <v>13</v>
      </c>
      <c r="D3004">
        <v>255.93</v>
      </c>
      <c r="E3004">
        <v>219.45</v>
      </c>
      <c r="F3004">
        <v>42863</v>
      </c>
      <c r="H3004">
        <f>_xlfn.LET(_xlpm.v, IFERROR(VLOOKUP($A3004, manifest!$A:$E, 3, FALSE), ""), IF(OR(_xlpm.v=0, _xlpm.v=""), "", _xlpm.v))</f>
        <v>50</v>
      </c>
      <c r="I3004" t="str">
        <f>_xlfn.LET(_xlpm.v, IFERROR(VLOOKUP($A3004, manifest!$A:$E, 5, FALSE), ""), IF(OR(_xlpm.v=0, _xlpm.v=""), "", _xlpm.v))</f>
        <v>female</v>
      </c>
    </row>
    <row r="3005" spans="1:9" x14ac:dyDescent="0.6">
      <c r="A3005">
        <v>626</v>
      </c>
      <c r="B3005" t="s">
        <v>7</v>
      </c>
      <c r="C3005" t="s">
        <v>8</v>
      </c>
      <c r="D3005">
        <v>273.3</v>
      </c>
      <c r="E3005">
        <v>193.76</v>
      </c>
      <c r="F3005">
        <v>39929</v>
      </c>
      <c r="G3005" t="s">
        <v>9</v>
      </c>
      <c r="H3005">
        <f>_xlfn.LET(_xlpm.v, IFERROR(VLOOKUP($A3005, manifest!$A:$E, 3, FALSE), ""), IF(OR(_xlpm.v=0, _xlpm.v=""), "", _xlpm.v))</f>
        <v>60</v>
      </c>
      <c r="I3005" t="str">
        <f>_xlfn.LET(_xlpm.v, IFERROR(VLOOKUP($A3005, manifest!$A:$E, 5, FALSE), ""), IF(OR(_xlpm.v=0, _xlpm.v=""), "", _xlpm.v))</f>
        <v>male</v>
      </c>
    </row>
    <row r="3006" spans="1:9" x14ac:dyDescent="0.6">
      <c r="A3006">
        <v>626</v>
      </c>
      <c r="B3006" t="s">
        <v>7</v>
      </c>
      <c r="C3006" t="s">
        <v>10</v>
      </c>
      <c r="D3006">
        <v>282.36</v>
      </c>
      <c r="E3006">
        <v>197.65</v>
      </c>
      <c r="F3006">
        <v>44995</v>
      </c>
      <c r="H3006">
        <f>_xlfn.LET(_xlpm.v, IFERROR(VLOOKUP($A3006, manifest!$A:$E, 3, FALSE), ""), IF(OR(_xlpm.v=0, _xlpm.v=""), "", _xlpm.v))</f>
        <v>60</v>
      </c>
      <c r="I3006" t="str">
        <f>_xlfn.LET(_xlpm.v, IFERROR(VLOOKUP($A3006, manifest!$A:$E, 5, FALSE), ""), IF(OR(_xlpm.v=0, _xlpm.v=""), "", _xlpm.v))</f>
        <v>male</v>
      </c>
    </row>
    <row r="3007" spans="1:9" x14ac:dyDescent="0.6">
      <c r="A3007">
        <v>626</v>
      </c>
      <c r="B3007" t="s">
        <v>7</v>
      </c>
      <c r="C3007" t="s">
        <v>11</v>
      </c>
      <c r="D3007">
        <v>268.68</v>
      </c>
      <c r="E3007">
        <v>181.52</v>
      </c>
      <c r="F3007">
        <v>53789</v>
      </c>
      <c r="H3007">
        <f>_xlfn.LET(_xlpm.v, IFERROR(VLOOKUP($A3007, manifest!$A:$E, 3, FALSE), ""), IF(OR(_xlpm.v=0, _xlpm.v=""), "", _xlpm.v))</f>
        <v>60</v>
      </c>
      <c r="I3007" t="str">
        <f>_xlfn.LET(_xlpm.v, IFERROR(VLOOKUP($A3007, manifest!$A:$E, 5, FALSE), ""), IF(OR(_xlpm.v=0, _xlpm.v=""), "", _xlpm.v))</f>
        <v>male</v>
      </c>
    </row>
    <row r="3008" spans="1:9" x14ac:dyDescent="0.6">
      <c r="A3008">
        <v>626</v>
      </c>
      <c r="B3008" t="s">
        <v>7</v>
      </c>
      <c r="C3008" t="s">
        <v>12</v>
      </c>
      <c r="D3008">
        <v>277.33999999999997</v>
      </c>
      <c r="E3008">
        <v>205.22</v>
      </c>
      <c r="F3008">
        <v>50238</v>
      </c>
      <c r="H3008">
        <f>_xlfn.LET(_xlpm.v, IFERROR(VLOOKUP($A3008, manifest!$A:$E, 3, FALSE), ""), IF(OR(_xlpm.v=0, _xlpm.v=""), "", _xlpm.v))</f>
        <v>60</v>
      </c>
      <c r="I3008" t="str">
        <f>_xlfn.LET(_xlpm.v, IFERROR(VLOOKUP($A3008, manifest!$A:$E, 5, FALSE), ""), IF(OR(_xlpm.v=0, _xlpm.v=""), "", _xlpm.v))</f>
        <v>male</v>
      </c>
    </row>
    <row r="3009" spans="1:9" x14ac:dyDescent="0.6">
      <c r="A3009">
        <v>626</v>
      </c>
      <c r="B3009" t="s">
        <v>7</v>
      </c>
      <c r="C3009" t="s">
        <v>13</v>
      </c>
      <c r="D3009">
        <v>285.89</v>
      </c>
      <c r="E3009">
        <v>196.43</v>
      </c>
      <c r="F3009">
        <v>57637</v>
      </c>
      <c r="H3009">
        <f>_xlfn.LET(_xlpm.v, IFERROR(VLOOKUP($A3009, manifest!$A:$E, 3, FALSE), ""), IF(OR(_xlpm.v=0, _xlpm.v=""), "", _xlpm.v))</f>
        <v>60</v>
      </c>
      <c r="I3009" t="str">
        <f>_xlfn.LET(_xlpm.v, IFERROR(VLOOKUP($A3009, manifest!$A:$E, 5, FALSE), ""), IF(OR(_xlpm.v=0, _xlpm.v=""), "", _xlpm.v))</f>
        <v>male</v>
      </c>
    </row>
    <row r="3010" spans="1:9" x14ac:dyDescent="0.6">
      <c r="A3010">
        <v>648</v>
      </c>
      <c r="B3010" t="s">
        <v>14</v>
      </c>
      <c r="C3010" t="s">
        <v>8</v>
      </c>
      <c r="D3010">
        <v>145.66999999999999</v>
      </c>
      <c r="E3010">
        <v>127.01</v>
      </c>
      <c r="F3010">
        <v>24154</v>
      </c>
      <c r="G3010" t="s">
        <v>15</v>
      </c>
      <c r="H3010">
        <f>_xlfn.LET(_xlpm.v, IFERROR(VLOOKUP($A3010, manifest!$A:$E, 3, FALSE), ""), IF(OR(_xlpm.v=0, _xlpm.v=""), "", _xlpm.v))</f>
        <v>70</v>
      </c>
      <c r="I3010" t="str">
        <f>_xlfn.LET(_xlpm.v, IFERROR(VLOOKUP($A3010, manifest!$A:$E, 5, FALSE), ""), IF(OR(_xlpm.v=0, _xlpm.v=""), "", _xlpm.v))</f>
        <v>female</v>
      </c>
    </row>
    <row r="3011" spans="1:9" x14ac:dyDescent="0.6">
      <c r="A3011">
        <v>648</v>
      </c>
      <c r="B3011" t="s">
        <v>14</v>
      </c>
      <c r="C3011" t="s">
        <v>10</v>
      </c>
      <c r="D3011">
        <v>164.85</v>
      </c>
      <c r="E3011">
        <v>124.31</v>
      </c>
      <c r="F3011">
        <v>23482</v>
      </c>
      <c r="H3011">
        <f>_xlfn.LET(_xlpm.v, IFERROR(VLOOKUP($A3011, manifest!$A:$E, 3, FALSE), ""), IF(OR(_xlpm.v=0, _xlpm.v=""), "", _xlpm.v))</f>
        <v>70</v>
      </c>
      <c r="I3011" t="str">
        <f>_xlfn.LET(_xlpm.v, IFERROR(VLOOKUP($A3011, manifest!$A:$E, 5, FALSE), ""), IF(OR(_xlpm.v=0, _xlpm.v=""), "", _xlpm.v))</f>
        <v>female</v>
      </c>
    </row>
    <row r="3012" spans="1:9" x14ac:dyDescent="0.6">
      <c r="A3012">
        <v>648</v>
      </c>
      <c r="B3012" t="s">
        <v>14</v>
      </c>
      <c r="C3012" t="s">
        <v>11</v>
      </c>
      <c r="D3012">
        <v>159.86000000000001</v>
      </c>
      <c r="E3012">
        <v>161.36000000000001</v>
      </c>
      <c r="F3012">
        <v>32391</v>
      </c>
      <c r="H3012">
        <f>_xlfn.LET(_xlpm.v, IFERROR(VLOOKUP($A3012, manifest!$A:$E, 3, FALSE), ""), IF(OR(_xlpm.v=0, _xlpm.v=""), "", _xlpm.v))</f>
        <v>70</v>
      </c>
      <c r="I3012" t="str">
        <f>_xlfn.LET(_xlpm.v, IFERROR(VLOOKUP($A3012, manifest!$A:$E, 5, FALSE), ""), IF(OR(_xlpm.v=0, _xlpm.v=""), "", _xlpm.v))</f>
        <v>female</v>
      </c>
    </row>
    <row r="3013" spans="1:9" x14ac:dyDescent="0.6">
      <c r="A3013">
        <v>648</v>
      </c>
      <c r="B3013" t="s">
        <v>14</v>
      </c>
      <c r="C3013" t="s">
        <v>12</v>
      </c>
      <c r="D3013">
        <v>156.82</v>
      </c>
      <c r="E3013">
        <v>173.28</v>
      </c>
      <c r="F3013">
        <v>38556</v>
      </c>
      <c r="H3013">
        <f>_xlfn.LET(_xlpm.v, IFERROR(VLOOKUP($A3013, manifest!$A:$E, 3, FALSE), ""), IF(OR(_xlpm.v=0, _xlpm.v=""), "", _xlpm.v))</f>
        <v>70</v>
      </c>
      <c r="I3013" t="str">
        <f>_xlfn.LET(_xlpm.v, IFERROR(VLOOKUP($A3013, manifest!$A:$E, 5, FALSE), ""), IF(OR(_xlpm.v=0, _xlpm.v=""), "", _xlpm.v))</f>
        <v>female</v>
      </c>
    </row>
    <row r="3014" spans="1:9" x14ac:dyDescent="0.6">
      <c r="A3014">
        <v>648</v>
      </c>
      <c r="B3014" t="s">
        <v>14</v>
      </c>
      <c r="C3014" t="s">
        <v>13</v>
      </c>
      <c r="D3014">
        <v>111.13</v>
      </c>
      <c r="E3014">
        <v>132.15</v>
      </c>
      <c r="F3014">
        <v>38911</v>
      </c>
      <c r="H3014">
        <f>_xlfn.LET(_xlpm.v, IFERROR(VLOOKUP($A3014, manifest!$A:$E, 3, FALSE), ""), IF(OR(_xlpm.v=0, _xlpm.v=""), "", _xlpm.v))</f>
        <v>70</v>
      </c>
      <c r="I3014" t="str">
        <f>_xlfn.LET(_xlpm.v, IFERROR(VLOOKUP($A3014, manifest!$A:$E, 5, FALSE), ""), IF(OR(_xlpm.v=0, _xlpm.v=""), "", _xlpm.v))</f>
        <v>female</v>
      </c>
    </row>
    <row r="3015" spans="1:9" x14ac:dyDescent="0.6">
      <c r="A3015">
        <v>641</v>
      </c>
      <c r="B3015" t="s">
        <v>14</v>
      </c>
      <c r="C3015" t="s">
        <v>8</v>
      </c>
      <c r="D3015">
        <v>263.42</v>
      </c>
      <c r="E3015">
        <v>136.75</v>
      </c>
      <c r="F3015">
        <v>23927</v>
      </c>
      <c r="G3015" t="s">
        <v>9</v>
      </c>
      <c r="H3015">
        <f>_xlfn.LET(_xlpm.v, IFERROR(VLOOKUP($A3015, manifest!$A:$E, 3, FALSE), ""), IF(OR(_xlpm.v=0, _xlpm.v=""), "", _xlpm.v))</f>
        <v>70</v>
      </c>
      <c r="I3015" t="str">
        <f>_xlfn.LET(_xlpm.v, IFERROR(VLOOKUP($A3015, manifest!$A:$E, 5, FALSE), ""), IF(OR(_xlpm.v=0, _xlpm.v=""), "", _xlpm.v))</f>
        <v>female</v>
      </c>
    </row>
    <row r="3016" spans="1:9" x14ac:dyDescent="0.6">
      <c r="A3016">
        <v>641</v>
      </c>
      <c r="B3016" t="s">
        <v>14</v>
      </c>
      <c r="C3016" t="s">
        <v>10</v>
      </c>
      <c r="D3016">
        <v>367.84</v>
      </c>
      <c r="E3016">
        <v>203.81</v>
      </c>
      <c r="F3016">
        <v>23936</v>
      </c>
      <c r="H3016">
        <f>_xlfn.LET(_xlpm.v, IFERROR(VLOOKUP($A3016, manifest!$A:$E, 3, FALSE), ""), IF(OR(_xlpm.v=0, _xlpm.v=""), "", _xlpm.v))</f>
        <v>70</v>
      </c>
      <c r="I3016" t="str">
        <f>_xlfn.LET(_xlpm.v, IFERROR(VLOOKUP($A3016, manifest!$A:$E, 5, FALSE), ""), IF(OR(_xlpm.v=0, _xlpm.v=""), "", _xlpm.v))</f>
        <v>female</v>
      </c>
    </row>
    <row r="3017" spans="1:9" x14ac:dyDescent="0.6">
      <c r="A3017">
        <v>641</v>
      </c>
      <c r="B3017" t="s">
        <v>14</v>
      </c>
      <c r="C3017" t="s">
        <v>11</v>
      </c>
      <c r="D3017">
        <v>291.83999999999997</v>
      </c>
      <c r="E3017">
        <v>170.34</v>
      </c>
      <c r="F3017">
        <v>33140</v>
      </c>
      <c r="H3017">
        <f>_xlfn.LET(_xlpm.v, IFERROR(VLOOKUP($A3017, manifest!$A:$E, 3, FALSE), ""), IF(OR(_xlpm.v=0, _xlpm.v=""), "", _xlpm.v))</f>
        <v>70</v>
      </c>
      <c r="I3017" t="str">
        <f>_xlfn.LET(_xlpm.v, IFERROR(VLOOKUP($A3017, manifest!$A:$E, 5, FALSE), ""), IF(OR(_xlpm.v=0, _xlpm.v=""), "", _xlpm.v))</f>
        <v>female</v>
      </c>
    </row>
    <row r="3018" spans="1:9" x14ac:dyDescent="0.6">
      <c r="A3018">
        <v>641</v>
      </c>
      <c r="B3018" t="s">
        <v>14</v>
      </c>
      <c r="C3018" t="s">
        <v>12</v>
      </c>
      <c r="D3018">
        <v>433.98</v>
      </c>
      <c r="E3018">
        <v>211.96</v>
      </c>
      <c r="F3018">
        <v>29796</v>
      </c>
      <c r="H3018">
        <f>_xlfn.LET(_xlpm.v, IFERROR(VLOOKUP($A3018, manifest!$A:$E, 3, FALSE), ""), IF(OR(_xlpm.v=0, _xlpm.v=""), "", _xlpm.v))</f>
        <v>70</v>
      </c>
      <c r="I3018" t="str">
        <f>_xlfn.LET(_xlpm.v, IFERROR(VLOOKUP($A3018, manifest!$A:$E, 5, FALSE), ""), IF(OR(_xlpm.v=0, _xlpm.v=""), "", _xlpm.v))</f>
        <v>female</v>
      </c>
    </row>
    <row r="3019" spans="1:9" x14ac:dyDescent="0.6">
      <c r="A3019">
        <v>641</v>
      </c>
      <c r="B3019" t="s">
        <v>14</v>
      </c>
      <c r="C3019" t="s">
        <v>13</v>
      </c>
      <c r="D3019">
        <v>349.93</v>
      </c>
      <c r="E3019">
        <v>200.84</v>
      </c>
      <c r="F3019">
        <v>30047</v>
      </c>
      <c r="H3019">
        <f>_xlfn.LET(_xlpm.v, IFERROR(VLOOKUP($A3019, manifest!$A:$E, 3, FALSE), ""), IF(OR(_xlpm.v=0, _xlpm.v=""), "", _xlpm.v))</f>
        <v>70</v>
      </c>
      <c r="I3019" t="str">
        <f>_xlfn.LET(_xlpm.v, IFERROR(VLOOKUP($A3019, manifest!$A:$E, 5, FALSE), ""), IF(OR(_xlpm.v=0, _xlpm.v=""), "", _xlpm.v))</f>
        <v>female</v>
      </c>
    </row>
    <row r="3020" spans="1:9" x14ac:dyDescent="0.6">
      <c r="A3020">
        <v>635</v>
      </c>
      <c r="B3020" t="s">
        <v>14</v>
      </c>
      <c r="C3020" t="s">
        <v>8</v>
      </c>
      <c r="D3020">
        <v>224.79</v>
      </c>
      <c r="E3020">
        <v>117.26</v>
      </c>
      <c r="F3020">
        <v>52397</v>
      </c>
      <c r="G3020" t="s">
        <v>9</v>
      </c>
      <c r="H3020">
        <f>_xlfn.LET(_xlpm.v, IFERROR(VLOOKUP($A3020, manifest!$A:$E, 3, FALSE), ""), IF(OR(_xlpm.v=0, _xlpm.v=""), "", _xlpm.v))</f>
        <v>50</v>
      </c>
      <c r="I3020" t="str">
        <f>_xlfn.LET(_xlpm.v, IFERROR(VLOOKUP($A3020, manifest!$A:$E, 5, FALSE), ""), IF(OR(_xlpm.v=0, _xlpm.v=""), "", _xlpm.v))</f>
        <v>male</v>
      </c>
    </row>
    <row r="3021" spans="1:9" x14ac:dyDescent="0.6">
      <c r="A3021">
        <v>635</v>
      </c>
      <c r="B3021" t="s">
        <v>14</v>
      </c>
      <c r="C3021" t="s">
        <v>10</v>
      </c>
      <c r="D3021">
        <v>230.8</v>
      </c>
      <c r="E3021">
        <v>142.97999999999999</v>
      </c>
      <c r="F3021">
        <v>53056</v>
      </c>
      <c r="H3021">
        <f>_xlfn.LET(_xlpm.v, IFERROR(VLOOKUP($A3021, manifest!$A:$E, 3, FALSE), ""), IF(OR(_xlpm.v=0, _xlpm.v=""), "", _xlpm.v))</f>
        <v>50</v>
      </c>
      <c r="I3021" t="str">
        <f>_xlfn.LET(_xlpm.v, IFERROR(VLOOKUP($A3021, manifest!$A:$E, 5, FALSE), ""), IF(OR(_xlpm.v=0, _xlpm.v=""), "", _xlpm.v))</f>
        <v>male</v>
      </c>
    </row>
    <row r="3022" spans="1:9" x14ac:dyDescent="0.6">
      <c r="A3022">
        <v>635</v>
      </c>
      <c r="B3022" t="s">
        <v>14</v>
      </c>
      <c r="C3022" t="s">
        <v>11</v>
      </c>
      <c r="D3022">
        <v>240.02</v>
      </c>
      <c r="E3022">
        <v>162.72</v>
      </c>
      <c r="F3022">
        <v>59030</v>
      </c>
      <c r="H3022">
        <f>_xlfn.LET(_xlpm.v, IFERROR(VLOOKUP($A3022, manifest!$A:$E, 3, FALSE), ""), IF(OR(_xlpm.v=0, _xlpm.v=""), "", _xlpm.v))</f>
        <v>50</v>
      </c>
      <c r="I3022" t="str">
        <f>_xlfn.LET(_xlpm.v, IFERROR(VLOOKUP($A3022, manifest!$A:$E, 5, FALSE), ""), IF(OR(_xlpm.v=0, _xlpm.v=""), "", _xlpm.v))</f>
        <v>male</v>
      </c>
    </row>
    <row r="3023" spans="1:9" x14ac:dyDescent="0.6">
      <c r="A3023">
        <v>635</v>
      </c>
      <c r="B3023" t="s">
        <v>14</v>
      </c>
      <c r="C3023" t="s">
        <v>12</v>
      </c>
      <c r="D3023">
        <v>255.51</v>
      </c>
      <c r="E3023">
        <v>186.77</v>
      </c>
      <c r="F3023">
        <v>57647</v>
      </c>
      <c r="H3023">
        <f>_xlfn.LET(_xlpm.v, IFERROR(VLOOKUP($A3023, manifest!$A:$E, 3, FALSE), ""), IF(OR(_xlpm.v=0, _xlpm.v=""), "", _xlpm.v))</f>
        <v>50</v>
      </c>
      <c r="I3023" t="str">
        <f>_xlfn.LET(_xlpm.v, IFERROR(VLOOKUP($A3023, manifest!$A:$E, 5, FALSE), ""), IF(OR(_xlpm.v=0, _xlpm.v=""), "", _xlpm.v))</f>
        <v>male</v>
      </c>
    </row>
    <row r="3024" spans="1:9" x14ac:dyDescent="0.6">
      <c r="A3024">
        <v>635</v>
      </c>
      <c r="B3024" t="s">
        <v>14</v>
      </c>
      <c r="C3024" t="s">
        <v>13</v>
      </c>
      <c r="D3024">
        <v>259.39999999999998</v>
      </c>
      <c r="E3024">
        <v>193.16</v>
      </c>
      <c r="F3024">
        <v>49808</v>
      </c>
      <c r="H3024">
        <f>_xlfn.LET(_xlpm.v, IFERROR(VLOOKUP($A3024, manifest!$A:$E, 3, FALSE), ""), IF(OR(_xlpm.v=0, _xlpm.v=""), "", _xlpm.v))</f>
        <v>50</v>
      </c>
      <c r="I3024" t="str">
        <f>_xlfn.LET(_xlpm.v, IFERROR(VLOOKUP($A3024, manifest!$A:$E, 5, FALSE), ""), IF(OR(_xlpm.v=0, _xlpm.v=""), "", _xlpm.v))</f>
        <v>male</v>
      </c>
    </row>
    <row r="3025" spans="1:9" x14ac:dyDescent="0.6">
      <c r="A3025">
        <v>644</v>
      </c>
      <c r="B3025" t="s">
        <v>14</v>
      </c>
      <c r="C3025" t="s">
        <v>8</v>
      </c>
      <c r="D3025">
        <v>152.62</v>
      </c>
      <c r="E3025">
        <v>108.15</v>
      </c>
      <c r="F3025">
        <v>18264</v>
      </c>
      <c r="G3025" t="s">
        <v>15</v>
      </c>
      <c r="H3025">
        <f>_xlfn.LET(_xlpm.v, IFERROR(VLOOKUP($A3025, manifest!$A:$E, 3, FALSE), ""), IF(OR(_xlpm.v=0, _xlpm.v=""), "", _xlpm.v))</f>
        <v>50</v>
      </c>
      <c r="I3025" t="str">
        <f>_xlfn.LET(_xlpm.v, IFERROR(VLOOKUP($A3025, manifest!$A:$E, 5, FALSE), ""), IF(OR(_xlpm.v=0, _xlpm.v=""), "", _xlpm.v))</f>
        <v>female</v>
      </c>
    </row>
    <row r="3026" spans="1:9" x14ac:dyDescent="0.6">
      <c r="A3026">
        <v>644</v>
      </c>
      <c r="B3026" t="s">
        <v>14</v>
      </c>
      <c r="C3026" t="s">
        <v>10</v>
      </c>
      <c r="D3026">
        <v>166.08</v>
      </c>
      <c r="E3026">
        <v>128.24</v>
      </c>
      <c r="F3026">
        <v>19580</v>
      </c>
      <c r="H3026">
        <f>_xlfn.LET(_xlpm.v, IFERROR(VLOOKUP($A3026, manifest!$A:$E, 3, FALSE), ""), IF(OR(_xlpm.v=0, _xlpm.v=""), "", _xlpm.v))</f>
        <v>50</v>
      </c>
      <c r="I3026" t="str">
        <f>_xlfn.LET(_xlpm.v, IFERROR(VLOOKUP($A3026, manifest!$A:$E, 5, FALSE), ""), IF(OR(_xlpm.v=0, _xlpm.v=""), "", _xlpm.v))</f>
        <v>female</v>
      </c>
    </row>
    <row r="3027" spans="1:9" x14ac:dyDescent="0.6">
      <c r="A3027">
        <v>644</v>
      </c>
      <c r="B3027" t="s">
        <v>14</v>
      </c>
      <c r="C3027" t="s">
        <v>11</v>
      </c>
      <c r="D3027">
        <v>153</v>
      </c>
      <c r="E3027">
        <v>132.47</v>
      </c>
      <c r="F3027">
        <v>25091</v>
      </c>
      <c r="H3027">
        <f>_xlfn.LET(_xlpm.v, IFERROR(VLOOKUP($A3027, manifest!$A:$E, 3, FALSE), ""), IF(OR(_xlpm.v=0, _xlpm.v=""), "", _xlpm.v))</f>
        <v>50</v>
      </c>
      <c r="I3027" t="str">
        <f>_xlfn.LET(_xlpm.v, IFERROR(VLOOKUP($A3027, manifest!$A:$E, 5, FALSE), ""), IF(OR(_xlpm.v=0, _xlpm.v=""), "", _xlpm.v))</f>
        <v>female</v>
      </c>
    </row>
    <row r="3028" spans="1:9" x14ac:dyDescent="0.6">
      <c r="A3028">
        <v>644</v>
      </c>
      <c r="B3028" t="s">
        <v>14</v>
      </c>
      <c r="C3028" t="s">
        <v>12</v>
      </c>
      <c r="D3028">
        <v>154.19</v>
      </c>
      <c r="E3028">
        <v>129.27000000000001</v>
      </c>
      <c r="F3028">
        <v>29918</v>
      </c>
      <c r="H3028">
        <f>_xlfn.LET(_xlpm.v, IFERROR(VLOOKUP($A3028, manifest!$A:$E, 3, FALSE), ""), IF(OR(_xlpm.v=0, _xlpm.v=""), "", _xlpm.v))</f>
        <v>50</v>
      </c>
      <c r="I3028" t="str">
        <f>_xlfn.LET(_xlpm.v, IFERROR(VLOOKUP($A3028, manifest!$A:$E, 5, FALSE), ""), IF(OR(_xlpm.v=0, _xlpm.v=""), "", _xlpm.v))</f>
        <v>female</v>
      </c>
    </row>
    <row r="3029" spans="1:9" x14ac:dyDescent="0.6">
      <c r="A3029">
        <v>644</v>
      </c>
      <c r="B3029" t="s">
        <v>14</v>
      </c>
      <c r="C3029" t="s">
        <v>13</v>
      </c>
      <c r="D3029">
        <v>163.82</v>
      </c>
      <c r="E3029">
        <v>132.82</v>
      </c>
      <c r="F3029">
        <v>30163</v>
      </c>
      <c r="H3029">
        <f>_xlfn.LET(_xlpm.v, IFERROR(VLOOKUP($A3029, manifest!$A:$E, 3, FALSE), ""), IF(OR(_xlpm.v=0, _xlpm.v=""), "", _xlpm.v))</f>
        <v>50</v>
      </c>
      <c r="I3029" t="str">
        <f>_xlfn.LET(_xlpm.v, IFERROR(VLOOKUP($A3029, manifest!$A:$E, 5, FALSE), ""), IF(OR(_xlpm.v=0, _xlpm.v=""), "", _xlpm.v))</f>
        <v>female</v>
      </c>
    </row>
    <row r="3030" spans="1:9" x14ac:dyDescent="0.6">
      <c r="A3030">
        <v>633</v>
      </c>
      <c r="B3030" t="s">
        <v>14</v>
      </c>
      <c r="C3030" t="s">
        <v>8</v>
      </c>
      <c r="D3030">
        <v>265.2</v>
      </c>
      <c r="E3030">
        <v>176.59</v>
      </c>
      <c r="F3030">
        <v>22148</v>
      </c>
      <c r="G3030" t="s">
        <v>9</v>
      </c>
      <c r="H3030">
        <f>_xlfn.LET(_xlpm.v, IFERROR(VLOOKUP($A3030, manifest!$A:$E, 3, FALSE), ""), IF(OR(_xlpm.v=0, _xlpm.v=""), "", _xlpm.v))</f>
        <v>60</v>
      </c>
      <c r="I3030" t="str">
        <f>_xlfn.LET(_xlpm.v, IFERROR(VLOOKUP($A3030, manifest!$A:$E, 5, FALSE), ""), IF(OR(_xlpm.v=0, _xlpm.v=""), "", _xlpm.v))</f>
        <v>male</v>
      </c>
    </row>
    <row r="3031" spans="1:9" x14ac:dyDescent="0.6">
      <c r="A3031">
        <v>633</v>
      </c>
      <c r="B3031" t="s">
        <v>14</v>
      </c>
      <c r="C3031" t="s">
        <v>10</v>
      </c>
      <c r="D3031">
        <v>263.45</v>
      </c>
      <c r="E3031">
        <v>179.45</v>
      </c>
      <c r="F3031">
        <v>27840</v>
      </c>
      <c r="H3031">
        <f>_xlfn.LET(_xlpm.v, IFERROR(VLOOKUP($A3031, manifest!$A:$E, 3, FALSE), ""), IF(OR(_xlpm.v=0, _xlpm.v=""), "", _xlpm.v))</f>
        <v>60</v>
      </c>
      <c r="I3031" t="str">
        <f>_xlfn.LET(_xlpm.v, IFERROR(VLOOKUP($A3031, manifest!$A:$E, 5, FALSE), ""), IF(OR(_xlpm.v=0, _xlpm.v=""), "", _xlpm.v))</f>
        <v>male</v>
      </c>
    </row>
    <row r="3032" spans="1:9" x14ac:dyDescent="0.6">
      <c r="A3032">
        <v>633</v>
      </c>
      <c r="B3032" t="s">
        <v>14</v>
      </c>
      <c r="C3032" t="s">
        <v>11</v>
      </c>
      <c r="D3032">
        <v>262.98</v>
      </c>
      <c r="E3032">
        <v>179.97</v>
      </c>
      <c r="F3032">
        <v>41471</v>
      </c>
      <c r="H3032">
        <f>_xlfn.LET(_xlpm.v, IFERROR(VLOOKUP($A3032, manifest!$A:$E, 3, FALSE), ""), IF(OR(_xlpm.v=0, _xlpm.v=""), "", _xlpm.v))</f>
        <v>60</v>
      </c>
      <c r="I3032" t="str">
        <f>_xlfn.LET(_xlpm.v, IFERROR(VLOOKUP($A3032, manifest!$A:$E, 5, FALSE), ""), IF(OR(_xlpm.v=0, _xlpm.v=""), "", _xlpm.v))</f>
        <v>male</v>
      </c>
    </row>
    <row r="3033" spans="1:9" x14ac:dyDescent="0.6">
      <c r="A3033">
        <v>633</v>
      </c>
      <c r="B3033" t="s">
        <v>14</v>
      </c>
      <c r="C3033" t="s">
        <v>12</v>
      </c>
      <c r="D3033">
        <v>306.73</v>
      </c>
      <c r="E3033">
        <v>250.28</v>
      </c>
      <c r="F3033">
        <v>49866</v>
      </c>
      <c r="H3033">
        <f>_xlfn.LET(_xlpm.v, IFERROR(VLOOKUP($A3033, manifest!$A:$E, 3, FALSE), ""), IF(OR(_xlpm.v=0, _xlpm.v=""), "", _xlpm.v))</f>
        <v>60</v>
      </c>
      <c r="I3033" t="str">
        <f>_xlfn.LET(_xlpm.v, IFERROR(VLOOKUP($A3033, manifest!$A:$E, 5, FALSE), ""), IF(OR(_xlpm.v=0, _xlpm.v=""), "", _xlpm.v))</f>
        <v>male</v>
      </c>
    </row>
    <row r="3034" spans="1:9" x14ac:dyDescent="0.6">
      <c r="A3034">
        <v>633</v>
      </c>
      <c r="B3034" t="s">
        <v>14</v>
      </c>
      <c r="C3034" t="s">
        <v>13</v>
      </c>
      <c r="D3034">
        <v>294.77</v>
      </c>
      <c r="E3034">
        <v>245.88</v>
      </c>
      <c r="F3034">
        <v>46455</v>
      </c>
      <c r="H3034">
        <f>_xlfn.LET(_xlpm.v, IFERROR(VLOOKUP($A3034, manifest!$A:$E, 3, FALSE), ""), IF(OR(_xlpm.v=0, _xlpm.v=""), "", _xlpm.v))</f>
        <v>60</v>
      </c>
      <c r="I3034" t="str">
        <f>_xlfn.LET(_xlpm.v, IFERROR(VLOOKUP($A3034, manifest!$A:$E, 5, FALSE), ""), IF(OR(_xlpm.v=0, _xlpm.v=""), "", _xlpm.v))</f>
        <v>male</v>
      </c>
    </row>
    <row r="3035" spans="1:9" x14ac:dyDescent="0.6">
      <c r="A3035">
        <v>638</v>
      </c>
      <c r="B3035" t="s">
        <v>14</v>
      </c>
      <c r="C3035" t="s">
        <v>8</v>
      </c>
      <c r="D3035">
        <v>172.83</v>
      </c>
      <c r="E3035">
        <v>161.91</v>
      </c>
      <c r="F3035">
        <v>31653</v>
      </c>
      <c r="G3035" t="s">
        <v>9</v>
      </c>
      <c r="H3035">
        <f>_xlfn.LET(_xlpm.v, IFERROR(VLOOKUP($A3035, manifest!$A:$E, 3, FALSE), ""), IF(OR(_xlpm.v=0, _xlpm.v=""), "", _xlpm.v))</f>
        <v>50</v>
      </c>
      <c r="I3035" t="str">
        <f>_xlfn.LET(_xlpm.v, IFERROR(VLOOKUP($A3035, manifest!$A:$E, 5, FALSE), ""), IF(OR(_xlpm.v=0, _xlpm.v=""), "", _xlpm.v))</f>
        <v>female</v>
      </c>
    </row>
    <row r="3036" spans="1:9" x14ac:dyDescent="0.6">
      <c r="A3036">
        <v>638</v>
      </c>
      <c r="B3036" t="s">
        <v>14</v>
      </c>
      <c r="C3036" t="s">
        <v>10</v>
      </c>
      <c r="D3036">
        <v>200.34</v>
      </c>
      <c r="E3036">
        <v>210.21</v>
      </c>
      <c r="F3036">
        <v>32174</v>
      </c>
      <c r="H3036">
        <f>_xlfn.LET(_xlpm.v, IFERROR(VLOOKUP($A3036, manifest!$A:$E, 3, FALSE), ""), IF(OR(_xlpm.v=0, _xlpm.v=""), "", _xlpm.v))</f>
        <v>50</v>
      </c>
      <c r="I3036" t="str">
        <f>_xlfn.LET(_xlpm.v, IFERROR(VLOOKUP($A3036, manifest!$A:$E, 5, FALSE), ""), IF(OR(_xlpm.v=0, _xlpm.v=""), "", _xlpm.v))</f>
        <v>female</v>
      </c>
    </row>
    <row r="3037" spans="1:9" x14ac:dyDescent="0.6">
      <c r="A3037">
        <v>638</v>
      </c>
      <c r="B3037" t="s">
        <v>14</v>
      </c>
      <c r="C3037" t="s">
        <v>11</v>
      </c>
      <c r="D3037">
        <v>191.72</v>
      </c>
      <c r="E3037">
        <v>205.63</v>
      </c>
      <c r="F3037">
        <v>36131</v>
      </c>
      <c r="H3037">
        <f>_xlfn.LET(_xlpm.v, IFERROR(VLOOKUP($A3037, manifest!$A:$E, 3, FALSE), ""), IF(OR(_xlpm.v=0, _xlpm.v=""), "", _xlpm.v))</f>
        <v>50</v>
      </c>
      <c r="I3037" t="str">
        <f>_xlfn.LET(_xlpm.v, IFERROR(VLOOKUP($A3037, manifest!$A:$E, 5, FALSE), ""), IF(OR(_xlpm.v=0, _xlpm.v=""), "", _xlpm.v))</f>
        <v>female</v>
      </c>
    </row>
    <row r="3038" spans="1:9" x14ac:dyDescent="0.6">
      <c r="A3038">
        <v>638</v>
      </c>
      <c r="B3038" t="s">
        <v>14</v>
      </c>
      <c r="C3038" t="s">
        <v>12</v>
      </c>
      <c r="D3038">
        <v>179.33</v>
      </c>
      <c r="E3038">
        <v>185</v>
      </c>
      <c r="F3038">
        <v>38902</v>
      </c>
      <c r="H3038">
        <f>_xlfn.LET(_xlpm.v, IFERROR(VLOOKUP($A3038, manifest!$A:$E, 3, FALSE), ""), IF(OR(_xlpm.v=0, _xlpm.v=""), "", _xlpm.v))</f>
        <v>50</v>
      </c>
      <c r="I3038" t="str">
        <f>_xlfn.LET(_xlpm.v, IFERROR(VLOOKUP($A3038, manifest!$A:$E, 5, FALSE), ""), IF(OR(_xlpm.v=0, _xlpm.v=""), "", _xlpm.v))</f>
        <v>female</v>
      </c>
    </row>
    <row r="3039" spans="1:9" x14ac:dyDescent="0.6">
      <c r="A3039">
        <v>638</v>
      </c>
      <c r="B3039" t="s">
        <v>14</v>
      </c>
      <c r="C3039" t="s">
        <v>13</v>
      </c>
      <c r="D3039">
        <v>164.8</v>
      </c>
      <c r="E3039">
        <v>156.32</v>
      </c>
      <c r="F3039">
        <v>45771</v>
      </c>
      <c r="H3039">
        <f>_xlfn.LET(_xlpm.v, IFERROR(VLOOKUP($A3039, manifest!$A:$E, 3, FALSE), ""), IF(OR(_xlpm.v=0, _xlpm.v=""), "", _xlpm.v))</f>
        <v>50</v>
      </c>
      <c r="I3039" t="str">
        <f>_xlfn.LET(_xlpm.v, IFERROR(VLOOKUP($A3039, manifest!$A:$E, 5, FALSE), ""), IF(OR(_xlpm.v=0, _xlpm.v=""), "", _xlpm.v))</f>
        <v>female</v>
      </c>
    </row>
    <row r="3040" spans="1:9" x14ac:dyDescent="0.6">
      <c r="A3040">
        <v>649</v>
      </c>
      <c r="B3040" t="s">
        <v>14</v>
      </c>
      <c r="C3040" t="s">
        <v>8</v>
      </c>
      <c r="D3040">
        <v>224.13</v>
      </c>
      <c r="E3040">
        <v>197.11</v>
      </c>
      <c r="F3040">
        <v>28000</v>
      </c>
      <c r="G3040" t="s">
        <v>9</v>
      </c>
      <c r="H3040">
        <f>_xlfn.LET(_xlpm.v, IFERROR(VLOOKUP($A3040, manifest!$A:$E, 3, FALSE), ""), IF(OR(_xlpm.v=0, _xlpm.v=""), "", _xlpm.v))</f>
        <v>50</v>
      </c>
      <c r="I3040" t="str">
        <f>_xlfn.LET(_xlpm.v, IFERROR(VLOOKUP($A3040, manifest!$A:$E, 5, FALSE), ""), IF(OR(_xlpm.v=0, _xlpm.v=""), "", _xlpm.v))</f>
        <v>female</v>
      </c>
    </row>
    <row r="3041" spans="1:9" x14ac:dyDescent="0.6">
      <c r="A3041">
        <v>649</v>
      </c>
      <c r="B3041" t="s">
        <v>14</v>
      </c>
      <c r="C3041" t="s">
        <v>10</v>
      </c>
      <c r="D3041">
        <v>247.96</v>
      </c>
      <c r="E3041">
        <v>214.71</v>
      </c>
      <c r="F3041">
        <v>31966</v>
      </c>
      <c r="H3041">
        <f>_xlfn.LET(_xlpm.v, IFERROR(VLOOKUP($A3041, manifest!$A:$E, 3, FALSE), ""), IF(OR(_xlpm.v=0, _xlpm.v=""), "", _xlpm.v))</f>
        <v>50</v>
      </c>
      <c r="I3041" t="str">
        <f>_xlfn.LET(_xlpm.v, IFERROR(VLOOKUP($A3041, manifest!$A:$E, 5, FALSE), ""), IF(OR(_xlpm.v=0, _xlpm.v=""), "", _xlpm.v))</f>
        <v>female</v>
      </c>
    </row>
    <row r="3042" spans="1:9" x14ac:dyDescent="0.6">
      <c r="A3042">
        <v>649</v>
      </c>
      <c r="B3042" t="s">
        <v>14</v>
      </c>
      <c r="C3042" t="s">
        <v>11</v>
      </c>
      <c r="D3042">
        <v>234.76</v>
      </c>
      <c r="E3042">
        <v>190.62</v>
      </c>
      <c r="F3042">
        <v>36167</v>
      </c>
      <c r="H3042">
        <f>_xlfn.LET(_xlpm.v, IFERROR(VLOOKUP($A3042, manifest!$A:$E, 3, FALSE), ""), IF(OR(_xlpm.v=0, _xlpm.v=""), "", _xlpm.v))</f>
        <v>50</v>
      </c>
      <c r="I3042" t="str">
        <f>_xlfn.LET(_xlpm.v, IFERROR(VLOOKUP($A3042, manifest!$A:$E, 5, FALSE), ""), IF(OR(_xlpm.v=0, _xlpm.v=""), "", _xlpm.v))</f>
        <v>female</v>
      </c>
    </row>
    <row r="3043" spans="1:9" x14ac:dyDescent="0.6">
      <c r="A3043">
        <v>649</v>
      </c>
      <c r="B3043" t="s">
        <v>14</v>
      </c>
      <c r="C3043" t="s">
        <v>12</v>
      </c>
      <c r="D3043">
        <v>206.97</v>
      </c>
      <c r="E3043">
        <v>162.88999999999999</v>
      </c>
      <c r="F3043">
        <v>47421</v>
      </c>
      <c r="H3043">
        <f>_xlfn.LET(_xlpm.v, IFERROR(VLOOKUP($A3043, manifest!$A:$E, 3, FALSE), ""), IF(OR(_xlpm.v=0, _xlpm.v=""), "", _xlpm.v))</f>
        <v>50</v>
      </c>
      <c r="I3043" t="str">
        <f>_xlfn.LET(_xlpm.v, IFERROR(VLOOKUP($A3043, manifest!$A:$E, 5, FALSE), ""), IF(OR(_xlpm.v=0, _xlpm.v=""), "", _xlpm.v))</f>
        <v>female</v>
      </c>
    </row>
    <row r="3044" spans="1:9" x14ac:dyDescent="0.6">
      <c r="A3044">
        <v>649</v>
      </c>
      <c r="B3044" t="s">
        <v>14</v>
      </c>
      <c r="C3044" t="s">
        <v>13</v>
      </c>
      <c r="D3044">
        <v>209.8</v>
      </c>
      <c r="E3044">
        <v>171.27</v>
      </c>
      <c r="F3044">
        <v>55350</v>
      </c>
      <c r="H3044">
        <f>_xlfn.LET(_xlpm.v, IFERROR(VLOOKUP($A3044, manifest!$A:$E, 3, FALSE), ""), IF(OR(_xlpm.v=0, _xlpm.v=""), "", _xlpm.v))</f>
        <v>50</v>
      </c>
      <c r="I3044" t="str">
        <f>_xlfn.LET(_xlpm.v, IFERROR(VLOOKUP($A3044, manifest!$A:$E, 5, FALSE), ""), IF(OR(_xlpm.v=0, _xlpm.v=""), "", _xlpm.v))</f>
        <v>female</v>
      </c>
    </row>
    <row r="3045" spans="1:9" x14ac:dyDescent="0.6">
      <c r="A3045">
        <v>636</v>
      </c>
      <c r="B3045" t="s">
        <v>14</v>
      </c>
      <c r="C3045" t="s">
        <v>8</v>
      </c>
      <c r="D3045">
        <v>256.02</v>
      </c>
      <c r="E3045">
        <v>138.26</v>
      </c>
      <c r="F3045">
        <v>30421</v>
      </c>
      <c r="G3045" t="s">
        <v>9</v>
      </c>
      <c r="H3045">
        <f>_xlfn.LET(_xlpm.v, IFERROR(VLOOKUP($A3045, manifest!$A:$E, 3, FALSE), ""), IF(OR(_xlpm.v=0, _xlpm.v=""), "", _xlpm.v))</f>
        <v>50</v>
      </c>
      <c r="I3045" t="str">
        <f>_xlfn.LET(_xlpm.v, IFERROR(VLOOKUP($A3045, manifest!$A:$E, 5, FALSE), ""), IF(OR(_xlpm.v=0, _xlpm.v=""), "", _xlpm.v))</f>
        <v>female</v>
      </c>
    </row>
    <row r="3046" spans="1:9" x14ac:dyDescent="0.6">
      <c r="A3046">
        <v>636</v>
      </c>
      <c r="B3046" t="s">
        <v>14</v>
      </c>
      <c r="C3046" t="s">
        <v>10</v>
      </c>
      <c r="D3046">
        <v>261.68</v>
      </c>
      <c r="E3046">
        <v>154.1</v>
      </c>
      <c r="F3046">
        <v>29312</v>
      </c>
      <c r="H3046">
        <f>_xlfn.LET(_xlpm.v, IFERROR(VLOOKUP($A3046, manifest!$A:$E, 3, FALSE), ""), IF(OR(_xlpm.v=0, _xlpm.v=""), "", _xlpm.v))</f>
        <v>50</v>
      </c>
      <c r="I3046" t="str">
        <f>_xlfn.LET(_xlpm.v, IFERROR(VLOOKUP($A3046, manifest!$A:$E, 5, FALSE), ""), IF(OR(_xlpm.v=0, _xlpm.v=""), "", _xlpm.v))</f>
        <v>female</v>
      </c>
    </row>
    <row r="3047" spans="1:9" x14ac:dyDescent="0.6">
      <c r="A3047">
        <v>636</v>
      </c>
      <c r="B3047" t="s">
        <v>14</v>
      </c>
      <c r="C3047" t="s">
        <v>11</v>
      </c>
      <c r="D3047">
        <v>252.33</v>
      </c>
      <c r="E3047">
        <v>171.99</v>
      </c>
      <c r="F3047">
        <v>34019</v>
      </c>
      <c r="H3047">
        <f>_xlfn.LET(_xlpm.v, IFERROR(VLOOKUP($A3047, manifest!$A:$E, 3, FALSE), ""), IF(OR(_xlpm.v=0, _xlpm.v=""), "", _xlpm.v))</f>
        <v>50</v>
      </c>
      <c r="I3047" t="str">
        <f>_xlfn.LET(_xlpm.v, IFERROR(VLOOKUP($A3047, manifest!$A:$E, 5, FALSE), ""), IF(OR(_xlpm.v=0, _xlpm.v=""), "", _xlpm.v))</f>
        <v>female</v>
      </c>
    </row>
    <row r="3048" spans="1:9" x14ac:dyDescent="0.6">
      <c r="A3048">
        <v>636</v>
      </c>
      <c r="B3048" t="s">
        <v>14</v>
      </c>
      <c r="C3048" t="s">
        <v>12</v>
      </c>
      <c r="D3048">
        <v>276.42</v>
      </c>
      <c r="E3048">
        <v>199.89</v>
      </c>
      <c r="F3048">
        <v>48577</v>
      </c>
      <c r="H3048">
        <f>_xlfn.LET(_xlpm.v, IFERROR(VLOOKUP($A3048, manifest!$A:$E, 3, FALSE), ""), IF(OR(_xlpm.v=0, _xlpm.v=""), "", _xlpm.v))</f>
        <v>50</v>
      </c>
      <c r="I3048" t="str">
        <f>_xlfn.LET(_xlpm.v, IFERROR(VLOOKUP($A3048, manifest!$A:$E, 5, FALSE), ""), IF(OR(_xlpm.v=0, _xlpm.v=""), "", _xlpm.v))</f>
        <v>female</v>
      </c>
    </row>
    <row r="3049" spans="1:9" x14ac:dyDescent="0.6">
      <c r="A3049">
        <v>636</v>
      </c>
      <c r="B3049" t="s">
        <v>14</v>
      </c>
      <c r="C3049" t="s">
        <v>13</v>
      </c>
      <c r="D3049">
        <v>278.95</v>
      </c>
      <c r="E3049">
        <v>215.68</v>
      </c>
      <c r="F3049">
        <v>52156</v>
      </c>
      <c r="H3049">
        <f>_xlfn.LET(_xlpm.v, IFERROR(VLOOKUP($A3049, manifest!$A:$E, 3, FALSE), ""), IF(OR(_xlpm.v=0, _xlpm.v=""), "", _xlpm.v))</f>
        <v>50</v>
      </c>
      <c r="I3049" t="str">
        <f>_xlfn.LET(_xlpm.v, IFERROR(VLOOKUP($A3049, manifest!$A:$E, 5, FALSE), ""), IF(OR(_xlpm.v=0, _xlpm.v=""), "", _xlpm.v))</f>
        <v>female</v>
      </c>
    </row>
    <row r="3050" spans="1:9" x14ac:dyDescent="0.6">
      <c r="A3050">
        <v>652</v>
      </c>
      <c r="B3050" t="s">
        <v>14</v>
      </c>
      <c r="C3050" t="s">
        <v>8</v>
      </c>
      <c r="D3050">
        <v>235.02</v>
      </c>
      <c r="E3050">
        <v>162.15</v>
      </c>
      <c r="F3050">
        <v>36811</v>
      </c>
      <c r="G3050" t="s">
        <v>9</v>
      </c>
      <c r="H3050">
        <f>_xlfn.LET(_xlpm.v, IFERROR(VLOOKUP($A3050, manifest!$A:$E, 3, FALSE), ""), IF(OR(_xlpm.v=0, _xlpm.v=""), "", _xlpm.v))</f>
        <v>50</v>
      </c>
      <c r="I3050" t="str">
        <f>_xlfn.LET(_xlpm.v, IFERROR(VLOOKUP($A3050, manifest!$A:$E, 5, FALSE), ""), IF(OR(_xlpm.v=0, _xlpm.v=""), "", _xlpm.v))</f>
        <v>female</v>
      </c>
    </row>
    <row r="3051" spans="1:9" x14ac:dyDescent="0.6">
      <c r="A3051">
        <v>652</v>
      </c>
      <c r="B3051" t="s">
        <v>14</v>
      </c>
      <c r="C3051" t="s">
        <v>10</v>
      </c>
      <c r="D3051">
        <v>253.51</v>
      </c>
      <c r="E3051">
        <v>203.81</v>
      </c>
      <c r="F3051">
        <v>49608</v>
      </c>
      <c r="H3051">
        <f>_xlfn.LET(_xlpm.v, IFERROR(VLOOKUP($A3051, manifest!$A:$E, 3, FALSE), ""), IF(OR(_xlpm.v=0, _xlpm.v=""), "", _xlpm.v))</f>
        <v>50</v>
      </c>
      <c r="I3051" t="str">
        <f>_xlfn.LET(_xlpm.v, IFERROR(VLOOKUP($A3051, manifest!$A:$E, 5, FALSE), ""), IF(OR(_xlpm.v=0, _xlpm.v=""), "", _xlpm.v))</f>
        <v>female</v>
      </c>
    </row>
    <row r="3052" spans="1:9" x14ac:dyDescent="0.6">
      <c r="A3052">
        <v>652</v>
      </c>
      <c r="B3052" t="s">
        <v>14</v>
      </c>
      <c r="C3052" t="s">
        <v>11</v>
      </c>
      <c r="D3052">
        <v>238.54</v>
      </c>
      <c r="E3052">
        <v>184.74</v>
      </c>
      <c r="F3052">
        <v>48367</v>
      </c>
      <c r="H3052">
        <f>_xlfn.LET(_xlpm.v, IFERROR(VLOOKUP($A3052, manifest!$A:$E, 3, FALSE), ""), IF(OR(_xlpm.v=0, _xlpm.v=""), "", _xlpm.v))</f>
        <v>50</v>
      </c>
      <c r="I3052" t="str">
        <f>_xlfn.LET(_xlpm.v, IFERROR(VLOOKUP($A3052, manifest!$A:$E, 5, FALSE), ""), IF(OR(_xlpm.v=0, _xlpm.v=""), "", _xlpm.v))</f>
        <v>female</v>
      </c>
    </row>
    <row r="3053" spans="1:9" x14ac:dyDescent="0.6">
      <c r="A3053">
        <v>652</v>
      </c>
      <c r="B3053" t="s">
        <v>14</v>
      </c>
      <c r="C3053" t="s">
        <v>12</v>
      </c>
      <c r="D3053">
        <v>229.67</v>
      </c>
      <c r="E3053">
        <v>183.46</v>
      </c>
      <c r="F3053">
        <v>55914</v>
      </c>
      <c r="H3053">
        <f>_xlfn.LET(_xlpm.v, IFERROR(VLOOKUP($A3053, manifest!$A:$E, 3, FALSE), ""), IF(OR(_xlpm.v=0, _xlpm.v=""), "", _xlpm.v))</f>
        <v>50</v>
      </c>
      <c r="I3053" t="str">
        <f>_xlfn.LET(_xlpm.v, IFERROR(VLOOKUP($A3053, manifest!$A:$E, 5, FALSE), ""), IF(OR(_xlpm.v=0, _xlpm.v=""), "", _xlpm.v))</f>
        <v>female</v>
      </c>
    </row>
    <row r="3054" spans="1:9" x14ac:dyDescent="0.6">
      <c r="A3054">
        <v>652</v>
      </c>
      <c r="B3054" t="s">
        <v>14</v>
      </c>
      <c r="C3054" t="s">
        <v>13</v>
      </c>
      <c r="D3054">
        <v>223.38</v>
      </c>
      <c r="E3054">
        <v>169.4</v>
      </c>
      <c r="F3054">
        <v>58108</v>
      </c>
      <c r="H3054">
        <f>_xlfn.LET(_xlpm.v, IFERROR(VLOOKUP($A3054, manifest!$A:$E, 3, FALSE), ""), IF(OR(_xlpm.v=0, _xlpm.v=""), "", _xlpm.v))</f>
        <v>50</v>
      </c>
      <c r="I3054" t="str">
        <f>_xlfn.LET(_xlpm.v, IFERROR(VLOOKUP($A3054, manifest!$A:$E, 5, FALSE), ""), IF(OR(_xlpm.v=0, _xlpm.v=""), "", _xlpm.v))</f>
        <v>female</v>
      </c>
    </row>
    <row r="3055" spans="1:9" x14ac:dyDescent="0.6">
      <c r="A3055">
        <v>659</v>
      </c>
      <c r="B3055" t="s">
        <v>7</v>
      </c>
      <c r="C3055" t="s">
        <v>8</v>
      </c>
      <c r="D3055">
        <v>150.13</v>
      </c>
      <c r="E3055">
        <v>91.07</v>
      </c>
      <c r="F3055">
        <v>29648</v>
      </c>
      <c r="G3055" t="s">
        <v>15</v>
      </c>
      <c r="H3055">
        <f>_xlfn.LET(_xlpm.v, IFERROR(VLOOKUP($A3055, manifest!$A:$E, 3, FALSE), ""), IF(OR(_xlpm.v=0, _xlpm.v=""), "", _xlpm.v))</f>
        <v>70</v>
      </c>
      <c r="I3055" t="str">
        <f>_xlfn.LET(_xlpm.v, IFERROR(VLOOKUP($A3055, manifest!$A:$E, 5, FALSE), ""), IF(OR(_xlpm.v=0, _xlpm.v=""), "", _xlpm.v))</f>
        <v>male</v>
      </c>
    </row>
    <row r="3056" spans="1:9" x14ac:dyDescent="0.6">
      <c r="A3056">
        <v>659</v>
      </c>
      <c r="B3056" t="s">
        <v>7</v>
      </c>
      <c r="C3056" t="s">
        <v>10</v>
      </c>
      <c r="D3056">
        <v>155.78</v>
      </c>
      <c r="E3056">
        <v>130.65</v>
      </c>
      <c r="F3056">
        <v>31627</v>
      </c>
      <c r="H3056">
        <f>_xlfn.LET(_xlpm.v, IFERROR(VLOOKUP($A3056, manifest!$A:$E, 3, FALSE), ""), IF(OR(_xlpm.v=0, _xlpm.v=""), "", _xlpm.v))</f>
        <v>70</v>
      </c>
      <c r="I3056" t="str">
        <f>_xlfn.LET(_xlpm.v, IFERROR(VLOOKUP($A3056, manifest!$A:$E, 5, FALSE), ""), IF(OR(_xlpm.v=0, _xlpm.v=""), "", _xlpm.v))</f>
        <v>male</v>
      </c>
    </row>
    <row r="3057" spans="1:9" x14ac:dyDescent="0.6">
      <c r="A3057">
        <v>659</v>
      </c>
      <c r="B3057" t="s">
        <v>7</v>
      </c>
      <c r="C3057" t="s">
        <v>11</v>
      </c>
      <c r="D3057">
        <v>177.06</v>
      </c>
      <c r="E3057">
        <v>159.37</v>
      </c>
      <c r="F3057">
        <v>34326</v>
      </c>
      <c r="H3057">
        <f>_xlfn.LET(_xlpm.v, IFERROR(VLOOKUP($A3057, manifest!$A:$E, 3, FALSE), ""), IF(OR(_xlpm.v=0, _xlpm.v=""), "", _xlpm.v))</f>
        <v>70</v>
      </c>
      <c r="I3057" t="str">
        <f>_xlfn.LET(_xlpm.v, IFERROR(VLOOKUP($A3057, manifest!$A:$E, 5, FALSE), ""), IF(OR(_xlpm.v=0, _xlpm.v=""), "", _xlpm.v))</f>
        <v>male</v>
      </c>
    </row>
    <row r="3058" spans="1:9" x14ac:dyDescent="0.6">
      <c r="A3058">
        <v>659</v>
      </c>
      <c r="B3058" t="s">
        <v>7</v>
      </c>
      <c r="C3058" t="s">
        <v>12</v>
      </c>
      <c r="D3058">
        <v>182.34</v>
      </c>
      <c r="E3058">
        <v>167.61</v>
      </c>
      <c r="F3058">
        <v>31279</v>
      </c>
      <c r="H3058">
        <f>_xlfn.LET(_xlpm.v, IFERROR(VLOOKUP($A3058, manifest!$A:$E, 3, FALSE), ""), IF(OR(_xlpm.v=0, _xlpm.v=""), "", _xlpm.v))</f>
        <v>70</v>
      </c>
      <c r="I3058" t="str">
        <f>_xlfn.LET(_xlpm.v, IFERROR(VLOOKUP($A3058, manifest!$A:$E, 5, FALSE), ""), IF(OR(_xlpm.v=0, _xlpm.v=""), "", _xlpm.v))</f>
        <v>male</v>
      </c>
    </row>
    <row r="3059" spans="1:9" x14ac:dyDescent="0.6">
      <c r="A3059">
        <v>659</v>
      </c>
      <c r="B3059" t="s">
        <v>7</v>
      </c>
      <c r="C3059" t="s">
        <v>13</v>
      </c>
      <c r="D3059">
        <v>173.08</v>
      </c>
      <c r="E3059">
        <v>137.03</v>
      </c>
      <c r="F3059">
        <v>38376</v>
      </c>
      <c r="H3059">
        <f>_xlfn.LET(_xlpm.v, IFERROR(VLOOKUP($A3059, manifest!$A:$E, 3, FALSE), ""), IF(OR(_xlpm.v=0, _xlpm.v=""), "", _xlpm.v))</f>
        <v>70</v>
      </c>
      <c r="I3059" t="str">
        <f>_xlfn.LET(_xlpm.v, IFERROR(VLOOKUP($A3059, manifest!$A:$E, 5, FALSE), ""), IF(OR(_xlpm.v=0, _xlpm.v=""), "", _xlpm.v))</f>
        <v>male</v>
      </c>
    </row>
    <row r="3060" spans="1:9" x14ac:dyDescent="0.6">
      <c r="A3060">
        <v>640</v>
      </c>
      <c r="B3060" t="s">
        <v>7</v>
      </c>
      <c r="C3060" t="s">
        <v>8</v>
      </c>
      <c r="D3060">
        <v>146.32</v>
      </c>
      <c r="E3060">
        <v>120.77</v>
      </c>
      <c r="F3060">
        <v>17633</v>
      </c>
      <c r="G3060" t="s">
        <v>15</v>
      </c>
      <c r="H3060">
        <f>_xlfn.LET(_xlpm.v, IFERROR(VLOOKUP($A3060, manifest!$A:$E, 3, FALSE), ""), IF(OR(_xlpm.v=0, _xlpm.v=""), "", _xlpm.v))</f>
        <v>70</v>
      </c>
      <c r="I3060" t="str">
        <f>_xlfn.LET(_xlpm.v, IFERROR(VLOOKUP($A3060, manifest!$A:$E, 5, FALSE), ""), IF(OR(_xlpm.v=0, _xlpm.v=""), "", _xlpm.v))</f>
        <v>female</v>
      </c>
    </row>
    <row r="3061" spans="1:9" x14ac:dyDescent="0.6">
      <c r="A3061">
        <v>640</v>
      </c>
      <c r="B3061" t="s">
        <v>7</v>
      </c>
      <c r="C3061" t="s">
        <v>10</v>
      </c>
      <c r="D3061">
        <v>134.84</v>
      </c>
      <c r="E3061">
        <v>110.64</v>
      </c>
      <c r="F3061">
        <v>19596</v>
      </c>
      <c r="H3061">
        <f>_xlfn.LET(_xlpm.v, IFERROR(VLOOKUP($A3061, manifest!$A:$E, 3, FALSE), ""), IF(OR(_xlpm.v=0, _xlpm.v=""), "", _xlpm.v))</f>
        <v>70</v>
      </c>
      <c r="I3061" t="str">
        <f>_xlfn.LET(_xlpm.v, IFERROR(VLOOKUP($A3061, manifest!$A:$E, 5, FALSE), ""), IF(OR(_xlpm.v=0, _xlpm.v=""), "", _xlpm.v))</f>
        <v>female</v>
      </c>
    </row>
    <row r="3062" spans="1:9" x14ac:dyDescent="0.6">
      <c r="A3062">
        <v>640</v>
      </c>
      <c r="B3062" t="s">
        <v>7</v>
      </c>
      <c r="C3062" t="s">
        <v>11</v>
      </c>
      <c r="D3062">
        <v>145.11000000000001</v>
      </c>
      <c r="E3062">
        <v>120.92</v>
      </c>
      <c r="F3062">
        <v>22566</v>
      </c>
      <c r="H3062">
        <f>_xlfn.LET(_xlpm.v, IFERROR(VLOOKUP($A3062, manifest!$A:$E, 3, FALSE), ""), IF(OR(_xlpm.v=0, _xlpm.v=""), "", _xlpm.v))</f>
        <v>70</v>
      </c>
      <c r="I3062" t="str">
        <f>_xlfn.LET(_xlpm.v, IFERROR(VLOOKUP($A3062, manifest!$A:$E, 5, FALSE), ""), IF(OR(_xlpm.v=0, _xlpm.v=""), "", _xlpm.v))</f>
        <v>female</v>
      </c>
    </row>
    <row r="3063" spans="1:9" x14ac:dyDescent="0.6">
      <c r="A3063">
        <v>640</v>
      </c>
      <c r="B3063" t="s">
        <v>7</v>
      </c>
      <c r="C3063" t="s">
        <v>12</v>
      </c>
      <c r="D3063">
        <v>165.3</v>
      </c>
      <c r="E3063">
        <v>140.12</v>
      </c>
      <c r="F3063">
        <v>24556</v>
      </c>
      <c r="H3063">
        <f>_xlfn.LET(_xlpm.v, IFERROR(VLOOKUP($A3063, manifest!$A:$E, 3, FALSE), ""), IF(OR(_xlpm.v=0, _xlpm.v=""), "", _xlpm.v))</f>
        <v>70</v>
      </c>
      <c r="I3063" t="str">
        <f>_xlfn.LET(_xlpm.v, IFERROR(VLOOKUP($A3063, manifest!$A:$E, 5, FALSE), ""), IF(OR(_xlpm.v=0, _xlpm.v=""), "", _xlpm.v))</f>
        <v>female</v>
      </c>
    </row>
    <row r="3064" spans="1:9" x14ac:dyDescent="0.6">
      <c r="A3064">
        <v>640</v>
      </c>
      <c r="B3064" t="s">
        <v>7</v>
      </c>
      <c r="C3064" t="s">
        <v>13</v>
      </c>
      <c r="D3064">
        <v>195.16</v>
      </c>
      <c r="E3064">
        <v>166.87</v>
      </c>
      <c r="F3064">
        <v>26059</v>
      </c>
      <c r="H3064">
        <f>_xlfn.LET(_xlpm.v, IFERROR(VLOOKUP($A3064, manifest!$A:$E, 3, FALSE), ""), IF(OR(_xlpm.v=0, _xlpm.v=""), "", _xlpm.v))</f>
        <v>70</v>
      </c>
      <c r="I3064" t="str">
        <f>_xlfn.LET(_xlpm.v, IFERROR(VLOOKUP($A3064, manifest!$A:$E, 5, FALSE), ""), IF(OR(_xlpm.v=0, _xlpm.v=""), "", _xlpm.v))</f>
        <v>female</v>
      </c>
    </row>
    <row r="3065" spans="1:9" x14ac:dyDescent="0.6">
      <c r="A3065">
        <v>646</v>
      </c>
      <c r="B3065" t="s">
        <v>14</v>
      </c>
      <c r="C3065" t="s">
        <v>8</v>
      </c>
      <c r="D3065">
        <v>206.06</v>
      </c>
      <c r="E3065">
        <v>130.85</v>
      </c>
      <c r="F3065">
        <v>13154</v>
      </c>
      <c r="G3065" t="s">
        <v>9</v>
      </c>
      <c r="H3065">
        <f>_xlfn.LET(_xlpm.v, IFERROR(VLOOKUP($A3065, manifest!$A:$E, 3, FALSE), ""), IF(OR(_xlpm.v=0, _xlpm.v=""), "", _xlpm.v))</f>
        <v>50</v>
      </c>
      <c r="I3065" t="str">
        <f>_xlfn.LET(_xlpm.v, IFERROR(VLOOKUP($A3065, manifest!$A:$E, 5, FALSE), ""), IF(OR(_xlpm.v=0, _xlpm.v=""), "", _xlpm.v))</f>
        <v>female</v>
      </c>
    </row>
    <row r="3066" spans="1:9" x14ac:dyDescent="0.6">
      <c r="A3066">
        <v>646</v>
      </c>
      <c r="B3066" t="s">
        <v>14</v>
      </c>
      <c r="C3066" t="s">
        <v>10</v>
      </c>
      <c r="D3066">
        <v>231.88</v>
      </c>
      <c r="E3066">
        <v>173.95</v>
      </c>
      <c r="F3066">
        <v>15048</v>
      </c>
      <c r="H3066">
        <f>_xlfn.LET(_xlpm.v, IFERROR(VLOOKUP($A3066, manifest!$A:$E, 3, FALSE), ""), IF(OR(_xlpm.v=0, _xlpm.v=""), "", _xlpm.v))</f>
        <v>50</v>
      </c>
      <c r="I3066" t="str">
        <f>_xlfn.LET(_xlpm.v, IFERROR(VLOOKUP($A3066, manifest!$A:$E, 5, FALSE), ""), IF(OR(_xlpm.v=0, _xlpm.v=""), "", _xlpm.v))</f>
        <v>female</v>
      </c>
    </row>
    <row r="3067" spans="1:9" x14ac:dyDescent="0.6">
      <c r="A3067">
        <v>646</v>
      </c>
      <c r="B3067" t="s">
        <v>14</v>
      </c>
      <c r="C3067" t="s">
        <v>11</v>
      </c>
      <c r="D3067">
        <v>243.36</v>
      </c>
      <c r="E3067">
        <v>202.1</v>
      </c>
      <c r="F3067">
        <v>18635</v>
      </c>
      <c r="H3067">
        <f>_xlfn.LET(_xlpm.v, IFERROR(VLOOKUP($A3067, manifest!$A:$E, 3, FALSE), ""), IF(OR(_xlpm.v=0, _xlpm.v=""), "", _xlpm.v))</f>
        <v>50</v>
      </c>
      <c r="I3067" t="str">
        <f>_xlfn.LET(_xlpm.v, IFERROR(VLOOKUP($A3067, manifest!$A:$E, 5, FALSE), ""), IF(OR(_xlpm.v=0, _xlpm.v=""), "", _xlpm.v))</f>
        <v>female</v>
      </c>
    </row>
    <row r="3068" spans="1:9" x14ac:dyDescent="0.6">
      <c r="A3068">
        <v>646</v>
      </c>
      <c r="B3068" t="s">
        <v>14</v>
      </c>
      <c r="C3068" t="s">
        <v>12</v>
      </c>
      <c r="D3068">
        <v>240.44</v>
      </c>
      <c r="E3068">
        <v>215.33</v>
      </c>
      <c r="F3068">
        <v>19106</v>
      </c>
      <c r="H3068">
        <f>_xlfn.LET(_xlpm.v, IFERROR(VLOOKUP($A3068, manifest!$A:$E, 3, FALSE), ""), IF(OR(_xlpm.v=0, _xlpm.v=""), "", _xlpm.v))</f>
        <v>50</v>
      </c>
      <c r="I3068" t="str">
        <f>_xlfn.LET(_xlpm.v, IFERROR(VLOOKUP($A3068, manifest!$A:$E, 5, FALSE), ""), IF(OR(_xlpm.v=0, _xlpm.v=""), "", _xlpm.v))</f>
        <v>female</v>
      </c>
    </row>
    <row r="3069" spans="1:9" x14ac:dyDescent="0.6">
      <c r="A3069">
        <v>646</v>
      </c>
      <c r="B3069" t="s">
        <v>14</v>
      </c>
      <c r="C3069" t="s">
        <v>13</v>
      </c>
      <c r="D3069">
        <v>243.79</v>
      </c>
      <c r="E3069">
        <v>209.79</v>
      </c>
      <c r="F3069">
        <v>21793</v>
      </c>
      <c r="H3069">
        <f>_xlfn.LET(_xlpm.v, IFERROR(VLOOKUP($A3069, manifest!$A:$E, 3, FALSE), ""), IF(OR(_xlpm.v=0, _xlpm.v=""), "", _xlpm.v))</f>
        <v>50</v>
      </c>
      <c r="I3069" t="str">
        <f>_xlfn.LET(_xlpm.v, IFERROR(VLOOKUP($A3069, manifest!$A:$E, 5, FALSE), ""), IF(OR(_xlpm.v=0, _xlpm.v=""), "", _xlpm.v))</f>
        <v>female</v>
      </c>
    </row>
    <row r="3070" spans="1:9" x14ac:dyDescent="0.6">
      <c r="A3070">
        <v>643</v>
      </c>
      <c r="B3070" t="s">
        <v>7</v>
      </c>
      <c r="C3070" t="s">
        <v>8</v>
      </c>
      <c r="D3070">
        <v>180.34</v>
      </c>
      <c r="E3070">
        <v>150.63</v>
      </c>
      <c r="F3070">
        <v>30382</v>
      </c>
      <c r="G3070" t="s">
        <v>9</v>
      </c>
      <c r="H3070">
        <f>_xlfn.LET(_xlpm.v, IFERROR(VLOOKUP($A3070, manifest!$A:$E, 3, FALSE), ""), IF(OR(_xlpm.v=0, _xlpm.v=""), "", _xlpm.v))</f>
        <v>50</v>
      </c>
      <c r="I3070" t="str">
        <f>_xlfn.LET(_xlpm.v, IFERROR(VLOOKUP($A3070, manifest!$A:$E, 5, FALSE), ""), IF(OR(_xlpm.v=0, _xlpm.v=""), "", _xlpm.v))</f>
        <v>female</v>
      </c>
    </row>
    <row r="3071" spans="1:9" x14ac:dyDescent="0.6">
      <c r="A3071">
        <v>643</v>
      </c>
      <c r="B3071" t="s">
        <v>7</v>
      </c>
      <c r="C3071" t="s">
        <v>10</v>
      </c>
      <c r="D3071">
        <v>215.53</v>
      </c>
      <c r="E3071">
        <v>228.15</v>
      </c>
      <c r="F3071">
        <v>33806</v>
      </c>
      <c r="H3071">
        <f>_xlfn.LET(_xlpm.v, IFERROR(VLOOKUP($A3071, manifest!$A:$E, 3, FALSE), ""), IF(OR(_xlpm.v=0, _xlpm.v=""), "", _xlpm.v))</f>
        <v>50</v>
      </c>
      <c r="I3071" t="str">
        <f>_xlfn.LET(_xlpm.v, IFERROR(VLOOKUP($A3071, manifest!$A:$E, 5, FALSE), ""), IF(OR(_xlpm.v=0, _xlpm.v=""), "", _xlpm.v))</f>
        <v>female</v>
      </c>
    </row>
    <row r="3072" spans="1:9" x14ac:dyDescent="0.6">
      <c r="A3072">
        <v>643</v>
      </c>
      <c r="B3072" t="s">
        <v>7</v>
      </c>
      <c r="C3072" t="s">
        <v>11</v>
      </c>
      <c r="D3072">
        <v>207.18</v>
      </c>
      <c r="E3072">
        <v>235.12</v>
      </c>
      <c r="F3072">
        <v>43173</v>
      </c>
      <c r="H3072">
        <f>_xlfn.LET(_xlpm.v, IFERROR(VLOOKUP($A3072, manifest!$A:$E, 3, FALSE), ""), IF(OR(_xlpm.v=0, _xlpm.v=""), "", _xlpm.v))</f>
        <v>50</v>
      </c>
      <c r="I3072" t="str">
        <f>_xlfn.LET(_xlpm.v, IFERROR(VLOOKUP($A3072, manifest!$A:$E, 5, FALSE), ""), IF(OR(_xlpm.v=0, _xlpm.v=""), "", _xlpm.v))</f>
        <v>female</v>
      </c>
    </row>
    <row r="3073" spans="1:9" x14ac:dyDescent="0.6">
      <c r="A3073">
        <v>643</v>
      </c>
      <c r="B3073" t="s">
        <v>7</v>
      </c>
      <c r="C3073" t="s">
        <v>12</v>
      </c>
      <c r="D3073">
        <v>173.82</v>
      </c>
      <c r="E3073">
        <v>163.88</v>
      </c>
      <c r="F3073">
        <v>49770</v>
      </c>
      <c r="H3073">
        <f>_xlfn.LET(_xlpm.v, IFERROR(VLOOKUP($A3073, manifest!$A:$E, 3, FALSE), ""), IF(OR(_xlpm.v=0, _xlpm.v=""), "", _xlpm.v))</f>
        <v>50</v>
      </c>
      <c r="I3073" t="str">
        <f>_xlfn.LET(_xlpm.v, IFERROR(VLOOKUP($A3073, manifest!$A:$E, 5, FALSE), ""), IF(OR(_xlpm.v=0, _xlpm.v=""), "", _xlpm.v))</f>
        <v>female</v>
      </c>
    </row>
    <row r="3074" spans="1:9" x14ac:dyDescent="0.6">
      <c r="A3074">
        <v>643</v>
      </c>
      <c r="B3074" t="s">
        <v>7</v>
      </c>
      <c r="C3074" t="s">
        <v>13</v>
      </c>
      <c r="D3074">
        <v>197.48</v>
      </c>
      <c r="E3074">
        <v>168.03</v>
      </c>
      <c r="F3074">
        <v>47065</v>
      </c>
      <c r="H3074">
        <f>_xlfn.LET(_xlpm.v, IFERROR(VLOOKUP($A3074, manifest!$A:$E, 3, FALSE), ""), IF(OR(_xlpm.v=0, _xlpm.v=""), "", _xlpm.v))</f>
        <v>50</v>
      </c>
      <c r="I3074" t="str">
        <f>_xlfn.LET(_xlpm.v, IFERROR(VLOOKUP($A3074, manifest!$A:$E, 5, FALSE), ""), IF(OR(_xlpm.v=0, _xlpm.v=""), "", _xlpm.v))</f>
        <v>female</v>
      </c>
    </row>
    <row r="3075" spans="1:9" x14ac:dyDescent="0.6">
      <c r="A3075">
        <v>632</v>
      </c>
      <c r="B3075" t="s">
        <v>7</v>
      </c>
      <c r="C3075" t="s">
        <v>8</v>
      </c>
      <c r="D3075">
        <v>175.71</v>
      </c>
      <c r="E3075">
        <v>102.18</v>
      </c>
      <c r="F3075">
        <v>29452</v>
      </c>
      <c r="G3075" t="s">
        <v>9</v>
      </c>
      <c r="H3075">
        <f>_xlfn.LET(_xlpm.v, IFERROR(VLOOKUP($A3075, manifest!$A:$E, 3, FALSE), ""), IF(OR(_xlpm.v=0, _xlpm.v=""), "", _xlpm.v))</f>
        <v>50</v>
      </c>
      <c r="I3075" t="str">
        <f>_xlfn.LET(_xlpm.v, IFERROR(VLOOKUP($A3075, manifest!$A:$E, 5, FALSE), ""), IF(OR(_xlpm.v=0, _xlpm.v=""), "", _xlpm.v))</f>
        <v>male</v>
      </c>
    </row>
    <row r="3076" spans="1:9" x14ac:dyDescent="0.6">
      <c r="A3076">
        <v>632</v>
      </c>
      <c r="B3076" t="s">
        <v>7</v>
      </c>
      <c r="C3076" t="s">
        <v>10</v>
      </c>
      <c r="D3076">
        <v>188.91</v>
      </c>
      <c r="E3076">
        <v>111.82</v>
      </c>
      <c r="F3076">
        <v>29969</v>
      </c>
      <c r="H3076">
        <f>_xlfn.LET(_xlpm.v, IFERROR(VLOOKUP($A3076, manifest!$A:$E, 3, FALSE), ""), IF(OR(_xlpm.v=0, _xlpm.v=""), "", _xlpm.v))</f>
        <v>50</v>
      </c>
      <c r="I3076" t="str">
        <f>_xlfn.LET(_xlpm.v, IFERROR(VLOOKUP($A3076, manifest!$A:$E, 5, FALSE), ""), IF(OR(_xlpm.v=0, _xlpm.v=""), "", _xlpm.v))</f>
        <v>male</v>
      </c>
    </row>
    <row r="3077" spans="1:9" x14ac:dyDescent="0.6">
      <c r="A3077">
        <v>632</v>
      </c>
      <c r="B3077" t="s">
        <v>7</v>
      </c>
      <c r="C3077" t="s">
        <v>11</v>
      </c>
      <c r="D3077">
        <v>205.59</v>
      </c>
      <c r="E3077">
        <v>127.93</v>
      </c>
      <c r="F3077">
        <v>27861</v>
      </c>
      <c r="H3077">
        <f>_xlfn.LET(_xlpm.v, IFERROR(VLOOKUP($A3077, manifest!$A:$E, 3, FALSE), ""), IF(OR(_xlpm.v=0, _xlpm.v=""), "", _xlpm.v))</f>
        <v>50</v>
      </c>
      <c r="I3077" t="str">
        <f>_xlfn.LET(_xlpm.v, IFERROR(VLOOKUP($A3077, manifest!$A:$E, 5, FALSE), ""), IF(OR(_xlpm.v=0, _xlpm.v=""), "", _xlpm.v))</f>
        <v>male</v>
      </c>
    </row>
    <row r="3078" spans="1:9" x14ac:dyDescent="0.6">
      <c r="A3078">
        <v>632</v>
      </c>
      <c r="B3078" t="s">
        <v>7</v>
      </c>
      <c r="C3078" t="s">
        <v>12</v>
      </c>
      <c r="D3078">
        <v>196.25</v>
      </c>
      <c r="E3078">
        <v>136.22999999999999</v>
      </c>
      <c r="F3078">
        <v>36833</v>
      </c>
      <c r="H3078">
        <f>_xlfn.LET(_xlpm.v, IFERROR(VLOOKUP($A3078, manifest!$A:$E, 3, FALSE), ""), IF(OR(_xlpm.v=0, _xlpm.v=""), "", _xlpm.v))</f>
        <v>50</v>
      </c>
      <c r="I3078" t="str">
        <f>_xlfn.LET(_xlpm.v, IFERROR(VLOOKUP($A3078, manifest!$A:$E, 5, FALSE), ""), IF(OR(_xlpm.v=0, _xlpm.v=""), "", _xlpm.v))</f>
        <v>male</v>
      </c>
    </row>
    <row r="3079" spans="1:9" x14ac:dyDescent="0.6">
      <c r="A3079">
        <v>632</v>
      </c>
      <c r="B3079" t="s">
        <v>7</v>
      </c>
      <c r="C3079" t="s">
        <v>13</v>
      </c>
      <c r="D3079">
        <v>193.99</v>
      </c>
      <c r="E3079">
        <v>104.8</v>
      </c>
      <c r="F3079">
        <v>32501</v>
      </c>
      <c r="H3079">
        <f>_xlfn.LET(_xlpm.v, IFERROR(VLOOKUP($A3079, manifest!$A:$E, 3, FALSE), ""), IF(OR(_xlpm.v=0, _xlpm.v=""), "", _xlpm.v))</f>
        <v>50</v>
      </c>
      <c r="I3079" t="str">
        <f>_xlfn.LET(_xlpm.v, IFERROR(VLOOKUP($A3079, manifest!$A:$E, 5, FALSE), ""), IF(OR(_xlpm.v=0, _xlpm.v=""), "", _xlpm.v))</f>
        <v>male</v>
      </c>
    </row>
    <row r="3080" spans="1:9" x14ac:dyDescent="0.6">
      <c r="A3080">
        <v>647</v>
      </c>
      <c r="B3080" t="s">
        <v>14</v>
      </c>
      <c r="C3080" t="s">
        <v>8</v>
      </c>
      <c r="D3080">
        <v>197.95</v>
      </c>
      <c r="E3080">
        <v>175.56</v>
      </c>
      <c r="F3080">
        <v>40401</v>
      </c>
      <c r="G3080" t="s">
        <v>9</v>
      </c>
      <c r="H3080">
        <f>_xlfn.LET(_xlpm.v, IFERROR(VLOOKUP($A3080, manifest!$A:$E, 3, FALSE), ""), IF(OR(_xlpm.v=0, _xlpm.v=""), "", _xlpm.v))</f>
        <v>70</v>
      </c>
      <c r="I3080" t="str">
        <f>_xlfn.LET(_xlpm.v, IFERROR(VLOOKUP($A3080, manifest!$A:$E, 5, FALSE), ""), IF(OR(_xlpm.v=0, _xlpm.v=""), "", _xlpm.v))</f>
        <v>male</v>
      </c>
    </row>
    <row r="3081" spans="1:9" x14ac:dyDescent="0.6">
      <c r="A3081">
        <v>647</v>
      </c>
      <c r="B3081" t="s">
        <v>14</v>
      </c>
      <c r="C3081" t="s">
        <v>10</v>
      </c>
      <c r="D3081">
        <v>170.22</v>
      </c>
      <c r="E3081">
        <v>154.13999999999999</v>
      </c>
      <c r="F3081">
        <v>41514</v>
      </c>
      <c r="H3081">
        <f>_xlfn.LET(_xlpm.v, IFERROR(VLOOKUP($A3081, manifest!$A:$E, 3, FALSE), ""), IF(OR(_xlpm.v=0, _xlpm.v=""), "", _xlpm.v))</f>
        <v>70</v>
      </c>
      <c r="I3081" t="str">
        <f>_xlfn.LET(_xlpm.v, IFERROR(VLOOKUP($A3081, manifest!$A:$E, 5, FALSE), ""), IF(OR(_xlpm.v=0, _xlpm.v=""), "", _xlpm.v))</f>
        <v>male</v>
      </c>
    </row>
    <row r="3082" spans="1:9" x14ac:dyDescent="0.6">
      <c r="A3082">
        <v>647</v>
      </c>
      <c r="B3082" t="s">
        <v>14</v>
      </c>
      <c r="C3082" t="s">
        <v>11</v>
      </c>
      <c r="D3082">
        <v>132.04</v>
      </c>
      <c r="E3082">
        <v>128.1</v>
      </c>
      <c r="F3082">
        <v>54727</v>
      </c>
      <c r="H3082">
        <f>_xlfn.LET(_xlpm.v, IFERROR(VLOOKUP($A3082, manifest!$A:$E, 3, FALSE), ""), IF(OR(_xlpm.v=0, _xlpm.v=""), "", _xlpm.v))</f>
        <v>70</v>
      </c>
      <c r="I3082" t="str">
        <f>_xlfn.LET(_xlpm.v, IFERROR(VLOOKUP($A3082, manifest!$A:$E, 5, FALSE), ""), IF(OR(_xlpm.v=0, _xlpm.v=""), "", _xlpm.v))</f>
        <v>male</v>
      </c>
    </row>
    <row r="3083" spans="1:9" x14ac:dyDescent="0.6">
      <c r="A3083">
        <v>647</v>
      </c>
      <c r="B3083" t="s">
        <v>14</v>
      </c>
      <c r="C3083" t="s">
        <v>12</v>
      </c>
      <c r="D3083">
        <v>145.26</v>
      </c>
      <c r="E3083">
        <v>142.68</v>
      </c>
      <c r="F3083">
        <v>51053</v>
      </c>
      <c r="H3083">
        <f>_xlfn.LET(_xlpm.v, IFERROR(VLOOKUP($A3083, manifest!$A:$E, 3, FALSE), ""), IF(OR(_xlpm.v=0, _xlpm.v=""), "", _xlpm.v))</f>
        <v>70</v>
      </c>
      <c r="I3083" t="str">
        <f>_xlfn.LET(_xlpm.v, IFERROR(VLOOKUP($A3083, manifest!$A:$E, 5, FALSE), ""), IF(OR(_xlpm.v=0, _xlpm.v=""), "", _xlpm.v))</f>
        <v>male</v>
      </c>
    </row>
    <row r="3084" spans="1:9" x14ac:dyDescent="0.6">
      <c r="A3084">
        <v>647</v>
      </c>
      <c r="B3084" t="s">
        <v>14</v>
      </c>
      <c r="C3084" t="s">
        <v>13</v>
      </c>
      <c r="D3084">
        <v>188.55</v>
      </c>
      <c r="E3084">
        <v>166.32</v>
      </c>
      <c r="F3084">
        <v>53456</v>
      </c>
      <c r="H3084">
        <f>_xlfn.LET(_xlpm.v, IFERROR(VLOOKUP($A3084, manifest!$A:$E, 3, FALSE), ""), IF(OR(_xlpm.v=0, _xlpm.v=""), "", _xlpm.v))</f>
        <v>70</v>
      </c>
      <c r="I3084" t="str">
        <f>_xlfn.LET(_xlpm.v, IFERROR(VLOOKUP($A3084, manifest!$A:$E, 5, FALSE), ""), IF(OR(_xlpm.v=0, _xlpm.v=""), "", _xlpm.v))</f>
        <v>male</v>
      </c>
    </row>
    <row r="3085" spans="1:9" x14ac:dyDescent="0.6">
      <c r="A3085">
        <v>668</v>
      </c>
      <c r="B3085" t="s">
        <v>14</v>
      </c>
      <c r="C3085" t="s">
        <v>8</v>
      </c>
      <c r="D3085">
        <v>225.28</v>
      </c>
      <c r="E3085">
        <v>149.58000000000001</v>
      </c>
      <c r="F3085">
        <v>47293</v>
      </c>
      <c r="G3085" t="s">
        <v>9</v>
      </c>
      <c r="H3085">
        <f>_xlfn.LET(_xlpm.v, IFERROR(VLOOKUP($A3085, manifest!$A:$E, 3, FALSE), ""), IF(OR(_xlpm.v=0, _xlpm.v=""), "", _xlpm.v))</f>
        <v>50</v>
      </c>
      <c r="I3085" t="str">
        <f>_xlfn.LET(_xlpm.v, IFERROR(VLOOKUP($A3085, manifest!$A:$E, 5, FALSE), ""), IF(OR(_xlpm.v=0, _xlpm.v=""), "", _xlpm.v))</f>
        <v>male</v>
      </c>
    </row>
    <row r="3086" spans="1:9" x14ac:dyDescent="0.6">
      <c r="A3086">
        <v>668</v>
      </c>
      <c r="B3086" t="s">
        <v>14</v>
      </c>
      <c r="C3086" t="s">
        <v>10</v>
      </c>
      <c r="D3086">
        <v>239.72</v>
      </c>
      <c r="E3086">
        <v>182.07</v>
      </c>
      <c r="F3086">
        <v>52561</v>
      </c>
      <c r="H3086">
        <f>_xlfn.LET(_xlpm.v, IFERROR(VLOOKUP($A3086, manifest!$A:$E, 3, FALSE), ""), IF(OR(_xlpm.v=0, _xlpm.v=""), "", _xlpm.v))</f>
        <v>50</v>
      </c>
      <c r="I3086" t="str">
        <f>_xlfn.LET(_xlpm.v, IFERROR(VLOOKUP($A3086, manifest!$A:$E, 5, FALSE), ""), IF(OR(_xlpm.v=0, _xlpm.v=""), "", _xlpm.v))</f>
        <v>male</v>
      </c>
    </row>
    <row r="3087" spans="1:9" x14ac:dyDescent="0.6">
      <c r="A3087">
        <v>668</v>
      </c>
      <c r="B3087" t="s">
        <v>14</v>
      </c>
      <c r="C3087" t="s">
        <v>11</v>
      </c>
      <c r="D3087">
        <v>228.32</v>
      </c>
      <c r="E3087">
        <v>188.28</v>
      </c>
      <c r="F3087">
        <v>59361</v>
      </c>
      <c r="H3087">
        <f>_xlfn.LET(_xlpm.v, IFERROR(VLOOKUP($A3087, manifest!$A:$E, 3, FALSE), ""), IF(OR(_xlpm.v=0, _xlpm.v=""), "", _xlpm.v))</f>
        <v>50</v>
      </c>
      <c r="I3087" t="str">
        <f>_xlfn.LET(_xlpm.v, IFERROR(VLOOKUP($A3087, manifest!$A:$E, 5, FALSE), ""), IF(OR(_xlpm.v=0, _xlpm.v=""), "", _xlpm.v))</f>
        <v>male</v>
      </c>
    </row>
    <row r="3088" spans="1:9" x14ac:dyDescent="0.6">
      <c r="A3088">
        <v>668</v>
      </c>
      <c r="B3088" t="s">
        <v>14</v>
      </c>
      <c r="C3088" t="s">
        <v>12</v>
      </c>
      <c r="D3088">
        <v>265.72000000000003</v>
      </c>
      <c r="E3088">
        <v>241.69</v>
      </c>
      <c r="F3088">
        <v>70445</v>
      </c>
      <c r="H3088">
        <f>_xlfn.LET(_xlpm.v, IFERROR(VLOOKUP($A3088, manifest!$A:$E, 3, FALSE), ""), IF(OR(_xlpm.v=0, _xlpm.v=""), "", _xlpm.v))</f>
        <v>50</v>
      </c>
      <c r="I3088" t="str">
        <f>_xlfn.LET(_xlpm.v, IFERROR(VLOOKUP($A3088, manifest!$A:$E, 5, FALSE), ""), IF(OR(_xlpm.v=0, _xlpm.v=""), "", _xlpm.v))</f>
        <v>male</v>
      </c>
    </row>
    <row r="3089" spans="1:9" x14ac:dyDescent="0.6">
      <c r="A3089">
        <v>668</v>
      </c>
      <c r="B3089" t="s">
        <v>14</v>
      </c>
      <c r="C3089" t="s">
        <v>13</v>
      </c>
      <c r="D3089">
        <v>260.04000000000002</v>
      </c>
      <c r="E3089">
        <v>192.61</v>
      </c>
      <c r="F3089">
        <v>77951</v>
      </c>
      <c r="H3089">
        <f>_xlfn.LET(_xlpm.v, IFERROR(VLOOKUP($A3089, manifest!$A:$E, 3, FALSE), ""), IF(OR(_xlpm.v=0, _xlpm.v=""), "", _xlpm.v))</f>
        <v>50</v>
      </c>
      <c r="I3089" t="str">
        <f>_xlfn.LET(_xlpm.v, IFERROR(VLOOKUP($A3089, manifest!$A:$E, 5, FALSE), ""), IF(OR(_xlpm.v=0, _xlpm.v=""), "", _xlpm.v))</f>
        <v>male</v>
      </c>
    </row>
    <row r="3090" spans="1:9" x14ac:dyDescent="0.6">
      <c r="A3090">
        <v>653</v>
      </c>
      <c r="B3090" t="s">
        <v>7</v>
      </c>
      <c r="C3090" t="s">
        <v>8</v>
      </c>
      <c r="D3090">
        <v>145.63</v>
      </c>
      <c r="E3090">
        <v>84.29</v>
      </c>
      <c r="F3090">
        <v>33568</v>
      </c>
      <c r="G3090" t="s">
        <v>15</v>
      </c>
      <c r="H3090">
        <f>_xlfn.LET(_xlpm.v, IFERROR(VLOOKUP($A3090, manifest!$A:$E, 3, FALSE), ""), IF(OR(_xlpm.v=0, _xlpm.v=""), "", _xlpm.v))</f>
        <v>70</v>
      </c>
      <c r="I3090" t="str">
        <f>_xlfn.LET(_xlpm.v, IFERROR(VLOOKUP($A3090, manifest!$A:$E, 5, FALSE), ""), IF(OR(_xlpm.v=0, _xlpm.v=""), "", _xlpm.v))</f>
        <v>female</v>
      </c>
    </row>
    <row r="3091" spans="1:9" x14ac:dyDescent="0.6">
      <c r="A3091">
        <v>653</v>
      </c>
      <c r="B3091" t="s">
        <v>7</v>
      </c>
      <c r="C3091" t="s">
        <v>10</v>
      </c>
      <c r="D3091">
        <v>141.91999999999999</v>
      </c>
      <c r="E3091">
        <v>112.02</v>
      </c>
      <c r="F3091">
        <v>39443</v>
      </c>
      <c r="H3091">
        <f>_xlfn.LET(_xlpm.v, IFERROR(VLOOKUP($A3091, manifest!$A:$E, 3, FALSE), ""), IF(OR(_xlpm.v=0, _xlpm.v=""), "", _xlpm.v))</f>
        <v>70</v>
      </c>
      <c r="I3091" t="str">
        <f>_xlfn.LET(_xlpm.v, IFERROR(VLOOKUP($A3091, manifest!$A:$E, 5, FALSE), ""), IF(OR(_xlpm.v=0, _xlpm.v=""), "", _xlpm.v))</f>
        <v>female</v>
      </c>
    </row>
    <row r="3092" spans="1:9" x14ac:dyDescent="0.6">
      <c r="A3092">
        <v>653</v>
      </c>
      <c r="B3092" t="s">
        <v>7</v>
      </c>
      <c r="C3092" t="s">
        <v>11</v>
      </c>
      <c r="D3092">
        <v>151.76</v>
      </c>
      <c r="E3092">
        <v>147.55000000000001</v>
      </c>
      <c r="F3092">
        <v>42822</v>
      </c>
      <c r="H3092">
        <f>_xlfn.LET(_xlpm.v, IFERROR(VLOOKUP($A3092, manifest!$A:$E, 3, FALSE), ""), IF(OR(_xlpm.v=0, _xlpm.v=""), "", _xlpm.v))</f>
        <v>70</v>
      </c>
      <c r="I3092" t="str">
        <f>_xlfn.LET(_xlpm.v, IFERROR(VLOOKUP($A3092, manifest!$A:$E, 5, FALSE), ""), IF(OR(_xlpm.v=0, _xlpm.v=""), "", _xlpm.v))</f>
        <v>female</v>
      </c>
    </row>
    <row r="3093" spans="1:9" x14ac:dyDescent="0.6">
      <c r="A3093">
        <v>653</v>
      </c>
      <c r="B3093" t="s">
        <v>7</v>
      </c>
      <c r="C3093" t="s">
        <v>12</v>
      </c>
      <c r="D3093">
        <v>137.22</v>
      </c>
      <c r="E3093">
        <v>103.33</v>
      </c>
      <c r="F3093">
        <v>51955</v>
      </c>
      <c r="H3093">
        <f>_xlfn.LET(_xlpm.v, IFERROR(VLOOKUP($A3093, manifest!$A:$E, 3, FALSE), ""), IF(OR(_xlpm.v=0, _xlpm.v=""), "", _xlpm.v))</f>
        <v>70</v>
      </c>
      <c r="I3093" t="str">
        <f>_xlfn.LET(_xlpm.v, IFERROR(VLOOKUP($A3093, manifest!$A:$E, 5, FALSE), ""), IF(OR(_xlpm.v=0, _xlpm.v=""), "", _xlpm.v))</f>
        <v>female</v>
      </c>
    </row>
    <row r="3094" spans="1:9" x14ac:dyDescent="0.6">
      <c r="A3094">
        <v>639</v>
      </c>
      <c r="B3094" t="s">
        <v>7</v>
      </c>
      <c r="C3094" t="s">
        <v>8</v>
      </c>
      <c r="D3094">
        <v>168.93</v>
      </c>
      <c r="E3094">
        <v>185.25</v>
      </c>
      <c r="F3094">
        <v>19537</v>
      </c>
      <c r="G3094" t="s">
        <v>9</v>
      </c>
      <c r="H3094">
        <f>_xlfn.LET(_xlpm.v, IFERROR(VLOOKUP($A3094, manifest!$A:$E, 3, FALSE), ""), IF(OR(_xlpm.v=0, _xlpm.v=""), "", _xlpm.v))</f>
        <v>60</v>
      </c>
      <c r="I3094" t="str">
        <f>_xlfn.LET(_xlpm.v, IFERROR(VLOOKUP($A3094, manifest!$A:$E, 5, FALSE), ""), IF(OR(_xlpm.v=0, _xlpm.v=""), "", _xlpm.v))</f>
        <v>female</v>
      </c>
    </row>
    <row r="3095" spans="1:9" x14ac:dyDescent="0.6">
      <c r="A3095">
        <v>639</v>
      </c>
      <c r="B3095" t="s">
        <v>7</v>
      </c>
      <c r="C3095" t="s">
        <v>10</v>
      </c>
      <c r="D3095">
        <v>164.18</v>
      </c>
      <c r="E3095">
        <v>205.48</v>
      </c>
      <c r="F3095">
        <v>26138</v>
      </c>
      <c r="H3095">
        <f>_xlfn.LET(_xlpm.v, IFERROR(VLOOKUP($A3095, manifest!$A:$E, 3, FALSE), ""), IF(OR(_xlpm.v=0, _xlpm.v=""), "", _xlpm.v))</f>
        <v>60</v>
      </c>
      <c r="I3095" t="str">
        <f>_xlfn.LET(_xlpm.v, IFERROR(VLOOKUP($A3095, manifest!$A:$E, 5, FALSE), ""), IF(OR(_xlpm.v=0, _xlpm.v=""), "", _xlpm.v))</f>
        <v>female</v>
      </c>
    </row>
    <row r="3096" spans="1:9" x14ac:dyDescent="0.6">
      <c r="A3096">
        <v>639</v>
      </c>
      <c r="B3096" t="s">
        <v>7</v>
      </c>
      <c r="C3096" t="s">
        <v>11</v>
      </c>
      <c r="D3096">
        <v>168.33</v>
      </c>
      <c r="E3096">
        <v>192.24</v>
      </c>
      <c r="F3096">
        <v>33874</v>
      </c>
      <c r="H3096">
        <f>_xlfn.LET(_xlpm.v, IFERROR(VLOOKUP($A3096, manifest!$A:$E, 3, FALSE), ""), IF(OR(_xlpm.v=0, _xlpm.v=""), "", _xlpm.v))</f>
        <v>60</v>
      </c>
      <c r="I3096" t="str">
        <f>_xlfn.LET(_xlpm.v, IFERROR(VLOOKUP($A3096, manifest!$A:$E, 5, FALSE), ""), IF(OR(_xlpm.v=0, _xlpm.v=""), "", _xlpm.v))</f>
        <v>female</v>
      </c>
    </row>
    <row r="3097" spans="1:9" x14ac:dyDescent="0.6">
      <c r="A3097">
        <v>639</v>
      </c>
      <c r="B3097" t="s">
        <v>7</v>
      </c>
      <c r="C3097" t="s">
        <v>12</v>
      </c>
      <c r="D3097">
        <v>233.95</v>
      </c>
      <c r="E3097">
        <v>271.79000000000002</v>
      </c>
      <c r="F3097">
        <v>34298</v>
      </c>
      <c r="H3097">
        <f>_xlfn.LET(_xlpm.v, IFERROR(VLOOKUP($A3097, manifest!$A:$E, 3, FALSE), ""), IF(OR(_xlpm.v=0, _xlpm.v=""), "", _xlpm.v))</f>
        <v>60</v>
      </c>
      <c r="I3097" t="str">
        <f>_xlfn.LET(_xlpm.v, IFERROR(VLOOKUP($A3097, manifest!$A:$E, 5, FALSE), ""), IF(OR(_xlpm.v=0, _xlpm.v=""), "", _xlpm.v))</f>
        <v>female</v>
      </c>
    </row>
    <row r="3098" spans="1:9" x14ac:dyDescent="0.6">
      <c r="A3098">
        <v>639</v>
      </c>
      <c r="B3098" t="s">
        <v>7</v>
      </c>
      <c r="C3098" t="s">
        <v>13</v>
      </c>
      <c r="D3098">
        <v>176.68</v>
      </c>
      <c r="E3098">
        <v>165.81</v>
      </c>
      <c r="F3098">
        <v>42090</v>
      </c>
      <c r="H3098">
        <f>_xlfn.LET(_xlpm.v, IFERROR(VLOOKUP($A3098, manifest!$A:$E, 3, FALSE), ""), IF(OR(_xlpm.v=0, _xlpm.v=""), "", _xlpm.v))</f>
        <v>60</v>
      </c>
      <c r="I3098" t="str">
        <f>_xlfn.LET(_xlpm.v, IFERROR(VLOOKUP($A3098, manifest!$A:$E, 5, FALSE), ""), IF(OR(_xlpm.v=0, _xlpm.v=""), "", _xlpm.v))</f>
        <v>female</v>
      </c>
    </row>
    <row r="3099" spans="1:9" x14ac:dyDescent="0.6">
      <c r="A3099">
        <v>658</v>
      </c>
      <c r="B3099" t="s">
        <v>14</v>
      </c>
      <c r="C3099" t="s">
        <v>8</v>
      </c>
      <c r="D3099">
        <v>281.97000000000003</v>
      </c>
      <c r="E3099">
        <v>174.32</v>
      </c>
      <c r="F3099">
        <v>23306</v>
      </c>
      <c r="G3099" t="s">
        <v>9</v>
      </c>
      <c r="H3099">
        <f>_xlfn.LET(_xlpm.v, IFERROR(VLOOKUP($A3099, manifest!$A:$E, 3, FALSE), ""), IF(OR(_xlpm.v=0, _xlpm.v=""), "", _xlpm.v))</f>
        <v>50</v>
      </c>
      <c r="I3099" t="str">
        <f>_xlfn.LET(_xlpm.v, IFERROR(VLOOKUP($A3099, manifest!$A:$E, 5, FALSE), ""), IF(OR(_xlpm.v=0, _xlpm.v=""), "", _xlpm.v))</f>
        <v>female</v>
      </c>
    </row>
    <row r="3100" spans="1:9" x14ac:dyDescent="0.6">
      <c r="A3100">
        <v>658</v>
      </c>
      <c r="B3100" t="s">
        <v>14</v>
      </c>
      <c r="C3100" t="s">
        <v>10</v>
      </c>
      <c r="D3100">
        <v>308.42</v>
      </c>
      <c r="E3100">
        <v>192.46</v>
      </c>
      <c r="F3100">
        <v>27392</v>
      </c>
      <c r="H3100">
        <f>_xlfn.LET(_xlpm.v, IFERROR(VLOOKUP($A3100, manifest!$A:$E, 3, FALSE), ""), IF(OR(_xlpm.v=0, _xlpm.v=""), "", _xlpm.v))</f>
        <v>50</v>
      </c>
      <c r="I3100" t="str">
        <f>_xlfn.LET(_xlpm.v, IFERROR(VLOOKUP($A3100, manifest!$A:$E, 5, FALSE), ""), IF(OR(_xlpm.v=0, _xlpm.v=""), "", _xlpm.v))</f>
        <v>female</v>
      </c>
    </row>
    <row r="3101" spans="1:9" x14ac:dyDescent="0.6">
      <c r="A3101">
        <v>658</v>
      </c>
      <c r="B3101" t="s">
        <v>14</v>
      </c>
      <c r="C3101" t="s">
        <v>11</v>
      </c>
      <c r="D3101">
        <v>289.72000000000003</v>
      </c>
      <c r="E3101">
        <v>193.68</v>
      </c>
      <c r="F3101">
        <v>33681</v>
      </c>
      <c r="H3101">
        <f>_xlfn.LET(_xlpm.v, IFERROR(VLOOKUP($A3101, manifest!$A:$E, 3, FALSE), ""), IF(OR(_xlpm.v=0, _xlpm.v=""), "", _xlpm.v))</f>
        <v>50</v>
      </c>
      <c r="I3101" t="str">
        <f>_xlfn.LET(_xlpm.v, IFERROR(VLOOKUP($A3101, manifest!$A:$E, 5, FALSE), ""), IF(OR(_xlpm.v=0, _xlpm.v=""), "", _xlpm.v))</f>
        <v>female</v>
      </c>
    </row>
    <row r="3102" spans="1:9" x14ac:dyDescent="0.6">
      <c r="A3102">
        <v>658</v>
      </c>
      <c r="B3102" t="s">
        <v>14</v>
      </c>
      <c r="C3102" t="s">
        <v>12</v>
      </c>
      <c r="D3102">
        <v>279.04000000000002</v>
      </c>
      <c r="E3102">
        <v>195.57</v>
      </c>
      <c r="F3102">
        <v>41424</v>
      </c>
      <c r="H3102">
        <f>_xlfn.LET(_xlpm.v, IFERROR(VLOOKUP($A3102, manifest!$A:$E, 3, FALSE), ""), IF(OR(_xlpm.v=0, _xlpm.v=""), "", _xlpm.v))</f>
        <v>50</v>
      </c>
      <c r="I3102" t="str">
        <f>_xlfn.LET(_xlpm.v, IFERROR(VLOOKUP($A3102, manifest!$A:$E, 5, FALSE), ""), IF(OR(_xlpm.v=0, _xlpm.v=""), "", _xlpm.v))</f>
        <v>female</v>
      </c>
    </row>
    <row r="3103" spans="1:9" x14ac:dyDescent="0.6">
      <c r="A3103">
        <v>658</v>
      </c>
      <c r="B3103" t="s">
        <v>14</v>
      </c>
      <c r="C3103" t="s">
        <v>13</v>
      </c>
      <c r="D3103">
        <v>301.04000000000002</v>
      </c>
      <c r="E3103">
        <v>224</v>
      </c>
      <c r="F3103">
        <v>46510</v>
      </c>
      <c r="H3103">
        <f>_xlfn.LET(_xlpm.v, IFERROR(VLOOKUP($A3103, manifest!$A:$E, 3, FALSE), ""), IF(OR(_xlpm.v=0, _xlpm.v=""), "", _xlpm.v))</f>
        <v>50</v>
      </c>
      <c r="I3103" t="str">
        <f>_xlfn.LET(_xlpm.v, IFERROR(VLOOKUP($A3103, manifest!$A:$E, 5, FALSE), ""), IF(OR(_xlpm.v=0, _xlpm.v=""), "", _xlpm.v))</f>
        <v>female</v>
      </c>
    </row>
    <row r="3104" spans="1:9" x14ac:dyDescent="0.6">
      <c r="A3104">
        <v>661</v>
      </c>
      <c r="B3104" t="s">
        <v>14</v>
      </c>
      <c r="C3104" t="s">
        <v>8</v>
      </c>
      <c r="D3104">
        <v>226.18</v>
      </c>
      <c r="E3104">
        <v>194.14</v>
      </c>
      <c r="F3104">
        <v>29008</v>
      </c>
      <c r="G3104" t="s">
        <v>9</v>
      </c>
      <c r="H3104">
        <f>_xlfn.LET(_xlpm.v, IFERROR(VLOOKUP($A3104, manifest!$A:$E, 3, FALSE), ""), IF(OR(_xlpm.v=0, _xlpm.v=""), "", _xlpm.v))</f>
        <v>70</v>
      </c>
      <c r="I3104" t="str">
        <f>_xlfn.LET(_xlpm.v, IFERROR(VLOOKUP($A3104, manifest!$A:$E, 5, FALSE), ""), IF(OR(_xlpm.v=0, _xlpm.v=""), "", _xlpm.v))</f>
        <v>female</v>
      </c>
    </row>
    <row r="3105" spans="1:9" x14ac:dyDescent="0.6">
      <c r="A3105">
        <v>661</v>
      </c>
      <c r="B3105" t="s">
        <v>14</v>
      </c>
      <c r="C3105" t="s">
        <v>10</v>
      </c>
      <c r="D3105">
        <v>237.39</v>
      </c>
      <c r="E3105">
        <v>238.39</v>
      </c>
      <c r="F3105">
        <v>32737</v>
      </c>
      <c r="H3105">
        <f>_xlfn.LET(_xlpm.v, IFERROR(VLOOKUP($A3105, manifest!$A:$E, 3, FALSE), ""), IF(OR(_xlpm.v=0, _xlpm.v=""), "", _xlpm.v))</f>
        <v>70</v>
      </c>
      <c r="I3105" t="str">
        <f>_xlfn.LET(_xlpm.v, IFERROR(VLOOKUP($A3105, manifest!$A:$E, 5, FALSE), ""), IF(OR(_xlpm.v=0, _xlpm.v=""), "", _xlpm.v))</f>
        <v>female</v>
      </c>
    </row>
    <row r="3106" spans="1:9" x14ac:dyDescent="0.6">
      <c r="A3106">
        <v>661</v>
      </c>
      <c r="B3106" t="s">
        <v>14</v>
      </c>
      <c r="C3106" t="s">
        <v>11</v>
      </c>
      <c r="D3106">
        <v>231.2</v>
      </c>
      <c r="E3106">
        <v>238.51</v>
      </c>
      <c r="F3106">
        <v>36166</v>
      </c>
      <c r="H3106">
        <f>_xlfn.LET(_xlpm.v, IFERROR(VLOOKUP($A3106, manifest!$A:$E, 3, FALSE), ""), IF(OR(_xlpm.v=0, _xlpm.v=""), "", _xlpm.v))</f>
        <v>70</v>
      </c>
      <c r="I3106" t="str">
        <f>_xlfn.LET(_xlpm.v, IFERROR(VLOOKUP($A3106, manifest!$A:$E, 5, FALSE), ""), IF(OR(_xlpm.v=0, _xlpm.v=""), "", _xlpm.v))</f>
        <v>female</v>
      </c>
    </row>
    <row r="3107" spans="1:9" x14ac:dyDescent="0.6">
      <c r="A3107">
        <v>661</v>
      </c>
      <c r="B3107" t="s">
        <v>14</v>
      </c>
      <c r="C3107" t="s">
        <v>12</v>
      </c>
      <c r="D3107">
        <v>311</v>
      </c>
      <c r="E3107">
        <v>268.81</v>
      </c>
      <c r="F3107">
        <v>42115</v>
      </c>
      <c r="H3107">
        <f>_xlfn.LET(_xlpm.v, IFERROR(VLOOKUP($A3107, manifest!$A:$E, 3, FALSE), ""), IF(OR(_xlpm.v=0, _xlpm.v=""), "", _xlpm.v))</f>
        <v>70</v>
      </c>
      <c r="I3107" t="str">
        <f>_xlfn.LET(_xlpm.v, IFERROR(VLOOKUP($A3107, manifest!$A:$E, 5, FALSE), ""), IF(OR(_xlpm.v=0, _xlpm.v=""), "", _xlpm.v))</f>
        <v>female</v>
      </c>
    </row>
    <row r="3108" spans="1:9" x14ac:dyDescent="0.6">
      <c r="A3108">
        <v>661</v>
      </c>
      <c r="B3108" t="s">
        <v>14</v>
      </c>
      <c r="C3108" t="s">
        <v>13</v>
      </c>
      <c r="D3108">
        <v>317.87</v>
      </c>
      <c r="E3108">
        <v>231.68</v>
      </c>
      <c r="F3108">
        <v>45700</v>
      </c>
      <c r="H3108">
        <f>_xlfn.LET(_xlpm.v, IFERROR(VLOOKUP($A3108, manifest!$A:$E, 3, FALSE), ""), IF(OR(_xlpm.v=0, _xlpm.v=""), "", _xlpm.v))</f>
        <v>70</v>
      </c>
      <c r="I3108" t="str">
        <f>_xlfn.LET(_xlpm.v, IFERROR(VLOOKUP($A3108, manifest!$A:$E, 5, FALSE), ""), IF(OR(_xlpm.v=0, _xlpm.v=""), "", _xlpm.v))</f>
        <v>female</v>
      </c>
    </row>
    <row r="3109" spans="1:9" x14ac:dyDescent="0.6">
      <c r="A3109">
        <v>642</v>
      </c>
      <c r="B3109" t="s">
        <v>7</v>
      </c>
      <c r="C3109" t="s">
        <v>8</v>
      </c>
      <c r="D3109">
        <v>97.4</v>
      </c>
      <c r="E3109">
        <v>77.48</v>
      </c>
      <c r="F3109">
        <v>34180</v>
      </c>
      <c r="G3109" t="s">
        <v>17</v>
      </c>
      <c r="H3109">
        <f>_xlfn.LET(_xlpm.v, IFERROR(VLOOKUP($A3109, manifest!$A:$E, 3, FALSE), ""), IF(OR(_xlpm.v=0, _xlpm.v=""), "", _xlpm.v))</f>
        <v>60</v>
      </c>
      <c r="I3109" t="str">
        <f>_xlfn.LET(_xlpm.v, IFERROR(VLOOKUP($A3109, manifest!$A:$E, 5, FALSE), ""), IF(OR(_xlpm.v=0, _xlpm.v=""), "", _xlpm.v))</f>
        <v>female</v>
      </c>
    </row>
    <row r="3110" spans="1:9" x14ac:dyDescent="0.6">
      <c r="A3110">
        <v>642</v>
      </c>
      <c r="B3110" t="s">
        <v>7</v>
      </c>
      <c r="C3110" t="s">
        <v>10</v>
      </c>
      <c r="D3110">
        <v>120.06</v>
      </c>
      <c r="E3110">
        <v>108.04</v>
      </c>
      <c r="F3110">
        <v>35975</v>
      </c>
      <c r="H3110">
        <f>_xlfn.LET(_xlpm.v, IFERROR(VLOOKUP($A3110, manifest!$A:$E, 3, FALSE), ""), IF(OR(_xlpm.v=0, _xlpm.v=""), "", _xlpm.v))</f>
        <v>60</v>
      </c>
      <c r="I3110" t="str">
        <f>_xlfn.LET(_xlpm.v, IFERROR(VLOOKUP($A3110, manifest!$A:$E, 5, FALSE), ""), IF(OR(_xlpm.v=0, _xlpm.v=""), "", _xlpm.v))</f>
        <v>female</v>
      </c>
    </row>
    <row r="3111" spans="1:9" x14ac:dyDescent="0.6">
      <c r="A3111">
        <v>642</v>
      </c>
      <c r="B3111" t="s">
        <v>7</v>
      </c>
      <c r="C3111" t="s">
        <v>11</v>
      </c>
      <c r="D3111">
        <v>116.72</v>
      </c>
      <c r="E3111">
        <v>119.94</v>
      </c>
      <c r="F3111">
        <v>38621</v>
      </c>
      <c r="H3111">
        <f>_xlfn.LET(_xlpm.v, IFERROR(VLOOKUP($A3111, manifest!$A:$E, 3, FALSE), ""), IF(OR(_xlpm.v=0, _xlpm.v=""), "", _xlpm.v))</f>
        <v>60</v>
      </c>
      <c r="I3111" t="str">
        <f>_xlfn.LET(_xlpm.v, IFERROR(VLOOKUP($A3111, manifest!$A:$E, 5, FALSE), ""), IF(OR(_xlpm.v=0, _xlpm.v=""), "", _xlpm.v))</f>
        <v>female</v>
      </c>
    </row>
    <row r="3112" spans="1:9" x14ac:dyDescent="0.6">
      <c r="A3112">
        <v>642</v>
      </c>
      <c r="B3112" t="s">
        <v>7</v>
      </c>
      <c r="C3112" t="s">
        <v>12</v>
      </c>
      <c r="D3112">
        <v>141</v>
      </c>
      <c r="E3112">
        <v>144.63</v>
      </c>
      <c r="F3112">
        <v>40600</v>
      </c>
      <c r="H3112">
        <f>_xlfn.LET(_xlpm.v, IFERROR(VLOOKUP($A3112, manifest!$A:$E, 3, FALSE), ""), IF(OR(_xlpm.v=0, _xlpm.v=""), "", _xlpm.v))</f>
        <v>60</v>
      </c>
      <c r="I3112" t="str">
        <f>_xlfn.LET(_xlpm.v, IFERROR(VLOOKUP($A3112, manifest!$A:$E, 5, FALSE), ""), IF(OR(_xlpm.v=0, _xlpm.v=""), "", _xlpm.v))</f>
        <v>female</v>
      </c>
    </row>
    <row r="3113" spans="1:9" x14ac:dyDescent="0.6">
      <c r="A3113">
        <v>642</v>
      </c>
      <c r="B3113" t="s">
        <v>7</v>
      </c>
      <c r="C3113" t="s">
        <v>13</v>
      </c>
      <c r="D3113">
        <v>119.54</v>
      </c>
      <c r="E3113">
        <v>135.85</v>
      </c>
      <c r="F3113">
        <v>56774</v>
      </c>
      <c r="H3113">
        <f>_xlfn.LET(_xlpm.v, IFERROR(VLOOKUP($A3113, manifest!$A:$E, 3, FALSE), ""), IF(OR(_xlpm.v=0, _xlpm.v=""), "", _xlpm.v))</f>
        <v>60</v>
      </c>
      <c r="I3113" t="str">
        <f>_xlfn.LET(_xlpm.v, IFERROR(VLOOKUP($A3113, manifest!$A:$E, 5, FALSE), ""), IF(OR(_xlpm.v=0, _xlpm.v=""), "", _xlpm.v))</f>
        <v>female</v>
      </c>
    </row>
    <row r="3114" spans="1:9" x14ac:dyDescent="0.6">
      <c r="A3114">
        <v>660</v>
      </c>
      <c r="B3114" t="s">
        <v>14</v>
      </c>
      <c r="C3114" t="s">
        <v>8</v>
      </c>
      <c r="D3114">
        <v>225.05</v>
      </c>
      <c r="E3114">
        <v>138.88999999999999</v>
      </c>
      <c r="F3114">
        <v>19552</v>
      </c>
      <c r="G3114" t="s">
        <v>9</v>
      </c>
      <c r="H3114">
        <f>_xlfn.LET(_xlpm.v, IFERROR(VLOOKUP($A3114, manifest!$A:$E, 3, FALSE), ""), IF(OR(_xlpm.v=0, _xlpm.v=""), "", _xlpm.v))</f>
        <v>60</v>
      </c>
      <c r="I3114" t="str">
        <f>_xlfn.LET(_xlpm.v, IFERROR(VLOOKUP($A3114, manifest!$A:$E, 5, FALSE), ""), IF(OR(_xlpm.v=0, _xlpm.v=""), "", _xlpm.v))</f>
        <v>female</v>
      </c>
    </row>
    <row r="3115" spans="1:9" x14ac:dyDescent="0.6">
      <c r="A3115">
        <v>660</v>
      </c>
      <c r="B3115" t="s">
        <v>14</v>
      </c>
      <c r="C3115" t="s">
        <v>10</v>
      </c>
      <c r="D3115">
        <v>248.64</v>
      </c>
      <c r="E3115">
        <v>163.87</v>
      </c>
      <c r="F3115">
        <v>23637</v>
      </c>
      <c r="H3115">
        <f>_xlfn.LET(_xlpm.v, IFERROR(VLOOKUP($A3115, manifest!$A:$E, 3, FALSE), ""), IF(OR(_xlpm.v=0, _xlpm.v=""), "", _xlpm.v))</f>
        <v>60</v>
      </c>
      <c r="I3115" t="str">
        <f>_xlfn.LET(_xlpm.v, IFERROR(VLOOKUP($A3115, manifest!$A:$E, 5, FALSE), ""), IF(OR(_xlpm.v=0, _xlpm.v=""), "", _xlpm.v))</f>
        <v>female</v>
      </c>
    </row>
    <row r="3116" spans="1:9" x14ac:dyDescent="0.6">
      <c r="A3116">
        <v>660</v>
      </c>
      <c r="B3116" t="s">
        <v>14</v>
      </c>
      <c r="C3116" t="s">
        <v>11</v>
      </c>
      <c r="D3116">
        <v>350.68</v>
      </c>
      <c r="E3116">
        <v>222.36</v>
      </c>
      <c r="F3116">
        <v>24241</v>
      </c>
      <c r="H3116">
        <f>_xlfn.LET(_xlpm.v, IFERROR(VLOOKUP($A3116, manifest!$A:$E, 3, FALSE), ""), IF(OR(_xlpm.v=0, _xlpm.v=""), "", _xlpm.v))</f>
        <v>60</v>
      </c>
      <c r="I3116" t="str">
        <f>_xlfn.LET(_xlpm.v, IFERROR(VLOOKUP($A3116, manifest!$A:$E, 5, FALSE), ""), IF(OR(_xlpm.v=0, _xlpm.v=""), "", _xlpm.v))</f>
        <v>female</v>
      </c>
    </row>
    <row r="3117" spans="1:9" x14ac:dyDescent="0.6">
      <c r="A3117">
        <v>660</v>
      </c>
      <c r="B3117" t="s">
        <v>14</v>
      </c>
      <c r="C3117" t="s">
        <v>12</v>
      </c>
      <c r="D3117">
        <v>320.51</v>
      </c>
      <c r="E3117">
        <v>247.16</v>
      </c>
      <c r="F3117">
        <v>26860</v>
      </c>
      <c r="H3117">
        <f>_xlfn.LET(_xlpm.v, IFERROR(VLOOKUP($A3117, manifest!$A:$E, 3, FALSE), ""), IF(OR(_xlpm.v=0, _xlpm.v=""), "", _xlpm.v))</f>
        <v>60</v>
      </c>
      <c r="I3117" t="str">
        <f>_xlfn.LET(_xlpm.v, IFERROR(VLOOKUP($A3117, manifest!$A:$E, 5, FALSE), ""), IF(OR(_xlpm.v=0, _xlpm.v=""), "", _xlpm.v))</f>
        <v>female</v>
      </c>
    </row>
    <row r="3118" spans="1:9" x14ac:dyDescent="0.6">
      <c r="A3118">
        <v>660</v>
      </c>
      <c r="B3118" t="s">
        <v>14</v>
      </c>
      <c r="C3118" t="s">
        <v>13</v>
      </c>
      <c r="D3118">
        <v>283.32</v>
      </c>
      <c r="E3118">
        <v>209.59</v>
      </c>
      <c r="F3118">
        <v>28064</v>
      </c>
      <c r="H3118">
        <f>_xlfn.LET(_xlpm.v, IFERROR(VLOOKUP($A3118, manifest!$A:$E, 3, FALSE), ""), IF(OR(_xlpm.v=0, _xlpm.v=""), "", _xlpm.v))</f>
        <v>60</v>
      </c>
      <c r="I3118" t="str">
        <f>_xlfn.LET(_xlpm.v, IFERROR(VLOOKUP($A3118, manifest!$A:$E, 5, FALSE), ""), IF(OR(_xlpm.v=0, _xlpm.v=""), "", _xlpm.v))</f>
        <v>female</v>
      </c>
    </row>
    <row r="3119" spans="1:9" x14ac:dyDescent="0.6">
      <c r="A3119">
        <v>666</v>
      </c>
      <c r="B3119" t="s">
        <v>14</v>
      </c>
      <c r="C3119" t="s">
        <v>8</v>
      </c>
      <c r="D3119">
        <v>175.4</v>
      </c>
      <c r="E3119">
        <v>118.75</v>
      </c>
      <c r="F3119">
        <v>16541</v>
      </c>
      <c r="G3119" t="s">
        <v>9</v>
      </c>
      <c r="H3119">
        <f>_xlfn.LET(_xlpm.v, IFERROR(VLOOKUP($A3119, manifest!$A:$E, 3, FALSE), ""), IF(OR(_xlpm.v=0, _xlpm.v=""), "", _xlpm.v))</f>
        <v>70</v>
      </c>
      <c r="I3119" t="str">
        <f>_xlfn.LET(_xlpm.v, IFERROR(VLOOKUP($A3119, manifest!$A:$E, 5, FALSE), ""), IF(OR(_xlpm.v=0, _xlpm.v=""), "", _xlpm.v))</f>
        <v>female</v>
      </c>
    </row>
    <row r="3120" spans="1:9" x14ac:dyDescent="0.6">
      <c r="A3120">
        <v>666</v>
      </c>
      <c r="B3120" t="s">
        <v>14</v>
      </c>
      <c r="C3120" t="s">
        <v>10</v>
      </c>
      <c r="D3120">
        <v>186.77</v>
      </c>
      <c r="E3120">
        <v>154.96</v>
      </c>
      <c r="F3120">
        <v>16702</v>
      </c>
      <c r="H3120">
        <f>_xlfn.LET(_xlpm.v, IFERROR(VLOOKUP($A3120, manifest!$A:$E, 3, FALSE), ""), IF(OR(_xlpm.v=0, _xlpm.v=""), "", _xlpm.v))</f>
        <v>70</v>
      </c>
      <c r="I3120" t="str">
        <f>_xlfn.LET(_xlpm.v, IFERROR(VLOOKUP($A3120, manifest!$A:$E, 5, FALSE), ""), IF(OR(_xlpm.v=0, _xlpm.v=""), "", _xlpm.v))</f>
        <v>female</v>
      </c>
    </row>
    <row r="3121" spans="1:9" x14ac:dyDescent="0.6">
      <c r="A3121">
        <v>666</v>
      </c>
      <c r="B3121" t="s">
        <v>14</v>
      </c>
      <c r="C3121" t="s">
        <v>11</v>
      </c>
      <c r="D3121">
        <v>192.29</v>
      </c>
      <c r="E3121">
        <v>177.88</v>
      </c>
      <c r="F3121">
        <v>19978</v>
      </c>
      <c r="H3121">
        <f>_xlfn.LET(_xlpm.v, IFERROR(VLOOKUP($A3121, manifest!$A:$E, 3, FALSE), ""), IF(OR(_xlpm.v=0, _xlpm.v=""), "", _xlpm.v))</f>
        <v>70</v>
      </c>
      <c r="I3121" t="str">
        <f>_xlfn.LET(_xlpm.v, IFERROR(VLOOKUP($A3121, manifest!$A:$E, 5, FALSE), ""), IF(OR(_xlpm.v=0, _xlpm.v=""), "", _xlpm.v))</f>
        <v>female</v>
      </c>
    </row>
    <row r="3122" spans="1:9" x14ac:dyDescent="0.6">
      <c r="A3122">
        <v>666</v>
      </c>
      <c r="B3122" t="s">
        <v>14</v>
      </c>
      <c r="C3122" t="s">
        <v>12</v>
      </c>
      <c r="D3122">
        <v>194.53</v>
      </c>
      <c r="E3122">
        <v>173.77</v>
      </c>
      <c r="F3122">
        <v>30241</v>
      </c>
      <c r="H3122">
        <f>_xlfn.LET(_xlpm.v, IFERROR(VLOOKUP($A3122, manifest!$A:$E, 3, FALSE), ""), IF(OR(_xlpm.v=0, _xlpm.v=""), "", _xlpm.v))</f>
        <v>70</v>
      </c>
      <c r="I3122" t="str">
        <f>_xlfn.LET(_xlpm.v, IFERROR(VLOOKUP($A3122, manifest!$A:$E, 5, FALSE), ""), IF(OR(_xlpm.v=0, _xlpm.v=""), "", _xlpm.v))</f>
        <v>female</v>
      </c>
    </row>
    <row r="3123" spans="1:9" x14ac:dyDescent="0.6">
      <c r="A3123">
        <v>666</v>
      </c>
      <c r="B3123" t="s">
        <v>14</v>
      </c>
      <c r="C3123" t="s">
        <v>13</v>
      </c>
      <c r="D3123">
        <v>193.8</v>
      </c>
      <c r="E3123">
        <v>189.95</v>
      </c>
      <c r="F3123">
        <v>29853</v>
      </c>
      <c r="H3123">
        <f>_xlfn.LET(_xlpm.v, IFERROR(VLOOKUP($A3123, manifest!$A:$E, 3, FALSE), ""), IF(OR(_xlpm.v=0, _xlpm.v=""), "", _xlpm.v))</f>
        <v>70</v>
      </c>
      <c r="I3123" t="str">
        <f>_xlfn.LET(_xlpm.v, IFERROR(VLOOKUP($A3123, manifest!$A:$E, 5, FALSE), ""), IF(OR(_xlpm.v=0, _xlpm.v=""), "", _xlpm.v))</f>
        <v>female</v>
      </c>
    </row>
    <row r="3124" spans="1:9" x14ac:dyDescent="0.6">
      <c r="A3124">
        <v>666</v>
      </c>
      <c r="B3124" t="s">
        <v>14</v>
      </c>
      <c r="C3124" t="s">
        <v>16</v>
      </c>
      <c r="D3124">
        <v>211.52</v>
      </c>
      <c r="E3124">
        <v>211.44</v>
      </c>
      <c r="F3124">
        <v>28298</v>
      </c>
      <c r="H3124">
        <f>_xlfn.LET(_xlpm.v, IFERROR(VLOOKUP($A3124, manifest!$A:$E, 3, FALSE), ""), IF(OR(_xlpm.v=0, _xlpm.v=""), "", _xlpm.v))</f>
        <v>70</v>
      </c>
      <c r="I3124" t="str">
        <f>_xlfn.LET(_xlpm.v, IFERROR(VLOOKUP($A3124, manifest!$A:$E, 5, FALSE), ""), IF(OR(_xlpm.v=0, _xlpm.v=""), "", _xlpm.v))</f>
        <v>female</v>
      </c>
    </row>
    <row r="3125" spans="1:9" x14ac:dyDescent="0.6">
      <c r="A3125">
        <v>655</v>
      </c>
      <c r="B3125" t="s">
        <v>14</v>
      </c>
      <c r="C3125" t="s">
        <v>8</v>
      </c>
      <c r="D3125">
        <v>161.31</v>
      </c>
      <c r="E3125">
        <v>147.59</v>
      </c>
      <c r="F3125">
        <v>44004</v>
      </c>
      <c r="G3125" t="s">
        <v>9</v>
      </c>
      <c r="H3125">
        <f>_xlfn.LET(_xlpm.v, IFERROR(VLOOKUP($A3125, manifest!$A:$E, 3, FALSE), ""), IF(OR(_xlpm.v=0, _xlpm.v=""), "", _xlpm.v))</f>
        <v>80</v>
      </c>
      <c r="I3125" t="str">
        <f>_xlfn.LET(_xlpm.v, IFERROR(VLOOKUP($A3125, manifest!$A:$E, 5, FALSE), ""), IF(OR(_xlpm.v=0, _xlpm.v=""), "", _xlpm.v))</f>
        <v>male</v>
      </c>
    </row>
    <row r="3126" spans="1:9" x14ac:dyDescent="0.6">
      <c r="A3126">
        <v>655</v>
      </c>
      <c r="B3126" t="s">
        <v>14</v>
      </c>
      <c r="C3126" t="s">
        <v>10</v>
      </c>
      <c r="D3126">
        <v>173.63</v>
      </c>
      <c r="E3126">
        <v>165.58</v>
      </c>
      <c r="F3126">
        <v>44640</v>
      </c>
      <c r="H3126">
        <f>_xlfn.LET(_xlpm.v, IFERROR(VLOOKUP($A3126, manifest!$A:$E, 3, FALSE), ""), IF(OR(_xlpm.v=0, _xlpm.v=""), "", _xlpm.v))</f>
        <v>80</v>
      </c>
      <c r="I3126" t="str">
        <f>_xlfn.LET(_xlpm.v, IFERROR(VLOOKUP($A3126, manifest!$A:$E, 5, FALSE), ""), IF(OR(_xlpm.v=0, _xlpm.v=""), "", _xlpm.v))</f>
        <v>male</v>
      </c>
    </row>
    <row r="3127" spans="1:9" x14ac:dyDescent="0.6">
      <c r="A3127">
        <v>655</v>
      </c>
      <c r="B3127" t="s">
        <v>14</v>
      </c>
      <c r="C3127" t="s">
        <v>11</v>
      </c>
      <c r="D3127">
        <v>176.05</v>
      </c>
      <c r="E3127">
        <v>174.41</v>
      </c>
      <c r="F3127">
        <v>55404</v>
      </c>
      <c r="H3127">
        <f>_xlfn.LET(_xlpm.v, IFERROR(VLOOKUP($A3127, manifest!$A:$E, 3, FALSE), ""), IF(OR(_xlpm.v=0, _xlpm.v=""), "", _xlpm.v))</f>
        <v>80</v>
      </c>
      <c r="I3127" t="str">
        <f>_xlfn.LET(_xlpm.v, IFERROR(VLOOKUP($A3127, manifest!$A:$E, 5, FALSE), ""), IF(OR(_xlpm.v=0, _xlpm.v=""), "", _xlpm.v))</f>
        <v>male</v>
      </c>
    </row>
    <row r="3128" spans="1:9" x14ac:dyDescent="0.6">
      <c r="A3128">
        <v>655</v>
      </c>
      <c r="B3128" t="s">
        <v>14</v>
      </c>
      <c r="C3128" t="s">
        <v>12</v>
      </c>
      <c r="D3128">
        <v>176.88</v>
      </c>
      <c r="E3128">
        <v>169.83</v>
      </c>
      <c r="F3128">
        <v>70419</v>
      </c>
      <c r="H3128">
        <f>_xlfn.LET(_xlpm.v, IFERROR(VLOOKUP($A3128, manifest!$A:$E, 3, FALSE), ""), IF(OR(_xlpm.v=0, _xlpm.v=""), "", _xlpm.v))</f>
        <v>80</v>
      </c>
      <c r="I3128" t="str">
        <f>_xlfn.LET(_xlpm.v, IFERROR(VLOOKUP($A3128, manifest!$A:$E, 5, FALSE), ""), IF(OR(_xlpm.v=0, _xlpm.v=""), "", _xlpm.v))</f>
        <v>male</v>
      </c>
    </row>
    <row r="3129" spans="1:9" x14ac:dyDescent="0.6">
      <c r="A3129">
        <v>655</v>
      </c>
      <c r="B3129" t="s">
        <v>14</v>
      </c>
      <c r="C3129" t="s">
        <v>13</v>
      </c>
      <c r="D3129">
        <v>187.8</v>
      </c>
      <c r="E3129">
        <v>174.19</v>
      </c>
      <c r="F3129">
        <v>66740</v>
      </c>
      <c r="H3129">
        <f>_xlfn.LET(_xlpm.v, IFERROR(VLOOKUP($A3129, manifest!$A:$E, 3, FALSE), ""), IF(OR(_xlpm.v=0, _xlpm.v=""), "", _xlpm.v))</f>
        <v>80</v>
      </c>
      <c r="I3129" t="str">
        <f>_xlfn.LET(_xlpm.v, IFERROR(VLOOKUP($A3129, manifest!$A:$E, 5, FALSE), ""), IF(OR(_xlpm.v=0, _xlpm.v=""), "", _xlpm.v))</f>
        <v>male</v>
      </c>
    </row>
    <row r="3130" spans="1:9" x14ac:dyDescent="0.6">
      <c r="A3130">
        <v>654</v>
      </c>
      <c r="B3130" t="s">
        <v>14</v>
      </c>
      <c r="C3130" t="s">
        <v>8</v>
      </c>
      <c r="D3130">
        <v>143.63</v>
      </c>
      <c r="E3130">
        <v>101.52</v>
      </c>
      <c r="F3130">
        <v>32444</v>
      </c>
      <c r="G3130" t="s">
        <v>15</v>
      </c>
      <c r="H3130">
        <f>_xlfn.LET(_xlpm.v, IFERROR(VLOOKUP($A3130, manifest!$A:$E, 3, FALSE), ""), IF(OR(_xlpm.v=0, _xlpm.v=""), "", _xlpm.v))</f>
        <v>60</v>
      </c>
      <c r="I3130" t="str">
        <f>_xlfn.LET(_xlpm.v, IFERROR(VLOOKUP($A3130, manifest!$A:$E, 5, FALSE), ""), IF(OR(_xlpm.v=0, _xlpm.v=""), "", _xlpm.v))</f>
        <v>male</v>
      </c>
    </row>
    <row r="3131" spans="1:9" x14ac:dyDescent="0.6">
      <c r="A3131">
        <v>654</v>
      </c>
      <c r="B3131" t="s">
        <v>14</v>
      </c>
      <c r="C3131" t="s">
        <v>10</v>
      </c>
      <c r="D3131">
        <v>152.11000000000001</v>
      </c>
      <c r="E3131">
        <v>125.8</v>
      </c>
      <c r="F3131">
        <v>33729</v>
      </c>
      <c r="H3131">
        <f>_xlfn.LET(_xlpm.v, IFERROR(VLOOKUP($A3131, manifest!$A:$E, 3, FALSE), ""), IF(OR(_xlpm.v=0, _xlpm.v=""), "", _xlpm.v))</f>
        <v>60</v>
      </c>
      <c r="I3131" t="str">
        <f>_xlfn.LET(_xlpm.v, IFERROR(VLOOKUP($A3131, manifest!$A:$E, 5, FALSE), ""), IF(OR(_xlpm.v=0, _xlpm.v=""), "", _xlpm.v))</f>
        <v>male</v>
      </c>
    </row>
    <row r="3132" spans="1:9" x14ac:dyDescent="0.6">
      <c r="A3132">
        <v>654</v>
      </c>
      <c r="B3132" t="s">
        <v>14</v>
      </c>
      <c r="C3132" t="s">
        <v>11</v>
      </c>
      <c r="D3132">
        <v>146.05000000000001</v>
      </c>
      <c r="E3132">
        <v>117.7</v>
      </c>
      <c r="F3132">
        <v>37122</v>
      </c>
      <c r="H3132">
        <f>_xlfn.LET(_xlpm.v, IFERROR(VLOOKUP($A3132, manifest!$A:$E, 3, FALSE), ""), IF(OR(_xlpm.v=0, _xlpm.v=""), "", _xlpm.v))</f>
        <v>60</v>
      </c>
      <c r="I3132" t="str">
        <f>_xlfn.LET(_xlpm.v, IFERROR(VLOOKUP($A3132, manifest!$A:$E, 5, FALSE), ""), IF(OR(_xlpm.v=0, _xlpm.v=""), "", _xlpm.v))</f>
        <v>male</v>
      </c>
    </row>
    <row r="3133" spans="1:9" x14ac:dyDescent="0.6">
      <c r="A3133">
        <v>654</v>
      </c>
      <c r="B3133" t="s">
        <v>14</v>
      </c>
      <c r="C3133" t="s">
        <v>12</v>
      </c>
      <c r="D3133">
        <v>179.14</v>
      </c>
      <c r="E3133">
        <v>133.04</v>
      </c>
      <c r="F3133">
        <v>41018</v>
      </c>
      <c r="H3133">
        <f>_xlfn.LET(_xlpm.v, IFERROR(VLOOKUP($A3133, manifest!$A:$E, 3, FALSE), ""), IF(OR(_xlpm.v=0, _xlpm.v=""), "", _xlpm.v))</f>
        <v>60</v>
      </c>
      <c r="I3133" t="str">
        <f>_xlfn.LET(_xlpm.v, IFERROR(VLOOKUP($A3133, manifest!$A:$E, 5, FALSE), ""), IF(OR(_xlpm.v=0, _xlpm.v=""), "", _xlpm.v))</f>
        <v>male</v>
      </c>
    </row>
    <row r="3134" spans="1:9" x14ac:dyDescent="0.6">
      <c r="A3134">
        <v>654</v>
      </c>
      <c r="B3134" t="s">
        <v>14</v>
      </c>
      <c r="C3134" t="s">
        <v>13</v>
      </c>
      <c r="D3134">
        <v>221.91</v>
      </c>
      <c r="E3134">
        <v>153.24</v>
      </c>
      <c r="F3134">
        <v>41373</v>
      </c>
      <c r="H3134">
        <f>_xlfn.LET(_xlpm.v, IFERROR(VLOOKUP($A3134, manifest!$A:$E, 3, FALSE), ""), IF(OR(_xlpm.v=0, _xlpm.v=""), "", _xlpm.v))</f>
        <v>60</v>
      </c>
      <c r="I3134" t="str">
        <f>_xlfn.LET(_xlpm.v, IFERROR(VLOOKUP($A3134, manifest!$A:$E, 5, FALSE), ""), IF(OR(_xlpm.v=0, _xlpm.v=""), "", _xlpm.v))</f>
        <v>male</v>
      </c>
    </row>
    <row r="3135" spans="1:9" x14ac:dyDescent="0.6">
      <c r="A3135">
        <v>675</v>
      </c>
      <c r="B3135" t="s">
        <v>14</v>
      </c>
      <c r="C3135" t="s">
        <v>8</v>
      </c>
      <c r="D3135">
        <v>306.67</v>
      </c>
      <c r="E3135">
        <v>164.31</v>
      </c>
      <c r="F3135">
        <v>34027</v>
      </c>
      <c r="G3135" t="s">
        <v>9</v>
      </c>
      <c r="H3135">
        <f>_xlfn.LET(_xlpm.v, IFERROR(VLOOKUP($A3135, manifest!$A:$E, 3, FALSE), ""), IF(OR(_xlpm.v=0, _xlpm.v=""), "", _xlpm.v))</f>
        <v>70</v>
      </c>
      <c r="I3135" t="str">
        <f>_xlfn.LET(_xlpm.v, IFERROR(VLOOKUP($A3135, manifest!$A:$E, 5, FALSE), ""), IF(OR(_xlpm.v=0, _xlpm.v=""), "", _xlpm.v))</f>
        <v>female</v>
      </c>
    </row>
    <row r="3136" spans="1:9" x14ac:dyDescent="0.6">
      <c r="A3136">
        <v>675</v>
      </c>
      <c r="B3136" t="s">
        <v>14</v>
      </c>
      <c r="C3136" t="s">
        <v>10</v>
      </c>
      <c r="D3136">
        <v>318.7</v>
      </c>
      <c r="E3136">
        <v>180.65</v>
      </c>
      <c r="F3136">
        <v>39862</v>
      </c>
      <c r="H3136">
        <f>_xlfn.LET(_xlpm.v, IFERROR(VLOOKUP($A3136, manifest!$A:$E, 3, FALSE), ""), IF(OR(_xlpm.v=0, _xlpm.v=""), "", _xlpm.v))</f>
        <v>70</v>
      </c>
      <c r="I3136" t="str">
        <f>_xlfn.LET(_xlpm.v, IFERROR(VLOOKUP($A3136, manifest!$A:$E, 5, FALSE), ""), IF(OR(_xlpm.v=0, _xlpm.v=""), "", _xlpm.v))</f>
        <v>female</v>
      </c>
    </row>
    <row r="3137" spans="1:9" x14ac:dyDescent="0.6">
      <c r="A3137">
        <v>675</v>
      </c>
      <c r="B3137" t="s">
        <v>14</v>
      </c>
      <c r="C3137" t="s">
        <v>11</v>
      </c>
      <c r="D3137">
        <v>308.25</v>
      </c>
      <c r="E3137">
        <v>201.12</v>
      </c>
      <c r="F3137">
        <v>42951</v>
      </c>
      <c r="H3137">
        <f>_xlfn.LET(_xlpm.v, IFERROR(VLOOKUP($A3137, manifest!$A:$E, 3, FALSE), ""), IF(OR(_xlpm.v=0, _xlpm.v=""), "", _xlpm.v))</f>
        <v>70</v>
      </c>
      <c r="I3137" t="str">
        <f>_xlfn.LET(_xlpm.v, IFERROR(VLOOKUP($A3137, manifest!$A:$E, 5, FALSE), ""), IF(OR(_xlpm.v=0, _xlpm.v=""), "", _xlpm.v))</f>
        <v>female</v>
      </c>
    </row>
    <row r="3138" spans="1:9" x14ac:dyDescent="0.6">
      <c r="A3138">
        <v>675</v>
      </c>
      <c r="B3138" t="s">
        <v>14</v>
      </c>
      <c r="C3138" t="s">
        <v>12</v>
      </c>
      <c r="D3138">
        <v>307.38</v>
      </c>
      <c r="E3138">
        <v>209.55</v>
      </c>
      <c r="F3138">
        <v>45076</v>
      </c>
      <c r="H3138">
        <f>_xlfn.LET(_xlpm.v, IFERROR(VLOOKUP($A3138, manifest!$A:$E, 3, FALSE), ""), IF(OR(_xlpm.v=0, _xlpm.v=""), "", _xlpm.v))</f>
        <v>70</v>
      </c>
      <c r="I3138" t="str">
        <f>_xlfn.LET(_xlpm.v, IFERROR(VLOOKUP($A3138, manifest!$A:$E, 5, FALSE), ""), IF(OR(_xlpm.v=0, _xlpm.v=""), "", _xlpm.v))</f>
        <v>female</v>
      </c>
    </row>
    <row r="3139" spans="1:9" x14ac:dyDescent="0.6">
      <c r="A3139">
        <v>675</v>
      </c>
      <c r="B3139" t="s">
        <v>14</v>
      </c>
      <c r="C3139" t="s">
        <v>13</v>
      </c>
      <c r="D3139">
        <v>289.35000000000002</v>
      </c>
      <c r="E3139">
        <v>197.25</v>
      </c>
      <c r="F3139">
        <v>60829</v>
      </c>
      <c r="H3139">
        <f>_xlfn.LET(_xlpm.v, IFERROR(VLOOKUP($A3139, manifest!$A:$E, 3, FALSE), ""), IF(OR(_xlpm.v=0, _xlpm.v=""), "", _xlpm.v))</f>
        <v>70</v>
      </c>
      <c r="I3139" t="str">
        <f>_xlfn.LET(_xlpm.v, IFERROR(VLOOKUP($A3139, manifest!$A:$E, 5, FALSE), ""), IF(OR(_xlpm.v=0, _xlpm.v=""), "", _xlpm.v))</f>
        <v>female</v>
      </c>
    </row>
    <row r="3140" spans="1:9" x14ac:dyDescent="0.6">
      <c r="A3140">
        <v>667</v>
      </c>
      <c r="B3140" t="s">
        <v>14</v>
      </c>
      <c r="C3140" t="s">
        <v>8</v>
      </c>
      <c r="D3140">
        <v>311.36</v>
      </c>
      <c r="E3140">
        <v>145.87</v>
      </c>
      <c r="F3140">
        <v>20010</v>
      </c>
      <c r="G3140" t="s">
        <v>9</v>
      </c>
      <c r="H3140">
        <f>_xlfn.LET(_xlpm.v, IFERROR(VLOOKUP($A3140, manifest!$A:$E, 3, FALSE), ""), IF(OR(_xlpm.v=0, _xlpm.v=""), "", _xlpm.v))</f>
        <v>50</v>
      </c>
      <c r="I3140" t="str">
        <f>_xlfn.LET(_xlpm.v, IFERROR(VLOOKUP($A3140, manifest!$A:$E, 5, FALSE), ""), IF(OR(_xlpm.v=0, _xlpm.v=""), "", _xlpm.v))</f>
        <v>female</v>
      </c>
    </row>
    <row r="3141" spans="1:9" x14ac:dyDescent="0.6">
      <c r="A3141">
        <v>667</v>
      </c>
      <c r="B3141" t="s">
        <v>14</v>
      </c>
      <c r="C3141" t="s">
        <v>10</v>
      </c>
      <c r="D3141">
        <v>330.77</v>
      </c>
      <c r="E3141">
        <v>188.01</v>
      </c>
      <c r="F3141">
        <v>24107</v>
      </c>
      <c r="H3141">
        <f>_xlfn.LET(_xlpm.v, IFERROR(VLOOKUP($A3141, manifest!$A:$E, 3, FALSE), ""), IF(OR(_xlpm.v=0, _xlpm.v=""), "", _xlpm.v))</f>
        <v>50</v>
      </c>
      <c r="I3141" t="str">
        <f>_xlfn.LET(_xlpm.v, IFERROR(VLOOKUP($A3141, manifest!$A:$E, 5, FALSE), ""), IF(OR(_xlpm.v=0, _xlpm.v=""), "", _xlpm.v))</f>
        <v>female</v>
      </c>
    </row>
    <row r="3142" spans="1:9" x14ac:dyDescent="0.6">
      <c r="A3142">
        <v>667</v>
      </c>
      <c r="B3142" t="s">
        <v>14</v>
      </c>
      <c r="C3142" t="s">
        <v>11</v>
      </c>
      <c r="D3142">
        <v>338.63</v>
      </c>
      <c r="E3142">
        <v>213.07</v>
      </c>
      <c r="F3142">
        <v>25503</v>
      </c>
      <c r="H3142">
        <f>_xlfn.LET(_xlpm.v, IFERROR(VLOOKUP($A3142, manifest!$A:$E, 3, FALSE), ""), IF(OR(_xlpm.v=0, _xlpm.v=""), "", _xlpm.v))</f>
        <v>50</v>
      </c>
      <c r="I3142" t="str">
        <f>_xlfn.LET(_xlpm.v, IFERROR(VLOOKUP($A3142, manifest!$A:$E, 5, FALSE), ""), IF(OR(_xlpm.v=0, _xlpm.v=""), "", _xlpm.v))</f>
        <v>female</v>
      </c>
    </row>
    <row r="3143" spans="1:9" x14ac:dyDescent="0.6">
      <c r="A3143">
        <v>667</v>
      </c>
      <c r="B3143" t="s">
        <v>14</v>
      </c>
      <c r="C3143" t="s">
        <v>12</v>
      </c>
      <c r="D3143">
        <v>317.45999999999998</v>
      </c>
      <c r="E3143">
        <v>175.87</v>
      </c>
      <c r="F3143">
        <v>32732</v>
      </c>
      <c r="H3143">
        <f>_xlfn.LET(_xlpm.v, IFERROR(VLOOKUP($A3143, manifest!$A:$E, 3, FALSE), ""), IF(OR(_xlpm.v=0, _xlpm.v=""), "", _xlpm.v))</f>
        <v>50</v>
      </c>
      <c r="I3143" t="str">
        <f>_xlfn.LET(_xlpm.v, IFERROR(VLOOKUP($A3143, manifest!$A:$E, 5, FALSE), ""), IF(OR(_xlpm.v=0, _xlpm.v=""), "", _xlpm.v))</f>
        <v>female</v>
      </c>
    </row>
    <row r="3144" spans="1:9" x14ac:dyDescent="0.6">
      <c r="A3144">
        <v>667</v>
      </c>
      <c r="B3144" t="s">
        <v>14</v>
      </c>
      <c r="C3144" t="s">
        <v>13</v>
      </c>
      <c r="D3144">
        <v>294.02999999999997</v>
      </c>
      <c r="E3144">
        <v>158.85</v>
      </c>
      <c r="F3144">
        <v>40172</v>
      </c>
      <c r="H3144">
        <f>_xlfn.LET(_xlpm.v, IFERROR(VLOOKUP($A3144, manifest!$A:$E, 3, FALSE), ""), IF(OR(_xlpm.v=0, _xlpm.v=""), "", _xlpm.v))</f>
        <v>50</v>
      </c>
      <c r="I3144" t="str">
        <f>_xlfn.LET(_xlpm.v, IFERROR(VLOOKUP($A3144, manifest!$A:$E, 5, FALSE), ""), IF(OR(_xlpm.v=0, _xlpm.v=""), "", _xlpm.v))</f>
        <v>female</v>
      </c>
    </row>
    <row r="3145" spans="1:9" x14ac:dyDescent="0.6">
      <c r="A3145">
        <v>665</v>
      </c>
      <c r="B3145" t="s">
        <v>14</v>
      </c>
      <c r="C3145" t="s">
        <v>8</v>
      </c>
      <c r="D3145">
        <v>175.62</v>
      </c>
      <c r="E3145">
        <v>104.53</v>
      </c>
      <c r="F3145">
        <v>37500</v>
      </c>
      <c r="G3145" t="s">
        <v>9</v>
      </c>
      <c r="H3145">
        <f>_xlfn.LET(_xlpm.v, IFERROR(VLOOKUP($A3145, manifest!$A:$E, 3, FALSE), ""), IF(OR(_xlpm.v=0, _xlpm.v=""), "", _xlpm.v))</f>
        <v>60</v>
      </c>
      <c r="I3145" t="str">
        <f>_xlfn.LET(_xlpm.v, IFERROR(VLOOKUP($A3145, manifest!$A:$E, 5, FALSE), ""), IF(OR(_xlpm.v=0, _xlpm.v=""), "", _xlpm.v))</f>
        <v>male</v>
      </c>
    </row>
    <row r="3146" spans="1:9" x14ac:dyDescent="0.6">
      <c r="A3146">
        <v>665</v>
      </c>
      <c r="B3146" t="s">
        <v>14</v>
      </c>
      <c r="C3146" t="s">
        <v>10</v>
      </c>
      <c r="D3146">
        <v>201</v>
      </c>
      <c r="E3146">
        <v>146.09</v>
      </c>
      <c r="F3146">
        <v>33929</v>
      </c>
      <c r="H3146">
        <f>_xlfn.LET(_xlpm.v, IFERROR(VLOOKUP($A3146, manifest!$A:$E, 3, FALSE), ""), IF(OR(_xlpm.v=0, _xlpm.v=""), "", _xlpm.v))</f>
        <v>60</v>
      </c>
      <c r="I3146" t="str">
        <f>_xlfn.LET(_xlpm.v, IFERROR(VLOOKUP($A3146, manifest!$A:$E, 5, FALSE), ""), IF(OR(_xlpm.v=0, _xlpm.v=""), "", _xlpm.v))</f>
        <v>male</v>
      </c>
    </row>
    <row r="3147" spans="1:9" x14ac:dyDescent="0.6">
      <c r="A3147">
        <v>665</v>
      </c>
      <c r="B3147" t="s">
        <v>14</v>
      </c>
      <c r="C3147" t="s">
        <v>11</v>
      </c>
      <c r="D3147">
        <v>206.13</v>
      </c>
      <c r="E3147">
        <v>161.46</v>
      </c>
      <c r="F3147">
        <v>35322</v>
      </c>
      <c r="H3147">
        <f>_xlfn.LET(_xlpm.v, IFERROR(VLOOKUP($A3147, manifest!$A:$E, 3, FALSE), ""), IF(OR(_xlpm.v=0, _xlpm.v=""), "", _xlpm.v))</f>
        <v>60</v>
      </c>
      <c r="I3147" t="str">
        <f>_xlfn.LET(_xlpm.v, IFERROR(VLOOKUP($A3147, manifest!$A:$E, 5, FALSE), ""), IF(OR(_xlpm.v=0, _xlpm.v=""), "", _xlpm.v))</f>
        <v>male</v>
      </c>
    </row>
    <row r="3148" spans="1:9" x14ac:dyDescent="0.6">
      <c r="A3148">
        <v>665</v>
      </c>
      <c r="B3148" t="s">
        <v>14</v>
      </c>
      <c r="C3148" t="s">
        <v>12</v>
      </c>
      <c r="D3148">
        <v>192.59</v>
      </c>
      <c r="E3148">
        <v>145.94</v>
      </c>
      <c r="F3148">
        <v>46155</v>
      </c>
      <c r="H3148">
        <f>_xlfn.LET(_xlpm.v, IFERROR(VLOOKUP($A3148, manifest!$A:$E, 3, FALSE), ""), IF(OR(_xlpm.v=0, _xlpm.v=""), "", _xlpm.v))</f>
        <v>60</v>
      </c>
      <c r="I3148" t="str">
        <f>_xlfn.LET(_xlpm.v, IFERROR(VLOOKUP($A3148, manifest!$A:$E, 5, FALSE), ""), IF(OR(_xlpm.v=0, _xlpm.v=""), "", _xlpm.v))</f>
        <v>male</v>
      </c>
    </row>
    <row r="3149" spans="1:9" x14ac:dyDescent="0.6">
      <c r="A3149">
        <v>665</v>
      </c>
      <c r="B3149" t="s">
        <v>14</v>
      </c>
      <c r="C3149" t="s">
        <v>13</v>
      </c>
      <c r="D3149">
        <v>190.67</v>
      </c>
      <c r="E3149">
        <v>138.69</v>
      </c>
      <c r="F3149">
        <v>54098</v>
      </c>
      <c r="H3149">
        <f>_xlfn.LET(_xlpm.v, IFERROR(VLOOKUP($A3149, manifest!$A:$E, 3, FALSE), ""), IF(OR(_xlpm.v=0, _xlpm.v=""), "", _xlpm.v))</f>
        <v>60</v>
      </c>
      <c r="I3149" t="str">
        <f>_xlfn.LET(_xlpm.v, IFERROR(VLOOKUP($A3149, manifest!$A:$E, 5, FALSE), ""), IF(OR(_xlpm.v=0, _xlpm.v=""), "", _xlpm.v))</f>
        <v>male</v>
      </c>
    </row>
    <row r="3150" spans="1:9" x14ac:dyDescent="0.6">
      <c r="A3150">
        <v>688</v>
      </c>
      <c r="B3150" t="s">
        <v>14</v>
      </c>
      <c r="C3150" t="s">
        <v>8</v>
      </c>
      <c r="D3150">
        <v>205.75</v>
      </c>
      <c r="E3150">
        <v>112.63</v>
      </c>
      <c r="F3150">
        <v>17296</v>
      </c>
      <c r="G3150" t="s">
        <v>9</v>
      </c>
      <c r="H3150">
        <f>_xlfn.LET(_xlpm.v, IFERROR(VLOOKUP($A3150, manifest!$A:$E, 3, FALSE), ""), IF(OR(_xlpm.v=0, _xlpm.v=""), "", _xlpm.v))</f>
        <v>50</v>
      </c>
      <c r="I3150" t="str">
        <f>_xlfn.LET(_xlpm.v, IFERROR(VLOOKUP($A3150, manifest!$A:$E, 5, FALSE), ""), IF(OR(_xlpm.v=0, _xlpm.v=""), "", _xlpm.v))</f>
        <v>male</v>
      </c>
    </row>
    <row r="3151" spans="1:9" x14ac:dyDescent="0.6">
      <c r="A3151">
        <v>688</v>
      </c>
      <c r="B3151" t="s">
        <v>14</v>
      </c>
      <c r="C3151" t="s">
        <v>10</v>
      </c>
      <c r="D3151">
        <v>220.15</v>
      </c>
      <c r="E3151">
        <v>133.29</v>
      </c>
      <c r="F3151">
        <v>20803</v>
      </c>
      <c r="H3151">
        <f>_xlfn.LET(_xlpm.v, IFERROR(VLOOKUP($A3151, manifest!$A:$E, 3, FALSE), ""), IF(OR(_xlpm.v=0, _xlpm.v=""), "", _xlpm.v))</f>
        <v>50</v>
      </c>
      <c r="I3151" t="str">
        <f>_xlfn.LET(_xlpm.v, IFERROR(VLOOKUP($A3151, manifest!$A:$E, 5, FALSE), ""), IF(OR(_xlpm.v=0, _xlpm.v=""), "", _xlpm.v))</f>
        <v>male</v>
      </c>
    </row>
    <row r="3152" spans="1:9" x14ac:dyDescent="0.6">
      <c r="A3152">
        <v>688</v>
      </c>
      <c r="B3152" t="s">
        <v>14</v>
      </c>
      <c r="C3152" t="s">
        <v>11</v>
      </c>
      <c r="D3152">
        <v>204.79</v>
      </c>
      <c r="E3152">
        <v>121.36</v>
      </c>
      <c r="F3152">
        <v>27101</v>
      </c>
      <c r="H3152">
        <f>_xlfn.LET(_xlpm.v, IFERROR(VLOOKUP($A3152, manifest!$A:$E, 3, FALSE), ""), IF(OR(_xlpm.v=0, _xlpm.v=""), "", _xlpm.v))</f>
        <v>50</v>
      </c>
      <c r="I3152" t="str">
        <f>_xlfn.LET(_xlpm.v, IFERROR(VLOOKUP($A3152, manifest!$A:$E, 5, FALSE), ""), IF(OR(_xlpm.v=0, _xlpm.v=""), "", _xlpm.v))</f>
        <v>male</v>
      </c>
    </row>
    <row r="3153" spans="1:9" x14ac:dyDescent="0.6">
      <c r="A3153">
        <v>688</v>
      </c>
      <c r="B3153" t="s">
        <v>14</v>
      </c>
      <c r="C3153" t="s">
        <v>12</v>
      </c>
      <c r="D3153">
        <v>269.12</v>
      </c>
      <c r="E3153">
        <v>150.72999999999999</v>
      </c>
      <c r="F3153">
        <v>36539</v>
      </c>
      <c r="H3153">
        <f>_xlfn.LET(_xlpm.v, IFERROR(VLOOKUP($A3153, manifest!$A:$E, 3, FALSE), ""), IF(OR(_xlpm.v=0, _xlpm.v=""), "", _xlpm.v))</f>
        <v>50</v>
      </c>
      <c r="I3153" t="str">
        <f>_xlfn.LET(_xlpm.v, IFERROR(VLOOKUP($A3153, manifest!$A:$E, 5, FALSE), ""), IF(OR(_xlpm.v=0, _xlpm.v=""), "", _xlpm.v))</f>
        <v>male</v>
      </c>
    </row>
    <row r="3154" spans="1:9" x14ac:dyDescent="0.6">
      <c r="A3154">
        <v>688</v>
      </c>
      <c r="B3154" t="s">
        <v>14</v>
      </c>
      <c r="C3154" t="s">
        <v>13</v>
      </c>
      <c r="D3154">
        <v>273.75</v>
      </c>
      <c r="E3154">
        <v>152.76</v>
      </c>
      <c r="F3154">
        <v>38890</v>
      </c>
      <c r="H3154">
        <f>_xlfn.LET(_xlpm.v, IFERROR(VLOOKUP($A3154, manifest!$A:$E, 3, FALSE), ""), IF(OR(_xlpm.v=0, _xlpm.v=""), "", _xlpm.v))</f>
        <v>50</v>
      </c>
      <c r="I3154" t="str">
        <f>_xlfn.LET(_xlpm.v, IFERROR(VLOOKUP($A3154, manifest!$A:$E, 5, FALSE), ""), IF(OR(_xlpm.v=0, _xlpm.v=""), "", _xlpm.v))</f>
        <v>male</v>
      </c>
    </row>
    <row r="3155" spans="1:9" x14ac:dyDescent="0.6">
      <c r="A3155">
        <v>656</v>
      </c>
      <c r="B3155" t="s">
        <v>14</v>
      </c>
      <c r="C3155" t="s">
        <v>8</v>
      </c>
      <c r="D3155">
        <v>276.94</v>
      </c>
      <c r="E3155">
        <v>129.94999999999999</v>
      </c>
      <c r="F3155">
        <v>20462</v>
      </c>
      <c r="G3155" t="s">
        <v>9</v>
      </c>
      <c r="H3155">
        <f>_xlfn.LET(_xlpm.v, IFERROR(VLOOKUP($A3155, manifest!$A:$E, 3, FALSE), ""), IF(OR(_xlpm.v=0, _xlpm.v=""), "", _xlpm.v))</f>
        <v>50</v>
      </c>
      <c r="I3155" t="str">
        <f>_xlfn.LET(_xlpm.v, IFERROR(VLOOKUP($A3155, manifest!$A:$E, 5, FALSE), ""), IF(OR(_xlpm.v=0, _xlpm.v=""), "", _xlpm.v))</f>
        <v>female</v>
      </c>
    </row>
    <row r="3156" spans="1:9" x14ac:dyDescent="0.6">
      <c r="A3156">
        <v>656</v>
      </c>
      <c r="B3156" t="s">
        <v>14</v>
      </c>
      <c r="C3156" t="s">
        <v>10</v>
      </c>
      <c r="D3156">
        <v>279.2</v>
      </c>
      <c r="E3156">
        <v>150.72999999999999</v>
      </c>
      <c r="F3156">
        <v>23772</v>
      </c>
      <c r="H3156">
        <f>_xlfn.LET(_xlpm.v, IFERROR(VLOOKUP($A3156, manifest!$A:$E, 3, FALSE), ""), IF(OR(_xlpm.v=0, _xlpm.v=""), "", _xlpm.v))</f>
        <v>50</v>
      </c>
      <c r="I3156" t="str">
        <f>_xlfn.LET(_xlpm.v, IFERROR(VLOOKUP($A3156, manifest!$A:$E, 5, FALSE), ""), IF(OR(_xlpm.v=0, _xlpm.v=""), "", _xlpm.v))</f>
        <v>female</v>
      </c>
    </row>
    <row r="3157" spans="1:9" x14ac:dyDescent="0.6">
      <c r="A3157">
        <v>656</v>
      </c>
      <c r="B3157" t="s">
        <v>14</v>
      </c>
      <c r="C3157" t="s">
        <v>11</v>
      </c>
      <c r="D3157">
        <v>286.55</v>
      </c>
      <c r="E3157">
        <v>164.64</v>
      </c>
      <c r="F3157">
        <v>25512</v>
      </c>
      <c r="H3157">
        <f>_xlfn.LET(_xlpm.v, IFERROR(VLOOKUP($A3157, manifest!$A:$E, 3, FALSE), ""), IF(OR(_xlpm.v=0, _xlpm.v=""), "", _xlpm.v))</f>
        <v>50</v>
      </c>
      <c r="I3157" t="str">
        <f>_xlfn.LET(_xlpm.v, IFERROR(VLOOKUP($A3157, manifest!$A:$E, 5, FALSE), ""), IF(OR(_xlpm.v=0, _xlpm.v=""), "", _xlpm.v))</f>
        <v>female</v>
      </c>
    </row>
    <row r="3158" spans="1:9" x14ac:dyDescent="0.6">
      <c r="A3158">
        <v>656</v>
      </c>
      <c r="B3158" t="s">
        <v>14</v>
      </c>
      <c r="C3158" t="s">
        <v>12</v>
      </c>
      <c r="D3158">
        <v>305</v>
      </c>
      <c r="E3158">
        <v>178.22</v>
      </c>
      <c r="F3158">
        <v>24598</v>
      </c>
      <c r="H3158">
        <f>_xlfn.LET(_xlpm.v, IFERROR(VLOOKUP($A3158, manifest!$A:$E, 3, FALSE), ""), IF(OR(_xlpm.v=0, _xlpm.v=""), "", _xlpm.v))</f>
        <v>50</v>
      </c>
      <c r="I3158" t="str">
        <f>_xlfn.LET(_xlpm.v, IFERROR(VLOOKUP($A3158, manifest!$A:$E, 5, FALSE), ""), IF(OR(_xlpm.v=0, _xlpm.v=""), "", _xlpm.v))</f>
        <v>female</v>
      </c>
    </row>
    <row r="3159" spans="1:9" x14ac:dyDescent="0.6">
      <c r="A3159">
        <v>656</v>
      </c>
      <c r="B3159" t="s">
        <v>14</v>
      </c>
      <c r="C3159" t="s">
        <v>13</v>
      </c>
      <c r="D3159">
        <v>279.12</v>
      </c>
      <c r="E3159">
        <v>170.08</v>
      </c>
      <c r="F3159">
        <v>32841</v>
      </c>
      <c r="H3159">
        <f>_xlfn.LET(_xlpm.v, IFERROR(VLOOKUP($A3159, manifest!$A:$E, 3, FALSE), ""), IF(OR(_xlpm.v=0, _xlpm.v=""), "", _xlpm.v))</f>
        <v>50</v>
      </c>
      <c r="I3159" t="str">
        <f>_xlfn.LET(_xlpm.v, IFERROR(VLOOKUP($A3159, manifest!$A:$E, 5, FALSE), ""), IF(OR(_xlpm.v=0, _xlpm.v=""), "", _xlpm.v))</f>
        <v>female</v>
      </c>
    </row>
    <row r="3160" spans="1:9" x14ac:dyDescent="0.6">
      <c r="A3160">
        <v>650</v>
      </c>
      <c r="B3160" t="s">
        <v>7</v>
      </c>
      <c r="C3160" t="s">
        <v>8</v>
      </c>
      <c r="D3160">
        <v>130.5</v>
      </c>
      <c r="E3160">
        <v>130.55000000000001</v>
      </c>
      <c r="F3160">
        <v>25076</v>
      </c>
      <c r="G3160" t="s">
        <v>15</v>
      </c>
      <c r="H3160">
        <f>_xlfn.LET(_xlpm.v, IFERROR(VLOOKUP($A3160, manifest!$A:$E, 3, FALSE), ""), IF(OR(_xlpm.v=0, _xlpm.v=""), "", _xlpm.v))</f>
        <v>70</v>
      </c>
      <c r="I3160" t="str">
        <f>_xlfn.LET(_xlpm.v, IFERROR(VLOOKUP($A3160, manifest!$A:$E, 5, FALSE), ""), IF(OR(_xlpm.v=0, _xlpm.v=""), "", _xlpm.v))</f>
        <v>female</v>
      </c>
    </row>
    <row r="3161" spans="1:9" x14ac:dyDescent="0.6">
      <c r="A3161">
        <v>650</v>
      </c>
      <c r="B3161" t="s">
        <v>7</v>
      </c>
      <c r="C3161" t="s">
        <v>10</v>
      </c>
      <c r="D3161">
        <v>126.74</v>
      </c>
      <c r="E3161">
        <v>141.09</v>
      </c>
      <c r="F3161">
        <v>27036</v>
      </c>
      <c r="H3161">
        <f>_xlfn.LET(_xlpm.v, IFERROR(VLOOKUP($A3161, manifest!$A:$E, 3, FALSE), ""), IF(OR(_xlpm.v=0, _xlpm.v=""), "", _xlpm.v))</f>
        <v>70</v>
      </c>
      <c r="I3161" t="str">
        <f>_xlfn.LET(_xlpm.v, IFERROR(VLOOKUP($A3161, manifest!$A:$E, 5, FALSE), ""), IF(OR(_xlpm.v=0, _xlpm.v=""), "", _xlpm.v))</f>
        <v>female</v>
      </c>
    </row>
    <row r="3162" spans="1:9" x14ac:dyDescent="0.6">
      <c r="A3162">
        <v>650</v>
      </c>
      <c r="B3162" t="s">
        <v>7</v>
      </c>
      <c r="C3162" t="s">
        <v>11</v>
      </c>
      <c r="D3162">
        <v>131.96</v>
      </c>
      <c r="E3162">
        <v>161.44</v>
      </c>
      <c r="F3162">
        <v>35283</v>
      </c>
      <c r="H3162">
        <f>_xlfn.LET(_xlpm.v, IFERROR(VLOOKUP($A3162, manifest!$A:$E, 3, FALSE), ""), IF(OR(_xlpm.v=0, _xlpm.v=""), "", _xlpm.v))</f>
        <v>70</v>
      </c>
      <c r="I3162" t="str">
        <f>_xlfn.LET(_xlpm.v, IFERROR(VLOOKUP($A3162, manifest!$A:$E, 5, FALSE), ""), IF(OR(_xlpm.v=0, _xlpm.v=""), "", _xlpm.v))</f>
        <v>female</v>
      </c>
    </row>
    <row r="3163" spans="1:9" x14ac:dyDescent="0.6">
      <c r="A3163">
        <v>650</v>
      </c>
      <c r="B3163" t="s">
        <v>7</v>
      </c>
      <c r="C3163" t="s">
        <v>12</v>
      </c>
      <c r="D3163">
        <v>143.72</v>
      </c>
      <c r="E3163">
        <v>167.75</v>
      </c>
      <c r="F3163">
        <v>41155</v>
      </c>
      <c r="H3163">
        <f>_xlfn.LET(_xlpm.v, IFERROR(VLOOKUP($A3163, manifest!$A:$E, 3, FALSE), ""), IF(OR(_xlpm.v=0, _xlpm.v=""), "", _xlpm.v))</f>
        <v>70</v>
      </c>
      <c r="I3163" t="str">
        <f>_xlfn.LET(_xlpm.v, IFERROR(VLOOKUP($A3163, manifest!$A:$E, 5, FALSE), ""), IF(OR(_xlpm.v=0, _xlpm.v=""), "", _xlpm.v))</f>
        <v>female</v>
      </c>
    </row>
    <row r="3164" spans="1:9" x14ac:dyDescent="0.6">
      <c r="A3164">
        <v>650</v>
      </c>
      <c r="B3164" t="s">
        <v>7</v>
      </c>
      <c r="C3164" t="s">
        <v>13</v>
      </c>
      <c r="D3164">
        <v>159.1</v>
      </c>
      <c r="E3164">
        <v>162.32</v>
      </c>
      <c r="F3164">
        <v>41005</v>
      </c>
      <c r="H3164">
        <f>_xlfn.LET(_xlpm.v, IFERROR(VLOOKUP($A3164, manifest!$A:$E, 3, FALSE), ""), IF(OR(_xlpm.v=0, _xlpm.v=""), "", _xlpm.v))</f>
        <v>70</v>
      </c>
      <c r="I3164" t="str">
        <f>_xlfn.LET(_xlpm.v, IFERROR(VLOOKUP($A3164, manifest!$A:$E, 5, FALSE), ""), IF(OR(_xlpm.v=0, _xlpm.v=""), "", _xlpm.v))</f>
        <v>female</v>
      </c>
    </row>
    <row r="3165" spans="1:9" x14ac:dyDescent="0.6">
      <c r="A3165">
        <v>663</v>
      </c>
      <c r="B3165" t="s">
        <v>7</v>
      </c>
      <c r="C3165" t="s">
        <v>8</v>
      </c>
      <c r="D3165">
        <v>166.64</v>
      </c>
      <c r="E3165">
        <v>121.85</v>
      </c>
      <c r="F3165">
        <v>33159</v>
      </c>
      <c r="G3165" t="s">
        <v>9</v>
      </c>
      <c r="H3165">
        <f>_xlfn.LET(_xlpm.v, IFERROR(VLOOKUP($A3165, manifest!$A:$E, 3, FALSE), ""), IF(OR(_xlpm.v=0, _xlpm.v=""), "", _xlpm.v))</f>
        <v>60</v>
      </c>
      <c r="I3165" t="str">
        <f>_xlfn.LET(_xlpm.v, IFERROR(VLOOKUP($A3165, manifest!$A:$E, 5, FALSE), ""), IF(OR(_xlpm.v=0, _xlpm.v=""), "", _xlpm.v))</f>
        <v>male</v>
      </c>
    </row>
    <row r="3166" spans="1:9" x14ac:dyDescent="0.6">
      <c r="A3166">
        <v>663</v>
      </c>
      <c r="B3166" t="s">
        <v>7</v>
      </c>
      <c r="C3166" t="s">
        <v>10</v>
      </c>
      <c r="D3166">
        <v>159.43</v>
      </c>
      <c r="E3166">
        <v>143.94999999999999</v>
      </c>
      <c r="F3166">
        <v>36103</v>
      </c>
      <c r="H3166">
        <f>_xlfn.LET(_xlpm.v, IFERROR(VLOOKUP($A3166, manifest!$A:$E, 3, FALSE), ""), IF(OR(_xlpm.v=0, _xlpm.v=""), "", _xlpm.v))</f>
        <v>60</v>
      </c>
      <c r="I3166" t="str">
        <f>_xlfn.LET(_xlpm.v, IFERROR(VLOOKUP($A3166, manifest!$A:$E, 5, FALSE), ""), IF(OR(_xlpm.v=0, _xlpm.v=""), "", _xlpm.v))</f>
        <v>male</v>
      </c>
    </row>
    <row r="3167" spans="1:9" x14ac:dyDescent="0.6">
      <c r="A3167">
        <v>663</v>
      </c>
      <c r="B3167" t="s">
        <v>7</v>
      </c>
      <c r="C3167" t="s">
        <v>11</v>
      </c>
      <c r="D3167">
        <v>170.98</v>
      </c>
      <c r="E3167">
        <v>172.19</v>
      </c>
      <c r="F3167">
        <v>41585</v>
      </c>
      <c r="H3167">
        <f>_xlfn.LET(_xlpm.v, IFERROR(VLOOKUP($A3167, manifest!$A:$E, 3, FALSE), ""), IF(OR(_xlpm.v=0, _xlpm.v=""), "", _xlpm.v))</f>
        <v>60</v>
      </c>
      <c r="I3167" t="str">
        <f>_xlfn.LET(_xlpm.v, IFERROR(VLOOKUP($A3167, manifest!$A:$E, 5, FALSE), ""), IF(OR(_xlpm.v=0, _xlpm.v=""), "", _xlpm.v))</f>
        <v>male</v>
      </c>
    </row>
    <row r="3168" spans="1:9" x14ac:dyDescent="0.6">
      <c r="A3168">
        <v>663</v>
      </c>
      <c r="B3168" t="s">
        <v>7</v>
      </c>
      <c r="C3168" t="s">
        <v>12</v>
      </c>
      <c r="D3168">
        <v>164.9</v>
      </c>
      <c r="E3168">
        <v>172.53</v>
      </c>
      <c r="F3168">
        <v>60843</v>
      </c>
      <c r="H3168">
        <f>_xlfn.LET(_xlpm.v, IFERROR(VLOOKUP($A3168, manifest!$A:$E, 3, FALSE), ""), IF(OR(_xlpm.v=0, _xlpm.v=""), "", _xlpm.v))</f>
        <v>60</v>
      </c>
      <c r="I3168" t="str">
        <f>_xlfn.LET(_xlpm.v, IFERROR(VLOOKUP($A3168, manifest!$A:$E, 5, FALSE), ""), IF(OR(_xlpm.v=0, _xlpm.v=""), "", _xlpm.v))</f>
        <v>male</v>
      </c>
    </row>
    <row r="3169" spans="1:9" x14ac:dyDescent="0.6">
      <c r="A3169">
        <v>663</v>
      </c>
      <c r="B3169" t="s">
        <v>7</v>
      </c>
      <c r="C3169" t="s">
        <v>13</v>
      </c>
      <c r="D3169">
        <v>179.32</v>
      </c>
      <c r="E3169">
        <v>155.62</v>
      </c>
      <c r="F3169">
        <v>55623</v>
      </c>
      <c r="H3169">
        <f>_xlfn.LET(_xlpm.v, IFERROR(VLOOKUP($A3169, manifest!$A:$E, 3, FALSE), ""), IF(OR(_xlpm.v=0, _xlpm.v=""), "", _xlpm.v))</f>
        <v>60</v>
      </c>
      <c r="I3169" t="str">
        <f>_xlfn.LET(_xlpm.v, IFERROR(VLOOKUP($A3169, manifest!$A:$E, 5, FALSE), ""), IF(OR(_xlpm.v=0, _xlpm.v=""), "", _xlpm.v))</f>
        <v>male</v>
      </c>
    </row>
    <row r="3170" spans="1:9" x14ac:dyDescent="0.6">
      <c r="A3170">
        <v>651</v>
      </c>
      <c r="B3170" t="s">
        <v>7</v>
      </c>
      <c r="C3170" t="s">
        <v>8</v>
      </c>
      <c r="D3170">
        <v>147.57</v>
      </c>
      <c r="E3170">
        <v>91.86</v>
      </c>
      <c r="F3170">
        <v>36537</v>
      </c>
      <c r="G3170" t="s">
        <v>15</v>
      </c>
      <c r="H3170">
        <f>_xlfn.LET(_xlpm.v, IFERROR(VLOOKUP($A3170, manifest!$A:$E, 3, FALSE), ""), IF(OR(_xlpm.v=0, _xlpm.v=""), "", _xlpm.v))</f>
        <v>60</v>
      </c>
      <c r="I3170" t="str">
        <f>_xlfn.LET(_xlpm.v, IFERROR(VLOOKUP($A3170, manifest!$A:$E, 5, FALSE), ""), IF(OR(_xlpm.v=0, _xlpm.v=""), "", _xlpm.v))</f>
        <v>male</v>
      </c>
    </row>
    <row r="3171" spans="1:9" x14ac:dyDescent="0.6">
      <c r="A3171">
        <v>651</v>
      </c>
      <c r="B3171" t="s">
        <v>7</v>
      </c>
      <c r="C3171" t="s">
        <v>10</v>
      </c>
      <c r="D3171">
        <v>168.9</v>
      </c>
      <c r="E3171">
        <v>101.49</v>
      </c>
      <c r="F3171">
        <v>36877</v>
      </c>
      <c r="H3171">
        <f>_xlfn.LET(_xlpm.v, IFERROR(VLOOKUP($A3171, manifest!$A:$E, 3, FALSE), ""), IF(OR(_xlpm.v=0, _xlpm.v=""), "", _xlpm.v))</f>
        <v>60</v>
      </c>
      <c r="I3171" t="str">
        <f>_xlfn.LET(_xlpm.v, IFERROR(VLOOKUP($A3171, manifest!$A:$E, 5, FALSE), ""), IF(OR(_xlpm.v=0, _xlpm.v=""), "", _xlpm.v))</f>
        <v>male</v>
      </c>
    </row>
    <row r="3172" spans="1:9" x14ac:dyDescent="0.6">
      <c r="A3172">
        <v>651</v>
      </c>
      <c r="B3172" t="s">
        <v>7</v>
      </c>
      <c r="C3172" t="s">
        <v>11</v>
      </c>
      <c r="D3172">
        <v>141.66</v>
      </c>
      <c r="E3172">
        <v>116.83</v>
      </c>
      <c r="F3172">
        <v>53794</v>
      </c>
      <c r="H3172">
        <f>_xlfn.LET(_xlpm.v, IFERROR(VLOOKUP($A3172, manifest!$A:$E, 3, FALSE), ""), IF(OR(_xlpm.v=0, _xlpm.v=""), "", _xlpm.v))</f>
        <v>60</v>
      </c>
      <c r="I3172" t="str">
        <f>_xlfn.LET(_xlpm.v, IFERROR(VLOOKUP($A3172, manifest!$A:$E, 5, FALSE), ""), IF(OR(_xlpm.v=0, _xlpm.v=""), "", _xlpm.v))</f>
        <v>male</v>
      </c>
    </row>
    <row r="3173" spans="1:9" x14ac:dyDescent="0.6">
      <c r="A3173">
        <v>651</v>
      </c>
      <c r="B3173" t="s">
        <v>7</v>
      </c>
      <c r="C3173" t="s">
        <v>12</v>
      </c>
      <c r="D3173">
        <v>186.97</v>
      </c>
      <c r="E3173">
        <v>110.81</v>
      </c>
      <c r="F3173">
        <v>67398</v>
      </c>
      <c r="H3173">
        <f>_xlfn.LET(_xlpm.v, IFERROR(VLOOKUP($A3173, manifest!$A:$E, 3, FALSE), ""), IF(OR(_xlpm.v=0, _xlpm.v=""), "", _xlpm.v))</f>
        <v>60</v>
      </c>
      <c r="I3173" t="str">
        <f>_xlfn.LET(_xlpm.v, IFERROR(VLOOKUP($A3173, manifest!$A:$E, 5, FALSE), ""), IF(OR(_xlpm.v=0, _xlpm.v=""), "", _xlpm.v))</f>
        <v>male</v>
      </c>
    </row>
    <row r="3174" spans="1:9" x14ac:dyDescent="0.6">
      <c r="A3174">
        <v>651</v>
      </c>
      <c r="B3174" t="s">
        <v>7</v>
      </c>
      <c r="C3174" t="s">
        <v>13</v>
      </c>
      <c r="D3174">
        <v>167.81</v>
      </c>
      <c r="E3174">
        <v>109.52</v>
      </c>
      <c r="F3174">
        <v>62506</v>
      </c>
      <c r="H3174">
        <f>_xlfn.LET(_xlpm.v, IFERROR(VLOOKUP($A3174, manifest!$A:$E, 3, FALSE), ""), IF(OR(_xlpm.v=0, _xlpm.v=""), "", _xlpm.v))</f>
        <v>60</v>
      </c>
      <c r="I3174" t="str">
        <f>_xlfn.LET(_xlpm.v, IFERROR(VLOOKUP($A3174, manifest!$A:$E, 5, FALSE), ""), IF(OR(_xlpm.v=0, _xlpm.v=""), "", _xlpm.v))</f>
        <v>male</v>
      </c>
    </row>
    <row r="3175" spans="1:9" x14ac:dyDescent="0.6">
      <c r="A3175">
        <v>657</v>
      </c>
      <c r="B3175" t="s">
        <v>7</v>
      </c>
      <c r="C3175" t="s">
        <v>8</v>
      </c>
      <c r="D3175">
        <v>220.27</v>
      </c>
      <c r="E3175">
        <v>157.97</v>
      </c>
      <c r="F3175">
        <v>26926</v>
      </c>
      <c r="G3175" t="s">
        <v>9</v>
      </c>
      <c r="H3175">
        <f>_xlfn.LET(_xlpm.v, IFERROR(VLOOKUP($A3175, manifest!$A:$E, 3, FALSE), ""), IF(OR(_xlpm.v=0, _xlpm.v=""), "", _xlpm.v))</f>
        <v>60</v>
      </c>
      <c r="I3175" t="str">
        <f>_xlfn.LET(_xlpm.v, IFERROR(VLOOKUP($A3175, manifest!$A:$E, 5, FALSE), ""), IF(OR(_xlpm.v=0, _xlpm.v=""), "", _xlpm.v))</f>
        <v>female</v>
      </c>
    </row>
    <row r="3176" spans="1:9" x14ac:dyDescent="0.6">
      <c r="A3176">
        <v>657</v>
      </c>
      <c r="B3176" t="s">
        <v>7</v>
      </c>
      <c r="C3176" t="s">
        <v>10</v>
      </c>
      <c r="D3176">
        <v>226.89</v>
      </c>
      <c r="E3176">
        <v>171.95</v>
      </c>
      <c r="F3176">
        <v>32322</v>
      </c>
      <c r="H3176">
        <f>_xlfn.LET(_xlpm.v, IFERROR(VLOOKUP($A3176, manifest!$A:$E, 3, FALSE), ""), IF(OR(_xlpm.v=0, _xlpm.v=""), "", _xlpm.v))</f>
        <v>60</v>
      </c>
      <c r="I3176" t="str">
        <f>_xlfn.LET(_xlpm.v, IFERROR(VLOOKUP($A3176, manifest!$A:$E, 5, FALSE), ""), IF(OR(_xlpm.v=0, _xlpm.v=""), "", _xlpm.v))</f>
        <v>female</v>
      </c>
    </row>
    <row r="3177" spans="1:9" x14ac:dyDescent="0.6">
      <c r="A3177">
        <v>657</v>
      </c>
      <c r="B3177" t="s">
        <v>7</v>
      </c>
      <c r="C3177" t="s">
        <v>11</v>
      </c>
      <c r="D3177">
        <v>221.43</v>
      </c>
      <c r="E3177">
        <v>185.23</v>
      </c>
      <c r="F3177">
        <v>36484</v>
      </c>
      <c r="H3177">
        <f>_xlfn.LET(_xlpm.v, IFERROR(VLOOKUP($A3177, manifest!$A:$E, 3, FALSE), ""), IF(OR(_xlpm.v=0, _xlpm.v=""), "", _xlpm.v))</f>
        <v>60</v>
      </c>
      <c r="I3177" t="str">
        <f>_xlfn.LET(_xlpm.v, IFERROR(VLOOKUP($A3177, manifest!$A:$E, 5, FALSE), ""), IF(OR(_xlpm.v=0, _xlpm.v=""), "", _xlpm.v))</f>
        <v>female</v>
      </c>
    </row>
    <row r="3178" spans="1:9" x14ac:dyDescent="0.6">
      <c r="A3178">
        <v>657</v>
      </c>
      <c r="B3178" t="s">
        <v>7</v>
      </c>
      <c r="C3178" t="s">
        <v>12</v>
      </c>
      <c r="D3178">
        <v>232.79</v>
      </c>
      <c r="E3178">
        <v>189.73</v>
      </c>
      <c r="F3178">
        <v>38516</v>
      </c>
      <c r="H3178">
        <f>_xlfn.LET(_xlpm.v, IFERROR(VLOOKUP($A3178, manifest!$A:$E, 3, FALSE), ""), IF(OR(_xlpm.v=0, _xlpm.v=""), "", _xlpm.v))</f>
        <v>60</v>
      </c>
      <c r="I3178" t="str">
        <f>_xlfn.LET(_xlpm.v, IFERROR(VLOOKUP($A3178, manifest!$A:$E, 5, FALSE), ""), IF(OR(_xlpm.v=0, _xlpm.v=""), "", _xlpm.v))</f>
        <v>female</v>
      </c>
    </row>
    <row r="3179" spans="1:9" x14ac:dyDescent="0.6">
      <c r="A3179">
        <v>657</v>
      </c>
      <c r="B3179" t="s">
        <v>7</v>
      </c>
      <c r="C3179" t="s">
        <v>13</v>
      </c>
      <c r="D3179">
        <v>237.54</v>
      </c>
      <c r="E3179">
        <v>189.07</v>
      </c>
      <c r="F3179">
        <v>43583</v>
      </c>
      <c r="H3179">
        <f>_xlfn.LET(_xlpm.v, IFERROR(VLOOKUP($A3179, manifest!$A:$E, 3, FALSE), ""), IF(OR(_xlpm.v=0, _xlpm.v=""), "", _xlpm.v))</f>
        <v>60</v>
      </c>
      <c r="I3179" t="str">
        <f>_xlfn.LET(_xlpm.v, IFERROR(VLOOKUP($A3179, manifest!$A:$E, 5, FALSE), ""), IF(OR(_xlpm.v=0, _xlpm.v=""), "", _xlpm.v))</f>
        <v>female</v>
      </c>
    </row>
    <row r="3180" spans="1:9" x14ac:dyDescent="0.6">
      <c r="A3180">
        <v>664</v>
      </c>
      <c r="B3180" t="s">
        <v>7</v>
      </c>
      <c r="C3180" t="s">
        <v>8</v>
      </c>
      <c r="D3180">
        <v>82.75</v>
      </c>
      <c r="E3180">
        <v>86.34</v>
      </c>
      <c r="F3180">
        <v>20244</v>
      </c>
      <c r="G3180" t="s">
        <v>17</v>
      </c>
      <c r="H3180">
        <f>_xlfn.LET(_xlpm.v, IFERROR(VLOOKUP($A3180, manifest!$A:$E, 3, FALSE), ""), IF(OR(_xlpm.v=0, _xlpm.v=""), "", _xlpm.v))</f>
        <v>80</v>
      </c>
      <c r="I3180" t="str">
        <f>_xlfn.LET(_xlpm.v, IFERROR(VLOOKUP($A3180, manifest!$A:$E, 5, FALSE), ""), IF(OR(_xlpm.v=0, _xlpm.v=""), "", _xlpm.v))</f>
        <v>female</v>
      </c>
    </row>
    <row r="3181" spans="1:9" x14ac:dyDescent="0.6">
      <c r="A3181">
        <v>664</v>
      </c>
      <c r="B3181" t="s">
        <v>7</v>
      </c>
      <c r="C3181" t="s">
        <v>10</v>
      </c>
      <c r="D3181">
        <v>85.65</v>
      </c>
      <c r="E3181">
        <v>82.47</v>
      </c>
      <c r="F3181">
        <v>24543</v>
      </c>
      <c r="H3181">
        <f>_xlfn.LET(_xlpm.v, IFERROR(VLOOKUP($A3181, manifest!$A:$E, 3, FALSE), ""), IF(OR(_xlpm.v=0, _xlpm.v=""), "", _xlpm.v))</f>
        <v>80</v>
      </c>
      <c r="I3181" t="str">
        <f>_xlfn.LET(_xlpm.v, IFERROR(VLOOKUP($A3181, manifest!$A:$E, 5, FALSE), ""), IF(OR(_xlpm.v=0, _xlpm.v=""), "", _xlpm.v))</f>
        <v>female</v>
      </c>
    </row>
    <row r="3182" spans="1:9" x14ac:dyDescent="0.6">
      <c r="A3182">
        <v>664</v>
      </c>
      <c r="B3182" t="s">
        <v>7</v>
      </c>
      <c r="C3182" t="s">
        <v>11</v>
      </c>
      <c r="D3182">
        <v>80.64</v>
      </c>
      <c r="E3182">
        <v>91.43</v>
      </c>
      <c r="F3182">
        <v>26330</v>
      </c>
      <c r="H3182">
        <f>_xlfn.LET(_xlpm.v, IFERROR(VLOOKUP($A3182, manifest!$A:$E, 3, FALSE), ""), IF(OR(_xlpm.v=0, _xlpm.v=""), "", _xlpm.v))</f>
        <v>80</v>
      </c>
      <c r="I3182" t="str">
        <f>_xlfn.LET(_xlpm.v, IFERROR(VLOOKUP($A3182, manifest!$A:$E, 5, FALSE), ""), IF(OR(_xlpm.v=0, _xlpm.v=""), "", _xlpm.v))</f>
        <v>female</v>
      </c>
    </row>
    <row r="3183" spans="1:9" x14ac:dyDescent="0.6">
      <c r="A3183">
        <v>664</v>
      </c>
      <c r="B3183" t="s">
        <v>7</v>
      </c>
      <c r="C3183" t="s">
        <v>12</v>
      </c>
      <c r="D3183">
        <v>89.95</v>
      </c>
      <c r="E3183">
        <v>97.48</v>
      </c>
      <c r="F3183">
        <v>30868</v>
      </c>
      <c r="H3183">
        <f>_xlfn.LET(_xlpm.v, IFERROR(VLOOKUP($A3183, manifest!$A:$E, 3, FALSE), ""), IF(OR(_xlpm.v=0, _xlpm.v=""), "", _xlpm.v))</f>
        <v>80</v>
      </c>
      <c r="I3183" t="str">
        <f>_xlfn.LET(_xlpm.v, IFERROR(VLOOKUP($A3183, manifest!$A:$E, 5, FALSE), ""), IF(OR(_xlpm.v=0, _xlpm.v=""), "", _xlpm.v))</f>
        <v>female</v>
      </c>
    </row>
    <row r="3184" spans="1:9" x14ac:dyDescent="0.6">
      <c r="A3184">
        <v>664</v>
      </c>
      <c r="B3184" t="s">
        <v>7</v>
      </c>
      <c r="C3184" t="s">
        <v>13</v>
      </c>
      <c r="D3184">
        <v>128.24</v>
      </c>
      <c r="E3184">
        <v>140.63</v>
      </c>
      <c r="F3184">
        <v>38740</v>
      </c>
      <c r="H3184">
        <f>_xlfn.LET(_xlpm.v, IFERROR(VLOOKUP($A3184, manifest!$A:$E, 3, FALSE), ""), IF(OR(_xlpm.v=0, _xlpm.v=""), "", _xlpm.v))</f>
        <v>80</v>
      </c>
      <c r="I3184" t="str">
        <f>_xlfn.LET(_xlpm.v, IFERROR(VLOOKUP($A3184, manifest!$A:$E, 5, FALSE), ""), IF(OR(_xlpm.v=0, _xlpm.v=""), "", _xlpm.v))</f>
        <v>female</v>
      </c>
    </row>
    <row r="3185" spans="1:9" x14ac:dyDescent="0.6">
      <c r="A3185">
        <v>671</v>
      </c>
      <c r="B3185" t="s">
        <v>7</v>
      </c>
      <c r="C3185" t="s">
        <v>8</v>
      </c>
      <c r="D3185">
        <v>260.95999999999998</v>
      </c>
      <c r="E3185">
        <v>229.43</v>
      </c>
      <c r="F3185">
        <v>36575</v>
      </c>
      <c r="G3185" t="s">
        <v>9</v>
      </c>
      <c r="H3185">
        <f>_xlfn.LET(_xlpm.v, IFERROR(VLOOKUP($A3185, manifest!$A:$E, 3, FALSE), ""), IF(OR(_xlpm.v=0, _xlpm.v=""), "", _xlpm.v))</f>
        <v>70</v>
      </c>
      <c r="I3185" t="str">
        <f>_xlfn.LET(_xlpm.v, IFERROR(VLOOKUP($A3185, manifest!$A:$E, 5, FALSE), ""), IF(OR(_xlpm.v=0, _xlpm.v=""), "", _xlpm.v))</f>
        <v>male</v>
      </c>
    </row>
    <row r="3186" spans="1:9" x14ac:dyDescent="0.6">
      <c r="A3186">
        <v>671</v>
      </c>
      <c r="B3186" t="s">
        <v>7</v>
      </c>
      <c r="C3186" t="s">
        <v>10</v>
      </c>
      <c r="D3186">
        <v>261.37</v>
      </c>
      <c r="E3186">
        <v>228.72</v>
      </c>
      <c r="F3186">
        <v>37870</v>
      </c>
      <c r="H3186">
        <f>_xlfn.LET(_xlpm.v, IFERROR(VLOOKUP($A3186, manifest!$A:$E, 3, FALSE), ""), IF(OR(_xlpm.v=0, _xlpm.v=""), "", _xlpm.v))</f>
        <v>70</v>
      </c>
      <c r="I3186" t="str">
        <f>_xlfn.LET(_xlpm.v, IFERROR(VLOOKUP($A3186, manifest!$A:$E, 5, FALSE), ""), IF(OR(_xlpm.v=0, _xlpm.v=""), "", _xlpm.v))</f>
        <v>male</v>
      </c>
    </row>
    <row r="3187" spans="1:9" x14ac:dyDescent="0.6">
      <c r="A3187">
        <v>671</v>
      </c>
      <c r="B3187" t="s">
        <v>7</v>
      </c>
      <c r="C3187" t="s">
        <v>11</v>
      </c>
      <c r="D3187">
        <v>242.31</v>
      </c>
      <c r="E3187">
        <v>215.14</v>
      </c>
      <c r="F3187">
        <v>53636</v>
      </c>
      <c r="H3187">
        <f>_xlfn.LET(_xlpm.v, IFERROR(VLOOKUP($A3187, manifest!$A:$E, 3, FALSE), ""), IF(OR(_xlpm.v=0, _xlpm.v=""), "", _xlpm.v))</f>
        <v>70</v>
      </c>
      <c r="I3187" t="str">
        <f>_xlfn.LET(_xlpm.v, IFERROR(VLOOKUP($A3187, manifest!$A:$E, 5, FALSE), ""), IF(OR(_xlpm.v=0, _xlpm.v=""), "", _xlpm.v))</f>
        <v>male</v>
      </c>
    </row>
    <row r="3188" spans="1:9" x14ac:dyDescent="0.6">
      <c r="A3188">
        <v>671</v>
      </c>
      <c r="B3188" t="s">
        <v>7</v>
      </c>
      <c r="C3188" t="s">
        <v>12</v>
      </c>
      <c r="D3188">
        <v>218.49</v>
      </c>
      <c r="E3188">
        <v>189.84</v>
      </c>
      <c r="F3188">
        <v>67297</v>
      </c>
      <c r="H3188">
        <f>_xlfn.LET(_xlpm.v, IFERROR(VLOOKUP($A3188, manifest!$A:$E, 3, FALSE), ""), IF(OR(_xlpm.v=0, _xlpm.v=""), "", _xlpm.v))</f>
        <v>70</v>
      </c>
      <c r="I3188" t="str">
        <f>_xlfn.LET(_xlpm.v, IFERROR(VLOOKUP($A3188, manifest!$A:$E, 5, FALSE), ""), IF(OR(_xlpm.v=0, _xlpm.v=""), "", _xlpm.v))</f>
        <v>male</v>
      </c>
    </row>
    <row r="3189" spans="1:9" x14ac:dyDescent="0.6">
      <c r="A3189">
        <v>671</v>
      </c>
      <c r="B3189" t="s">
        <v>7</v>
      </c>
      <c r="C3189" t="s">
        <v>13</v>
      </c>
      <c r="D3189">
        <v>257.69</v>
      </c>
      <c r="E3189">
        <v>224.6</v>
      </c>
      <c r="F3189">
        <v>59031</v>
      </c>
      <c r="H3189">
        <f>_xlfn.LET(_xlpm.v, IFERROR(VLOOKUP($A3189, manifest!$A:$E, 3, FALSE), ""), IF(OR(_xlpm.v=0, _xlpm.v=""), "", _xlpm.v))</f>
        <v>70</v>
      </c>
      <c r="I3189" t="str">
        <f>_xlfn.LET(_xlpm.v, IFERROR(VLOOKUP($A3189, manifest!$A:$E, 5, FALSE), ""), IF(OR(_xlpm.v=0, _xlpm.v=""), "", _xlpm.v))</f>
        <v>male</v>
      </c>
    </row>
    <row r="3190" spans="1:9" x14ac:dyDescent="0.6">
      <c r="A3190">
        <v>672</v>
      </c>
      <c r="B3190" t="s">
        <v>14</v>
      </c>
      <c r="C3190" t="s">
        <v>8</v>
      </c>
      <c r="D3190">
        <v>199.59</v>
      </c>
      <c r="E3190">
        <v>85.83</v>
      </c>
      <c r="F3190">
        <v>16498</v>
      </c>
      <c r="G3190" t="s">
        <v>9</v>
      </c>
      <c r="H3190">
        <f>_xlfn.LET(_xlpm.v, IFERROR(VLOOKUP($A3190, manifest!$A:$E, 3, FALSE), ""), IF(OR(_xlpm.v=0, _xlpm.v=""), "", _xlpm.v))</f>
        <v>50</v>
      </c>
      <c r="I3190" t="str">
        <f>_xlfn.LET(_xlpm.v, IFERROR(VLOOKUP($A3190, manifest!$A:$E, 5, FALSE), ""), IF(OR(_xlpm.v=0, _xlpm.v=""), "", _xlpm.v))</f>
        <v>female</v>
      </c>
    </row>
    <row r="3191" spans="1:9" x14ac:dyDescent="0.6">
      <c r="A3191">
        <v>672</v>
      </c>
      <c r="B3191" t="s">
        <v>14</v>
      </c>
      <c r="C3191" t="s">
        <v>10</v>
      </c>
      <c r="D3191">
        <v>206.62</v>
      </c>
      <c r="E3191">
        <v>92.04</v>
      </c>
      <c r="F3191">
        <v>17739</v>
      </c>
      <c r="H3191">
        <f>_xlfn.LET(_xlpm.v, IFERROR(VLOOKUP($A3191, manifest!$A:$E, 3, FALSE), ""), IF(OR(_xlpm.v=0, _xlpm.v=""), "", _xlpm.v))</f>
        <v>50</v>
      </c>
      <c r="I3191" t="str">
        <f>_xlfn.LET(_xlpm.v, IFERROR(VLOOKUP($A3191, manifest!$A:$E, 5, FALSE), ""), IF(OR(_xlpm.v=0, _xlpm.v=""), "", _xlpm.v))</f>
        <v>female</v>
      </c>
    </row>
    <row r="3192" spans="1:9" x14ac:dyDescent="0.6">
      <c r="A3192">
        <v>672</v>
      </c>
      <c r="B3192" t="s">
        <v>14</v>
      </c>
      <c r="C3192" t="s">
        <v>11</v>
      </c>
      <c r="D3192">
        <v>201.41</v>
      </c>
      <c r="E3192">
        <v>108.41</v>
      </c>
      <c r="F3192">
        <v>21062</v>
      </c>
      <c r="H3192">
        <f>_xlfn.LET(_xlpm.v, IFERROR(VLOOKUP($A3192, manifest!$A:$E, 3, FALSE), ""), IF(OR(_xlpm.v=0, _xlpm.v=""), "", _xlpm.v))</f>
        <v>50</v>
      </c>
      <c r="I3192" t="str">
        <f>_xlfn.LET(_xlpm.v, IFERROR(VLOOKUP($A3192, manifest!$A:$E, 5, FALSE), ""), IF(OR(_xlpm.v=0, _xlpm.v=""), "", _xlpm.v))</f>
        <v>female</v>
      </c>
    </row>
    <row r="3193" spans="1:9" x14ac:dyDescent="0.6">
      <c r="A3193">
        <v>672</v>
      </c>
      <c r="B3193" t="s">
        <v>14</v>
      </c>
      <c r="C3193" t="s">
        <v>12</v>
      </c>
      <c r="D3193">
        <v>200.15</v>
      </c>
      <c r="E3193">
        <v>130.77000000000001</v>
      </c>
      <c r="F3193">
        <v>22994</v>
      </c>
      <c r="H3193">
        <f>_xlfn.LET(_xlpm.v, IFERROR(VLOOKUP($A3193, manifest!$A:$E, 3, FALSE), ""), IF(OR(_xlpm.v=0, _xlpm.v=""), "", _xlpm.v))</f>
        <v>50</v>
      </c>
      <c r="I3193" t="str">
        <f>_xlfn.LET(_xlpm.v, IFERROR(VLOOKUP($A3193, manifest!$A:$E, 5, FALSE), ""), IF(OR(_xlpm.v=0, _xlpm.v=""), "", _xlpm.v))</f>
        <v>female</v>
      </c>
    </row>
    <row r="3194" spans="1:9" x14ac:dyDescent="0.6">
      <c r="A3194">
        <v>672</v>
      </c>
      <c r="B3194" t="s">
        <v>14</v>
      </c>
      <c r="C3194" t="s">
        <v>13</v>
      </c>
      <c r="D3194">
        <v>216.14</v>
      </c>
      <c r="E3194">
        <v>136.52000000000001</v>
      </c>
      <c r="F3194">
        <v>26608</v>
      </c>
      <c r="H3194">
        <f>_xlfn.LET(_xlpm.v, IFERROR(VLOOKUP($A3194, manifest!$A:$E, 3, FALSE), ""), IF(OR(_xlpm.v=0, _xlpm.v=""), "", _xlpm.v))</f>
        <v>50</v>
      </c>
      <c r="I3194" t="str">
        <f>_xlfn.LET(_xlpm.v, IFERROR(VLOOKUP($A3194, manifest!$A:$E, 5, FALSE), ""), IF(OR(_xlpm.v=0, _xlpm.v=""), "", _xlpm.v))</f>
        <v>female</v>
      </c>
    </row>
    <row r="3195" spans="1:9" x14ac:dyDescent="0.6">
      <c r="A3195">
        <v>672</v>
      </c>
      <c r="B3195" t="s">
        <v>14</v>
      </c>
      <c r="C3195" t="s">
        <v>16</v>
      </c>
      <c r="D3195">
        <v>200.08</v>
      </c>
      <c r="E3195">
        <v>159.01</v>
      </c>
      <c r="F3195">
        <v>29755</v>
      </c>
      <c r="H3195">
        <f>_xlfn.LET(_xlpm.v, IFERROR(VLOOKUP($A3195, manifest!$A:$E, 3, FALSE), ""), IF(OR(_xlpm.v=0, _xlpm.v=""), "", _xlpm.v))</f>
        <v>50</v>
      </c>
      <c r="I3195" t="str">
        <f>_xlfn.LET(_xlpm.v, IFERROR(VLOOKUP($A3195, manifest!$A:$E, 5, FALSE), ""), IF(OR(_xlpm.v=0, _xlpm.v=""), "", _xlpm.v))</f>
        <v>female</v>
      </c>
    </row>
    <row r="3196" spans="1:9" x14ac:dyDescent="0.6">
      <c r="A3196">
        <v>684</v>
      </c>
      <c r="B3196" t="s">
        <v>14</v>
      </c>
      <c r="C3196" t="s">
        <v>8</v>
      </c>
      <c r="D3196">
        <v>248.06</v>
      </c>
      <c r="E3196">
        <v>115.55</v>
      </c>
      <c r="F3196">
        <v>40607</v>
      </c>
      <c r="G3196" t="s">
        <v>9</v>
      </c>
      <c r="H3196">
        <f>_xlfn.LET(_xlpm.v, IFERROR(VLOOKUP($A3196, manifest!$A:$E, 3, FALSE), ""), IF(OR(_xlpm.v=0, _xlpm.v=""), "", _xlpm.v))</f>
        <v>50</v>
      </c>
      <c r="I3196" t="str">
        <f>_xlfn.LET(_xlpm.v, IFERROR(VLOOKUP($A3196, manifest!$A:$E, 5, FALSE), ""), IF(OR(_xlpm.v=0, _xlpm.v=""), "", _xlpm.v))</f>
        <v>male</v>
      </c>
    </row>
    <row r="3197" spans="1:9" x14ac:dyDescent="0.6">
      <c r="A3197">
        <v>684</v>
      </c>
      <c r="B3197" t="s">
        <v>14</v>
      </c>
      <c r="C3197" t="s">
        <v>10</v>
      </c>
      <c r="D3197">
        <v>263.67</v>
      </c>
      <c r="E3197">
        <v>148.58000000000001</v>
      </c>
      <c r="F3197">
        <v>38780</v>
      </c>
      <c r="H3197">
        <f>_xlfn.LET(_xlpm.v, IFERROR(VLOOKUP($A3197, manifest!$A:$E, 3, FALSE), ""), IF(OR(_xlpm.v=0, _xlpm.v=""), "", _xlpm.v))</f>
        <v>50</v>
      </c>
      <c r="I3197" t="str">
        <f>_xlfn.LET(_xlpm.v, IFERROR(VLOOKUP($A3197, manifest!$A:$E, 5, FALSE), ""), IF(OR(_xlpm.v=0, _xlpm.v=""), "", _xlpm.v))</f>
        <v>male</v>
      </c>
    </row>
    <row r="3198" spans="1:9" x14ac:dyDescent="0.6">
      <c r="A3198">
        <v>684</v>
      </c>
      <c r="B3198" t="s">
        <v>14</v>
      </c>
      <c r="C3198" t="s">
        <v>11</v>
      </c>
      <c r="D3198">
        <v>260.7</v>
      </c>
      <c r="E3198">
        <v>141.79</v>
      </c>
      <c r="F3198">
        <v>43832</v>
      </c>
      <c r="H3198">
        <f>_xlfn.LET(_xlpm.v, IFERROR(VLOOKUP($A3198, manifest!$A:$E, 3, FALSE), ""), IF(OR(_xlpm.v=0, _xlpm.v=""), "", _xlpm.v))</f>
        <v>50</v>
      </c>
      <c r="I3198" t="str">
        <f>_xlfn.LET(_xlpm.v, IFERROR(VLOOKUP($A3198, manifest!$A:$E, 5, FALSE), ""), IF(OR(_xlpm.v=0, _xlpm.v=""), "", _xlpm.v))</f>
        <v>male</v>
      </c>
    </row>
    <row r="3199" spans="1:9" x14ac:dyDescent="0.6">
      <c r="A3199">
        <v>684</v>
      </c>
      <c r="B3199" t="s">
        <v>14</v>
      </c>
      <c r="C3199" t="s">
        <v>12</v>
      </c>
      <c r="D3199">
        <v>258.05</v>
      </c>
      <c r="E3199">
        <v>164.93</v>
      </c>
      <c r="F3199">
        <v>43576</v>
      </c>
      <c r="H3199">
        <f>_xlfn.LET(_xlpm.v, IFERROR(VLOOKUP($A3199, manifest!$A:$E, 3, FALSE), ""), IF(OR(_xlpm.v=0, _xlpm.v=""), "", _xlpm.v))</f>
        <v>50</v>
      </c>
      <c r="I3199" t="str">
        <f>_xlfn.LET(_xlpm.v, IFERROR(VLOOKUP($A3199, manifest!$A:$E, 5, FALSE), ""), IF(OR(_xlpm.v=0, _xlpm.v=""), "", _xlpm.v))</f>
        <v>male</v>
      </c>
    </row>
    <row r="3200" spans="1:9" x14ac:dyDescent="0.6">
      <c r="A3200">
        <v>684</v>
      </c>
      <c r="B3200" t="s">
        <v>14</v>
      </c>
      <c r="C3200" t="s">
        <v>13</v>
      </c>
      <c r="D3200">
        <v>254.81</v>
      </c>
      <c r="E3200">
        <v>142.93</v>
      </c>
      <c r="F3200">
        <v>51848</v>
      </c>
      <c r="H3200">
        <f>_xlfn.LET(_xlpm.v, IFERROR(VLOOKUP($A3200, manifest!$A:$E, 3, FALSE), ""), IF(OR(_xlpm.v=0, _xlpm.v=""), "", _xlpm.v))</f>
        <v>50</v>
      </c>
      <c r="I3200" t="str">
        <f>_xlfn.LET(_xlpm.v, IFERROR(VLOOKUP($A3200, manifest!$A:$E, 5, FALSE), ""), IF(OR(_xlpm.v=0, _xlpm.v=""), "", _xlpm.v))</f>
        <v>male</v>
      </c>
    </row>
    <row r="3201" spans="1:9" x14ac:dyDescent="0.6">
      <c r="A3201">
        <v>662</v>
      </c>
      <c r="B3201" t="s">
        <v>7</v>
      </c>
      <c r="C3201" t="s">
        <v>8</v>
      </c>
      <c r="D3201">
        <v>313.45999999999998</v>
      </c>
      <c r="E3201">
        <v>192.54</v>
      </c>
      <c r="F3201">
        <v>29425</v>
      </c>
      <c r="G3201" t="s">
        <v>9</v>
      </c>
      <c r="H3201">
        <f>_xlfn.LET(_xlpm.v, IFERROR(VLOOKUP($A3201, manifest!$A:$E, 3, FALSE), ""), IF(OR(_xlpm.v=0, _xlpm.v=""), "", _xlpm.v))</f>
        <v>50</v>
      </c>
      <c r="I3201" t="str">
        <f>_xlfn.LET(_xlpm.v, IFERROR(VLOOKUP($A3201, manifest!$A:$E, 5, FALSE), ""), IF(OR(_xlpm.v=0, _xlpm.v=""), "", _xlpm.v))</f>
        <v>female</v>
      </c>
    </row>
    <row r="3202" spans="1:9" x14ac:dyDescent="0.6">
      <c r="A3202">
        <v>662</v>
      </c>
      <c r="B3202" t="s">
        <v>7</v>
      </c>
      <c r="C3202" t="s">
        <v>10</v>
      </c>
      <c r="D3202">
        <v>327.88</v>
      </c>
      <c r="E3202">
        <v>230.79</v>
      </c>
      <c r="F3202">
        <v>29717</v>
      </c>
      <c r="H3202">
        <f>_xlfn.LET(_xlpm.v, IFERROR(VLOOKUP($A3202, manifest!$A:$E, 3, FALSE), ""), IF(OR(_xlpm.v=0, _xlpm.v=""), "", _xlpm.v))</f>
        <v>50</v>
      </c>
      <c r="I3202" t="str">
        <f>_xlfn.LET(_xlpm.v, IFERROR(VLOOKUP($A3202, manifest!$A:$E, 5, FALSE), ""), IF(OR(_xlpm.v=0, _xlpm.v=""), "", _xlpm.v))</f>
        <v>female</v>
      </c>
    </row>
    <row r="3203" spans="1:9" x14ac:dyDescent="0.6">
      <c r="A3203">
        <v>662</v>
      </c>
      <c r="B3203" t="s">
        <v>7</v>
      </c>
      <c r="C3203" t="s">
        <v>11</v>
      </c>
      <c r="D3203">
        <v>319.36</v>
      </c>
      <c r="E3203">
        <v>218.88</v>
      </c>
      <c r="F3203">
        <v>41249</v>
      </c>
      <c r="H3203">
        <f>_xlfn.LET(_xlpm.v, IFERROR(VLOOKUP($A3203, manifest!$A:$E, 3, FALSE), ""), IF(OR(_xlpm.v=0, _xlpm.v=""), "", _xlpm.v))</f>
        <v>50</v>
      </c>
      <c r="I3203" t="str">
        <f>_xlfn.LET(_xlpm.v, IFERROR(VLOOKUP($A3203, manifest!$A:$E, 5, FALSE), ""), IF(OR(_xlpm.v=0, _xlpm.v=""), "", _xlpm.v))</f>
        <v>female</v>
      </c>
    </row>
    <row r="3204" spans="1:9" x14ac:dyDescent="0.6">
      <c r="A3204">
        <v>662</v>
      </c>
      <c r="B3204" t="s">
        <v>7</v>
      </c>
      <c r="C3204" t="s">
        <v>12</v>
      </c>
      <c r="D3204">
        <v>317.66000000000003</v>
      </c>
      <c r="E3204">
        <v>210.79</v>
      </c>
      <c r="F3204">
        <v>53060</v>
      </c>
      <c r="H3204">
        <f>_xlfn.LET(_xlpm.v, IFERROR(VLOOKUP($A3204, manifest!$A:$E, 3, FALSE), ""), IF(OR(_xlpm.v=0, _xlpm.v=""), "", _xlpm.v))</f>
        <v>50</v>
      </c>
      <c r="I3204" t="str">
        <f>_xlfn.LET(_xlpm.v, IFERROR(VLOOKUP($A3204, manifest!$A:$E, 5, FALSE), ""), IF(OR(_xlpm.v=0, _xlpm.v=""), "", _xlpm.v))</f>
        <v>female</v>
      </c>
    </row>
    <row r="3205" spans="1:9" x14ac:dyDescent="0.6">
      <c r="A3205">
        <v>662</v>
      </c>
      <c r="B3205" t="s">
        <v>7</v>
      </c>
      <c r="C3205" t="s">
        <v>13</v>
      </c>
      <c r="D3205">
        <v>301.85000000000002</v>
      </c>
      <c r="E3205">
        <v>179.28</v>
      </c>
      <c r="F3205">
        <v>51837</v>
      </c>
      <c r="H3205">
        <f>_xlfn.LET(_xlpm.v, IFERROR(VLOOKUP($A3205, manifest!$A:$E, 3, FALSE), ""), IF(OR(_xlpm.v=0, _xlpm.v=""), "", _xlpm.v))</f>
        <v>50</v>
      </c>
      <c r="I3205" t="str">
        <f>_xlfn.LET(_xlpm.v, IFERROR(VLOOKUP($A3205, manifest!$A:$E, 5, FALSE), ""), IF(OR(_xlpm.v=0, _xlpm.v=""), "", _xlpm.v))</f>
        <v>female</v>
      </c>
    </row>
    <row r="3206" spans="1:9" x14ac:dyDescent="0.6">
      <c r="A3206">
        <v>683</v>
      </c>
      <c r="B3206" t="s">
        <v>7</v>
      </c>
      <c r="C3206" t="s">
        <v>8</v>
      </c>
      <c r="D3206">
        <v>237.18</v>
      </c>
      <c r="E3206">
        <v>110.88</v>
      </c>
      <c r="F3206">
        <v>18825</v>
      </c>
      <c r="G3206" t="s">
        <v>9</v>
      </c>
      <c r="H3206">
        <f>_xlfn.LET(_xlpm.v, IFERROR(VLOOKUP($A3206, manifest!$A:$E, 3, FALSE), ""), IF(OR(_xlpm.v=0, _xlpm.v=""), "", _xlpm.v))</f>
        <v>60</v>
      </c>
      <c r="I3206" t="str">
        <f>_xlfn.LET(_xlpm.v, IFERROR(VLOOKUP($A3206, manifest!$A:$E, 5, FALSE), ""), IF(OR(_xlpm.v=0, _xlpm.v=""), "", _xlpm.v))</f>
        <v>female</v>
      </c>
    </row>
    <row r="3207" spans="1:9" x14ac:dyDescent="0.6">
      <c r="A3207">
        <v>683</v>
      </c>
      <c r="B3207" t="s">
        <v>7</v>
      </c>
      <c r="C3207" t="s">
        <v>10</v>
      </c>
      <c r="D3207">
        <v>228.21</v>
      </c>
      <c r="E3207">
        <v>119.66</v>
      </c>
      <c r="F3207">
        <v>25486</v>
      </c>
      <c r="H3207">
        <f>_xlfn.LET(_xlpm.v, IFERROR(VLOOKUP($A3207, manifest!$A:$E, 3, FALSE), ""), IF(OR(_xlpm.v=0, _xlpm.v=""), "", _xlpm.v))</f>
        <v>60</v>
      </c>
      <c r="I3207" t="str">
        <f>_xlfn.LET(_xlpm.v, IFERROR(VLOOKUP($A3207, manifest!$A:$E, 5, FALSE), ""), IF(OR(_xlpm.v=0, _xlpm.v=""), "", _xlpm.v))</f>
        <v>female</v>
      </c>
    </row>
    <row r="3208" spans="1:9" x14ac:dyDescent="0.6">
      <c r="A3208">
        <v>683</v>
      </c>
      <c r="B3208" t="s">
        <v>7</v>
      </c>
      <c r="C3208" t="s">
        <v>11</v>
      </c>
      <c r="D3208">
        <v>228.75</v>
      </c>
      <c r="E3208">
        <v>156.11000000000001</v>
      </c>
      <c r="F3208">
        <v>29685</v>
      </c>
      <c r="H3208">
        <f>_xlfn.LET(_xlpm.v, IFERROR(VLOOKUP($A3208, manifest!$A:$E, 3, FALSE), ""), IF(OR(_xlpm.v=0, _xlpm.v=""), "", _xlpm.v))</f>
        <v>60</v>
      </c>
      <c r="I3208" t="str">
        <f>_xlfn.LET(_xlpm.v, IFERROR(VLOOKUP($A3208, manifest!$A:$E, 5, FALSE), ""), IF(OR(_xlpm.v=0, _xlpm.v=""), "", _xlpm.v))</f>
        <v>female</v>
      </c>
    </row>
    <row r="3209" spans="1:9" x14ac:dyDescent="0.6">
      <c r="A3209">
        <v>683</v>
      </c>
      <c r="B3209" t="s">
        <v>7</v>
      </c>
      <c r="C3209" t="s">
        <v>12</v>
      </c>
      <c r="D3209">
        <v>241.6</v>
      </c>
      <c r="E3209">
        <v>200.05</v>
      </c>
      <c r="F3209">
        <v>30427</v>
      </c>
      <c r="H3209">
        <f>_xlfn.LET(_xlpm.v, IFERROR(VLOOKUP($A3209, manifest!$A:$E, 3, FALSE), ""), IF(OR(_xlpm.v=0, _xlpm.v=""), "", _xlpm.v))</f>
        <v>60</v>
      </c>
      <c r="I3209" t="str">
        <f>_xlfn.LET(_xlpm.v, IFERROR(VLOOKUP($A3209, manifest!$A:$E, 5, FALSE), ""), IF(OR(_xlpm.v=0, _xlpm.v=""), "", _xlpm.v))</f>
        <v>female</v>
      </c>
    </row>
    <row r="3210" spans="1:9" x14ac:dyDescent="0.6">
      <c r="A3210">
        <v>683</v>
      </c>
      <c r="B3210" t="s">
        <v>7</v>
      </c>
      <c r="C3210" t="s">
        <v>13</v>
      </c>
      <c r="D3210">
        <v>241.9</v>
      </c>
      <c r="E3210">
        <v>171.5</v>
      </c>
      <c r="F3210">
        <v>35400</v>
      </c>
      <c r="H3210">
        <f>_xlfn.LET(_xlpm.v, IFERROR(VLOOKUP($A3210, manifest!$A:$E, 3, FALSE), ""), IF(OR(_xlpm.v=0, _xlpm.v=""), "", _xlpm.v))</f>
        <v>60</v>
      </c>
      <c r="I3210" t="str">
        <f>_xlfn.LET(_xlpm.v, IFERROR(VLOOKUP($A3210, manifest!$A:$E, 5, FALSE), ""), IF(OR(_xlpm.v=0, _xlpm.v=""), "", _xlpm.v))</f>
        <v>female</v>
      </c>
    </row>
    <row r="3211" spans="1:9" x14ac:dyDescent="0.6">
      <c r="A3211">
        <v>676</v>
      </c>
      <c r="B3211" t="s">
        <v>14</v>
      </c>
      <c r="C3211" t="s">
        <v>8</v>
      </c>
      <c r="D3211">
        <v>285.49</v>
      </c>
      <c r="E3211">
        <v>187.72</v>
      </c>
      <c r="F3211">
        <v>26148</v>
      </c>
      <c r="G3211" t="s">
        <v>9</v>
      </c>
      <c r="H3211">
        <f>_xlfn.LET(_xlpm.v, IFERROR(VLOOKUP($A3211, manifest!$A:$E, 3, FALSE), ""), IF(OR(_xlpm.v=0, _xlpm.v=""), "", _xlpm.v))</f>
        <v>60</v>
      </c>
      <c r="I3211" t="str">
        <f>_xlfn.LET(_xlpm.v, IFERROR(VLOOKUP($A3211, manifest!$A:$E, 5, FALSE), ""), IF(OR(_xlpm.v=0, _xlpm.v=""), "", _xlpm.v))</f>
        <v>female</v>
      </c>
    </row>
    <row r="3212" spans="1:9" x14ac:dyDescent="0.6">
      <c r="A3212">
        <v>676</v>
      </c>
      <c r="B3212" t="s">
        <v>14</v>
      </c>
      <c r="C3212" t="s">
        <v>10</v>
      </c>
      <c r="D3212">
        <v>308.58</v>
      </c>
      <c r="E3212">
        <v>251.64</v>
      </c>
      <c r="F3212">
        <v>25913</v>
      </c>
      <c r="H3212">
        <f>_xlfn.LET(_xlpm.v, IFERROR(VLOOKUP($A3212, manifest!$A:$E, 3, FALSE), ""), IF(OR(_xlpm.v=0, _xlpm.v=""), "", _xlpm.v))</f>
        <v>60</v>
      </c>
      <c r="I3212" t="str">
        <f>_xlfn.LET(_xlpm.v, IFERROR(VLOOKUP($A3212, manifest!$A:$E, 5, FALSE), ""), IF(OR(_xlpm.v=0, _xlpm.v=""), "", _xlpm.v))</f>
        <v>female</v>
      </c>
    </row>
    <row r="3213" spans="1:9" x14ac:dyDescent="0.6">
      <c r="A3213">
        <v>676</v>
      </c>
      <c r="B3213" t="s">
        <v>14</v>
      </c>
      <c r="C3213" t="s">
        <v>11</v>
      </c>
      <c r="D3213">
        <v>272.87</v>
      </c>
      <c r="E3213">
        <v>232.07</v>
      </c>
      <c r="F3213">
        <v>43079</v>
      </c>
      <c r="H3213">
        <f>_xlfn.LET(_xlpm.v, IFERROR(VLOOKUP($A3213, manifest!$A:$E, 3, FALSE), ""), IF(OR(_xlpm.v=0, _xlpm.v=""), "", _xlpm.v))</f>
        <v>60</v>
      </c>
      <c r="I3213" t="str">
        <f>_xlfn.LET(_xlpm.v, IFERROR(VLOOKUP($A3213, manifest!$A:$E, 5, FALSE), ""), IF(OR(_xlpm.v=0, _xlpm.v=""), "", _xlpm.v))</f>
        <v>female</v>
      </c>
    </row>
    <row r="3214" spans="1:9" x14ac:dyDescent="0.6">
      <c r="A3214">
        <v>676</v>
      </c>
      <c r="B3214" t="s">
        <v>14</v>
      </c>
      <c r="C3214" t="s">
        <v>12</v>
      </c>
      <c r="D3214">
        <v>306.22000000000003</v>
      </c>
      <c r="E3214">
        <v>266.68</v>
      </c>
      <c r="F3214">
        <v>42838</v>
      </c>
      <c r="H3214">
        <f>_xlfn.LET(_xlpm.v, IFERROR(VLOOKUP($A3214, manifest!$A:$E, 3, FALSE), ""), IF(OR(_xlpm.v=0, _xlpm.v=""), "", _xlpm.v))</f>
        <v>60</v>
      </c>
      <c r="I3214" t="str">
        <f>_xlfn.LET(_xlpm.v, IFERROR(VLOOKUP($A3214, manifest!$A:$E, 5, FALSE), ""), IF(OR(_xlpm.v=0, _xlpm.v=""), "", _xlpm.v))</f>
        <v>female</v>
      </c>
    </row>
    <row r="3215" spans="1:9" x14ac:dyDescent="0.6">
      <c r="A3215">
        <v>676</v>
      </c>
      <c r="B3215" t="s">
        <v>14</v>
      </c>
      <c r="C3215" t="s">
        <v>13</v>
      </c>
      <c r="D3215">
        <v>276.77999999999997</v>
      </c>
      <c r="E3215">
        <v>229.17</v>
      </c>
      <c r="F3215">
        <v>55696</v>
      </c>
      <c r="H3215">
        <f>_xlfn.LET(_xlpm.v, IFERROR(VLOOKUP($A3215, manifest!$A:$E, 3, FALSE), ""), IF(OR(_xlpm.v=0, _xlpm.v=""), "", _xlpm.v))</f>
        <v>60</v>
      </c>
      <c r="I3215" t="str">
        <f>_xlfn.LET(_xlpm.v, IFERROR(VLOOKUP($A3215, manifest!$A:$E, 5, FALSE), ""), IF(OR(_xlpm.v=0, _xlpm.v=""), "", _xlpm.v))</f>
        <v>female</v>
      </c>
    </row>
    <row r="3216" spans="1:9" x14ac:dyDescent="0.6">
      <c r="A3216">
        <v>673</v>
      </c>
      <c r="B3216" t="s">
        <v>14</v>
      </c>
      <c r="C3216" t="s">
        <v>8</v>
      </c>
      <c r="D3216">
        <v>322.82</v>
      </c>
      <c r="E3216">
        <v>191.89</v>
      </c>
      <c r="F3216">
        <v>23442</v>
      </c>
      <c r="G3216" t="s">
        <v>9</v>
      </c>
      <c r="H3216">
        <f>_xlfn.LET(_xlpm.v, IFERROR(VLOOKUP($A3216, manifest!$A:$E, 3, FALSE), ""), IF(OR(_xlpm.v=0, _xlpm.v=""), "", _xlpm.v))</f>
        <v>50</v>
      </c>
      <c r="I3216" t="str">
        <f>_xlfn.LET(_xlpm.v, IFERROR(VLOOKUP($A3216, manifest!$A:$E, 5, FALSE), ""), IF(OR(_xlpm.v=0, _xlpm.v=""), "", _xlpm.v))</f>
        <v>female</v>
      </c>
    </row>
    <row r="3217" spans="1:9" x14ac:dyDescent="0.6">
      <c r="A3217">
        <v>673</v>
      </c>
      <c r="B3217" t="s">
        <v>14</v>
      </c>
      <c r="C3217" t="s">
        <v>10</v>
      </c>
      <c r="D3217">
        <v>350.99</v>
      </c>
      <c r="E3217">
        <v>218.26</v>
      </c>
      <c r="F3217">
        <v>25709</v>
      </c>
      <c r="H3217">
        <f>_xlfn.LET(_xlpm.v, IFERROR(VLOOKUP($A3217, manifest!$A:$E, 3, FALSE), ""), IF(OR(_xlpm.v=0, _xlpm.v=""), "", _xlpm.v))</f>
        <v>50</v>
      </c>
      <c r="I3217" t="str">
        <f>_xlfn.LET(_xlpm.v, IFERROR(VLOOKUP($A3217, manifest!$A:$E, 5, FALSE), ""), IF(OR(_xlpm.v=0, _xlpm.v=""), "", _xlpm.v))</f>
        <v>female</v>
      </c>
    </row>
    <row r="3218" spans="1:9" x14ac:dyDescent="0.6">
      <c r="A3218">
        <v>673</v>
      </c>
      <c r="B3218" t="s">
        <v>14</v>
      </c>
      <c r="C3218" t="s">
        <v>11</v>
      </c>
      <c r="D3218">
        <v>345.45</v>
      </c>
      <c r="E3218">
        <v>215.19</v>
      </c>
      <c r="F3218">
        <v>30555</v>
      </c>
      <c r="H3218">
        <f>_xlfn.LET(_xlpm.v, IFERROR(VLOOKUP($A3218, manifest!$A:$E, 3, FALSE), ""), IF(OR(_xlpm.v=0, _xlpm.v=""), "", _xlpm.v))</f>
        <v>50</v>
      </c>
      <c r="I3218" t="str">
        <f>_xlfn.LET(_xlpm.v, IFERROR(VLOOKUP($A3218, manifest!$A:$E, 5, FALSE), ""), IF(OR(_xlpm.v=0, _xlpm.v=""), "", _xlpm.v))</f>
        <v>female</v>
      </c>
    </row>
    <row r="3219" spans="1:9" x14ac:dyDescent="0.6">
      <c r="A3219">
        <v>673</v>
      </c>
      <c r="B3219" t="s">
        <v>14</v>
      </c>
      <c r="C3219" t="s">
        <v>12</v>
      </c>
      <c r="D3219">
        <v>356.4</v>
      </c>
      <c r="E3219">
        <v>257.92</v>
      </c>
      <c r="F3219">
        <v>31677</v>
      </c>
      <c r="H3219">
        <f>_xlfn.LET(_xlpm.v, IFERROR(VLOOKUP($A3219, manifest!$A:$E, 3, FALSE), ""), IF(OR(_xlpm.v=0, _xlpm.v=""), "", _xlpm.v))</f>
        <v>50</v>
      </c>
      <c r="I3219" t="str">
        <f>_xlfn.LET(_xlpm.v, IFERROR(VLOOKUP($A3219, manifest!$A:$E, 5, FALSE), ""), IF(OR(_xlpm.v=0, _xlpm.v=""), "", _xlpm.v))</f>
        <v>female</v>
      </c>
    </row>
    <row r="3220" spans="1:9" x14ac:dyDescent="0.6">
      <c r="A3220">
        <v>673</v>
      </c>
      <c r="B3220" t="s">
        <v>14</v>
      </c>
      <c r="C3220" t="s">
        <v>13</v>
      </c>
      <c r="D3220">
        <v>330.42</v>
      </c>
      <c r="E3220">
        <v>224.3</v>
      </c>
      <c r="F3220">
        <v>29047</v>
      </c>
      <c r="H3220">
        <f>_xlfn.LET(_xlpm.v, IFERROR(VLOOKUP($A3220, manifest!$A:$E, 3, FALSE), ""), IF(OR(_xlpm.v=0, _xlpm.v=""), "", _xlpm.v))</f>
        <v>50</v>
      </c>
      <c r="I3220" t="str">
        <f>_xlfn.LET(_xlpm.v, IFERROR(VLOOKUP($A3220, manifest!$A:$E, 5, FALSE), ""), IF(OR(_xlpm.v=0, _xlpm.v=""), "", _xlpm.v))</f>
        <v>female</v>
      </c>
    </row>
    <row r="3221" spans="1:9" x14ac:dyDescent="0.6">
      <c r="A3221">
        <v>674</v>
      </c>
      <c r="B3221" t="s">
        <v>7</v>
      </c>
      <c r="C3221" t="s">
        <v>8</v>
      </c>
      <c r="D3221">
        <v>120.59</v>
      </c>
      <c r="E3221">
        <v>90.59</v>
      </c>
      <c r="F3221">
        <v>27547</v>
      </c>
      <c r="G3221" t="s">
        <v>15</v>
      </c>
      <c r="H3221">
        <f>_xlfn.LET(_xlpm.v, IFERROR(VLOOKUP($A3221, manifest!$A:$E, 3, FALSE), ""), IF(OR(_xlpm.v=0, _xlpm.v=""), "", _xlpm.v))</f>
        <v>60</v>
      </c>
      <c r="I3221" t="str">
        <f>_xlfn.LET(_xlpm.v, IFERROR(VLOOKUP($A3221, manifest!$A:$E, 5, FALSE), ""), IF(OR(_xlpm.v=0, _xlpm.v=""), "", _xlpm.v))</f>
        <v>female</v>
      </c>
    </row>
    <row r="3222" spans="1:9" x14ac:dyDescent="0.6">
      <c r="A3222">
        <v>674</v>
      </c>
      <c r="B3222" t="s">
        <v>7</v>
      </c>
      <c r="C3222" t="s">
        <v>10</v>
      </c>
      <c r="D3222">
        <v>129.88999999999999</v>
      </c>
      <c r="E3222">
        <v>130.31</v>
      </c>
      <c r="F3222">
        <v>29157</v>
      </c>
      <c r="H3222">
        <f>_xlfn.LET(_xlpm.v, IFERROR(VLOOKUP($A3222, manifest!$A:$E, 3, FALSE), ""), IF(OR(_xlpm.v=0, _xlpm.v=""), "", _xlpm.v))</f>
        <v>60</v>
      </c>
      <c r="I3222" t="str">
        <f>_xlfn.LET(_xlpm.v, IFERROR(VLOOKUP($A3222, manifest!$A:$E, 5, FALSE), ""), IF(OR(_xlpm.v=0, _xlpm.v=""), "", _xlpm.v))</f>
        <v>female</v>
      </c>
    </row>
    <row r="3223" spans="1:9" x14ac:dyDescent="0.6">
      <c r="A3223">
        <v>674</v>
      </c>
      <c r="B3223" t="s">
        <v>7</v>
      </c>
      <c r="C3223" t="s">
        <v>11</v>
      </c>
      <c r="D3223">
        <v>135.08000000000001</v>
      </c>
      <c r="E3223">
        <v>128.66999999999999</v>
      </c>
      <c r="F3223">
        <v>32183</v>
      </c>
      <c r="H3223">
        <f>_xlfn.LET(_xlpm.v, IFERROR(VLOOKUP($A3223, manifest!$A:$E, 3, FALSE), ""), IF(OR(_xlpm.v=0, _xlpm.v=""), "", _xlpm.v))</f>
        <v>60</v>
      </c>
      <c r="I3223" t="str">
        <f>_xlfn.LET(_xlpm.v, IFERROR(VLOOKUP($A3223, manifest!$A:$E, 5, FALSE), ""), IF(OR(_xlpm.v=0, _xlpm.v=""), "", _xlpm.v))</f>
        <v>female</v>
      </c>
    </row>
    <row r="3224" spans="1:9" x14ac:dyDescent="0.6">
      <c r="A3224">
        <v>674</v>
      </c>
      <c r="B3224" t="s">
        <v>7</v>
      </c>
      <c r="C3224" t="s">
        <v>12</v>
      </c>
      <c r="D3224">
        <v>116.06</v>
      </c>
      <c r="E3224">
        <v>102.02</v>
      </c>
      <c r="F3224">
        <v>41973</v>
      </c>
      <c r="H3224">
        <f>_xlfn.LET(_xlpm.v, IFERROR(VLOOKUP($A3224, manifest!$A:$E, 3, FALSE), ""), IF(OR(_xlpm.v=0, _xlpm.v=""), "", _xlpm.v))</f>
        <v>60</v>
      </c>
      <c r="I3224" t="str">
        <f>_xlfn.LET(_xlpm.v, IFERROR(VLOOKUP($A3224, manifest!$A:$E, 5, FALSE), ""), IF(OR(_xlpm.v=0, _xlpm.v=""), "", _xlpm.v))</f>
        <v>female</v>
      </c>
    </row>
    <row r="3225" spans="1:9" x14ac:dyDescent="0.6">
      <c r="A3225">
        <v>674</v>
      </c>
      <c r="B3225" t="s">
        <v>7</v>
      </c>
      <c r="C3225" t="s">
        <v>13</v>
      </c>
      <c r="D3225">
        <v>130.11000000000001</v>
      </c>
      <c r="E3225">
        <v>128.65</v>
      </c>
      <c r="F3225">
        <v>41887</v>
      </c>
      <c r="H3225">
        <f>_xlfn.LET(_xlpm.v, IFERROR(VLOOKUP($A3225, manifest!$A:$E, 3, FALSE), ""), IF(OR(_xlpm.v=0, _xlpm.v=""), "", _xlpm.v))</f>
        <v>60</v>
      </c>
      <c r="I3225" t="str">
        <f>_xlfn.LET(_xlpm.v, IFERROR(VLOOKUP($A3225, manifest!$A:$E, 5, FALSE), ""), IF(OR(_xlpm.v=0, _xlpm.v=""), "", _xlpm.v))</f>
        <v>female</v>
      </c>
    </row>
    <row r="3226" spans="1:9" x14ac:dyDescent="0.6">
      <c r="A3226">
        <v>679</v>
      </c>
      <c r="B3226" t="s">
        <v>7</v>
      </c>
      <c r="C3226" t="s">
        <v>8</v>
      </c>
      <c r="D3226">
        <v>225.13</v>
      </c>
      <c r="E3226">
        <v>199.72</v>
      </c>
      <c r="F3226">
        <v>27894</v>
      </c>
      <c r="G3226" t="s">
        <v>9</v>
      </c>
      <c r="H3226">
        <f>_xlfn.LET(_xlpm.v, IFERROR(VLOOKUP($A3226, manifest!$A:$E, 3, FALSE), ""), IF(OR(_xlpm.v=0, _xlpm.v=""), "", _xlpm.v))</f>
        <v>60</v>
      </c>
      <c r="I3226" t="str">
        <f>_xlfn.LET(_xlpm.v, IFERROR(VLOOKUP($A3226, manifest!$A:$E, 5, FALSE), ""), IF(OR(_xlpm.v=0, _xlpm.v=""), "", _xlpm.v))</f>
        <v>female</v>
      </c>
    </row>
    <row r="3227" spans="1:9" x14ac:dyDescent="0.6">
      <c r="A3227">
        <v>679</v>
      </c>
      <c r="B3227" t="s">
        <v>7</v>
      </c>
      <c r="C3227" t="s">
        <v>10</v>
      </c>
      <c r="D3227">
        <v>256.24</v>
      </c>
      <c r="E3227">
        <v>251.59</v>
      </c>
      <c r="F3227">
        <v>35585</v>
      </c>
      <c r="H3227">
        <f>_xlfn.LET(_xlpm.v, IFERROR(VLOOKUP($A3227, manifest!$A:$E, 3, FALSE), ""), IF(OR(_xlpm.v=0, _xlpm.v=""), "", _xlpm.v))</f>
        <v>60</v>
      </c>
      <c r="I3227" t="str">
        <f>_xlfn.LET(_xlpm.v, IFERROR(VLOOKUP($A3227, manifest!$A:$E, 5, FALSE), ""), IF(OR(_xlpm.v=0, _xlpm.v=""), "", _xlpm.v))</f>
        <v>female</v>
      </c>
    </row>
    <row r="3228" spans="1:9" x14ac:dyDescent="0.6">
      <c r="A3228">
        <v>679</v>
      </c>
      <c r="B3228" t="s">
        <v>7</v>
      </c>
      <c r="C3228" t="s">
        <v>11</v>
      </c>
      <c r="D3228">
        <v>249.14</v>
      </c>
      <c r="E3228">
        <v>250.69</v>
      </c>
      <c r="F3228">
        <v>37990</v>
      </c>
      <c r="H3228">
        <f>_xlfn.LET(_xlpm.v, IFERROR(VLOOKUP($A3228, manifest!$A:$E, 3, FALSE), ""), IF(OR(_xlpm.v=0, _xlpm.v=""), "", _xlpm.v))</f>
        <v>60</v>
      </c>
      <c r="I3228" t="str">
        <f>_xlfn.LET(_xlpm.v, IFERROR(VLOOKUP($A3228, manifest!$A:$E, 5, FALSE), ""), IF(OR(_xlpm.v=0, _xlpm.v=""), "", _xlpm.v))</f>
        <v>female</v>
      </c>
    </row>
    <row r="3229" spans="1:9" x14ac:dyDescent="0.6">
      <c r="A3229">
        <v>679</v>
      </c>
      <c r="B3229" t="s">
        <v>7</v>
      </c>
      <c r="C3229" t="s">
        <v>12</v>
      </c>
      <c r="D3229">
        <v>240.84</v>
      </c>
      <c r="E3229">
        <v>244.89</v>
      </c>
      <c r="F3229">
        <v>42969</v>
      </c>
      <c r="H3229">
        <f>_xlfn.LET(_xlpm.v, IFERROR(VLOOKUP($A3229, manifest!$A:$E, 3, FALSE), ""), IF(OR(_xlpm.v=0, _xlpm.v=""), "", _xlpm.v))</f>
        <v>60</v>
      </c>
      <c r="I3229" t="str">
        <f>_xlfn.LET(_xlpm.v, IFERROR(VLOOKUP($A3229, manifest!$A:$E, 5, FALSE), ""), IF(OR(_xlpm.v=0, _xlpm.v=""), "", _xlpm.v))</f>
        <v>female</v>
      </c>
    </row>
    <row r="3230" spans="1:9" x14ac:dyDescent="0.6">
      <c r="A3230">
        <v>679</v>
      </c>
      <c r="B3230" t="s">
        <v>7</v>
      </c>
      <c r="C3230" t="s">
        <v>13</v>
      </c>
      <c r="D3230">
        <v>226.89</v>
      </c>
      <c r="E3230">
        <v>199.09</v>
      </c>
      <c r="F3230">
        <v>51337</v>
      </c>
      <c r="H3230">
        <f>_xlfn.LET(_xlpm.v, IFERROR(VLOOKUP($A3230, manifest!$A:$E, 3, FALSE), ""), IF(OR(_xlpm.v=0, _xlpm.v=""), "", _xlpm.v))</f>
        <v>60</v>
      </c>
      <c r="I3230" t="str">
        <f>_xlfn.LET(_xlpm.v, IFERROR(VLOOKUP($A3230, manifest!$A:$E, 5, FALSE), ""), IF(OR(_xlpm.v=0, _xlpm.v=""), "", _xlpm.v))</f>
        <v>female</v>
      </c>
    </row>
    <row r="3231" spans="1:9" x14ac:dyDescent="0.6">
      <c r="A3231">
        <v>682</v>
      </c>
      <c r="B3231" t="s">
        <v>14</v>
      </c>
      <c r="C3231" t="s">
        <v>8</v>
      </c>
      <c r="D3231">
        <v>183.04</v>
      </c>
      <c r="E3231">
        <v>157.93</v>
      </c>
      <c r="F3231">
        <v>36770</v>
      </c>
      <c r="G3231" t="s">
        <v>9</v>
      </c>
      <c r="H3231">
        <f>_xlfn.LET(_xlpm.v, IFERROR(VLOOKUP($A3231, manifest!$A:$E, 3, FALSE), ""), IF(OR(_xlpm.v=0, _xlpm.v=""), "", _xlpm.v))</f>
        <v>60</v>
      </c>
      <c r="I3231" t="str">
        <f>_xlfn.LET(_xlpm.v, IFERROR(VLOOKUP($A3231, manifest!$A:$E, 5, FALSE), ""), IF(OR(_xlpm.v=0, _xlpm.v=""), "", _xlpm.v))</f>
        <v>male</v>
      </c>
    </row>
    <row r="3232" spans="1:9" x14ac:dyDescent="0.6">
      <c r="A3232">
        <v>682</v>
      </c>
      <c r="B3232" t="s">
        <v>14</v>
      </c>
      <c r="C3232" t="s">
        <v>10</v>
      </c>
      <c r="D3232">
        <v>204.15</v>
      </c>
      <c r="E3232">
        <v>181.84</v>
      </c>
      <c r="F3232">
        <v>42194</v>
      </c>
      <c r="H3232">
        <f>_xlfn.LET(_xlpm.v, IFERROR(VLOOKUP($A3232, manifest!$A:$E, 3, FALSE), ""), IF(OR(_xlpm.v=0, _xlpm.v=""), "", _xlpm.v))</f>
        <v>60</v>
      </c>
      <c r="I3232" t="str">
        <f>_xlfn.LET(_xlpm.v, IFERROR(VLOOKUP($A3232, manifest!$A:$E, 5, FALSE), ""), IF(OR(_xlpm.v=0, _xlpm.v=""), "", _xlpm.v))</f>
        <v>male</v>
      </c>
    </row>
    <row r="3233" spans="1:9" x14ac:dyDescent="0.6">
      <c r="A3233">
        <v>682</v>
      </c>
      <c r="B3233" t="s">
        <v>14</v>
      </c>
      <c r="C3233" t="s">
        <v>11</v>
      </c>
      <c r="D3233">
        <v>187.28</v>
      </c>
      <c r="E3233">
        <v>174.37</v>
      </c>
      <c r="F3233">
        <v>49160</v>
      </c>
      <c r="H3233">
        <f>_xlfn.LET(_xlpm.v, IFERROR(VLOOKUP($A3233, manifest!$A:$E, 3, FALSE), ""), IF(OR(_xlpm.v=0, _xlpm.v=""), "", _xlpm.v))</f>
        <v>60</v>
      </c>
      <c r="I3233" t="str">
        <f>_xlfn.LET(_xlpm.v, IFERROR(VLOOKUP($A3233, manifest!$A:$E, 5, FALSE), ""), IF(OR(_xlpm.v=0, _xlpm.v=""), "", _xlpm.v))</f>
        <v>male</v>
      </c>
    </row>
    <row r="3234" spans="1:9" x14ac:dyDescent="0.6">
      <c r="A3234">
        <v>682</v>
      </c>
      <c r="B3234" t="s">
        <v>14</v>
      </c>
      <c r="C3234" t="s">
        <v>12</v>
      </c>
      <c r="D3234">
        <v>199.31</v>
      </c>
      <c r="E3234">
        <v>176.12</v>
      </c>
      <c r="F3234">
        <v>48192</v>
      </c>
      <c r="H3234">
        <f>_xlfn.LET(_xlpm.v, IFERROR(VLOOKUP($A3234, manifest!$A:$E, 3, FALSE), ""), IF(OR(_xlpm.v=0, _xlpm.v=""), "", _xlpm.v))</f>
        <v>60</v>
      </c>
      <c r="I3234" t="str">
        <f>_xlfn.LET(_xlpm.v, IFERROR(VLOOKUP($A3234, manifest!$A:$E, 5, FALSE), ""), IF(OR(_xlpm.v=0, _xlpm.v=""), "", _xlpm.v))</f>
        <v>male</v>
      </c>
    </row>
    <row r="3235" spans="1:9" x14ac:dyDescent="0.6">
      <c r="A3235">
        <v>682</v>
      </c>
      <c r="B3235" t="s">
        <v>14</v>
      </c>
      <c r="C3235" t="s">
        <v>13</v>
      </c>
      <c r="D3235">
        <v>205.67</v>
      </c>
      <c r="E3235">
        <v>151.34</v>
      </c>
      <c r="F3235">
        <v>44809</v>
      </c>
      <c r="H3235">
        <f>_xlfn.LET(_xlpm.v, IFERROR(VLOOKUP($A3235, manifest!$A:$E, 3, FALSE), ""), IF(OR(_xlpm.v=0, _xlpm.v=""), "", _xlpm.v))</f>
        <v>60</v>
      </c>
      <c r="I3235" t="str">
        <f>_xlfn.LET(_xlpm.v, IFERROR(VLOOKUP($A3235, manifest!$A:$E, 5, FALSE), ""), IF(OR(_xlpm.v=0, _xlpm.v=""), "", _xlpm.v))</f>
        <v>male</v>
      </c>
    </row>
    <row r="3236" spans="1:9" x14ac:dyDescent="0.6">
      <c r="A3236">
        <v>694</v>
      </c>
      <c r="B3236" t="s">
        <v>7</v>
      </c>
      <c r="C3236" t="s">
        <v>8</v>
      </c>
      <c r="D3236">
        <v>128.18</v>
      </c>
      <c r="E3236">
        <v>88.8</v>
      </c>
      <c r="F3236">
        <v>20113</v>
      </c>
      <c r="G3236" t="s">
        <v>15</v>
      </c>
      <c r="H3236">
        <f>_xlfn.LET(_xlpm.v, IFERROR(VLOOKUP($A3236, manifest!$A:$E, 3, FALSE), ""), IF(OR(_xlpm.v=0, _xlpm.v=""), "", _xlpm.v))</f>
        <v>70</v>
      </c>
      <c r="I3236" t="str">
        <f>_xlfn.LET(_xlpm.v, IFERROR(VLOOKUP($A3236, manifest!$A:$E, 5, FALSE), ""), IF(OR(_xlpm.v=0, _xlpm.v=""), "", _xlpm.v))</f>
        <v>female</v>
      </c>
    </row>
    <row r="3237" spans="1:9" x14ac:dyDescent="0.6">
      <c r="A3237">
        <v>694</v>
      </c>
      <c r="B3237" t="s">
        <v>7</v>
      </c>
      <c r="C3237" t="s">
        <v>10</v>
      </c>
      <c r="D3237">
        <v>92.06</v>
      </c>
      <c r="E3237">
        <v>89.65</v>
      </c>
      <c r="F3237">
        <v>27053</v>
      </c>
      <c r="H3237">
        <f>_xlfn.LET(_xlpm.v, IFERROR(VLOOKUP($A3237, manifest!$A:$E, 3, FALSE), ""), IF(OR(_xlpm.v=0, _xlpm.v=""), "", _xlpm.v))</f>
        <v>70</v>
      </c>
      <c r="I3237" t="str">
        <f>_xlfn.LET(_xlpm.v, IFERROR(VLOOKUP($A3237, manifest!$A:$E, 5, FALSE), ""), IF(OR(_xlpm.v=0, _xlpm.v=""), "", _xlpm.v))</f>
        <v>female</v>
      </c>
    </row>
    <row r="3238" spans="1:9" x14ac:dyDescent="0.6">
      <c r="A3238">
        <v>694</v>
      </c>
      <c r="B3238" t="s">
        <v>7</v>
      </c>
      <c r="C3238" t="s">
        <v>11</v>
      </c>
      <c r="D3238">
        <v>82.06</v>
      </c>
      <c r="E3238">
        <v>78.290000000000006</v>
      </c>
      <c r="F3238">
        <v>29851</v>
      </c>
      <c r="H3238">
        <f>_xlfn.LET(_xlpm.v, IFERROR(VLOOKUP($A3238, manifest!$A:$E, 3, FALSE), ""), IF(OR(_xlpm.v=0, _xlpm.v=""), "", _xlpm.v))</f>
        <v>70</v>
      </c>
      <c r="I3238" t="str">
        <f>_xlfn.LET(_xlpm.v, IFERROR(VLOOKUP($A3238, manifest!$A:$E, 5, FALSE), ""), IF(OR(_xlpm.v=0, _xlpm.v=""), "", _xlpm.v))</f>
        <v>female</v>
      </c>
    </row>
    <row r="3239" spans="1:9" x14ac:dyDescent="0.6">
      <c r="A3239">
        <v>694</v>
      </c>
      <c r="B3239" t="s">
        <v>7</v>
      </c>
      <c r="C3239" t="s">
        <v>12</v>
      </c>
      <c r="D3239">
        <v>86.41</v>
      </c>
      <c r="E3239">
        <v>101.73</v>
      </c>
      <c r="F3239">
        <v>30850</v>
      </c>
      <c r="H3239">
        <f>_xlfn.LET(_xlpm.v, IFERROR(VLOOKUP($A3239, manifest!$A:$E, 3, FALSE), ""), IF(OR(_xlpm.v=0, _xlpm.v=""), "", _xlpm.v))</f>
        <v>70</v>
      </c>
      <c r="I3239" t="str">
        <f>_xlfn.LET(_xlpm.v, IFERROR(VLOOKUP($A3239, manifest!$A:$E, 5, FALSE), ""), IF(OR(_xlpm.v=0, _xlpm.v=""), "", _xlpm.v))</f>
        <v>female</v>
      </c>
    </row>
    <row r="3240" spans="1:9" x14ac:dyDescent="0.6">
      <c r="A3240">
        <v>694</v>
      </c>
      <c r="B3240" t="s">
        <v>7</v>
      </c>
      <c r="C3240" t="s">
        <v>13</v>
      </c>
      <c r="D3240">
        <v>90.04</v>
      </c>
      <c r="E3240">
        <v>109.88</v>
      </c>
      <c r="F3240">
        <v>37894</v>
      </c>
      <c r="H3240">
        <f>_xlfn.LET(_xlpm.v, IFERROR(VLOOKUP($A3240, manifest!$A:$E, 3, FALSE), ""), IF(OR(_xlpm.v=0, _xlpm.v=""), "", _xlpm.v))</f>
        <v>70</v>
      </c>
      <c r="I3240" t="str">
        <f>_xlfn.LET(_xlpm.v, IFERROR(VLOOKUP($A3240, manifest!$A:$E, 5, FALSE), ""), IF(OR(_xlpm.v=0, _xlpm.v=""), "", _xlpm.v))</f>
        <v>female</v>
      </c>
    </row>
    <row r="3241" spans="1:9" x14ac:dyDescent="0.6">
      <c r="A3241">
        <v>677</v>
      </c>
      <c r="B3241" t="s">
        <v>14</v>
      </c>
      <c r="C3241" t="s">
        <v>8</v>
      </c>
      <c r="D3241">
        <v>287.36</v>
      </c>
      <c r="E3241">
        <v>189.71</v>
      </c>
      <c r="F3241">
        <v>16011</v>
      </c>
      <c r="G3241" t="s">
        <v>9</v>
      </c>
      <c r="H3241">
        <f>_xlfn.LET(_xlpm.v, IFERROR(VLOOKUP($A3241, manifest!$A:$E, 3, FALSE), ""), IF(OR(_xlpm.v=0, _xlpm.v=""), "", _xlpm.v))</f>
        <v>50</v>
      </c>
      <c r="I3241" t="str">
        <f>_xlfn.LET(_xlpm.v, IFERROR(VLOOKUP($A3241, manifest!$A:$E, 5, FALSE), ""), IF(OR(_xlpm.v=0, _xlpm.v=""), "", _xlpm.v))</f>
        <v>female</v>
      </c>
    </row>
    <row r="3242" spans="1:9" x14ac:dyDescent="0.6">
      <c r="A3242">
        <v>677</v>
      </c>
      <c r="B3242" t="s">
        <v>14</v>
      </c>
      <c r="C3242" t="s">
        <v>10</v>
      </c>
      <c r="D3242">
        <v>287.48</v>
      </c>
      <c r="E3242">
        <v>224.63</v>
      </c>
      <c r="F3242">
        <v>17981</v>
      </c>
      <c r="H3242">
        <f>_xlfn.LET(_xlpm.v, IFERROR(VLOOKUP($A3242, manifest!$A:$E, 3, FALSE), ""), IF(OR(_xlpm.v=0, _xlpm.v=""), "", _xlpm.v))</f>
        <v>50</v>
      </c>
      <c r="I3242" t="str">
        <f>_xlfn.LET(_xlpm.v, IFERROR(VLOOKUP($A3242, manifest!$A:$E, 5, FALSE), ""), IF(OR(_xlpm.v=0, _xlpm.v=""), "", _xlpm.v))</f>
        <v>female</v>
      </c>
    </row>
    <row r="3243" spans="1:9" x14ac:dyDescent="0.6">
      <c r="A3243">
        <v>677</v>
      </c>
      <c r="B3243" t="s">
        <v>14</v>
      </c>
      <c r="C3243" t="s">
        <v>11</v>
      </c>
      <c r="D3243">
        <v>275.22000000000003</v>
      </c>
      <c r="E3243">
        <v>221.29</v>
      </c>
      <c r="F3243">
        <v>24344</v>
      </c>
      <c r="H3243">
        <f>_xlfn.LET(_xlpm.v, IFERROR(VLOOKUP($A3243, manifest!$A:$E, 3, FALSE), ""), IF(OR(_xlpm.v=0, _xlpm.v=""), "", _xlpm.v))</f>
        <v>50</v>
      </c>
      <c r="I3243" t="str">
        <f>_xlfn.LET(_xlpm.v, IFERROR(VLOOKUP($A3243, manifest!$A:$E, 5, FALSE), ""), IF(OR(_xlpm.v=0, _xlpm.v=""), "", _xlpm.v))</f>
        <v>female</v>
      </c>
    </row>
    <row r="3244" spans="1:9" x14ac:dyDescent="0.6">
      <c r="A3244">
        <v>677</v>
      </c>
      <c r="B3244" t="s">
        <v>14</v>
      </c>
      <c r="C3244" t="s">
        <v>12</v>
      </c>
      <c r="D3244">
        <v>296.3</v>
      </c>
      <c r="E3244">
        <v>259.7</v>
      </c>
      <c r="F3244">
        <v>26724</v>
      </c>
      <c r="H3244">
        <f>_xlfn.LET(_xlpm.v, IFERROR(VLOOKUP($A3244, manifest!$A:$E, 3, FALSE), ""), IF(OR(_xlpm.v=0, _xlpm.v=""), "", _xlpm.v))</f>
        <v>50</v>
      </c>
      <c r="I3244" t="str">
        <f>_xlfn.LET(_xlpm.v, IFERROR(VLOOKUP($A3244, manifest!$A:$E, 5, FALSE), ""), IF(OR(_xlpm.v=0, _xlpm.v=""), "", _xlpm.v))</f>
        <v>female</v>
      </c>
    </row>
    <row r="3245" spans="1:9" x14ac:dyDescent="0.6">
      <c r="A3245">
        <v>677</v>
      </c>
      <c r="B3245" t="s">
        <v>14</v>
      </c>
      <c r="C3245" t="s">
        <v>13</v>
      </c>
      <c r="D3245">
        <v>283.48</v>
      </c>
      <c r="E3245">
        <v>249.86</v>
      </c>
      <c r="F3245">
        <v>27026</v>
      </c>
      <c r="H3245">
        <f>_xlfn.LET(_xlpm.v, IFERROR(VLOOKUP($A3245, manifest!$A:$E, 3, FALSE), ""), IF(OR(_xlpm.v=0, _xlpm.v=""), "", _xlpm.v))</f>
        <v>50</v>
      </c>
      <c r="I3245" t="str">
        <f>_xlfn.LET(_xlpm.v, IFERROR(VLOOKUP($A3245, manifest!$A:$E, 5, FALSE), ""), IF(OR(_xlpm.v=0, _xlpm.v=""), "", _xlpm.v))</f>
        <v>female</v>
      </c>
    </row>
    <row r="3246" spans="1:9" x14ac:dyDescent="0.6">
      <c r="A3246">
        <v>678</v>
      </c>
      <c r="B3246" t="s">
        <v>7</v>
      </c>
      <c r="C3246" t="s">
        <v>8</v>
      </c>
      <c r="D3246">
        <v>241.17</v>
      </c>
      <c r="E3246">
        <v>111.89</v>
      </c>
      <c r="F3246">
        <v>19419</v>
      </c>
      <c r="G3246" t="s">
        <v>9</v>
      </c>
      <c r="H3246">
        <f>_xlfn.LET(_xlpm.v, IFERROR(VLOOKUP($A3246, manifest!$A:$E, 3, FALSE), ""), IF(OR(_xlpm.v=0, _xlpm.v=""), "", _xlpm.v))</f>
        <v>50</v>
      </c>
      <c r="I3246" t="str">
        <f>_xlfn.LET(_xlpm.v, IFERROR(VLOOKUP($A3246, manifest!$A:$E, 5, FALSE), ""), IF(OR(_xlpm.v=0, _xlpm.v=""), "", _xlpm.v))</f>
        <v>female</v>
      </c>
    </row>
    <row r="3247" spans="1:9" x14ac:dyDescent="0.6">
      <c r="A3247">
        <v>678</v>
      </c>
      <c r="B3247" t="s">
        <v>7</v>
      </c>
      <c r="C3247" t="s">
        <v>10</v>
      </c>
      <c r="D3247">
        <v>258.22000000000003</v>
      </c>
      <c r="E3247">
        <v>150.66999999999999</v>
      </c>
      <c r="F3247">
        <v>19856</v>
      </c>
      <c r="H3247">
        <f>_xlfn.LET(_xlpm.v, IFERROR(VLOOKUP($A3247, manifest!$A:$E, 3, FALSE), ""), IF(OR(_xlpm.v=0, _xlpm.v=""), "", _xlpm.v))</f>
        <v>50</v>
      </c>
      <c r="I3247" t="str">
        <f>_xlfn.LET(_xlpm.v, IFERROR(VLOOKUP($A3247, manifest!$A:$E, 5, FALSE), ""), IF(OR(_xlpm.v=0, _xlpm.v=""), "", _xlpm.v))</f>
        <v>female</v>
      </c>
    </row>
    <row r="3248" spans="1:9" x14ac:dyDescent="0.6">
      <c r="A3248">
        <v>678</v>
      </c>
      <c r="B3248" t="s">
        <v>7</v>
      </c>
      <c r="C3248" t="s">
        <v>11</v>
      </c>
      <c r="D3248">
        <v>272.44</v>
      </c>
      <c r="E3248">
        <v>185.28</v>
      </c>
      <c r="F3248">
        <v>21493</v>
      </c>
      <c r="H3248">
        <f>_xlfn.LET(_xlpm.v, IFERROR(VLOOKUP($A3248, manifest!$A:$E, 3, FALSE), ""), IF(OR(_xlpm.v=0, _xlpm.v=""), "", _xlpm.v))</f>
        <v>50</v>
      </c>
      <c r="I3248" t="str">
        <f>_xlfn.LET(_xlpm.v, IFERROR(VLOOKUP($A3248, manifest!$A:$E, 5, FALSE), ""), IF(OR(_xlpm.v=0, _xlpm.v=""), "", _xlpm.v))</f>
        <v>female</v>
      </c>
    </row>
    <row r="3249" spans="1:9" x14ac:dyDescent="0.6">
      <c r="A3249">
        <v>678</v>
      </c>
      <c r="B3249" t="s">
        <v>7</v>
      </c>
      <c r="C3249" t="s">
        <v>12</v>
      </c>
      <c r="D3249">
        <v>273.60000000000002</v>
      </c>
      <c r="E3249">
        <v>194.25</v>
      </c>
      <c r="F3249">
        <v>26575</v>
      </c>
      <c r="H3249">
        <f>_xlfn.LET(_xlpm.v, IFERROR(VLOOKUP($A3249, manifest!$A:$E, 3, FALSE), ""), IF(OR(_xlpm.v=0, _xlpm.v=""), "", _xlpm.v))</f>
        <v>50</v>
      </c>
      <c r="I3249" t="str">
        <f>_xlfn.LET(_xlpm.v, IFERROR(VLOOKUP($A3249, manifest!$A:$E, 5, FALSE), ""), IF(OR(_xlpm.v=0, _xlpm.v=""), "", _xlpm.v))</f>
        <v>female</v>
      </c>
    </row>
    <row r="3250" spans="1:9" x14ac:dyDescent="0.6">
      <c r="A3250">
        <v>678</v>
      </c>
      <c r="B3250" t="s">
        <v>7</v>
      </c>
      <c r="C3250" t="s">
        <v>13</v>
      </c>
      <c r="D3250">
        <v>257.01</v>
      </c>
      <c r="E3250">
        <v>164.56</v>
      </c>
      <c r="F3250">
        <v>34536</v>
      </c>
      <c r="H3250">
        <f>_xlfn.LET(_xlpm.v, IFERROR(VLOOKUP($A3250, manifest!$A:$E, 3, FALSE), ""), IF(OR(_xlpm.v=0, _xlpm.v=""), "", _xlpm.v))</f>
        <v>50</v>
      </c>
      <c r="I3250" t="str">
        <f>_xlfn.LET(_xlpm.v, IFERROR(VLOOKUP($A3250, manifest!$A:$E, 5, FALSE), ""), IF(OR(_xlpm.v=0, _xlpm.v=""), "", _xlpm.v))</f>
        <v>female</v>
      </c>
    </row>
    <row r="3251" spans="1:9" x14ac:dyDescent="0.6">
      <c r="A3251">
        <v>692</v>
      </c>
      <c r="B3251" t="s">
        <v>14</v>
      </c>
      <c r="C3251" t="s">
        <v>8</v>
      </c>
      <c r="D3251">
        <v>255.97</v>
      </c>
      <c r="E3251">
        <v>189.19</v>
      </c>
      <c r="F3251">
        <v>48026</v>
      </c>
      <c r="G3251" t="s">
        <v>9</v>
      </c>
      <c r="H3251">
        <f>_xlfn.LET(_xlpm.v, IFERROR(VLOOKUP($A3251, manifest!$A:$E, 3, FALSE), ""), IF(OR(_xlpm.v=0, _xlpm.v=""), "", _xlpm.v))</f>
        <v>60</v>
      </c>
      <c r="I3251" t="str">
        <f>_xlfn.LET(_xlpm.v, IFERROR(VLOOKUP($A3251, manifest!$A:$E, 5, FALSE), ""), IF(OR(_xlpm.v=0, _xlpm.v=""), "", _xlpm.v))</f>
        <v>female</v>
      </c>
    </row>
    <row r="3252" spans="1:9" x14ac:dyDescent="0.6">
      <c r="A3252">
        <v>692</v>
      </c>
      <c r="B3252" t="s">
        <v>14</v>
      </c>
      <c r="C3252" t="s">
        <v>10</v>
      </c>
      <c r="D3252">
        <v>256.33999999999997</v>
      </c>
      <c r="E3252">
        <v>201.27</v>
      </c>
      <c r="F3252">
        <v>56488</v>
      </c>
      <c r="H3252">
        <f>_xlfn.LET(_xlpm.v, IFERROR(VLOOKUP($A3252, manifest!$A:$E, 3, FALSE), ""), IF(OR(_xlpm.v=0, _xlpm.v=""), "", _xlpm.v))</f>
        <v>60</v>
      </c>
      <c r="I3252" t="str">
        <f>_xlfn.LET(_xlpm.v, IFERROR(VLOOKUP($A3252, manifest!$A:$E, 5, FALSE), ""), IF(OR(_xlpm.v=0, _xlpm.v=""), "", _xlpm.v))</f>
        <v>female</v>
      </c>
    </row>
    <row r="3253" spans="1:9" x14ac:dyDescent="0.6">
      <c r="A3253">
        <v>692</v>
      </c>
      <c r="B3253" t="s">
        <v>14</v>
      </c>
      <c r="C3253" t="s">
        <v>11</v>
      </c>
      <c r="D3253">
        <v>266.55</v>
      </c>
      <c r="E3253">
        <v>234.43</v>
      </c>
      <c r="F3253">
        <v>65761</v>
      </c>
      <c r="H3253">
        <f>_xlfn.LET(_xlpm.v, IFERROR(VLOOKUP($A3253, manifest!$A:$E, 3, FALSE), ""), IF(OR(_xlpm.v=0, _xlpm.v=""), "", _xlpm.v))</f>
        <v>60</v>
      </c>
      <c r="I3253" t="str">
        <f>_xlfn.LET(_xlpm.v, IFERROR(VLOOKUP($A3253, manifest!$A:$E, 5, FALSE), ""), IF(OR(_xlpm.v=0, _xlpm.v=""), "", _xlpm.v))</f>
        <v>female</v>
      </c>
    </row>
    <row r="3254" spans="1:9" x14ac:dyDescent="0.6">
      <c r="A3254">
        <v>692</v>
      </c>
      <c r="B3254" t="s">
        <v>14</v>
      </c>
      <c r="C3254" t="s">
        <v>12</v>
      </c>
      <c r="D3254">
        <v>283.60000000000002</v>
      </c>
      <c r="E3254">
        <v>204.97</v>
      </c>
      <c r="F3254">
        <v>98935</v>
      </c>
      <c r="H3254">
        <f>_xlfn.LET(_xlpm.v, IFERROR(VLOOKUP($A3254, manifest!$A:$E, 3, FALSE), ""), IF(OR(_xlpm.v=0, _xlpm.v=""), "", _xlpm.v))</f>
        <v>60</v>
      </c>
      <c r="I3254" t="str">
        <f>_xlfn.LET(_xlpm.v, IFERROR(VLOOKUP($A3254, manifest!$A:$E, 5, FALSE), ""), IF(OR(_xlpm.v=0, _xlpm.v=""), "", _xlpm.v))</f>
        <v>female</v>
      </c>
    </row>
    <row r="3255" spans="1:9" x14ac:dyDescent="0.6">
      <c r="A3255">
        <v>692</v>
      </c>
      <c r="B3255" t="s">
        <v>14</v>
      </c>
      <c r="C3255" t="s">
        <v>13</v>
      </c>
      <c r="D3255">
        <v>291.12</v>
      </c>
      <c r="E3255">
        <v>221.72</v>
      </c>
      <c r="F3255">
        <v>86197</v>
      </c>
      <c r="H3255">
        <f>_xlfn.LET(_xlpm.v, IFERROR(VLOOKUP($A3255, manifest!$A:$E, 3, FALSE), ""), IF(OR(_xlpm.v=0, _xlpm.v=""), "", _xlpm.v))</f>
        <v>60</v>
      </c>
      <c r="I3255" t="str">
        <f>_xlfn.LET(_xlpm.v, IFERROR(VLOOKUP($A3255, manifest!$A:$E, 5, FALSE), ""), IF(OR(_xlpm.v=0, _xlpm.v=""), "", _xlpm.v))</f>
        <v>female</v>
      </c>
    </row>
    <row r="3256" spans="1:9" x14ac:dyDescent="0.6">
      <c r="A3256">
        <v>670</v>
      </c>
      <c r="B3256" t="s">
        <v>14</v>
      </c>
      <c r="C3256" t="s">
        <v>8</v>
      </c>
      <c r="D3256">
        <v>240.54</v>
      </c>
      <c r="E3256">
        <v>198.38</v>
      </c>
      <c r="F3256">
        <v>34788</v>
      </c>
      <c r="G3256" t="s">
        <v>9</v>
      </c>
      <c r="H3256">
        <f>_xlfn.LET(_xlpm.v, IFERROR(VLOOKUP($A3256, manifest!$A:$E, 3, FALSE), ""), IF(OR(_xlpm.v=0, _xlpm.v=""), "", _xlpm.v))</f>
        <v>50</v>
      </c>
      <c r="I3256" t="str">
        <f>_xlfn.LET(_xlpm.v, IFERROR(VLOOKUP($A3256, manifest!$A:$E, 5, FALSE), ""), IF(OR(_xlpm.v=0, _xlpm.v=""), "", _xlpm.v))</f>
        <v>male</v>
      </c>
    </row>
    <row r="3257" spans="1:9" x14ac:dyDescent="0.6">
      <c r="A3257">
        <v>670</v>
      </c>
      <c r="B3257" t="s">
        <v>14</v>
      </c>
      <c r="C3257" t="s">
        <v>10</v>
      </c>
      <c r="D3257">
        <v>246.99</v>
      </c>
      <c r="E3257">
        <v>203.38</v>
      </c>
      <c r="F3257">
        <v>46585</v>
      </c>
      <c r="H3257">
        <f>_xlfn.LET(_xlpm.v, IFERROR(VLOOKUP($A3257, manifest!$A:$E, 3, FALSE), ""), IF(OR(_xlpm.v=0, _xlpm.v=""), "", _xlpm.v))</f>
        <v>50</v>
      </c>
      <c r="I3257" t="str">
        <f>_xlfn.LET(_xlpm.v, IFERROR(VLOOKUP($A3257, manifest!$A:$E, 5, FALSE), ""), IF(OR(_xlpm.v=0, _xlpm.v=""), "", _xlpm.v))</f>
        <v>male</v>
      </c>
    </row>
    <row r="3258" spans="1:9" x14ac:dyDescent="0.6">
      <c r="A3258">
        <v>670</v>
      </c>
      <c r="B3258" t="s">
        <v>14</v>
      </c>
      <c r="C3258" t="s">
        <v>11</v>
      </c>
      <c r="D3258">
        <v>240.02</v>
      </c>
      <c r="E3258">
        <v>188.32</v>
      </c>
      <c r="F3258">
        <v>46424</v>
      </c>
      <c r="H3258">
        <f>_xlfn.LET(_xlpm.v, IFERROR(VLOOKUP($A3258, manifest!$A:$E, 3, FALSE), ""), IF(OR(_xlpm.v=0, _xlpm.v=""), "", _xlpm.v))</f>
        <v>50</v>
      </c>
      <c r="I3258" t="str">
        <f>_xlfn.LET(_xlpm.v, IFERROR(VLOOKUP($A3258, manifest!$A:$E, 5, FALSE), ""), IF(OR(_xlpm.v=0, _xlpm.v=""), "", _xlpm.v))</f>
        <v>male</v>
      </c>
    </row>
    <row r="3259" spans="1:9" x14ac:dyDescent="0.6">
      <c r="A3259">
        <v>670</v>
      </c>
      <c r="B3259" t="s">
        <v>14</v>
      </c>
      <c r="C3259" t="s">
        <v>12</v>
      </c>
      <c r="D3259">
        <v>267.36</v>
      </c>
      <c r="E3259">
        <v>203.25</v>
      </c>
      <c r="F3259">
        <v>51524</v>
      </c>
      <c r="H3259">
        <f>_xlfn.LET(_xlpm.v, IFERROR(VLOOKUP($A3259, manifest!$A:$E, 3, FALSE), ""), IF(OR(_xlpm.v=0, _xlpm.v=""), "", _xlpm.v))</f>
        <v>50</v>
      </c>
      <c r="I3259" t="str">
        <f>_xlfn.LET(_xlpm.v, IFERROR(VLOOKUP($A3259, manifest!$A:$E, 5, FALSE), ""), IF(OR(_xlpm.v=0, _xlpm.v=""), "", _xlpm.v))</f>
        <v>male</v>
      </c>
    </row>
    <row r="3260" spans="1:9" x14ac:dyDescent="0.6">
      <c r="A3260">
        <v>670</v>
      </c>
      <c r="B3260" t="s">
        <v>14</v>
      </c>
      <c r="C3260" t="s">
        <v>13</v>
      </c>
      <c r="D3260">
        <v>290.31</v>
      </c>
      <c r="E3260">
        <v>231.01</v>
      </c>
      <c r="F3260">
        <v>49167</v>
      </c>
      <c r="H3260">
        <f>_xlfn.LET(_xlpm.v, IFERROR(VLOOKUP($A3260, manifest!$A:$E, 3, FALSE), ""), IF(OR(_xlpm.v=0, _xlpm.v=""), "", _xlpm.v))</f>
        <v>50</v>
      </c>
      <c r="I3260" t="str">
        <f>_xlfn.LET(_xlpm.v, IFERROR(VLOOKUP($A3260, manifest!$A:$E, 5, FALSE), ""), IF(OR(_xlpm.v=0, _xlpm.v=""), "", _xlpm.v))</f>
        <v>male</v>
      </c>
    </row>
    <row r="3261" spans="1:9" x14ac:dyDescent="0.6">
      <c r="A3261">
        <v>685</v>
      </c>
      <c r="B3261" t="s">
        <v>14</v>
      </c>
      <c r="C3261" t="s">
        <v>8</v>
      </c>
      <c r="D3261">
        <v>136.6</v>
      </c>
      <c r="E3261">
        <v>134.33000000000001</v>
      </c>
      <c r="F3261">
        <v>28346</v>
      </c>
      <c r="G3261" t="s">
        <v>15</v>
      </c>
      <c r="H3261">
        <f>_xlfn.LET(_xlpm.v, IFERROR(VLOOKUP($A3261, manifest!$A:$E, 3, FALSE), ""), IF(OR(_xlpm.v=0, _xlpm.v=""), "", _xlpm.v))</f>
        <v>70</v>
      </c>
      <c r="I3261" t="str">
        <f>_xlfn.LET(_xlpm.v, IFERROR(VLOOKUP($A3261, manifest!$A:$E, 5, FALSE), ""), IF(OR(_xlpm.v=0, _xlpm.v=""), "", _xlpm.v))</f>
        <v>female</v>
      </c>
    </row>
    <row r="3262" spans="1:9" x14ac:dyDescent="0.6">
      <c r="A3262">
        <v>685</v>
      </c>
      <c r="B3262" t="s">
        <v>14</v>
      </c>
      <c r="C3262" t="s">
        <v>10</v>
      </c>
      <c r="D3262">
        <v>154.88999999999999</v>
      </c>
      <c r="E3262">
        <v>193.82</v>
      </c>
      <c r="F3262">
        <v>28307</v>
      </c>
      <c r="H3262">
        <f>_xlfn.LET(_xlpm.v, IFERROR(VLOOKUP($A3262, manifest!$A:$E, 3, FALSE), ""), IF(OR(_xlpm.v=0, _xlpm.v=""), "", _xlpm.v))</f>
        <v>70</v>
      </c>
      <c r="I3262" t="str">
        <f>_xlfn.LET(_xlpm.v, IFERROR(VLOOKUP($A3262, manifest!$A:$E, 5, FALSE), ""), IF(OR(_xlpm.v=0, _xlpm.v=""), "", _xlpm.v))</f>
        <v>female</v>
      </c>
    </row>
    <row r="3263" spans="1:9" x14ac:dyDescent="0.6">
      <c r="A3263">
        <v>685</v>
      </c>
      <c r="B3263" t="s">
        <v>14</v>
      </c>
      <c r="C3263" t="s">
        <v>11</v>
      </c>
      <c r="D3263">
        <v>171.38</v>
      </c>
      <c r="E3263">
        <v>225.65</v>
      </c>
      <c r="F3263">
        <v>34804</v>
      </c>
      <c r="H3263">
        <f>_xlfn.LET(_xlpm.v, IFERROR(VLOOKUP($A3263, manifest!$A:$E, 3, FALSE), ""), IF(OR(_xlpm.v=0, _xlpm.v=""), "", _xlpm.v))</f>
        <v>70</v>
      </c>
      <c r="I3263" t="str">
        <f>_xlfn.LET(_xlpm.v, IFERROR(VLOOKUP($A3263, manifest!$A:$E, 5, FALSE), ""), IF(OR(_xlpm.v=0, _xlpm.v=""), "", _xlpm.v))</f>
        <v>female</v>
      </c>
    </row>
    <row r="3264" spans="1:9" x14ac:dyDescent="0.6">
      <c r="A3264">
        <v>685</v>
      </c>
      <c r="B3264" t="s">
        <v>14</v>
      </c>
      <c r="C3264" t="s">
        <v>12</v>
      </c>
      <c r="D3264">
        <v>199.29</v>
      </c>
      <c r="E3264">
        <v>218.17</v>
      </c>
      <c r="F3264">
        <v>42637</v>
      </c>
      <c r="H3264">
        <f>_xlfn.LET(_xlpm.v, IFERROR(VLOOKUP($A3264, manifest!$A:$E, 3, FALSE), ""), IF(OR(_xlpm.v=0, _xlpm.v=""), "", _xlpm.v))</f>
        <v>70</v>
      </c>
      <c r="I3264" t="str">
        <f>_xlfn.LET(_xlpm.v, IFERROR(VLOOKUP($A3264, manifest!$A:$E, 5, FALSE), ""), IF(OR(_xlpm.v=0, _xlpm.v=""), "", _xlpm.v))</f>
        <v>female</v>
      </c>
    </row>
    <row r="3265" spans="1:9" x14ac:dyDescent="0.6">
      <c r="A3265">
        <v>685</v>
      </c>
      <c r="B3265" t="s">
        <v>14</v>
      </c>
      <c r="C3265" t="s">
        <v>13</v>
      </c>
      <c r="D3265">
        <v>205.64</v>
      </c>
      <c r="E3265">
        <v>189.6</v>
      </c>
      <c r="F3265">
        <v>42430</v>
      </c>
      <c r="H3265">
        <f>_xlfn.LET(_xlpm.v, IFERROR(VLOOKUP($A3265, manifest!$A:$E, 3, FALSE), ""), IF(OR(_xlpm.v=0, _xlpm.v=""), "", _xlpm.v))</f>
        <v>70</v>
      </c>
      <c r="I3265" t="str">
        <f>_xlfn.LET(_xlpm.v, IFERROR(VLOOKUP($A3265, manifest!$A:$E, 5, FALSE), ""), IF(OR(_xlpm.v=0, _xlpm.v=""), "", _xlpm.v))</f>
        <v>female</v>
      </c>
    </row>
    <row r="3266" spans="1:9" x14ac:dyDescent="0.6">
      <c r="A3266">
        <v>681</v>
      </c>
      <c r="B3266" t="s">
        <v>7</v>
      </c>
      <c r="C3266" t="s">
        <v>8</v>
      </c>
      <c r="D3266">
        <v>305.49</v>
      </c>
      <c r="E3266">
        <v>164.3</v>
      </c>
      <c r="F3266">
        <v>45481</v>
      </c>
      <c r="G3266" t="s">
        <v>9</v>
      </c>
      <c r="H3266">
        <f>_xlfn.LET(_xlpm.v, IFERROR(VLOOKUP($A3266, manifest!$A:$E, 3, FALSE), ""), IF(OR(_xlpm.v=0, _xlpm.v=""), "", _xlpm.v))</f>
        <v>50</v>
      </c>
      <c r="I3266" t="str">
        <f>_xlfn.LET(_xlpm.v, IFERROR(VLOOKUP($A3266, manifest!$A:$E, 5, FALSE), ""), IF(OR(_xlpm.v=0, _xlpm.v=""), "", _xlpm.v))</f>
        <v>male</v>
      </c>
    </row>
    <row r="3267" spans="1:9" x14ac:dyDescent="0.6">
      <c r="A3267">
        <v>681</v>
      </c>
      <c r="B3267" t="s">
        <v>7</v>
      </c>
      <c r="C3267" t="s">
        <v>10</v>
      </c>
      <c r="D3267">
        <v>319.43</v>
      </c>
      <c r="E3267">
        <v>178.51</v>
      </c>
      <c r="F3267">
        <v>51856</v>
      </c>
      <c r="H3267">
        <f>_xlfn.LET(_xlpm.v, IFERROR(VLOOKUP($A3267, manifest!$A:$E, 3, FALSE), ""), IF(OR(_xlpm.v=0, _xlpm.v=""), "", _xlpm.v))</f>
        <v>50</v>
      </c>
      <c r="I3267" t="str">
        <f>_xlfn.LET(_xlpm.v, IFERROR(VLOOKUP($A3267, manifest!$A:$E, 5, FALSE), ""), IF(OR(_xlpm.v=0, _xlpm.v=""), "", _xlpm.v))</f>
        <v>male</v>
      </c>
    </row>
    <row r="3268" spans="1:9" x14ac:dyDescent="0.6">
      <c r="A3268">
        <v>681</v>
      </c>
      <c r="B3268" t="s">
        <v>7</v>
      </c>
      <c r="C3268" t="s">
        <v>11</v>
      </c>
      <c r="D3268">
        <v>330.47</v>
      </c>
      <c r="E3268">
        <v>187.48</v>
      </c>
      <c r="F3268">
        <v>53107</v>
      </c>
      <c r="H3268">
        <f>_xlfn.LET(_xlpm.v, IFERROR(VLOOKUP($A3268, manifest!$A:$E, 3, FALSE), ""), IF(OR(_xlpm.v=0, _xlpm.v=""), "", _xlpm.v))</f>
        <v>50</v>
      </c>
      <c r="I3268" t="str">
        <f>_xlfn.LET(_xlpm.v, IFERROR(VLOOKUP($A3268, manifest!$A:$E, 5, FALSE), ""), IF(OR(_xlpm.v=0, _xlpm.v=""), "", _xlpm.v))</f>
        <v>male</v>
      </c>
    </row>
    <row r="3269" spans="1:9" x14ac:dyDescent="0.6">
      <c r="A3269">
        <v>681</v>
      </c>
      <c r="B3269" t="s">
        <v>7</v>
      </c>
      <c r="C3269" t="s">
        <v>12</v>
      </c>
      <c r="D3269">
        <v>326.7</v>
      </c>
      <c r="E3269">
        <v>193.5</v>
      </c>
      <c r="F3269">
        <v>67205</v>
      </c>
      <c r="H3269">
        <f>_xlfn.LET(_xlpm.v, IFERROR(VLOOKUP($A3269, manifest!$A:$E, 3, FALSE), ""), IF(OR(_xlpm.v=0, _xlpm.v=""), "", _xlpm.v))</f>
        <v>50</v>
      </c>
      <c r="I3269" t="str">
        <f>_xlfn.LET(_xlpm.v, IFERROR(VLOOKUP($A3269, manifest!$A:$E, 5, FALSE), ""), IF(OR(_xlpm.v=0, _xlpm.v=""), "", _xlpm.v))</f>
        <v>male</v>
      </c>
    </row>
    <row r="3270" spans="1:9" x14ac:dyDescent="0.6">
      <c r="A3270">
        <v>681</v>
      </c>
      <c r="B3270" t="s">
        <v>7</v>
      </c>
      <c r="C3270" t="s">
        <v>13</v>
      </c>
      <c r="D3270">
        <v>293.38</v>
      </c>
      <c r="E3270">
        <v>175.18</v>
      </c>
      <c r="F3270">
        <v>73453</v>
      </c>
      <c r="H3270">
        <f>_xlfn.LET(_xlpm.v, IFERROR(VLOOKUP($A3270, manifest!$A:$E, 3, FALSE), ""), IF(OR(_xlpm.v=0, _xlpm.v=""), "", _xlpm.v))</f>
        <v>50</v>
      </c>
      <c r="I3270" t="str">
        <f>_xlfn.LET(_xlpm.v, IFERROR(VLOOKUP($A3270, manifest!$A:$E, 5, FALSE), ""), IF(OR(_xlpm.v=0, _xlpm.v=""), "", _xlpm.v))</f>
        <v>male</v>
      </c>
    </row>
    <row r="3271" spans="1:9" x14ac:dyDescent="0.6">
      <c r="A3271">
        <v>689</v>
      </c>
      <c r="B3271" t="s">
        <v>14</v>
      </c>
      <c r="C3271" t="s">
        <v>8</v>
      </c>
      <c r="D3271">
        <v>153.36000000000001</v>
      </c>
      <c r="E3271">
        <v>113</v>
      </c>
      <c r="F3271">
        <v>34215</v>
      </c>
      <c r="G3271" t="s">
        <v>15</v>
      </c>
      <c r="H3271">
        <f>_xlfn.LET(_xlpm.v, IFERROR(VLOOKUP($A3271, manifest!$A:$E, 3, FALSE), ""), IF(OR(_xlpm.v=0, _xlpm.v=""), "", _xlpm.v))</f>
        <v>60</v>
      </c>
      <c r="I3271" t="str">
        <f>_xlfn.LET(_xlpm.v, IFERROR(VLOOKUP($A3271, manifest!$A:$E, 5, FALSE), ""), IF(OR(_xlpm.v=0, _xlpm.v=""), "", _xlpm.v))</f>
        <v>female</v>
      </c>
    </row>
    <row r="3272" spans="1:9" x14ac:dyDescent="0.6">
      <c r="A3272">
        <v>689</v>
      </c>
      <c r="B3272" t="s">
        <v>14</v>
      </c>
      <c r="C3272" t="s">
        <v>10</v>
      </c>
      <c r="D3272">
        <v>174.54</v>
      </c>
      <c r="E3272">
        <v>157.21</v>
      </c>
      <c r="F3272">
        <v>39190</v>
      </c>
      <c r="H3272">
        <f>_xlfn.LET(_xlpm.v, IFERROR(VLOOKUP($A3272, manifest!$A:$E, 3, FALSE), ""), IF(OR(_xlpm.v=0, _xlpm.v=""), "", _xlpm.v))</f>
        <v>60</v>
      </c>
      <c r="I3272" t="str">
        <f>_xlfn.LET(_xlpm.v, IFERROR(VLOOKUP($A3272, manifest!$A:$E, 5, FALSE), ""), IF(OR(_xlpm.v=0, _xlpm.v=""), "", _xlpm.v))</f>
        <v>female</v>
      </c>
    </row>
    <row r="3273" spans="1:9" x14ac:dyDescent="0.6">
      <c r="A3273">
        <v>689</v>
      </c>
      <c r="B3273" t="s">
        <v>14</v>
      </c>
      <c r="C3273" t="s">
        <v>11</v>
      </c>
      <c r="D3273">
        <v>164.67</v>
      </c>
      <c r="E3273">
        <v>160.61000000000001</v>
      </c>
      <c r="F3273">
        <v>45843</v>
      </c>
      <c r="H3273">
        <f>_xlfn.LET(_xlpm.v, IFERROR(VLOOKUP($A3273, manifest!$A:$E, 3, FALSE), ""), IF(OR(_xlpm.v=0, _xlpm.v=""), "", _xlpm.v))</f>
        <v>60</v>
      </c>
      <c r="I3273" t="str">
        <f>_xlfn.LET(_xlpm.v, IFERROR(VLOOKUP($A3273, manifest!$A:$E, 5, FALSE), ""), IF(OR(_xlpm.v=0, _xlpm.v=""), "", _xlpm.v))</f>
        <v>female</v>
      </c>
    </row>
    <row r="3274" spans="1:9" x14ac:dyDescent="0.6">
      <c r="A3274">
        <v>689</v>
      </c>
      <c r="B3274" t="s">
        <v>14</v>
      </c>
      <c r="C3274" t="s">
        <v>12</v>
      </c>
      <c r="D3274">
        <v>168.07</v>
      </c>
      <c r="E3274">
        <v>149.06</v>
      </c>
      <c r="F3274">
        <v>56348</v>
      </c>
      <c r="H3274">
        <f>_xlfn.LET(_xlpm.v, IFERROR(VLOOKUP($A3274, manifest!$A:$E, 3, FALSE), ""), IF(OR(_xlpm.v=0, _xlpm.v=""), "", _xlpm.v))</f>
        <v>60</v>
      </c>
      <c r="I3274" t="str">
        <f>_xlfn.LET(_xlpm.v, IFERROR(VLOOKUP($A3274, manifest!$A:$E, 5, FALSE), ""), IF(OR(_xlpm.v=0, _xlpm.v=""), "", _xlpm.v))</f>
        <v>female</v>
      </c>
    </row>
    <row r="3275" spans="1:9" x14ac:dyDescent="0.6">
      <c r="A3275">
        <v>689</v>
      </c>
      <c r="B3275" t="s">
        <v>14</v>
      </c>
      <c r="C3275" t="s">
        <v>13</v>
      </c>
      <c r="D3275">
        <v>168.39</v>
      </c>
      <c r="E3275">
        <v>128.35</v>
      </c>
      <c r="F3275">
        <v>59092</v>
      </c>
      <c r="H3275">
        <f>_xlfn.LET(_xlpm.v, IFERROR(VLOOKUP($A3275, manifest!$A:$E, 3, FALSE), ""), IF(OR(_xlpm.v=0, _xlpm.v=""), "", _xlpm.v))</f>
        <v>60</v>
      </c>
      <c r="I3275" t="str">
        <f>_xlfn.LET(_xlpm.v, IFERROR(VLOOKUP($A3275, manifest!$A:$E, 5, FALSE), ""), IF(OR(_xlpm.v=0, _xlpm.v=""), "", _xlpm.v))</f>
        <v>female</v>
      </c>
    </row>
    <row r="3276" spans="1:9" x14ac:dyDescent="0.6">
      <c r="A3276">
        <v>693</v>
      </c>
      <c r="B3276" t="s">
        <v>14</v>
      </c>
      <c r="C3276" t="s">
        <v>8</v>
      </c>
      <c r="D3276">
        <v>140.22999999999999</v>
      </c>
      <c r="E3276">
        <v>90.43</v>
      </c>
      <c r="F3276">
        <v>40757</v>
      </c>
      <c r="G3276" t="s">
        <v>15</v>
      </c>
      <c r="H3276" t="str">
        <f>_xlfn.LET(_xlpm.v, IFERROR(VLOOKUP($A3276, manifest!$A:$E, 3, FALSE), ""), IF(OR(_xlpm.v=0, _xlpm.v=""), "", _xlpm.v))</f>
        <v/>
      </c>
      <c r="I3276" t="str">
        <f>_xlfn.LET(_xlpm.v, IFERROR(VLOOKUP($A3276, manifest!$A:$E, 5, FALSE), ""), IF(OR(_xlpm.v=0, _xlpm.v=""), "", _xlpm.v))</f>
        <v>male</v>
      </c>
    </row>
    <row r="3277" spans="1:9" x14ac:dyDescent="0.6">
      <c r="A3277">
        <v>693</v>
      </c>
      <c r="B3277" t="s">
        <v>14</v>
      </c>
      <c r="C3277" t="s">
        <v>10</v>
      </c>
      <c r="D3277">
        <v>144.78</v>
      </c>
      <c r="E3277">
        <v>98.26</v>
      </c>
      <c r="F3277">
        <v>39803</v>
      </c>
      <c r="H3277" t="str">
        <f>_xlfn.LET(_xlpm.v, IFERROR(VLOOKUP($A3277, manifest!$A:$E, 3, FALSE), ""), IF(OR(_xlpm.v=0, _xlpm.v=""), "", _xlpm.v))</f>
        <v/>
      </c>
      <c r="I3277" t="str">
        <f>_xlfn.LET(_xlpm.v, IFERROR(VLOOKUP($A3277, manifest!$A:$E, 5, FALSE), ""), IF(OR(_xlpm.v=0, _xlpm.v=""), "", _xlpm.v))</f>
        <v>male</v>
      </c>
    </row>
    <row r="3278" spans="1:9" x14ac:dyDescent="0.6">
      <c r="A3278">
        <v>693</v>
      </c>
      <c r="B3278" t="s">
        <v>14</v>
      </c>
      <c r="C3278" t="s">
        <v>11</v>
      </c>
      <c r="D3278">
        <v>153.68</v>
      </c>
      <c r="E3278">
        <v>117.18</v>
      </c>
      <c r="F3278">
        <v>43129</v>
      </c>
      <c r="H3278" t="str">
        <f>_xlfn.LET(_xlpm.v, IFERROR(VLOOKUP($A3278, manifest!$A:$E, 3, FALSE), ""), IF(OR(_xlpm.v=0, _xlpm.v=""), "", _xlpm.v))</f>
        <v/>
      </c>
      <c r="I3278" t="str">
        <f>_xlfn.LET(_xlpm.v, IFERROR(VLOOKUP($A3278, manifest!$A:$E, 5, FALSE), ""), IF(OR(_xlpm.v=0, _xlpm.v=""), "", _xlpm.v))</f>
        <v>male</v>
      </c>
    </row>
    <row r="3279" spans="1:9" x14ac:dyDescent="0.6">
      <c r="A3279">
        <v>693</v>
      </c>
      <c r="B3279" t="s">
        <v>14</v>
      </c>
      <c r="C3279" t="s">
        <v>12</v>
      </c>
      <c r="D3279">
        <v>144.88</v>
      </c>
      <c r="E3279">
        <v>117.02</v>
      </c>
      <c r="F3279">
        <v>58407</v>
      </c>
      <c r="H3279" t="str">
        <f>_xlfn.LET(_xlpm.v, IFERROR(VLOOKUP($A3279, manifest!$A:$E, 3, FALSE), ""), IF(OR(_xlpm.v=0, _xlpm.v=""), "", _xlpm.v))</f>
        <v/>
      </c>
      <c r="I3279" t="str">
        <f>_xlfn.LET(_xlpm.v, IFERROR(VLOOKUP($A3279, manifest!$A:$E, 5, FALSE), ""), IF(OR(_xlpm.v=0, _xlpm.v=""), "", _xlpm.v))</f>
        <v>male</v>
      </c>
    </row>
    <row r="3280" spans="1:9" x14ac:dyDescent="0.6">
      <c r="A3280">
        <v>693</v>
      </c>
      <c r="B3280" t="s">
        <v>14</v>
      </c>
      <c r="C3280" t="s">
        <v>13</v>
      </c>
      <c r="D3280">
        <v>139.72999999999999</v>
      </c>
      <c r="E3280">
        <v>98.22</v>
      </c>
      <c r="F3280">
        <v>52530</v>
      </c>
      <c r="H3280" t="str">
        <f>_xlfn.LET(_xlpm.v, IFERROR(VLOOKUP($A3280, manifest!$A:$E, 3, FALSE), ""), IF(OR(_xlpm.v=0, _xlpm.v=""), "", _xlpm.v))</f>
        <v/>
      </c>
      <c r="I3280" t="str">
        <f>_xlfn.LET(_xlpm.v, IFERROR(VLOOKUP($A3280, manifest!$A:$E, 5, FALSE), ""), IF(OR(_xlpm.v=0, _xlpm.v=""), "", _xlpm.v))</f>
        <v>male</v>
      </c>
    </row>
    <row r="3281" spans="1:9" x14ac:dyDescent="0.6">
      <c r="A3281">
        <v>669</v>
      </c>
      <c r="B3281" t="s">
        <v>7</v>
      </c>
      <c r="C3281" t="s">
        <v>8</v>
      </c>
      <c r="D3281">
        <v>192.86</v>
      </c>
      <c r="E3281">
        <v>172.76</v>
      </c>
      <c r="F3281">
        <v>42600</v>
      </c>
      <c r="G3281" t="s">
        <v>9</v>
      </c>
      <c r="H3281">
        <f>_xlfn.LET(_xlpm.v, IFERROR(VLOOKUP($A3281, manifest!$A:$E, 3, FALSE), ""), IF(OR(_xlpm.v=0, _xlpm.v=""), "", _xlpm.v))</f>
        <v>50</v>
      </c>
      <c r="I3281" t="str">
        <f>_xlfn.LET(_xlpm.v, IFERROR(VLOOKUP($A3281, manifest!$A:$E, 5, FALSE), ""), IF(OR(_xlpm.v=0, _xlpm.v=""), "", _xlpm.v))</f>
        <v>male</v>
      </c>
    </row>
    <row r="3282" spans="1:9" x14ac:dyDescent="0.6">
      <c r="A3282">
        <v>669</v>
      </c>
      <c r="B3282" t="s">
        <v>7</v>
      </c>
      <c r="C3282" t="s">
        <v>10</v>
      </c>
      <c r="D3282">
        <v>198.71</v>
      </c>
      <c r="E3282">
        <v>172.87</v>
      </c>
      <c r="F3282">
        <v>46256</v>
      </c>
      <c r="H3282">
        <f>_xlfn.LET(_xlpm.v, IFERROR(VLOOKUP($A3282, manifest!$A:$E, 3, FALSE), ""), IF(OR(_xlpm.v=0, _xlpm.v=""), "", _xlpm.v))</f>
        <v>50</v>
      </c>
      <c r="I3282" t="str">
        <f>_xlfn.LET(_xlpm.v, IFERROR(VLOOKUP($A3282, manifest!$A:$E, 5, FALSE), ""), IF(OR(_xlpm.v=0, _xlpm.v=""), "", _xlpm.v))</f>
        <v>male</v>
      </c>
    </row>
    <row r="3283" spans="1:9" x14ac:dyDescent="0.6">
      <c r="A3283">
        <v>669</v>
      </c>
      <c r="B3283" t="s">
        <v>7</v>
      </c>
      <c r="C3283" t="s">
        <v>11</v>
      </c>
      <c r="D3283">
        <v>207.77</v>
      </c>
      <c r="E3283">
        <v>196.26</v>
      </c>
      <c r="F3283">
        <v>54497</v>
      </c>
      <c r="H3283">
        <f>_xlfn.LET(_xlpm.v, IFERROR(VLOOKUP($A3283, manifest!$A:$E, 3, FALSE), ""), IF(OR(_xlpm.v=0, _xlpm.v=""), "", _xlpm.v))</f>
        <v>50</v>
      </c>
      <c r="I3283" t="str">
        <f>_xlfn.LET(_xlpm.v, IFERROR(VLOOKUP($A3283, manifest!$A:$E, 5, FALSE), ""), IF(OR(_xlpm.v=0, _xlpm.v=""), "", _xlpm.v))</f>
        <v>male</v>
      </c>
    </row>
    <row r="3284" spans="1:9" x14ac:dyDescent="0.6">
      <c r="A3284">
        <v>669</v>
      </c>
      <c r="B3284" t="s">
        <v>7</v>
      </c>
      <c r="C3284" t="s">
        <v>12</v>
      </c>
      <c r="D3284">
        <v>199.82</v>
      </c>
      <c r="E3284">
        <v>190.56</v>
      </c>
      <c r="F3284">
        <v>62073</v>
      </c>
      <c r="H3284">
        <f>_xlfn.LET(_xlpm.v, IFERROR(VLOOKUP($A3284, manifest!$A:$E, 3, FALSE), ""), IF(OR(_xlpm.v=0, _xlpm.v=""), "", _xlpm.v))</f>
        <v>50</v>
      </c>
      <c r="I3284" t="str">
        <f>_xlfn.LET(_xlpm.v, IFERROR(VLOOKUP($A3284, manifest!$A:$E, 5, FALSE), ""), IF(OR(_xlpm.v=0, _xlpm.v=""), "", _xlpm.v))</f>
        <v>male</v>
      </c>
    </row>
    <row r="3285" spans="1:9" x14ac:dyDescent="0.6">
      <c r="A3285">
        <v>669</v>
      </c>
      <c r="B3285" t="s">
        <v>7</v>
      </c>
      <c r="C3285" t="s">
        <v>13</v>
      </c>
      <c r="D3285">
        <v>212.46</v>
      </c>
      <c r="E3285">
        <v>223.68</v>
      </c>
      <c r="F3285">
        <v>57947</v>
      </c>
      <c r="H3285">
        <f>_xlfn.LET(_xlpm.v, IFERROR(VLOOKUP($A3285, manifest!$A:$E, 3, FALSE), ""), IF(OR(_xlpm.v=0, _xlpm.v=""), "", _xlpm.v))</f>
        <v>50</v>
      </c>
      <c r="I3285" t="str">
        <f>_xlfn.LET(_xlpm.v, IFERROR(VLOOKUP($A3285, manifest!$A:$E, 5, FALSE), ""), IF(OR(_xlpm.v=0, _xlpm.v=""), "", _xlpm.v))</f>
        <v>male</v>
      </c>
    </row>
    <row r="3286" spans="1:9" x14ac:dyDescent="0.6">
      <c r="A3286">
        <v>702</v>
      </c>
      <c r="B3286" t="s">
        <v>14</v>
      </c>
      <c r="C3286" t="s">
        <v>8</v>
      </c>
      <c r="D3286">
        <v>158.81</v>
      </c>
      <c r="E3286">
        <v>122.42</v>
      </c>
      <c r="F3286">
        <v>32408</v>
      </c>
      <c r="G3286" t="s">
        <v>15</v>
      </c>
      <c r="H3286">
        <f>_xlfn.LET(_xlpm.v, IFERROR(VLOOKUP($A3286, manifest!$A:$E, 3, FALSE), ""), IF(OR(_xlpm.v=0, _xlpm.v=""), "", _xlpm.v))</f>
        <v>89</v>
      </c>
      <c r="I3286" t="str">
        <f>_xlfn.LET(_xlpm.v, IFERROR(VLOOKUP($A3286, manifest!$A:$E, 5, FALSE), ""), IF(OR(_xlpm.v=0, _xlpm.v=""), "", _xlpm.v))</f>
        <v/>
      </c>
    </row>
    <row r="3287" spans="1:9" x14ac:dyDescent="0.6">
      <c r="A3287">
        <v>702</v>
      </c>
      <c r="B3287" t="s">
        <v>14</v>
      </c>
      <c r="C3287" t="s">
        <v>10</v>
      </c>
      <c r="D3287">
        <v>243.66</v>
      </c>
      <c r="E3287">
        <v>166.22</v>
      </c>
      <c r="F3287">
        <v>32745</v>
      </c>
      <c r="H3287">
        <f>_xlfn.LET(_xlpm.v, IFERROR(VLOOKUP($A3287, manifest!$A:$E, 3, FALSE), ""), IF(OR(_xlpm.v=0, _xlpm.v=""), "", _xlpm.v))</f>
        <v>89</v>
      </c>
      <c r="I3287" t="str">
        <f>_xlfn.LET(_xlpm.v, IFERROR(VLOOKUP($A3287, manifest!$A:$E, 5, FALSE), ""), IF(OR(_xlpm.v=0, _xlpm.v=""), "", _xlpm.v))</f>
        <v/>
      </c>
    </row>
    <row r="3288" spans="1:9" x14ac:dyDescent="0.6">
      <c r="A3288">
        <v>702</v>
      </c>
      <c r="B3288" t="s">
        <v>14</v>
      </c>
      <c r="C3288" t="s">
        <v>11</v>
      </c>
      <c r="D3288">
        <v>170.53</v>
      </c>
      <c r="E3288">
        <v>160.44</v>
      </c>
      <c r="F3288">
        <v>52778</v>
      </c>
      <c r="H3288">
        <f>_xlfn.LET(_xlpm.v, IFERROR(VLOOKUP($A3288, manifest!$A:$E, 3, FALSE), ""), IF(OR(_xlpm.v=0, _xlpm.v=""), "", _xlpm.v))</f>
        <v>89</v>
      </c>
      <c r="I3288" t="str">
        <f>_xlfn.LET(_xlpm.v, IFERROR(VLOOKUP($A3288, manifest!$A:$E, 5, FALSE), ""), IF(OR(_xlpm.v=0, _xlpm.v=""), "", _xlpm.v))</f>
        <v/>
      </c>
    </row>
    <row r="3289" spans="1:9" x14ac:dyDescent="0.6">
      <c r="A3289">
        <v>702</v>
      </c>
      <c r="B3289" t="s">
        <v>14</v>
      </c>
      <c r="C3289" t="s">
        <v>12</v>
      </c>
      <c r="D3289">
        <v>216.83</v>
      </c>
      <c r="E3289">
        <v>175.07</v>
      </c>
      <c r="F3289">
        <v>63995</v>
      </c>
      <c r="H3289">
        <f>_xlfn.LET(_xlpm.v, IFERROR(VLOOKUP($A3289, manifest!$A:$E, 3, FALSE), ""), IF(OR(_xlpm.v=0, _xlpm.v=""), "", _xlpm.v))</f>
        <v>89</v>
      </c>
      <c r="I3289" t="str">
        <f>_xlfn.LET(_xlpm.v, IFERROR(VLOOKUP($A3289, manifest!$A:$E, 5, FALSE), ""), IF(OR(_xlpm.v=0, _xlpm.v=""), "", _xlpm.v))</f>
        <v/>
      </c>
    </row>
    <row r="3290" spans="1:9" x14ac:dyDescent="0.6">
      <c r="A3290">
        <v>702</v>
      </c>
      <c r="B3290" t="s">
        <v>14</v>
      </c>
      <c r="C3290" t="s">
        <v>13</v>
      </c>
      <c r="D3290">
        <v>171.35</v>
      </c>
      <c r="E3290">
        <v>148.85</v>
      </c>
      <c r="F3290">
        <v>69150</v>
      </c>
      <c r="H3290">
        <f>_xlfn.LET(_xlpm.v, IFERROR(VLOOKUP($A3290, manifest!$A:$E, 3, FALSE), ""), IF(OR(_xlpm.v=0, _xlpm.v=""), "", _xlpm.v))</f>
        <v>89</v>
      </c>
      <c r="I3290" t="str">
        <f>_xlfn.LET(_xlpm.v, IFERROR(VLOOKUP($A3290, manifest!$A:$E, 5, FALSE), ""), IF(OR(_xlpm.v=0, _xlpm.v=""), "", _xlpm.v))</f>
        <v/>
      </c>
    </row>
    <row r="3291" spans="1:9" x14ac:dyDescent="0.6">
      <c r="A3291">
        <v>696</v>
      </c>
      <c r="B3291" t="s">
        <v>14</v>
      </c>
      <c r="C3291" t="s">
        <v>8</v>
      </c>
      <c r="D3291">
        <v>171.92</v>
      </c>
      <c r="E3291">
        <v>134.59</v>
      </c>
      <c r="F3291">
        <v>41737</v>
      </c>
      <c r="G3291" t="s">
        <v>9</v>
      </c>
      <c r="H3291">
        <f>_xlfn.LET(_xlpm.v, IFERROR(VLOOKUP($A3291, manifest!$A:$E, 3, FALSE), ""), IF(OR(_xlpm.v=0, _xlpm.v=""), "", _xlpm.v))</f>
        <v>60</v>
      </c>
      <c r="I3291" t="str">
        <f>_xlfn.LET(_xlpm.v, IFERROR(VLOOKUP($A3291, manifest!$A:$E, 5, FALSE), ""), IF(OR(_xlpm.v=0, _xlpm.v=""), "", _xlpm.v))</f>
        <v>male</v>
      </c>
    </row>
    <row r="3292" spans="1:9" x14ac:dyDescent="0.6">
      <c r="A3292">
        <v>696</v>
      </c>
      <c r="B3292" t="s">
        <v>14</v>
      </c>
      <c r="C3292" t="s">
        <v>10</v>
      </c>
      <c r="D3292">
        <v>190.42</v>
      </c>
      <c r="E3292">
        <v>147.1</v>
      </c>
      <c r="F3292">
        <v>47914</v>
      </c>
      <c r="H3292">
        <f>_xlfn.LET(_xlpm.v, IFERROR(VLOOKUP($A3292, manifest!$A:$E, 3, FALSE), ""), IF(OR(_xlpm.v=0, _xlpm.v=""), "", _xlpm.v))</f>
        <v>60</v>
      </c>
      <c r="I3292" t="str">
        <f>_xlfn.LET(_xlpm.v, IFERROR(VLOOKUP($A3292, manifest!$A:$E, 5, FALSE), ""), IF(OR(_xlpm.v=0, _xlpm.v=""), "", _xlpm.v))</f>
        <v>male</v>
      </c>
    </row>
    <row r="3293" spans="1:9" x14ac:dyDescent="0.6">
      <c r="A3293">
        <v>696</v>
      </c>
      <c r="B3293" t="s">
        <v>14</v>
      </c>
      <c r="C3293" t="s">
        <v>11</v>
      </c>
      <c r="D3293">
        <v>192.64</v>
      </c>
      <c r="E3293">
        <v>146.74</v>
      </c>
      <c r="F3293">
        <v>52037</v>
      </c>
      <c r="H3293">
        <f>_xlfn.LET(_xlpm.v, IFERROR(VLOOKUP($A3293, manifest!$A:$E, 3, FALSE), ""), IF(OR(_xlpm.v=0, _xlpm.v=""), "", _xlpm.v))</f>
        <v>60</v>
      </c>
      <c r="I3293" t="str">
        <f>_xlfn.LET(_xlpm.v, IFERROR(VLOOKUP($A3293, manifest!$A:$E, 5, FALSE), ""), IF(OR(_xlpm.v=0, _xlpm.v=""), "", _xlpm.v))</f>
        <v>male</v>
      </c>
    </row>
    <row r="3294" spans="1:9" x14ac:dyDescent="0.6">
      <c r="A3294">
        <v>696</v>
      </c>
      <c r="B3294" t="s">
        <v>14</v>
      </c>
      <c r="C3294" t="s">
        <v>12</v>
      </c>
      <c r="D3294">
        <v>218.76</v>
      </c>
      <c r="E3294">
        <v>156.82</v>
      </c>
      <c r="F3294">
        <v>60002</v>
      </c>
      <c r="H3294">
        <f>_xlfn.LET(_xlpm.v, IFERROR(VLOOKUP($A3294, manifest!$A:$E, 3, FALSE), ""), IF(OR(_xlpm.v=0, _xlpm.v=""), "", _xlpm.v))</f>
        <v>60</v>
      </c>
      <c r="I3294" t="str">
        <f>_xlfn.LET(_xlpm.v, IFERROR(VLOOKUP($A3294, manifest!$A:$E, 5, FALSE), ""), IF(OR(_xlpm.v=0, _xlpm.v=""), "", _xlpm.v))</f>
        <v>male</v>
      </c>
    </row>
    <row r="3295" spans="1:9" x14ac:dyDescent="0.6">
      <c r="A3295">
        <v>696</v>
      </c>
      <c r="B3295" t="s">
        <v>14</v>
      </c>
      <c r="C3295" t="s">
        <v>13</v>
      </c>
      <c r="D3295">
        <v>222.77</v>
      </c>
      <c r="E3295">
        <v>156.35</v>
      </c>
      <c r="F3295">
        <v>64084</v>
      </c>
      <c r="H3295">
        <f>_xlfn.LET(_xlpm.v, IFERROR(VLOOKUP($A3295, manifest!$A:$E, 3, FALSE), ""), IF(OR(_xlpm.v=0, _xlpm.v=""), "", _xlpm.v))</f>
        <v>60</v>
      </c>
      <c r="I3295" t="str">
        <f>_xlfn.LET(_xlpm.v, IFERROR(VLOOKUP($A3295, manifest!$A:$E, 5, FALSE), ""), IF(OR(_xlpm.v=0, _xlpm.v=""), "", _xlpm.v))</f>
        <v>male</v>
      </c>
    </row>
    <row r="3296" spans="1:9" x14ac:dyDescent="0.6">
      <c r="A3296">
        <v>701</v>
      </c>
      <c r="B3296" t="s">
        <v>14</v>
      </c>
      <c r="C3296" t="s">
        <v>8</v>
      </c>
      <c r="D3296">
        <v>278.45</v>
      </c>
      <c r="E3296">
        <v>185.25</v>
      </c>
      <c r="F3296">
        <v>15827</v>
      </c>
      <c r="G3296" t="s">
        <v>9</v>
      </c>
      <c r="H3296">
        <f>_xlfn.LET(_xlpm.v, IFERROR(VLOOKUP($A3296, manifest!$A:$E, 3, FALSE), ""), IF(OR(_xlpm.v=0, _xlpm.v=""), "", _xlpm.v))</f>
        <v>50</v>
      </c>
      <c r="I3296" t="str">
        <f>_xlfn.LET(_xlpm.v, IFERROR(VLOOKUP($A3296, manifest!$A:$E, 5, FALSE), ""), IF(OR(_xlpm.v=0, _xlpm.v=""), "", _xlpm.v))</f>
        <v>female</v>
      </c>
    </row>
    <row r="3297" spans="1:9" x14ac:dyDescent="0.6">
      <c r="A3297">
        <v>701</v>
      </c>
      <c r="B3297" t="s">
        <v>14</v>
      </c>
      <c r="C3297" t="s">
        <v>10</v>
      </c>
      <c r="D3297">
        <v>319.45</v>
      </c>
      <c r="E3297">
        <v>243.08</v>
      </c>
      <c r="F3297">
        <v>18091</v>
      </c>
      <c r="H3297">
        <f>_xlfn.LET(_xlpm.v, IFERROR(VLOOKUP($A3297, manifest!$A:$E, 3, FALSE), ""), IF(OR(_xlpm.v=0, _xlpm.v=""), "", _xlpm.v))</f>
        <v>50</v>
      </c>
      <c r="I3297" t="str">
        <f>_xlfn.LET(_xlpm.v, IFERROR(VLOOKUP($A3297, manifest!$A:$E, 5, FALSE), ""), IF(OR(_xlpm.v=0, _xlpm.v=""), "", _xlpm.v))</f>
        <v>female</v>
      </c>
    </row>
    <row r="3298" spans="1:9" x14ac:dyDescent="0.6">
      <c r="A3298">
        <v>701</v>
      </c>
      <c r="B3298" t="s">
        <v>14</v>
      </c>
      <c r="C3298" t="s">
        <v>11</v>
      </c>
      <c r="D3298">
        <v>282.54000000000002</v>
      </c>
      <c r="E3298">
        <v>204.63</v>
      </c>
      <c r="F3298">
        <v>24330</v>
      </c>
      <c r="H3298">
        <f>_xlfn.LET(_xlpm.v, IFERROR(VLOOKUP($A3298, manifest!$A:$E, 3, FALSE), ""), IF(OR(_xlpm.v=0, _xlpm.v=""), "", _xlpm.v))</f>
        <v>50</v>
      </c>
      <c r="I3298" t="str">
        <f>_xlfn.LET(_xlpm.v, IFERROR(VLOOKUP($A3298, manifest!$A:$E, 5, FALSE), ""), IF(OR(_xlpm.v=0, _xlpm.v=""), "", _xlpm.v))</f>
        <v>female</v>
      </c>
    </row>
    <row r="3299" spans="1:9" x14ac:dyDescent="0.6">
      <c r="A3299">
        <v>701</v>
      </c>
      <c r="B3299" t="s">
        <v>14</v>
      </c>
      <c r="C3299" t="s">
        <v>12</v>
      </c>
      <c r="D3299">
        <v>260.49</v>
      </c>
      <c r="E3299">
        <v>180.71</v>
      </c>
      <c r="F3299">
        <v>29989</v>
      </c>
      <c r="H3299">
        <f>_xlfn.LET(_xlpm.v, IFERROR(VLOOKUP($A3299, manifest!$A:$E, 3, FALSE), ""), IF(OR(_xlpm.v=0, _xlpm.v=""), "", _xlpm.v))</f>
        <v>50</v>
      </c>
      <c r="I3299" t="str">
        <f>_xlfn.LET(_xlpm.v, IFERROR(VLOOKUP($A3299, manifest!$A:$E, 5, FALSE), ""), IF(OR(_xlpm.v=0, _xlpm.v=""), "", _xlpm.v))</f>
        <v>female</v>
      </c>
    </row>
    <row r="3300" spans="1:9" x14ac:dyDescent="0.6">
      <c r="A3300">
        <v>701</v>
      </c>
      <c r="B3300" t="s">
        <v>14</v>
      </c>
      <c r="C3300" t="s">
        <v>13</v>
      </c>
      <c r="D3300">
        <v>252.65</v>
      </c>
      <c r="E3300">
        <v>171.76</v>
      </c>
      <c r="F3300">
        <v>28140</v>
      </c>
      <c r="H3300">
        <f>_xlfn.LET(_xlpm.v, IFERROR(VLOOKUP($A3300, manifest!$A:$E, 3, FALSE), ""), IF(OR(_xlpm.v=0, _xlpm.v=""), "", _xlpm.v))</f>
        <v>50</v>
      </c>
      <c r="I3300" t="str">
        <f>_xlfn.LET(_xlpm.v, IFERROR(VLOOKUP($A3300, manifest!$A:$E, 5, FALSE), ""), IF(OR(_xlpm.v=0, _xlpm.v=""), "", _xlpm.v))</f>
        <v>female</v>
      </c>
    </row>
    <row r="3301" spans="1:9" x14ac:dyDescent="0.6">
      <c r="A3301">
        <v>691</v>
      </c>
      <c r="B3301" t="s">
        <v>14</v>
      </c>
      <c r="C3301" t="s">
        <v>8</v>
      </c>
      <c r="D3301">
        <v>225.85</v>
      </c>
      <c r="E3301">
        <v>181.41</v>
      </c>
      <c r="F3301">
        <v>38094</v>
      </c>
      <c r="G3301" t="s">
        <v>9</v>
      </c>
      <c r="H3301">
        <f>_xlfn.LET(_xlpm.v, IFERROR(VLOOKUP($A3301, manifest!$A:$E, 3, FALSE), ""), IF(OR(_xlpm.v=0, _xlpm.v=""), "", _xlpm.v))</f>
        <v>60</v>
      </c>
      <c r="I3301" t="str">
        <f>_xlfn.LET(_xlpm.v, IFERROR(VLOOKUP($A3301, manifest!$A:$E, 5, FALSE), ""), IF(OR(_xlpm.v=0, _xlpm.v=""), "", _xlpm.v))</f>
        <v>female</v>
      </c>
    </row>
    <row r="3302" spans="1:9" x14ac:dyDescent="0.6">
      <c r="A3302">
        <v>691</v>
      </c>
      <c r="B3302" t="s">
        <v>14</v>
      </c>
      <c r="C3302" t="s">
        <v>10</v>
      </c>
      <c r="D3302">
        <v>260.02</v>
      </c>
      <c r="E3302">
        <v>250.76</v>
      </c>
      <c r="F3302">
        <v>47347</v>
      </c>
      <c r="H3302">
        <f>_xlfn.LET(_xlpm.v, IFERROR(VLOOKUP($A3302, manifest!$A:$E, 3, FALSE), ""), IF(OR(_xlpm.v=0, _xlpm.v=""), "", _xlpm.v))</f>
        <v>60</v>
      </c>
      <c r="I3302" t="str">
        <f>_xlfn.LET(_xlpm.v, IFERROR(VLOOKUP($A3302, manifest!$A:$E, 5, FALSE), ""), IF(OR(_xlpm.v=0, _xlpm.v=""), "", _xlpm.v))</f>
        <v>female</v>
      </c>
    </row>
    <row r="3303" spans="1:9" x14ac:dyDescent="0.6">
      <c r="A3303">
        <v>691</v>
      </c>
      <c r="B3303" t="s">
        <v>14</v>
      </c>
      <c r="C3303" t="s">
        <v>11</v>
      </c>
      <c r="D3303">
        <v>266.02</v>
      </c>
      <c r="E3303">
        <v>278.43</v>
      </c>
      <c r="F3303">
        <v>57298</v>
      </c>
      <c r="H3303">
        <f>_xlfn.LET(_xlpm.v, IFERROR(VLOOKUP($A3303, manifest!$A:$E, 3, FALSE), ""), IF(OR(_xlpm.v=0, _xlpm.v=""), "", _xlpm.v))</f>
        <v>60</v>
      </c>
      <c r="I3303" t="str">
        <f>_xlfn.LET(_xlpm.v, IFERROR(VLOOKUP($A3303, manifest!$A:$E, 5, FALSE), ""), IF(OR(_xlpm.v=0, _xlpm.v=""), "", _xlpm.v))</f>
        <v>female</v>
      </c>
    </row>
    <row r="3304" spans="1:9" x14ac:dyDescent="0.6">
      <c r="A3304">
        <v>691</v>
      </c>
      <c r="B3304" t="s">
        <v>14</v>
      </c>
      <c r="C3304" t="s">
        <v>12</v>
      </c>
      <c r="D3304">
        <v>276.95999999999998</v>
      </c>
      <c r="E3304">
        <v>250.39</v>
      </c>
      <c r="F3304">
        <v>51159</v>
      </c>
      <c r="H3304">
        <f>_xlfn.LET(_xlpm.v, IFERROR(VLOOKUP($A3304, manifest!$A:$E, 3, FALSE), ""), IF(OR(_xlpm.v=0, _xlpm.v=""), "", _xlpm.v))</f>
        <v>60</v>
      </c>
      <c r="I3304" t="str">
        <f>_xlfn.LET(_xlpm.v, IFERROR(VLOOKUP($A3304, manifest!$A:$E, 5, FALSE), ""), IF(OR(_xlpm.v=0, _xlpm.v=""), "", _xlpm.v))</f>
        <v>female</v>
      </c>
    </row>
    <row r="3305" spans="1:9" x14ac:dyDescent="0.6">
      <c r="A3305">
        <v>691</v>
      </c>
      <c r="B3305" t="s">
        <v>14</v>
      </c>
      <c r="C3305" t="s">
        <v>13</v>
      </c>
      <c r="D3305">
        <v>203.76</v>
      </c>
      <c r="E3305">
        <v>155.57</v>
      </c>
      <c r="F3305">
        <v>79749</v>
      </c>
      <c r="H3305">
        <f>_xlfn.LET(_xlpm.v, IFERROR(VLOOKUP($A3305, manifest!$A:$E, 3, FALSE), ""), IF(OR(_xlpm.v=0, _xlpm.v=""), "", _xlpm.v))</f>
        <v>60</v>
      </c>
      <c r="I3305" t="str">
        <f>_xlfn.LET(_xlpm.v, IFERROR(VLOOKUP($A3305, manifest!$A:$E, 5, FALSE), ""), IF(OR(_xlpm.v=0, _xlpm.v=""), "", _xlpm.v))</f>
        <v>female</v>
      </c>
    </row>
    <row r="3306" spans="1:9" x14ac:dyDescent="0.6">
      <c r="A3306">
        <v>700</v>
      </c>
      <c r="B3306" t="s">
        <v>14</v>
      </c>
      <c r="C3306" t="s">
        <v>8</v>
      </c>
      <c r="D3306">
        <v>220.36</v>
      </c>
      <c r="E3306">
        <v>221.91</v>
      </c>
      <c r="F3306">
        <v>18758</v>
      </c>
      <c r="G3306" t="s">
        <v>9</v>
      </c>
      <c r="H3306">
        <f>_xlfn.LET(_xlpm.v, IFERROR(VLOOKUP($A3306, manifest!$A:$E, 3, FALSE), ""), IF(OR(_xlpm.v=0, _xlpm.v=""), "", _xlpm.v))</f>
        <v>60</v>
      </c>
      <c r="I3306" t="str">
        <f>_xlfn.LET(_xlpm.v, IFERROR(VLOOKUP($A3306, manifest!$A:$E, 5, FALSE), ""), IF(OR(_xlpm.v=0, _xlpm.v=""), "", _xlpm.v))</f>
        <v>female</v>
      </c>
    </row>
    <row r="3307" spans="1:9" x14ac:dyDescent="0.6">
      <c r="A3307">
        <v>700</v>
      </c>
      <c r="B3307" t="s">
        <v>14</v>
      </c>
      <c r="C3307" t="s">
        <v>10</v>
      </c>
      <c r="D3307">
        <v>197.23</v>
      </c>
      <c r="E3307">
        <v>204.15</v>
      </c>
      <c r="F3307">
        <v>21286</v>
      </c>
      <c r="H3307">
        <f>_xlfn.LET(_xlpm.v, IFERROR(VLOOKUP($A3307, manifest!$A:$E, 3, FALSE), ""), IF(OR(_xlpm.v=0, _xlpm.v=""), "", _xlpm.v))</f>
        <v>60</v>
      </c>
      <c r="I3307" t="str">
        <f>_xlfn.LET(_xlpm.v, IFERROR(VLOOKUP($A3307, manifest!$A:$E, 5, FALSE), ""), IF(OR(_xlpm.v=0, _xlpm.v=""), "", _xlpm.v))</f>
        <v>female</v>
      </c>
    </row>
    <row r="3308" spans="1:9" x14ac:dyDescent="0.6">
      <c r="A3308">
        <v>700</v>
      </c>
      <c r="B3308" t="s">
        <v>14</v>
      </c>
      <c r="C3308" t="s">
        <v>11</v>
      </c>
      <c r="D3308">
        <v>200.49</v>
      </c>
      <c r="E3308">
        <v>220.36</v>
      </c>
      <c r="F3308">
        <v>23757</v>
      </c>
      <c r="H3308">
        <f>_xlfn.LET(_xlpm.v, IFERROR(VLOOKUP($A3308, manifest!$A:$E, 3, FALSE), ""), IF(OR(_xlpm.v=0, _xlpm.v=""), "", _xlpm.v))</f>
        <v>60</v>
      </c>
      <c r="I3308" t="str">
        <f>_xlfn.LET(_xlpm.v, IFERROR(VLOOKUP($A3308, manifest!$A:$E, 5, FALSE), ""), IF(OR(_xlpm.v=0, _xlpm.v=""), "", _xlpm.v))</f>
        <v>female</v>
      </c>
    </row>
    <row r="3309" spans="1:9" x14ac:dyDescent="0.6">
      <c r="A3309">
        <v>700</v>
      </c>
      <c r="B3309" t="s">
        <v>14</v>
      </c>
      <c r="C3309" t="s">
        <v>12</v>
      </c>
      <c r="D3309">
        <v>249.99</v>
      </c>
      <c r="E3309">
        <v>260.20999999999998</v>
      </c>
      <c r="F3309">
        <v>30867</v>
      </c>
      <c r="H3309">
        <f>_xlfn.LET(_xlpm.v, IFERROR(VLOOKUP($A3309, manifest!$A:$E, 3, FALSE), ""), IF(OR(_xlpm.v=0, _xlpm.v=""), "", _xlpm.v))</f>
        <v>60</v>
      </c>
      <c r="I3309" t="str">
        <f>_xlfn.LET(_xlpm.v, IFERROR(VLOOKUP($A3309, manifest!$A:$E, 5, FALSE), ""), IF(OR(_xlpm.v=0, _xlpm.v=""), "", _xlpm.v))</f>
        <v>female</v>
      </c>
    </row>
    <row r="3310" spans="1:9" x14ac:dyDescent="0.6">
      <c r="A3310">
        <v>700</v>
      </c>
      <c r="B3310" t="s">
        <v>14</v>
      </c>
      <c r="C3310" t="s">
        <v>13</v>
      </c>
      <c r="D3310">
        <v>200.2</v>
      </c>
      <c r="E3310">
        <v>174.16</v>
      </c>
      <c r="F3310">
        <v>33616</v>
      </c>
      <c r="H3310">
        <f>_xlfn.LET(_xlpm.v, IFERROR(VLOOKUP($A3310, manifest!$A:$E, 3, FALSE), ""), IF(OR(_xlpm.v=0, _xlpm.v=""), "", _xlpm.v))</f>
        <v>60</v>
      </c>
      <c r="I3310" t="str">
        <f>_xlfn.LET(_xlpm.v, IFERROR(VLOOKUP($A3310, manifest!$A:$E, 5, FALSE), ""), IF(OR(_xlpm.v=0, _xlpm.v=""), "", _xlpm.v))</f>
        <v>female</v>
      </c>
    </row>
    <row r="3311" spans="1:9" x14ac:dyDescent="0.6">
      <c r="A3311">
        <v>695</v>
      </c>
      <c r="B3311" t="s">
        <v>7</v>
      </c>
      <c r="C3311" t="s">
        <v>8</v>
      </c>
      <c r="D3311">
        <v>186.36</v>
      </c>
      <c r="E3311">
        <v>119.8</v>
      </c>
      <c r="F3311">
        <v>24298</v>
      </c>
      <c r="G3311" t="s">
        <v>9</v>
      </c>
      <c r="H3311">
        <f>_xlfn.LET(_xlpm.v, IFERROR(VLOOKUP($A3311, manifest!$A:$E, 3, FALSE), ""), IF(OR(_xlpm.v=0, _xlpm.v=""), "", _xlpm.v))</f>
        <v>70</v>
      </c>
      <c r="I3311" t="str">
        <f>_xlfn.LET(_xlpm.v, IFERROR(VLOOKUP($A3311, manifest!$A:$E, 5, FALSE), ""), IF(OR(_xlpm.v=0, _xlpm.v=""), "", _xlpm.v))</f>
        <v>male</v>
      </c>
    </row>
    <row r="3312" spans="1:9" x14ac:dyDescent="0.6">
      <c r="A3312">
        <v>695</v>
      </c>
      <c r="B3312" t="s">
        <v>7</v>
      </c>
      <c r="C3312" t="s">
        <v>10</v>
      </c>
      <c r="D3312">
        <v>178.33</v>
      </c>
      <c r="E3312">
        <v>161.63999999999999</v>
      </c>
      <c r="F3312">
        <v>24307</v>
      </c>
      <c r="H3312">
        <f>_xlfn.LET(_xlpm.v, IFERROR(VLOOKUP($A3312, manifest!$A:$E, 3, FALSE), ""), IF(OR(_xlpm.v=0, _xlpm.v=""), "", _xlpm.v))</f>
        <v>70</v>
      </c>
      <c r="I3312" t="str">
        <f>_xlfn.LET(_xlpm.v, IFERROR(VLOOKUP($A3312, manifest!$A:$E, 5, FALSE), ""), IF(OR(_xlpm.v=0, _xlpm.v=""), "", _xlpm.v))</f>
        <v>male</v>
      </c>
    </row>
    <row r="3313" spans="1:9" x14ac:dyDescent="0.6">
      <c r="A3313">
        <v>695</v>
      </c>
      <c r="B3313" t="s">
        <v>7</v>
      </c>
      <c r="C3313" t="s">
        <v>11</v>
      </c>
      <c r="D3313">
        <v>165</v>
      </c>
      <c r="E3313">
        <v>149.27000000000001</v>
      </c>
      <c r="F3313">
        <v>28296</v>
      </c>
      <c r="H3313">
        <f>_xlfn.LET(_xlpm.v, IFERROR(VLOOKUP($A3313, manifest!$A:$E, 3, FALSE), ""), IF(OR(_xlpm.v=0, _xlpm.v=""), "", _xlpm.v))</f>
        <v>70</v>
      </c>
      <c r="I3313" t="str">
        <f>_xlfn.LET(_xlpm.v, IFERROR(VLOOKUP($A3313, manifest!$A:$E, 5, FALSE), ""), IF(OR(_xlpm.v=0, _xlpm.v=""), "", _xlpm.v))</f>
        <v>male</v>
      </c>
    </row>
    <row r="3314" spans="1:9" x14ac:dyDescent="0.6">
      <c r="A3314">
        <v>695</v>
      </c>
      <c r="B3314" t="s">
        <v>7</v>
      </c>
      <c r="C3314" t="s">
        <v>12</v>
      </c>
      <c r="D3314">
        <v>196.57</v>
      </c>
      <c r="E3314">
        <v>167.73</v>
      </c>
      <c r="F3314">
        <v>31905</v>
      </c>
      <c r="H3314">
        <f>_xlfn.LET(_xlpm.v, IFERROR(VLOOKUP($A3314, manifest!$A:$E, 3, FALSE), ""), IF(OR(_xlpm.v=0, _xlpm.v=""), "", _xlpm.v))</f>
        <v>70</v>
      </c>
      <c r="I3314" t="str">
        <f>_xlfn.LET(_xlpm.v, IFERROR(VLOOKUP($A3314, manifest!$A:$E, 5, FALSE), ""), IF(OR(_xlpm.v=0, _xlpm.v=""), "", _xlpm.v))</f>
        <v>male</v>
      </c>
    </row>
    <row r="3315" spans="1:9" x14ac:dyDescent="0.6">
      <c r="A3315">
        <v>695</v>
      </c>
      <c r="B3315" t="s">
        <v>7</v>
      </c>
      <c r="C3315" t="s">
        <v>13</v>
      </c>
      <c r="D3315">
        <v>201.59</v>
      </c>
      <c r="E3315">
        <v>139.1</v>
      </c>
      <c r="F3315">
        <v>43628</v>
      </c>
      <c r="H3315">
        <f>_xlfn.LET(_xlpm.v, IFERROR(VLOOKUP($A3315, manifest!$A:$E, 3, FALSE), ""), IF(OR(_xlpm.v=0, _xlpm.v=""), "", _xlpm.v))</f>
        <v>70</v>
      </c>
      <c r="I3315" t="str">
        <f>_xlfn.LET(_xlpm.v, IFERROR(VLOOKUP($A3315, manifest!$A:$E, 5, FALSE), ""), IF(OR(_xlpm.v=0, _xlpm.v=""), "", _xlpm.v))</f>
        <v>male</v>
      </c>
    </row>
    <row r="3316" spans="1:9" x14ac:dyDescent="0.6">
      <c r="A3316">
        <v>708</v>
      </c>
      <c r="B3316" t="s">
        <v>14</v>
      </c>
      <c r="C3316" t="s">
        <v>8</v>
      </c>
      <c r="D3316">
        <v>287</v>
      </c>
      <c r="E3316">
        <v>130.72</v>
      </c>
      <c r="F3316">
        <v>27635</v>
      </c>
      <c r="G3316" t="s">
        <v>9</v>
      </c>
      <c r="H3316">
        <f>_xlfn.LET(_xlpm.v, IFERROR(VLOOKUP($A3316, manifest!$A:$E, 3, FALSE), ""), IF(OR(_xlpm.v=0, _xlpm.v=""), "", _xlpm.v))</f>
        <v>50</v>
      </c>
      <c r="I3316" t="str">
        <f>_xlfn.LET(_xlpm.v, IFERROR(VLOOKUP($A3316, manifest!$A:$E, 5, FALSE), ""), IF(OR(_xlpm.v=0, _xlpm.v=""), "", _xlpm.v))</f>
        <v>female</v>
      </c>
    </row>
    <row r="3317" spans="1:9" x14ac:dyDescent="0.6">
      <c r="A3317">
        <v>708</v>
      </c>
      <c r="B3317" t="s">
        <v>14</v>
      </c>
      <c r="C3317" t="s">
        <v>10</v>
      </c>
      <c r="D3317">
        <v>292.38</v>
      </c>
      <c r="E3317">
        <v>169.89</v>
      </c>
      <c r="F3317">
        <v>33065</v>
      </c>
      <c r="H3317">
        <f>_xlfn.LET(_xlpm.v, IFERROR(VLOOKUP($A3317, manifest!$A:$E, 3, FALSE), ""), IF(OR(_xlpm.v=0, _xlpm.v=""), "", _xlpm.v))</f>
        <v>50</v>
      </c>
      <c r="I3317" t="str">
        <f>_xlfn.LET(_xlpm.v, IFERROR(VLOOKUP($A3317, manifest!$A:$E, 5, FALSE), ""), IF(OR(_xlpm.v=0, _xlpm.v=""), "", _xlpm.v))</f>
        <v>female</v>
      </c>
    </row>
    <row r="3318" spans="1:9" x14ac:dyDescent="0.6">
      <c r="A3318">
        <v>708</v>
      </c>
      <c r="B3318" t="s">
        <v>14</v>
      </c>
      <c r="C3318" t="s">
        <v>11</v>
      </c>
      <c r="D3318">
        <v>289.5</v>
      </c>
      <c r="E3318">
        <v>173.54</v>
      </c>
      <c r="F3318">
        <v>36905</v>
      </c>
      <c r="H3318">
        <f>_xlfn.LET(_xlpm.v, IFERROR(VLOOKUP($A3318, manifest!$A:$E, 3, FALSE), ""), IF(OR(_xlpm.v=0, _xlpm.v=""), "", _xlpm.v))</f>
        <v>50</v>
      </c>
      <c r="I3318" t="str">
        <f>_xlfn.LET(_xlpm.v, IFERROR(VLOOKUP($A3318, manifest!$A:$E, 5, FALSE), ""), IF(OR(_xlpm.v=0, _xlpm.v=""), "", _xlpm.v))</f>
        <v>female</v>
      </c>
    </row>
    <row r="3319" spans="1:9" x14ac:dyDescent="0.6">
      <c r="A3319">
        <v>708</v>
      </c>
      <c r="B3319" t="s">
        <v>14</v>
      </c>
      <c r="C3319" t="s">
        <v>12</v>
      </c>
      <c r="D3319">
        <v>268.16000000000003</v>
      </c>
      <c r="E3319">
        <v>164.73</v>
      </c>
      <c r="F3319">
        <v>39293</v>
      </c>
      <c r="H3319">
        <f>_xlfn.LET(_xlpm.v, IFERROR(VLOOKUP($A3319, manifest!$A:$E, 3, FALSE), ""), IF(OR(_xlpm.v=0, _xlpm.v=""), "", _xlpm.v))</f>
        <v>50</v>
      </c>
      <c r="I3319" t="str">
        <f>_xlfn.LET(_xlpm.v, IFERROR(VLOOKUP($A3319, manifest!$A:$E, 5, FALSE), ""), IF(OR(_xlpm.v=0, _xlpm.v=""), "", _xlpm.v))</f>
        <v>female</v>
      </c>
    </row>
    <row r="3320" spans="1:9" x14ac:dyDescent="0.6">
      <c r="A3320">
        <v>708</v>
      </c>
      <c r="B3320" t="s">
        <v>14</v>
      </c>
      <c r="C3320" t="s">
        <v>13</v>
      </c>
      <c r="D3320">
        <v>272.61</v>
      </c>
      <c r="E3320">
        <v>123.71</v>
      </c>
      <c r="F3320">
        <v>46294</v>
      </c>
      <c r="H3320">
        <f>_xlfn.LET(_xlpm.v, IFERROR(VLOOKUP($A3320, manifest!$A:$E, 3, FALSE), ""), IF(OR(_xlpm.v=0, _xlpm.v=""), "", _xlpm.v))</f>
        <v>50</v>
      </c>
      <c r="I3320" t="str">
        <f>_xlfn.LET(_xlpm.v, IFERROR(VLOOKUP($A3320, manifest!$A:$E, 5, FALSE), ""), IF(OR(_xlpm.v=0, _xlpm.v=""), "", _xlpm.v))</f>
        <v>female</v>
      </c>
    </row>
    <row r="3321" spans="1:9" x14ac:dyDescent="0.6">
      <c r="A3321">
        <v>687</v>
      </c>
      <c r="B3321" t="s">
        <v>7</v>
      </c>
      <c r="C3321" t="s">
        <v>8</v>
      </c>
      <c r="D3321">
        <v>142.59</v>
      </c>
      <c r="E3321">
        <v>141.72</v>
      </c>
      <c r="F3321">
        <v>35024</v>
      </c>
      <c r="G3321" t="s">
        <v>15</v>
      </c>
      <c r="H3321">
        <f>_xlfn.LET(_xlpm.v, IFERROR(VLOOKUP($A3321, manifest!$A:$E, 3, FALSE), ""), IF(OR(_xlpm.v=0, _xlpm.v=""), "", _xlpm.v))</f>
        <v>60</v>
      </c>
      <c r="I3321" t="str">
        <f>_xlfn.LET(_xlpm.v, IFERROR(VLOOKUP($A3321, manifest!$A:$E, 5, FALSE), ""), IF(OR(_xlpm.v=0, _xlpm.v=""), "", _xlpm.v))</f>
        <v>male</v>
      </c>
    </row>
    <row r="3322" spans="1:9" x14ac:dyDescent="0.6">
      <c r="A3322">
        <v>687</v>
      </c>
      <c r="B3322" t="s">
        <v>7</v>
      </c>
      <c r="C3322" t="s">
        <v>10</v>
      </c>
      <c r="D3322">
        <v>172.84</v>
      </c>
      <c r="E3322">
        <v>137.85</v>
      </c>
      <c r="F3322">
        <v>35012</v>
      </c>
      <c r="H3322">
        <f>_xlfn.LET(_xlpm.v, IFERROR(VLOOKUP($A3322, manifest!$A:$E, 3, FALSE), ""), IF(OR(_xlpm.v=0, _xlpm.v=""), "", _xlpm.v))</f>
        <v>60</v>
      </c>
      <c r="I3322" t="str">
        <f>_xlfn.LET(_xlpm.v, IFERROR(VLOOKUP($A3322, manifest!$A:$E, 5, FALSE), ""), IF(OR(_xlpm.v=0, _xlpm.v=""), "", _xlpm.v))</f>
        <v>male</v>
      </c>
    </row>
    <row r="3323" spans="1:9" x14ac:dyDescent="0.6">
      <c r="A3323">
        <v>687</v>
      </c>
      <c r="B3323" t="s">
        <v>7</v>
      </c>
      <c r="C3323" t="s">
        <v>11</v>
      </c>
      <c r="D3323">
        <v>155.24</v>
      </c>
      <c r="E3323">
        <v>126.18</v>
      </c>
      <c r="F3323">
        <v>47611</v>
      </c>
      <c r="H3323">
        <f>_xlfn.LET(_xlpm.v, IFERROR(VLOOKUP($A3323, manifest!$A:$E, 3, FALSE), ""), IF(OR(_xlpm.v=0, _xlpm.v=""), "", _xlpm.v))</f>
        <v>60</v>
      </c>
      <c r="I3323" t="str">
        <f>_xlfn.LET(_xlpm.v, IFERROR(VLOOKUP($A3323, manifest!$A:$E, 5, FALSE), ""), IF(OR(_xlpm.v=0, _xlpm.v=""), "", _xlpm.v))</f>
        <v>male</v>
      </c>
    </row>
    <row r="3324" spans="1:9" x14ac:dyDescent="0.6">
      <c r="A3324">
        <v>687</v>
      </c>
      <c r="B3324" t="s">
        <v>7</v>
      </c>
      <c r="C3324" t="s">
        <v>12</v>
      </c>
      <c r="D3324">
        <v>177.55</v>
      </c>
      <c r="E3324">
        <v>154.03</v>
      </c>
      <c r="F3324">
        <v>48052</v>
      </c>
      <c r="H3324">
        <f>_xlfn.LET(_xlpm.v, IFERROR(VLOOKUP($A3324, manifest!$A:$E, 3, FALSE), ""), IF(OR(_xlpm.v=0, _xlpm.v=""), "", _xlpm.v))</f>
        <v>60</v>
      </c>
      <c r="I3324" t="str">
        <f>_xlfn.LET(_xlpm.v, IFERROR(VLOOKUP($A3324, manifest!$A:$E, 5, FALSE), ""), IF(OR(_xlpm.v=0, _xlpm.v=""), "", _xlpm.v))</f>
        <v>male</v>
      </c>
    </row>
    <row r="3325" spans="1:9" x14ac:dyDescent="0.6">
      <c r="A3325">
        <v>687</v>
      </c>
      <c r="B3325" t="s">
        <v>7</v>
      </c>
      <c r="C3325" t="s">
        <v>13</v>
      </c>
      <c r="D3325">
        <v>161.93</v>
      </c>
      <c r="E3325">
        <v>122.98</v>
      </c>
      <c r="F3325">
        <v>57075</v>
      </c>
      <c r="H3325">
        <f>_xlfn.LET(_xlpm.v, IFERROR(VLOOKUP($A3325, manifest!$A:$E, 3, FALSE), ""), IF(OR(_xlpm.v=0, _xlpm.v=""), "", _xlpm.v))</f>
        <v>60</v>
      </c>
      <c r="I3325" t="str">
        <f>_xlfn.LET(_xlpm.v, IFERROR(VLOOKUP($A3325, manifest!$A:$E, 5, FALSE), ""), IF(OR(_xlpm.v=0, _xlpm.v=""), "", _xlpm.v))</f>
        <v>male</v>
      </c>
    </row>
    <row r="3326" spans="1:9" x14ac:dyDescent="0.6">
      <c r="A3326">
        <v>719</v>
      </c>
      <c r="B3326" t="s">
        <v>14</v>
      </c>
      <c r="C3326" t="s">
        <v>8</v>
      </c>
      <c r="D3326">
        <v>152.15</v>
      </c>
      <c r="E3326">
        <v>149.47</v>
      </c>
      <c r="F3326">
        <v>25258</v>
      </c>
      <c r="G3326" t="s">
        <v>15</v>
      </c>
      <c r="H3326">
        <f>_xlfn.LET(_xlpm.v, IFERROR(VLOOKUP($A3326, manifest!$A:$E, 3, FALSE), ""), IF(OR(_xlpm.v=0, _xlpm.v=""), "", _xlpm.v))</f>
        <v>73</v>
      </c>
      <c r="I3326" t="str">
        <f>_xlfn.LET(_xlpm.v, IFERROR(VLOOKUP($A3326, manifest!$A:$E, 5, FALSE), ""), IF(OR(_xlpm.v=0, _xlpm.v=""), "", _xlpm.v))</f>
        <v>female</v>
      </c>
    </row>
    <row r="3327" spans="1:9" x14ac:dyDescent="0.6">
      <c r="A3327">
        <v>719</v>
      </c>
      <c r="B3327" t="s">
        <v>14</v>
      </c>
      <c r="C3327" t="s">
        <v>10</v>
      </c>
      <c r="D3327">
        <v>189.57</v>
      </c>
      <c r="E3327">
        <v>228.87</v>
      </c>
      <c r="F3327">
        <v>26285</v>
      </c>
      <c r="H3327">
        <f>_xlfn.LET(_xlpm.v, IFERROR(VLOOKUP($A3327, manifest!$A:$E, 3, FALSE), ""), IF(OR(_xlpm.v=0, _xlpm.v=""), "", _xlpm.v))</f>
        <v>73</v>
      </c>
      <c r="I3327" t="str">
        <f>_xlfn.LET(_xlpm.v, IFERROR(VLOOKUP($A3327, manifest!$A:$E, 5, FALSE), ""), IF(OR(_xlpm.v=0, _xlpm.v=""), "", _xlpm.v))</f>
        <v>female</v>
      </c>
    </row>
    <row r="3328" spans="1:9" x14ac:dyDescent="0.6">
      <c r="A3328">
        <v>719</v>
      </c>
      <c r="B3328" t="s">
        <v>14</v>
      </c>
      <c r="C3328" t="s">
        <v>11</v>
      </c>
      <c r="D3328">
        <v>167.27</v>
      </c>
      <c r="E3328">
        <v>204.35</v>
      </c>
      <c r="F3328">
        <v>29097</v>
      </c>
      <c r="H3328">
        <f>_xlfn.LET(_xlpm.v, IFERROR(VLOOKUP($A3328, manifest!$A:$E, 3, FALSE), ""), IF(OR(_xlpm.v=0, _xlpm.v=""), "", _xlpm.v))</f>
        <v>73</v>
      </c>
      <c r="I3328" t="str">
        <f>_xlfn.LET(_xlpm.v, IFERROR(VLOOKUP($A3328, manifest!$A:$E, 5, FALSE), ""), IF(OR(_xlpm.v=0, _xlpm.v=""), "", _xlpm.v))</f>
        <v>female</v>
      </c>
    </row>
    <row r="3329" spans="1:9" x14ac:dyDescent="0.6">
      <c r="A3329">
        <v>719</v>
      </c>
      <c r="B3329" t="s">
        <v>14</v>
      </c>
      <c r="C3329" t="s">
        <v>12</v>
      </c>
      <c r="D3329">
        <v>155.54</v>
      </c>
      <c r="E3329">
        <v>181.03</v>
      </c>
      <c r="F3329">
        <v>35108</v>
      </c>
      <c r="H3329">
        <f>_xlfn.LET(_xlpm.v, IFERROR(VLOOKUP($A3329, manifest!$A:$E, 3, FALSE), ""), IF(OR(_xlpm.v=0, _xlpm.v=""), "", _xlpm.v))</f>
        <v>73</v>
      </c>
      <c r="I3329" t="str">
        <f>_xlfn.LET(_xlpm.v, IFERROR(VLOOKUP($A3329, manifest!$A:$E, 5, FALSE), ""), IF(OR(_xlpm.v=0, _xlpm.v=""), "", _xlpm.v))</f>
        <v>female</v>
      </c>
    </row>
    <row r="3330" spans="1:9" x14ac:dyDescent="0.6">
      <c r="A3330">
        <v>719</v>
      </c>
      <c r="B3330" t="s">
        <v>14</v>
      </c>
      <c r="C3330" t="s">
        <v>13</v>
      </c>
      <c r="D3330">
        <v>334.29</v>
      </c>
      <c r="E3330">
        <v>260.02999999999997</v>
      </c>
      <c r="F3330">
        <v>37565</v>
      </c>
      <c r="H3330">
        <f>_xlfn.LET(_xlpm.v, IFERROR(VLOOKUP($A3330, manifest!$A:$E, 3, FALSE), ""), IF(OR(_xlpm.v=0, _xlpm.v=""), "", _xlpm.v))</f>
        <v>73</v>
      </c>
      <c r="I3330" t="str">
        <f>_xlfn.LET(_xlpm.v, IFERROR(VLOOKUP($A3330, manifest!$A:$E, 5, FALSE), ""), IF(OR(_xlpm.v=0, _xlpm.v=""), "", _xlpm.v))</f>
        <v>female</v>
      </c>
    </row>
    <row r="3331" spans="1:9" x14ac:dyDescent="0.6">
      <c r="A3331">
        <v>721</v>
      </c>
      <c r="B3331" t="s">
        <v>14</v>
      </c>
      <c r="C3331" t="s">
        <v>8</v>
      </c>
      <c r="D3331">
        <v>151.35</v>
      </c>
      <c r="E3331">
        <v>104.7</v>
      </c>
      <c r="F3331">
        <v>20748</v>
      </c>
      <c r="G3331" t="s">
        <v>15</v>
      </c>
      <c r="H3331">
        <f>_xlfn.LET(_xlpm.v, IFERROR(VLOOKUP($A3331, manifest!$A:$E, 3, FALSE), ""), IF(OR(_xlpm.v=0, _xlpm.v=""), "", _xlpm.v))</f>
        <v>58</v>
      </c>
      <c r="I3331" t="str">
        <f>_xlfn.LET(_xlpm.v, IFERROR(VLOOKUP($A3331, manifest!$A:$E, 5, FALSE), ""), IF(OR(_xlpm.v=0, _xlpm.v=""), "", _xlpm.v))</f>
        <v>female</v>
      </c>
    </row>
    <row r="3332" spans="1:9" x14ac:dyDescent="0.6">
      <c r="A3332">
        <v>721</v>
      </c>
      <c r="B3332" t="s">
        <v>14</v>
      </c>
      <c r="C3332" t="s">
        <v>10</v>
      </c>
      <c r="D3332">
        <v>145.94</v>
      </c>
      <c r="E3332">
        <v>117.47</v>
      </c>
      <c r="F3332">
        <v>29726</v>
      </c>
      <c r="H3332">
        <f>_xlfn.LET(_xlpm.v, IFERROR(VLOOKUP($A3332, manifest!$A:$E, 3, FALSE), ""), IF(OR(_xlpm.v=0, _xlpm.v=""), "", _xlpm.v))</f>
        <v>58</v>
      </c>
      <c r="I3332" t="str">
        <f>_xlfn.LET(_xlpm.v, IFERROR(VLOOKUP($A3332, manifest!$A:$E, 5, FALSE), ""), IF(OR(_xlpm.v=0, _xlpm.v=""), "", _xlpm.v))</f>
        <v>female</v>
      </c>
    </row>
    <row r="3333" spans="1:9" x14ac:dyDescent="0.6">
      <c r="A3333">
        <v>721</v>
      </c>
      <c r="B3333" t="s">
        <v>14</v>
      </c>
      <c r="C3333" t="s">
        <v>11</v>
      </c>
      <c r="D3333">
        <v>160.77000000000001</v>
      </c>
      <c r="E3333">
        <v>143.34</v>
      </c>
      <c r="F3333">
        <v>32692</v>
      </c>
      <c r="H3333">
        <f>_xlfn.LET(_xlpm.v, IFERROR(VLOOKUP($A3333, manifest!$A:$E, 3, FALSE), ""), IF(OR(_xlpm.v=0, _xlpm.v=""), "", _xlpm.v))</f>
        <v>58</v>
      </c>
      <c r="I3333" t="str">
        <f>_xlfn.LET(_xlpm.v, IFERROR(VLOOKUP($A3333, manifest!$A:$E, 5, FALSE), ""), IF(OR(_xlpm.v=0, _xlpm.v=""), "", _xlpm.v))</f>
        <v>female</v>
      </c>
    </row>
    <row r="3334" spans="1:9" x14ac:dyDescent="0.6">
      <c r="A3334">
        <v>721</v>
      </c>
      <c r="B3334" t="s">
        <v>14</v>
      </c>
      <c r="C3334" t="s">
        <v>12</v>
      </c>
      <c r="D3334">
        <v>197.57</v>
      </c>
      <c r="E3334">
        <v>209.45</v>
      </c>
      <c r="F3334">
        <v>39011</v>
      </c>
      <c r="H3334">
        <f>_xlfn.LET(_xlpm.v, IFERROR(VLOOKUP($A3334, manifest!$A:$E, 3, FALSE), ""), IF(OR(_xlpm.v=0, _xlpm.v=""), "", _xlpm.v))</f>
        <v>58</v>
      </c>
      <c r="I3334" t="str">
        <f>_xlfn.LET(_xlpm.v, IFERROR(VLOOKUP($A3334, manifest!$A:$E, 5, FALSE), ""), IF(OR(_xlpm.v=0, _xlpm.v=""), "", _xlpm.v))</f>
        <v>female</v>
      </c>
    </row>
    <row r="3335" spans="1:9" x14ac:dyDescent="0.6">
      <c r="A3335">
        <v>686</v>
      </c>
      <c r="B3335" t="s">
        <v>7</v>
      </c>
      <c r="C3335" t="s">
        <v>8</v>
      </c>
      <c r="D3335">
        <v>227.48</v>
      </c>
      <c r="E3335">
        <v>144.59</v>
      </c>
      <c r="F3335">
        <v>19611</v>
      </c>
      <c r="G3335" t="s">
        <v>9</v>
      </c>
      <c r="H3335">
        <f>_xlfn.LET(_xlpm.v, IFERROR(VLOOKUP($A3335, manifest!$A:$E, 3, FALSE), ""), IF(OR(_xlpm.v=0, _xlpm.v=""), "", _xlpm.v))</f>
        <v>50</v>
      </c>
      <c r="I3335" t="str">
        <f>_xlfn.LET(_xlpm.v, IFERROR(VLOOKUP($A3335, manifest!$A:$E, 5, FALSE), ""), IF(OR(_xlpm.v=0, _xlpm.v=""), "", _xlpm.v))</f>
        <v>female</v>
      </c>
    </row>
    <row r="3336" spans="1:9" x14ac:dyDescent="0.6">
      <c r="A3336">
        <v>686</v>
      </c>
      <c r="B3336" t="s">
        <v>7</v>
      </c>
      <c r="C3336" t="s">
        <v>10</v>
      </c>
      <c r="D3336">
        <v>241.77</v>
      </c>
      <c r="E3336">
        <v>171.32</v>
      </c>
      <c r="F3336">
        <v>21896</v>
      </c>
      <c r="H3336">
        <f>_xlfn.LET(_xlpm.v, IFERROR(VLOOKUP($A3336, manifest!$A:$E, 3, FALSE), ""), IF(OR(_xlpm.v=0, _xlpm.v=""), "", _xlpm.v))</f>
        <v>50</v>
      </c>
      <c r="I3336" t="str">
        <f>_xlfn.LET(_xlpm.v, IFERROR(VLOOKUP($A3336, manifest!$A:$E, 5, FALSE), ""), IF(OR(_xlpm.v=0, _xlpm.v=""), "", _xlpm.v))</f>
        <v>female</v>
      </c>
    </row>
    <row r="3337" spans="1:9" x14ac:dyDescent="0.6">
      <c r="A3337">
        <v>686</v>
      </c>
      <c r="B3337" t="s">
        <v>7</v>
      </c>
      <c r="C3337" t="s">
        <v>11</v>
      </c>
      <c r="D3337">
        <v>223.31</v>
      </c>
      <c r="E3337">
        <v>165.83</v>
      </c>
      <c r="F3337">
        <v>23331</v>
      </c>
      <c r="H3337">
        <f>_xlfn.LET(_xlpm.v, IFERROR(VLOOKUP($A3337, manifest!$A:$E, 3, FALSE), ""), IF(OR(_xlpm.v=0, _xlpm.v=""), "", _xlpm.v))</f>
        <v>50</v>
      </c>
      <c r="I3337" t="str">
        <f>_xlfn.LET(_xlpm.v, IFERROR(VLOOKUP($A3337, manifest!$A:$E, 5, FALSE), ""), IF(OR(_xlpm.v=0, _xlpm.v=""), "", _xlpm.v))</f>
        <v>female</v>
      </c>
    </row>
    <row r="3338" spans="1:9" x14ac:dyDescent="0.6">
      <c r="A3338">
        <v>686</v>
      </c>
      <c r="B3338" t="s">
        <v>7</v>
      </c>
      <c r="C3338" t="s">
        <v>12</v>
      </c>
      <c r="D3338">
        <v>234.5</v>
      </c>
      <c r="E3338">
        <v>209.87</v>
      </c>
      <c r="F3338">
        <v>37963</v>
      </c>
      <c r="H3338">
        <f>_xlfn.LET(_xlpm.v, IFERROR(VLOOKUP($A3338, manifest!$A:$E, 3, FALSE), ""), IF(OR(_xlpm.v=0, _xlpm.v=""), "", _xlpm.v))</f>
        <v>50</v>
      </c>
      <c r="I3338" t="str">
        <f>_xlfn.LET(_xlpm.v, IFERROR(VLOOKUP($A3338, manifest!$A:$E, 5, FALSE), ""), IF(OR(_xlpm.v=0, _xlpm.v=""), "", _xlpm.v))</f>
        <v>female</v>
      </c>
    </row>
    <row r="3339" spans="1:9" x14ac:dyDescent="0.6">
      <c r="A3339">
        <v>686</v>
      </c>
      <c r="B3339" t="s">
        <v>7</v>
      </c>
      <c r="C3339" t="s">
        <v>13</v>
      </c>
      <c r="D3339">
        <v>307.79000000000002</v>
      </c>
      <c r="E3339">
        <v>243.26</v>
      </c>
      <c r="F3339">
        <v>44427</v>
      </c>
      <c r="H3339">
        <f>_xlfn.LET(_xlpm.v, IFERROR(VLOOKUP($A3339, manifest!$A:$E, 3, FALSE), ""), IF(OR(_xlpm.v=0, _xlpm.v=""), "", _xlpm.v))</f>
        <v>50</v>
      </c>
      <c r="I3339" t="str">
        <f>_xlfn.LET(_xlpm.v, IFERROR(VLOOKUP($A3339, manifest!$A:$E, 5, FALSE), ""), IF(OR(_xlpm.v=0, _xlpm.v=""), "", _xlpm.v))</f>
        <v>female</v>
      </c>
    </row>
    <row r="3340" spans="1:9" x14ac:dyDescent="0.6">
      <c r="A3340">
        <v>690</v>
      </c>
      <c r="B3340" t="s">
        <v>7</v>
      </c>
      <c r="C3340" t="s">
        <v>8</v>
      </c>
      <c r="D3340">
        <v>338.37</v>
      </c>
      <c r="E3340">
        <v>187.93</v>
      </c>
      <c r="F3340">
        <v>26131</v>
      </c>
      <c r="G3340" t="s">
        <v>9</v>
      </c>
      <c r="H3340">
        <f>_xlfn.LET(_xlpm.v, IFERROR(VLOOKUP($A3340, manifest!$A:$E, 3, FALSE), ""), IF(OR(_xlpm.v=0, _xlpm.v=""), "", _xlpm.v))</f>
        <v>60</v>
      </c>
      <c r="I3340" t="str">
        <f>_xlfn.LET(_xlpm.v, IFERROR(VLOOKUP($A3340, manifest!$A:$E, 5, FALSE), ""), IF(OR(_xlpm.v=0, _xlpm.v=""), "", _xlpm.v))</f>
        <v>male</v>
      </c>
    </row>
    <row r="3341" spans="1:9" x14ac:dyDescent="0.6">
      <c r="A3341">
        <v>690</v>
      </c>
      <c r="B3341" t="s">
        <v>7</v>
      </c>
      <c r="C3341" t="s">
        <v>10</v>
      </c>
      <c r="D3341">
        <v>356.5</v>
      </c>
      <c r="E3341">
        <v>226.12</v>
      </c>
      <c r="F3341">
        <v>27301</v>
      </c>
      <c r="H3341">
        <f>_xlfn.LET(_xlpm.v, IFERROR(VLOOKUP($A3341, manifest!$A:$E, 3, FALSE), ""), IF(OR(_xlpm.v=0, _xlpm.v=""), "", _xlpm.v))</f>
        <v>60</v>
      </c>
      <c r="I3341" t="str">
        <f>_xlfn.LET(_xlpm.v, IFERROR(VLOOKUP($A3341, manifest!$A:$E, 5, FALSE), ""), IF(OR(_xlpm.v=0, _xlpm.v=""), "", _xlpm.v))</f>
        <v>male</v>
      </c>
    </row>
    <row r="3342" spans="1:9" x14ac:dyDescent="0.6">
      <c r="A3342">
        <v>690</v>
      </c>
      <c r="B3342" t="s">
        <v>7</v>
      </c>
      <c r="C3342" t="s">
        <v>11</v>
      </c>
      <c r="D3342">
        <v>338.23</v>
      </c>
      <c r="E3342">
        <v>210.04</v>
      </c>
      <c r="F3342">
        <v>30006</v>
      </c>
      <c r="H3342">
        <f>_xlfn.LET(_xlpm.v, IFERROR(VLOOKUP($A3342, manifest!$A:$E, 3, FALSE), ""), IF(OR(_xlpm.v=0, _xlpm.v=""), "", _xlpm.v))</f>
        <v>60</v>
      </c>
      <c r="I3342" t="str">
        <f>_xlfn.LET(_xlpm.v, IFERROR(VLOOKUP($A3342, manifest!$A:$E, 5, FALSE), ""), IF(OR(_xlpm.v=0, _xlpm.v=""), "", _xlpm.v))</f>
        <v>male</v>
      </c>
    </row>
    <row r="3343" spans="1:9" x14ac:dyDescent="0.6">
      <c r="A3343">
        <v>690</v>
      </c>
      <c r="B3343" t="s">
        <v>7</v>
      </c>
      <c r="C3343" t="s">
        <v>12</v>
      </c>
      <c r="D3343">
        <v>333.88</v>
      </c>
      <c r="E3343">
        <v>199.17</v>
      </c>
      <c r="F3343">
        <v>39785</v>
      </c>
      <c r="H3343">
        <f>_xlfn.LET(_xlpm.v, IFERROR(VLOOKUP($A3343, manifest!$A:$E, 3, FALSE), ""), IF(OR(_xlpm.v=0, _xlpm.v=""), "", _xlpm.v))</f>
        <v>60</v>
      </c>
      <c r="I3343" t="str">
        <f>_xlfn.LET(_xlpm.v, IFERROR(VLOOKUP($A3343, manifest!$A:$E, 5, FALSE), ""), IF(OR(_xlpm.v=0, _xlpm.v=""), "", _xlpm.v))</f>
        <v>male</v>
      </c>
    </row>
    <row r="3344" spans="1:9" x14ac:dyDescent="0.6">
      <c r="A3344">
        <v>690</v>
      </c>
      <c r="B3344" t="s">
        <v>7</v>
      </c>
      <c r="C3344" t="s">
        <v>13</v>
      </c>
      <c r="D3344">
        <v>418.52</v>
      </c>
      <c r="E3344">
        <v>217.75</v>
      </c>
      <c r="F3344">
        <v>37446</v>
      </c>
      <c r="H3344">
        <f>_xlfn.LET(_xlpm.v, IFERROR(VLOOKUP($A3344, manifest!$A:$E, 3, FALSE), ""), IF(OR(_xlpm.v=0, _xlpm.v=""), "", _xlpm.v))</f>
        <v>60</v>
      </c>
      <c r="I3344" t="str">
        <f>_xlfn.LET(_xlpm.v, IFERROR(VLOOKUP($A3344, manifest!$A:$E, 5, FALSE), ""), IF(OR(_xlpm.v=0, _xlpm.v=""), "", _xlpm.v))</f>
        <v>male</v>
      </c>
    </row>
    <row r="3345" spans="1:9" x14ac:dyDescent="0.6">
      <c r="A3345">
        <v>712</v>
      </c>
      <c r="B3345" t="s">
        <v>14</v>
      </c>
      <c r="C3345" t="s">
        <v>8</v>
      </c>
      <c r="D3345">
        <v>272.27</v>
      </c>
      <c r="E3345">
        <v>162.71</v>
      </c>
      <c r="F3345">
        <v>26133</v>
      </c>
      <c r="G3345" t="s">
        <v>9</v>
      </c>
      <c r="H3345">
        <f>_xlfn.LET(_xlpm.v, IFERROR(VLOOKUP($A3345, manifest!$A:$E, 3, FALSE), ""), IF(OR(_xlpm.v=0, _xlpm.v=""), "", _xlpm.v))</f>
        <v>50</v>
      </c>
      <c r="I3345" t="str">
        <f>_xlfn.LET(_xlpm.v, IFERROR(VLOOKUP($A3345, manifest!$A:$E, 5, FALSE), ""), IF(OR(_xlpm.v=0, _xlpm.v=""), "", _xlpm.v))</f>
        <v>female</v>
      </c>
    </row>
    <row r="3346" spans="1:9" x14ac:dyDescent="0.6">
      <c r="A3346">
        <v>712</v>
      </c>
      <c r="B3346" t="s">
        <v>14</v>
      </c>
      <c r="C3346" t="s">
        <v>10</v>
      </c>
      <c r="D3346">
        <v>289.48</v>
      </c>
      <c r="E3346">
        <v>178.14</v>
      </c>
      <c r="F3346">
        <v>29246</v>
      </c>
      <c r="H3346">
        <f>_xlfn.LET(_xlpm.v, IFERROR(VLOOKUP($A3346, manifest!$A:$E, 3, FALSE), ""), IF(OR(_xlpm.v=0, _xlpm.v=""), "", _xlpm.v))</f>
        <v>50</v>
      </c>
      <c r="I3346" t="str">
        <f>_xlfn.LET(_xlpm.v, IFERROR(VLOOKUP($A3346, manifest!$A:$E, 5, FALSE), ""), IF(OR(_xlpm.v=0, _xlpm.v=""), "", _xlpm.v))</f>
        <v>female</v>
      </c>
    </row>
    <row r="3347" spans="1:9" x14ac:dyDescent="0.6">
      <c r="A3347">
        <v>712</v>
      </c>
      <c r="B3347" t="s">
        <v>14</v>
      </c>
      <c r="C3347" t="s">
        <v>11</v>
      </c>
      <c r="D3347">
        <v>277.33999999999997</v>
      </c>
      <c r="E3347">
        <v>188.92</v>
      </c>
      <c r="F3347">
        <v>35740</v>
      </c>
      <c r="H3347">
        <f>_xlfn.LET(_xlpm.v, IFERROR(VLOOKUP($A3347, manifest!$A:$E, 3, FALSE), ""), IF(OR(_xlpm.v=0, _xlpm.v=""), "", _xlpm.v))</f>
        <v>50</v>
      </c>
      <c r="I3347" t="str">
        <f>_xlfn.LET(_xlpm.v, IFERROR(VLOOKUP($A3347, manifest!$A:$E, 5, FALSE), ""), IF(OR(_xlpm.v=0, _xlpm.v=""), "", _xlpm.v))</f>
        <v>female</v>
      </c>
    </row>
    <row r="3348" spans="1:9" x14ac:dyDescent="0.6">
      <c r="A3348">
        <v>712</v>
      </c>
      <c r="B3348" t="s">
        <v>14</v>
      </c>
      <c r="C3348" t="s">
        <v>12</v>
      </c>
      <c r="D3348">
        <v>291.27999999999997</v>
      </c>
      <c r="E3348">
        <v>216.04</v>
      </c>
      <c r="F3348">
        <v>46549</v>
      </c>
      <c r="H3348">
        <f>_xlfn.LET(_xlpm.v, IFERROR(VLOOKUP($A3348, manifest!$A:$E, 3, FALSE), ""), IF(OR(_xlpm.v=0, _xlpm.v=""), "", _xlpm.v))</f>
        <v>50</v>
      </c>
      <c r="I3348" t="str">
        <f>_xlfn.LET(_xlpm.v, IFERROR(VLOOKUP($A3348, manifest!$A:$E, 5, FALSE), ""), IF(OR(_xlpm.v=0, _xlpm.v=""), "", _xlpm.v))</f>
        <v>female</v>
      </c>
    </row>
    <row r="3349" spans="1:9" x14ac:dyDescent="0.6">
      <c r="A3349">
        <v>712</v>
      </c>
      <c r="B3349" t="s">
        <v>14</v>
      </c>
      <c r="C3349" t="s">
        <v>13</v>
      </c>
      <c r="D3349">
        <v>269.49</v>
      </c>
      <c r="E3349">
        <v>179.04</v>
      </c>
      <c r="F3349">
        <v>55427</v>
      </c>
      <c r="H3349">
        <f>_xlfn.LET(_xlpm.v, IFERROR(VLOOKUP($A3349, manifest!$A:$E, 3, FALSE), ""), IF(OR(_xlpm.v=0, _xlpm.v=""), "", _xlpm.v))</f>
        <v>50</v>
      </c>
      <c r="I3349" t="str">
        <f>_xlfn.LET(_xlpm.v, IFERROR(VLOOKUP($A3349, manifest!$A:$E, 5, FALSE), ""), IF(OR(_xlpm.v=0, _xlpm.v=""), "", _xlpm.v))</f>
        <v>female</v>
      </c>
    </row>
    <row r="3350" spans="1:9" x14ac:dyDescent="0.6">
      <c r="A3350">
        <v>698</v>
      </c>
      <c r="B3350" t="s">
        <v>7</v>
      </c>
      <c r="C3350" t="s">
        <v>8</v>
      </c>
      <c r="D3350">
        <v>193.89</v>
      </c>
      <c r="E3350">
        <v>150.66999999999999</v>
      </c>
      <c r="F3350">
        <v>33005</v>
      </c>
      <c r="G3350" t="s">
        <v>9</v>
      </c>
      <c r="H3350">
        <f>_xlfn.LET(_xlpm.v, IFERROR(VLOOKUP($A3350, manifest!$A:$E, 3, FALSE), ""), IF(OR(_xlpm.v=0, _xlpm.v=""), "", _xlpm.v))</f>
        <v>50</v>
      </c>
      <c r="I3350" t="str">
        <f>_xlfn.LET(_xlpm.v, IFERROR(VLOOKUP($A3350, manifest!$A:$E, 5, FALSE), ""), IF(OR(_xlpm.v=0, _xlpm.v=""), "", _xlpm.v))</f>
        <v>female</v>
      </c>
    </row>
    <row r="3351" spans="1:9" x14ac:dyDescent="0.6">
      <c r="A3351">
        <v>698</v>
      </c>
      <c r="B3351" t="s">
        <v>7</v>
      </c>
      <c r="C3351" t="s">
        <v>10</v>
      </c>
      <c r="D3351">
        <v>218.86</v>
      </c>
      <c r="E3351">
        <v>195.49</v>
      </c>
      <c r="F3351">
        <v>36069</v>
      </c>
      <c r="H3351">
        <f>_xlfn.LET(_xlpm.v, IFERROR(VLOOKUP($A3351, manifest!$A:$E, 3, FALSE), ""), IF(OR(_xlpm.v=0, _xlpm.v=""), "", _xlpm.v))</f>
        <v>50</v>
      </c>
      <c r="I3351" t="str">
        <f>_xlfn.LET(_xlpm.v, IFERROR(VLOOKUP($A3351, manifest!$A:$E, 5, FALSE), ""), IF(OR(_xlpm.v=0, _xlpm.v=""), "", _xlpm.v))</f>
        <v>female</v>
      </c>
    </row>
    <row r="3352" spans="1:9" x14ac:dyDescent="0.6">
      <c r="A3352">
        <v>698</v>
      </c>
      <c r="B3352" t="s">
        <v>7</v>
      </c>
      <c r="C3352" t="s">
        <v>11</v>
      </c>
      <c r="D3352">
        <v>230.28</v>
      </c>
      <c r="E3352">
        <v>208.18</v>
      </c>
      <c r="F3352">
        <v>40105</v>
      </c>
      <c r="H3352">
        <f>_xlfn.LET(_xlpm.v, IFERROR(VLOOKUP($A3352, manifest!$A:$E, 3, FALSE), ""), IF(OR(_xlpm.v=0, _xlpm.v=""), "", _xlpm.v))</f>
        <v>50</v>
      </c>
      <c r="I3352" t="str">
        <f>_xlfn.LET(_xlpm.v, IFERROR(VLOOKUP($A3352, manifest!$A:$E, 5, FALSE), ""), IF(OR(_xlpm.v=0, _xlpm.v=""), "", _xlpm.v))</f>
        <v>female</v>
      </c>
    </row>
    <row r="3353" spans="1:9" x14ac:dyDescent="0.6">
      <c r="A3353">
        <v>698</v>
      </c>
      <c r="B3353" t="s">
        <v>7</v>
      </c>
      <c r="C3353" t="s">
        <v>12</v>
      </c>
      <c r="D3353">
        <v>214.73</v>
      </c>
      <c r="E3353">
        <v>190.72</v>
      </c>
      <c r="F3353">
        <v>39830</v>
      </c>
      <c r="H3353">
        <f>_xlfn.LET(_xlpm.v, IFERROR(VLOOKUP($A3353, manifest!$A:$E, 3, FALSE), ""), IF(OR(_xlpm.v=0, _xlpm.v=""), "", _xlpm.v))</f>
        <v>50</v>
      </c>
      <c r="I3353" t="str">
        <f>_xlfn.LET(_xlpm.v, IFERROR(VLOOKUP($A3353, manifest!$A:$E, 5, FALSE), ""), IF(OR(_xlpm.v=0, _xlpm.v=""), "", _xlpm.v))</f>
        <v>female</v>
      </c>
    </row>
    <row r="3354" spans="1:9" x14ac:dyDescent="0.6">
      <c r="A3354">
        <v>698</v>
      </c>
      <c r="B3354" t="s">
        <v>7</v>
      </c>
      <c r="C3354" t="s">
        <v>13</v>
      </c>
      <c r="D3354">
        <v>181.61</v>
      </c>
      <c r="E3354">
        <v>177.29</v>
      </c>
      <c r="F3354">
        <v>50619</v>
      </c>
      <c r="H3354">
        <f>_xlfn.LET(_xlpm.v, IFERROR(VLOOKUP($A3354, manifest!$A:$E, 3, FALSE), ""), IF(OR(_xlpm.v=0, _xlpm.v=""), "", _xlpm.v))</f>
        <v>50</v>
      </c>
      <c r="I3354" t="str">
        <f>_xlfn.LET(_xlpm.v, IFERROR(VLOOKUP($A3354, manifest!$A:$E, 5, FALSE), ""), IF(OR(_xlpm.v=0, _xlpm.v=""), "", _xlpm.v))</f>
        <v>female</v>
      </c>
    </row>
    <row r="3355" spans="1:9" x14ac:dyDescent="0.6">
      <c r="A3355">
        <v>707</v>
      </c>
      <c r="B3355" t="s">
        <v>7</v>
      </c>
      <c r="C3355" t="s">
        <v>8</v>
      </c>
      <c r="D3355">
        <v>167.9</v>
      </c>
      <c r="E3355">
        <v>144.38</v>
      </c>
      <c r="F3355">
        <v>34258</v>
      </c>
      <c r="G3355" t="s">
        <v>9</v>
      </c>
      <c r="H3355">
        <f>_xlfn.LET(_xlpm.v, IFERROR(VLOOKUP($A3355, manifest!$A:$E, 3, FALSE), ""), IF(OR(_xlpm.v=0, _xlpm.v=""), "", _xlpm.v))</f>
        <v>60</v>
      </c>
      <c r="I3355" t="str">
        <f>_xlfn.LET(_xlpm.v, IFERROR(VLOOKUP($A3355, manifest!$A:$E, 5, FALSE), ""), IF(OR(_xlpm.v=0, _xlpm.v=""), "", _xlpm.v))</f>
        <v>male</v>
      </c>
    </row>
    <row r="3356" spans="1:9" x14ac:dyDescent="0.6">
      <c r="A3356">
        <v>707</v>
      </c>
      <c r="B3356" t="s">
        <v>7</v>
      </c>
      <c r="C3356" t="s">
        <v>10</v>
      </c>
      <c r="D3356">
        <v>177.54</v>
      </c>
      <c r="E3356">
        <v>126.73</v>
      </c>
      <c r="F3356">
        <v>36609</v>
      </c>
      <c r="H3356">
        <f>_xlfn.LET(_xlpm.v, IFERROR(VLOOKUP($A3356, manifest!$A:$E, 3, FALSE), ""), IF(OR(_xlpm.v=0, _xlpm.v=""), "", _xlpm.v))</f>
        <v>60</v>
      </c>
      <c r="I3356" t="str">
        <f>_xlfn.LET(_xlpm.v, IFERROR(VLOOKUP($A3356, manifest!$A:$E, 5, FALSE), ""), IF(OR(_xlpm.v=0, _xlpm.v=""), "", _xlpm.v))</f>
        <v>male</v>
      </c>
    </row>
    <row r="3357" spans="1:9" x14ac:dyDescent="0.6">
      <c r="A3357">
        <v>707</v>
      </c>
      <c r="B3357" t="s">
        <v>7</v>
      </c>
      <c r="C3357" t="s">
        <v>11</v>
      </c>
      <c r="D3357">
        <v>152.25</v>
      </c>
      <c r="E3357">
        <v>110.85</v>
      </c>
      <c r="F3357">
        <v>43074</v>
      </c>
      <c r="H3357">
        <f>_xlfn.LET(_xlpm.v, IFERROR(VLOOKUP($A3357, manifest!$A:$E, 3, FALSE), ""), IF(OR(_xlpm.v=0, _xlpm.v=""), "", _xlpm.v))</f>
        <v>60</v>
      </c>
      <c r="I3357" t="str">
        <f>_xlfn.LET(_xlpm.v, IFERROR(VLOOKUP($A3357, manifest!$A:$E, 5, FALSE), ""), IF(OR(_xlpm.v=0, _xlpm.v=""), "", _xlpm.v))</f>
        <v>male</v>
      </c>
    </row>
    <row r="3358" spans="1:9" x14ac:dyDescent="0.6">
      <c r="A3358">
        <v>707</v>
      </c>
      <c r="B3358" t="s">
        <v>7</v>
      </c>
      <c r="C3358" t="s">
        <v>12</v>
      </c>
      <c r="D3358">
        <v>135.41</v>
      </c>
      <c r="E3358">
        <v>94.67</v>
      </c>
      <c r="F3358">
        <v>58192</v>
      </c>
      <c r="H3358">
        <f>_xlfn.LET(_xlpm.v, IFERROR(VLOOKUP($A3358, manifest!$A:$E, 3, FALSE), ""), IF(OR(_xlpm.v=0, _xlpm.v=""), "", _xlpm.v))</f>
        <v>60</v>
      </c>
      <c r="I3358" t="str">
        <f>_xlfn.LET(_xlpm.v, IFERROR(VLOOKUP($A3358, manifest!$A:$E, 5, FALSE), ""), IF(OR(_xlpm.v=0, _xlpm.v=""), "", _xlpm.v))</f>
        <v>male</v>
      </c>
    </row>
    <row r="3359" spans="1:9" x14ac:dyDescent="0.6">
      <c r="A3359">
        <v>707</v>
      </c>
      <c r="B3359" t="s">
        <v>7</v>
      </c>
      <c r="C3359" t="s">
        <v>13</v>
      </c>
      <c r="D3359">
        <v>189.3</v>
      </c>
      <c r="E3359">
        <v>130.13</v>
      </c>
      <c r="F3359">
        <v>54283</v>
      </c>
      <c r="H3359">
        <f>_xlfn.LET(_xlpm.v, IFERROR(VLOOKUP($A3359, manifest!$A:$E, 3, FALSE), ""), IF(OR(_xlpm.v=0, _xlpm.v=""), "", _xlpm.v))</f>
        <v>60</v>
      </c>
      <c r="I3359" t="str">
        <f>_xlfn.LET(_xlpm.v, IFERROR(VLOOKUP($A3359, manifest!$A:$E, 5, FALSE), ""), IF(OR(_xlpm.v=0, _xlpm.v=""), "", _xlpm.v))</f>
        <v>male</v>
      </c>
    </row>
    <row r="3360" spans="1:9" x14ac:dyDescent="0.6">
      <c r="A3360">
        <v>706</v>
      </c>
      <c r="B3360" t="s">
        <v>7</v>
      </c>
      <c r="C3360" t="s">
        <v>8</v>
      </c>
      <c r="D3360">
        <v>184.33</v>
      </c>
      <c r="E3360">
        <v>151.21</v>
      </c>
      <c r="F3360">
        <v>45333</v>
      </c>
      <c r="G3360" t="s">
        <v>9</v>
      </c>
      <c r="H3360">
        <f>_xlfn.LET(_xlpm.v, IFERROR(VLOOKUP($A3360, manifest!$A:$E, 3, FALSE), ""), IF(OR(_xlpm.v=0, _xlpm.v=""), "", _xlpm.v))</f>
        <v>89</v>
      </c>
      <c r="I3360" t="str">
        <f>_xlfn.LET(_xlpm.v, IFERROR(VLOOKUP($A3360, manifest!$A:$E, 5, FALSE), ""), IF(OR(_xlpm.v=0, _xlpm.v=""), "", _xlpm.v))</f>
        <v/>
      </c>
    </row>
    <row r="3361" spans="1:9" x14ac:dyDescent="0.6">
      <c r="A3361">
        <v>706</v>
      </c>
      <c r="B3361" t="s">
        <v>7</v>
      </c>
      <c r="C3361" t="s">
        <v>10</v>
      </c>
      <c r="D3361">
        <v>201.33</v>
      </c>
      <c r="E3361">
        <v>189.52</v>
      </c>
      <c r="F3361">
        <v>40182</v>
      </c>
      <c r="H3361">
        <f>_xlfn.LET(_xlpm.v, IFERROR(VLOOKUP($A3361, manifest!$A:$E, 3, FALSE), ""), IF(OR(_xlpm.v=0, _xlpm.v=""), "", _xlpm.v))</f>
        <v>89</v>
      </c>
      <c r="I3361" t="str">
        <f>_xlfn.LET(_xlpm.v, IFERROR(VLOOKUP($A3361, manifest!$A:$E, 5, FALSE), ""), IF(OR(_xlpm.v=0, _xlpm.v=""), "", _xlpm.v))</f>
        <v/>
      </c>
    </row>
    <row r="3362" spans="1:9" x14ac:dyDescent="0.6">
      <c r="A3362">
        <v>706</v>
      </c>
      <c r="B3362" t="s">
        <v>7</v>
      </c>
      <c r="C3362" t="s">
        <v>11</v>
      </c>
      <c r="D3362">
        <v>187.34</v>
      </c>
      <c r="E3362">
        <v>160.34</v>
      </c>
      <c r="F3362">
        <v>45494</v>
      </c>
      <c r="H3362">
        <f>_xlfn.LET(_xlpm.v, IFERROR(VLOOKUP($A3362, manifest!$A:$E, 3, FALSE), ""), IF(OR(_xlpm.v=0, _xlpm.v=""), "", _xlpm.v))</f>
        <v>89</v>
      </c>
      <c r="I3362" t="str">
        <f>_xlfn.LET(_xlpm.v, IFERROR(VLOOKUP($A3362, manifest!$A:$E, 5, FALSE), ""), IF(OR(_xlpm.v=0, _xlpm.v=""), "", _xlpm.v))</f>
        <v/>
      </c>
    </row>
    <row r="3363" spans="1:9" x14ac:dyDescent="0.6">
      <c r="A3363">
        <v>706</v>
      </c>
      <c r="B3363" t="s">
        <v>7</v>
      </c>
      <c r="C3363" t="s">
        <v>12</v>
      </c>
      <c r="D3363">
        <v>164.43</v>
      </c>
      <c r="E3363">
        <v>139.76</v>
      </c>
      <c r="F3363">
        <v>64637</v>
      </c>
      <c r="H3363">
        <f>_xlfn.LET(_xlpm.v, IFERROR(VLOOKUP($A3363, manifest!$A:$E, 3, FALSE), ""), IF(OR(_xlpm.v=0, _xlpm.v=""), "", _xlpm.v))</f>
        <v>89</v>
      </c>
      <c r="I3363" t="str">
        <f>_xlfn.LET(_xlpm.v, IFERROR(VLOOKUP($A3363, manifest!$A:$E, 5, FALSE), ""), IF(OR(_xlpm.v=0, _xlpm.v=""), "", _xlpm.v))</f>
        <v/>
      </c>
    </row>
    <row r="3364" spans="1:9" x14ac:dyDescent="0.6">
      <c r="A3364">
        <v>706</v>
      </c>
      <c r="B3364" t="s">
        <v>7</v>
      </c>
      <c r="C3364" t="s">
        <v>13</v>
      </c>
      <c r="D3364">
        <v>174.71</v>
      </c>
      <c r="E3364">
        <v>151.88</v>
      </c>
      <c r="F3364">
        <v>58148</v>
      </c>
      <c r="H3364">
        <f>_xlfn.LET(_xlpm.v, IFERROR(VLOOKUP($A3364, manifest!$A:$E, 3, FALSE), ""), IF(OR(_xlpm.v=0, _xlpm.v=""), "", _xlpm.v))</f>
        <v>89</v>
      </c>
      <c r="I3364" t="str">
        <f>_xlfn.LET(_xlpm.v, IFERROR(VLOOKUP($A3364, manifest!$A:$E, 5, FALSE), ""), IF(OR(_xlpm.v=0, _xlpm.v=""), "", _xlpm.v))</f>
        <v/>
      </c>
    </row>
    <row r="3365" spans="1:9" x14ac:dyDescent="0.6">
      <c r="A3365">
        <v>705</v>
      </c>
      <c r="B3365" t="s">
        <v>7</v>
      </c>
      <c r="C3365" t="s">
        <v>8</v>
      </c>
      <c r="D3365">
        <v>207</v>
      </c>
      <c r="E3365">
        <v>158.68</v>
      </c>
      <c r="F3365">
        <v>28674</v>
      </c>
      <c r="G3365" t="s">
        <v>9</v>
      </c>
      <c r="H3365">
        <f>_xlfn.LET(_xlpm.v, IFERROR(VLOOKUP($A3365, manifest!$A:$E, 3, FALSE), ""), IF(OR(_xlpm.v=0, _xlpm.v=""), "", _xlpm.v))</f>
        <v>89</v>
      </c>
      <c r="I3365" t="str">
        <f>_xlfn.LET(_xlpm.v, IFERROR(VLOOKUP($A3365, manifest!$A:$E, 5, FALSE), ""), IF(OR(_xlpm.v=0, _xlpm.v=""), "", _xlpm.v))</f>
        <v/>
      </c>
    </row>
    <row r="3366" spans="1:9" x14ac:dyDescent="0.6">
      <c r="A3366">
        <v>705</v>
      </c>
      <c r="B3366" t="s">
        <v>7</v>
      </c>
      <c r="C3366" t="s">
        <v>10</v>
      </c>
      <c r="D3366">
        <v>236.5</v>
      </c>
      <c r="E3366">
        <v>173.54</v>
      </c>
      <c r="F3366">
        <v>32571</v>
      </c>
      <c r="H3366">
        <f>_xlfn.LET(_xlpm.v, IFERROR(VLOOKUP($A3366, manifest!$A:$E, 3, FALSE), ""), IF(OR(_xlpm.v=0, _xlpm.v=""), "", _xlpm.v))</f>
        <v>89</v>
      </c>
      <c r="I3366" t="str">
        <f>_xlfn.LET(_xlpm.v, IFERROR(VLOOKUP($A3366, manifest!$A:$E, 5, FALSE), ""), IF(OR(_xlpm.v=0, _xlpm.v=""), "", _xlpm.v))</f>
        <v/>
      </c>
    </row>
    <row r="3367" spans="1:9" x14ac:dyDescent="0.6">
      <c r="A3367">
        <v>705</v>
      </c>
      <c r="B3367" t="s">
        <v>7</v>
      </c>
      <c r="C3367" t="s">
        <v>11</v>
      </c>
      <c r="D3367">
        <v>222.71</v>
      </c>
      <c r="E3367">
        <v>167.22</v>
      </c>
      <c r="F3367">
        <v>35110</v>
      </c>
      <c r="H3367">
        <f>_xlfn.LET(_xlpm.v, IFERROR(VLOOKUP($A3367, manifest!$A:$E, 3, FALSE), ""), IF(OR(_xlpm.v=0, _xlpm.v=""), "", _xlpm.v))</f>
        <v>89</v>
      </c>
      <c r="I3367" t="str">
        <f>_xlfn.LET(_xlpm.v, IFERROR(VLOOKUP($A3367, manifest!$A:$E, 5, FALSE), ""), IF(OR(_xlpm.v=0, _xlpm.v=""), "", _xlpm.v))</f>
        <v/>
      </c>
    </row>
    <row r="3368" spans="1:9" x14ac:dyDescent="0.6">
      <c r="A3368">
        <v>705</v>
      </c>
      <c r="B3368" t="s">
        <v>7</v>
      </c>
      <c r="C3368" t="s">
        <v>12</v>
      </c>
      <c r="D3368">
        <v>230.19</v>
      </c>
      <c r="E3368">
        <v>169.33</v>
      </c>
      <c r="F3368">
        <v>48007</v>
      </c>
      <c r="H3368">
        <f>_xlfn.LET(_xlpm.v, IFERROR(VLOOKUP($A3368, manifest!$A:$E, 3, FALSE), ""), IF(OR(_xlpm.v=0, _xlpm.v=""), "", _xlpm.v))</f>
        <v>89</v>
      </c>
      <c r="I3368" t="str">
        <f>_xlfn.LET(_xlpm.v, IFERROR(VLOOKUP($A3368, manifest!$A:$E, 5, FALSE), ""), IF(OR(_xlpm.v=0, _xlpm.v=""), "", _xlpm.v))</f>
        <v/>
      </c>
    </row>
    <row r="3369" spans="1:9" x14ac:dyDescent="0.6">
      <c r="A3369">
        <v>705</v>
      </c>
      <c r="B3369" t="s">
        <v>7</v>
      </c>
      <c r="C3369" t="s">
        <v>13</v>
      </c>
      <c r="D3369">
        <v>249.42</v>
      </c>
      <c r="E3369">
        <v>173.14</v>
      </c>
      <c r="F3369">
        <v>55120</v>
      </c>
      <c r="H3369">
        <f>_xlfn.LET(_xlpm.v, IFERROR(VLOOKUP($A3369, manifest!$A:$E, 3, FALSE), ""), IF(OR(_xlpm.v=0, _xlpm.v=""), "", _xlpm.v))</f>
        <v>89</v>
      </c>
      <c r="I3369" t="str">
        <f>_xlfn.LET(_xlpm.v, IFERROR(VLOOKUP($A3369, manifest!$A:$E, 5, FALSE), ""), IF(OR(_xlpm.v=0, _xlpm.v=""), "", _xlpm.v))</f>
        <v/>
      </c>
    </row>
    <row r="3370" spans="1:9" x14ac:dyDescent="0.6">
      <c r="A3370">
        <v>718</v>
      </c>
      <c r="B3370" t="s">
        <v>7</v>
      </c>
      <c r="C3370" t="s">
        <v>8</v>
      </c>
      <c r="D3370">
        <v>117.91</v>
      </c>
      <c r="E3370">
        <v>87.67</v>
      </c>
      <c r="F3370">
        <v>29125</v>
      </c>
      <c r="G3370" t="s">
        <v>15</v>
      </c>
      <c r="H3370">
        <f>_xlfn.LET(_xlpm.v, IFERROR(VLOOKUP($A3370, manifest!$A:$E, 3, FALSE), ""), IF(OR(_xlpm.v=0, _xlpm.v=""), "", _xlpm.v))</f>
        <v>69</v>
      </c>
      <c r="I3370" t="str">
        <f>_xlfn.LET(_xlpm.v, IFERROR(VLOOKUP($A3370, manifest!$A:$E, 5, FALSE), ""), IF(OR(_xlpm.v=0, _xlpm.v=""), "", _xlpm.v))</f>
        <v>male</v>
      </c>
    </row>
    <row r="3371" spans="1:9" x14ac:dyDescent="0.6">
      <c r="A3371">
        <v>718</v>
      </c>
      <c r="B3371" t="s">
        <v>7</v>
      </c>
      <c r="C3371" t="s">
        <v>10</v>
      </c>
      <c r="D3371">
        <v>132.13999999999999</v>
      </c>
      <c r="E3371">
        <v>130.52000000000001</v>
      </c>
      <c r="F3371">
        <v>30076</v>
      </c>
      <c r="H3371">
        <f>_xlfn.LET(_xlpm.v, IFERROR(VLOOKUP($A3371, manifest!$A:$E, 3, FALSE), ""), IF(OR(_xlpm.v=0, _xlpm.v=""), "", _xlpm.v))</f>
        <v>69</v>
      </c>
      <c r="I3371" t="str">
        <f>_xlfn.LET(_xlpm.v, IFERROR(VLOOKUP($A3371, manifest!$A:$E, 5, FALSE), ""), IF(OR(_xlpm.v=0, _xlpm.v=""), "", _xlpm.v))</f>
        <v>male</v>
      </c>
    </row>
    <row r="3372" spans="1:9" x14ac:dyDescent="0.6">
      <c r="A3372">
        <v>718</v>
      </c>
      <c r="B3372" t="s">
        <v>7</v>
      </c>
      <c r="C3372" t="s">
        <v>11</v>
      </c>
      <c r="D3372">
        <v>122.24</v>
      </c>
      <c r="E3372">
        <v>134.56</v>
      </c>
      <c r="F3372">
        <v>33950</v>
      </c>
      <c r="H3372">
        <f>_xlfn.LET(_xlpm.v, IFERROR(VLOOKUP($A3372, manifest!$A:$E, 3, FALSE), ""), IF(OR(_xlpm.v=0, _xlpm.v=""), "", _xlpm.v))</f>
        <v>69</v>
      </c>
      <c r="I3372" t="str">
        <f>_xlfn.LET(_xlpm.v, IFERROR(VLOOKUP($A3372, manifest!$A:$E, 5, FALSE), ""), IF(OR(_xlpm.v=0, _xlpm.v=""), "", _xlpm.v))</f>
        <v>male</v>
      </c>
    </row>
    <row r="3373" spans="1:9" x14ac:dyDescent="0.6">
      <c r="A3373">
        <v>718</v>
      </c>
      <c r="B3373" t="s">
        <v>7</v>
      </c>
      <c r="C3373" t="s">
        <v>12</v>
      </c>
      <c r="D3373">
        <v>119.33</v>
      </c>
      <c r="E3373">
        <v>127.04</v>
      </c>
      <c r="F3373">
        <v>36339</v>
      </c>
      <c r="H3373">
        <f>_xlfn.LET(_xlpm.v, IFERROR(VLOOKUP($A3373, manifest!$A:$E, 3, FALSE), ""), IF(OR(_xlpm.v=0, _xlpm.v=""), "", _xlpm.v))</f>
        <v>69</v>
      </c>
      <c r="I3373" t="str">
        <f>_xlfn.LET(_xlpm.v, IFERROR(VLOOKUP($A3373, manifest!$A:$E, 5, FALSE), ""), IF(OR(_xlpm.v=0, _xlpm.v=""), "", _xlpm.v))</f>
        <v>male</v>
      </c>
    </row>
    <row r="3374" spans="1:9" x14ac:dyDescent="0.6">
      <c r="A3374">
        <v>718</v>
      </c>
      <c r="B3374" t="s">
        <v>7</v>
      </c>
      <c r="C3374" t="s">
        <v>13</v>
      </c>
      <c r="D3374">
        <v>117.97</v>
      </c>
      <c r="E3374">
        <v>126.86</v>
      </c>
      <c r="F3374">
        <v>51148</v>
      </c>
      <c r="H3374">
        <f>_xlfn.LET(_xlpm.v, IFERROR(VLOOKUP($A3374, manifest!$A:$E, 3, FALSE), ""), IF(OR(_xlpm.v=0, _xlpm.v=""), "", _xlpm.v))</f>
        <v>69</v>
      </c>
      <c r="I3374" t="str">
        <f>_xlfn.LET(_xlpm.v, IFERROR(VLOOKUP($A3374, manifest!$A:$E, 5, FALSE), ""), IF(OR(_xlpm.v=0, _xlpm.v=""), "", _xlpm.v))</f>
        <v>male</v>
      </c>
    </row>
    <row r="3375" spans="1:9" x14ac:dyDescent="0.6">
      <c r="A3375">
        <v>704</v>
      </c>
      <c r="B3375" t="s">
        <v>14</v>
      </c>
      <c r="C3375" t="s">
        <v>8</v>
      </c>
      <c r="D3375">
        <v>197.72</v>
      </c>
      <c r="E3375">
        <v>202.73</v>
      </c>
      <c r="F3375">
        <v>45848</v>
      </c>
      <c r="G3375" t="s">
        <v>9</v>
      </c>
      <c r="H3375">
        <f>_xlfn.LET(_xlpm.v, IFERROR(VLOOKUP($A3375, manifest!$A:$E, 3, FALSE), ""), IF(OR(_xlpm.v=0, _xlpm.v=""), "", _xlpm.v))</f>
        <v>89</v>
      </c>
      <c r="I3375" t="str">
        <f>_xlfn.LET(_xlpm.v, IFERROR(VLOOKUP($A3375, manifest!$A:$E, 5, FALSE), ""), IF(OR(_xlpm.v=0, _xlpm.v=""), "", _xlpm.v))</f>
        <v/>
      </c>
    </row>
    <row r="3376" spans="1:9" x14ac:dyDescent="0.6">
      <c r="A3376">
        <v>704</v>
      </c>
      <c r="B3376" t="s">
        <v>14</v>
      </c>
      <c r="C3376" t="s">
        <v>10</v>
      </c>
      <c r="D3376">
        <v>216.65</v>
      </c>
      <c r="E3376">
        <v>206.51</v>
      </c>
      <c r="F3376">
        <v>51004</v>
      </c>
      <c r="H3376">
        <f>_xlfn.LET(_xlpm.v, IFERROR(VLOOKUP($A3376, manifest!$A:$E, 3, FALSE), ""), IF(OR(_xlpm.v=0, _xlpm.v=""), "", _xlpm.v))</f>
        <v>89</v>
      </c>
      <c r="I3376" t="str">
        <f>_xlfn.LET(_xlpm.v, IFERROR(VLOOKUP($A3376, manifest!$A:$E, 5, FALSE), ""), IF(OR(_xlpm.v=0, _xlpm.v=""), "", _xlpm.v))</f>
        <v/>
      </c>
    </row>
    <row r="3377" spans="1:9" x14ac:dyDescent="0.6">
      <c r="A3377">
        <v>704</v>
      </c>
      <c r="B3377" t="s">
        <v>14</v>
      </c>
      <c r="C3377" t="s">
        <v>11</v>
      </c>
      <c r="D3377">
        <v>217.41</v>
      </c>
      <c r="E3377">
        <v>221.49</v>
      </c>
      <c r="F3377">
        <v>49286</v>
      </c>
      <c r="H3377">
        <f>_xlfn.LET(_xlpm.v, IFERROR(VLOOKUP($A3377, manifest!$A:$E, 3, FALSE), ""), IF(OR(_xlpm.v=0, _xlpm.v=""), "", _xlpm.v))</f>
        <v>89</v>
      </c>
      <c r="I3377" t="str">
        <f>_xlfn.LET(_xlpm.v, IFERROR(VLOOKUP($A3377, manifest!$A:$E, 5, FALSE), ""), IF(OR(_xlpm.v=0, _xlpm.v=""), "", _xlpm.v))</f>
        <v/>
      </c>
    </row>
    <row r="3378" spans="1:9" x14ac:dyDescent="0.6">
      <c r="A3378">
        <v>704</v>
      </c>
      <c r="B3378" t="s">
        <v>14</v>
      </c>
      <c r="C3378" t="s">
        <v>12</v>
      </c>
      <c r="D3378">
        <v>198.82</v>
      </c>
      <c r="E3378">
        <v>203.39</v>
      </c>
      <c r="F3378">
        <v>61470</v>
      </c>
      <c r="H3378">
        <f>_xlfn.LET(_xlpm.v, IFERROR(VLOOKUP($A3378, manifest!$A:$E, 3, FALSE), ""), IF(OR(_xlpm.v=0, _xlpm.v=""), "", _xlpm.v))</f>
        <v>89</v>
      </c>
      <c r="I3378" t="str">
        <f>_xlfn.LET(_xlpm.v, IFERROR(VLOOKUP($A3378, manifest!$A:$E, 5, FALSE), ""), IF(OR(_xlpm.v=0, _xlpm.v=""), "", _xlpm.v))</f>
        <v/>
      </c>
    </row>
    <row r="3379" spans="1:9" x14ac:dyDescent="0.6">
      <c r="A3379">
        <v>704</v>
      </c>
      <c r="B3379" t="s">
        <v>14</v>
      </c>
      <c r="C3379" t="s">
        <v>13</v>
      </c>
      <c r="D3379">
        <v>206.49</v>
      </c>
      <c r="E3379">
        <v>203</v>
      </c>
      <c r="F3379">
        <v>78565</v>
      </c>
      <c r="H3379">
        <f>_xlfn.LET(_xlpm.v, IFERROR(VLOOKUP($A3379, manifest!$A:$E, 3, FALSE), ""), IF(OR(_xlpm.v=0, _xlpm.v=""), "", _xlpm.v))</f>
        <v>89</v>
      </c>
      <c r="I3379" t="str">
        <f>_xlfn.LET(_xlpm.v, IFERROR(VLOOKUP($A3379, manifest!$A:$E, 5, FALSE), ""), IF(OR(_xlpm.v=0, _xlpm.v=""), "", _xlpm.v))</f>
        <v/>
      </c>
    </row>
    <row r="3380" spans="1:9" x14ac:dyDescent="0.6">
      <c r="A3380">
        <v>720</v>
      </c>
      <c r="B3380" t="s">
        <v>14</v>
      </c>
      <c r="C3380" t="s">
        <v>8</v>
      </c>
      <c r="D3380">
        <v>229.99</v>
      </c>
      <c r="E3380">
        <v>141.83000000000001</v>
      </c>
      <c r="F3380">
        <v>31931</v>
      </c>
      <c r="G3380" t="s">
        <v>9</v>
      </c>
      <c r="H3380">
        <f>_xlfn.LET(_xlpm.v, IFERROR(VLOOKUP($A3380, manifest!$A:$E, 3, FALSE), ""), IF(OR(_xlpm.v=0, _xlpm.v=""), "", _xlpm.v))</f>
        <v>53</v>
      </c>
      <c r="I3380" t="str">
        <f>_xlfn.LET(_xlpm.v, IFERROR(VLOOKUP($A3380, manifest!$A:$E, 5, FALSE), ""), IF(OR(_xlpm.v=0, _xlpm.v=""), "", _xlpm.v))</f>
        <v>female</v>
      </c>
    </row>
    <row r="3381" spans="1:9" x14ac:dyDescent="0.6">
      <c r="A3381">
        <v>720</v>
      </c>
      <c r="B3381" t="s">
        <v>14</v>
      </c>
      <c r="C3381" t="s">
        <v>10</v>
      </c>
      <c r="D3381">
        <v>229.84</v>
      </c>
      <c r="E3381">
        <v>149.9</v>
      </c>
      <c r="F3381">
        <v>42510</v>
      </c>
      <c r="H3381">
        <f>_xlfn.LET(_xlpm.v, IFERROR(VLOOKUP($A3381, manifest!$A:$E, 3, FALSE), ""), IF(OR(_xlpm.v=0, _xlpm.v=""), "", _xlpm.v))</f>
        <v>53</v>
      </c>
      <c r="I3381" t="str">
        <f>_xlfn.LET(_xlpm.v, IFERROR(VLOOKUP($A3381, manifest!$A:$E, 5, FALSE), ""), IF(OR(_xlpm.v=0, _xlpm.v=""), "", _xlpm.v))</f>
        <v>female</v>
      </c>
    </row>
    <row r="3382" spans="1:9" x14ac:dyDescent="0.6">
      <c r="A3382">
        <v>720</v>
      </c>
      <c r="B3382" t="s">
        <v>14</v>
      </c>
      <c r="C3382" t="s">
        <v>11</v>
      </c>
      <c r="D3382">
        <v>232.55</v>
      </c>
      <c r="E3382">
        <v>175.46</v>
      </c>
      <c r="F3382">
        <v>46267</v>
      </c>
      <c r="H3382">
        <f>_xlfn.LET(_xlpm.v, IFERROR(VLOOKUP($A3382, manifest!$A:$E, 3, FALSE), ""), IF(OR(_xlpm.v=0, _xlpm.v=""), "", _xlpm.v))</f>
        <v>53</v>
      </c>
      <c r="I3382" t="str">
        <f>_xlfn.LET(_xlpm.v, IFERROR(VLOOKUP($A3382, manifest!$A:$E, 5, FALSE), ""), IF(OR(_xlpm.v=0, _xlpm.v=""), "", _xlpm.v))</f>
        <v>female</v>
      </c>
    </row>
    <row r="3383" spans="1:9" x14ac:dyDescent="0.6">
      <c r="A3383">
        <v>720</v>
      </c>
      <c r="B3383" t="s">
        <v>14</v>
      </c>
      <c r="C3383" t="s">
        <v>12</v>
      </c>
      <c r="D3383">
        <v>246.03</v>
      </c>
      <c r="E3383">
        <v>182.1</v>
      </c>
      <c r="F3383">
        <v>46883</v>
      </c>
      <c r="H3383">
        <f>_xlfn.LET(_xlpm.v, IFERROR(VLOOKUP($A3383, manifest!$A:$E, 3, FALSE), ""), IF(OR(_xlpm.v=0, _xlpm.v=""), "", _xlpm.v))</f>
        <v>53</v>
      </c>
      <c r="I3383" t="str">
        <f>_xlfn.LET(_xlpm.v, IFERROR(VLOOKUP($A3383, manifest!$A:$E, 5, FALSE), ""), IF(OR(_xlpm.v=0, _xlpm.v=""), "", _xlpm.v))</f>
        <v>female</v>
      </c>
    </row>
    <row r="3384" spans="1:9" x14ac:dyDescent="0.6">
      <c r="A3384">
        <v>720</v>
      </c>
      <c r="B3384" t="s">
        <v>14</v>
      </c>
      <c r="C3384" t="s">
        <v>13</v>
      </c>
      <c r="D3384">
        <v>233.18</v>
      </c>
      <c r="E3384">
        <v>154.69</v>
      </c>
      <c r="F3384">
        <v>45620</v>
      </c>
      <c r="H3384">
        <f>_xlfn.LET(_xlpm.v, IFERROR(VLOOKUP($A3384, manifest!$A:$E, 3, FALSE), ""), IF(OR(_xlpm.v=0, _xlpm.v=""), "", _xlpm.v))</f>
        <v>53</v>
      </c>
      <c r="I3384" t="str">
        <f>_xlfn.LET(_xlpm.v, IFERROR(VLOOKUP($A3384, manifest!$A:$E, 5, FALSE), ""), IF(OR(_xlpm.v=0, _xlpm.v=""), "", _xlpm.v))</f>
        <v>female</v>
      </c>
    </row>
    <row r="3385" spans="1:9" x14ac:dyDescent="0.6">
      <c r="A3385">
        <v>716</v>
      </c>
      <c r="B3385" t="s">
        <v>7</v>
      </c>
      <c r="C3385" t="s">
        <v>8</v>
      </c>
      <c r="D3385">
        <v>183.27</v>
      </c>
      <c r="E3385">
        <v>102.61</v>
      </c>
      <c r="F3385">
        <v>19545</v>
      </c>
      <c r="G3385" t="s">
        <v>9</v>
      </c>
      <c r="H3385">
        <f>_xlfn.LET(_xlpm.v, IFERROR(VLOOKUP($A3385, manifest!$A:$E, 3, FALSE), ""), IF(OR(_xlpm.v=0, _xlpm.v=""), "", _xlpm.v))</f>
        <v>50</v>
      </c>
      <c r="I3385" t="str">
        <f>_xlfn.LET(_xlpm.v, IFERROR(VLOOKUP($A3385, manifest!$A:$E, 5, FALSE), ""), IF(OR(_xlpm.v=0, _xlpm.v=""), "", _xlpm.v))</f>
        <v>female</v>
      </c>
    </row>
    <row r="3386" spans="1:9" x14ac:dyDescent="0.6">
      <c r="A3386">
        <v>716</v>
      </c>
      <c r="B3386" t="s">
        <v>7</v>
      </c>
      <c r="C3386" t="s">
        <v>10</v>
      </c>
      <c r="D3386">
        <v>202.53</v>
      </c>
      <c r="E3386">
        <v>149.86000000000001</v>
      </c>
      <c r="F3386">
        <v>20860</v>
      </c>
      <c r="H3386">
        <f>_xlfn.LET(_xlpm.v, IFERROR(VLOOKUP($A3386, manifest!$A:$E, 3, FALSE), ""), IF(OR(_xlpm.v=0, _xlpm.v=""), "", _xlpm.v))</f>
        <v>50</v>
      </c>
      <c r="I3386" t="str">
        <f>_xlfn.LET(_xlpm.v, IFERROR(VLOOKUP($A3386, manifest!$A:$E, 5, FALSE), ""), IF(OR(_xlpm.v=0, _xlpm.v=""), "", _xlpm.v))</f>
        <v>female</v>
      </c>
    </row>
    <row r="3387" spans="1:9" x14ac:dyDescent="0.6">
      <c r="A3387">
        <v>716</v>
      </c>
      <c r="B3387" t="s">
        <v>7</v>
      </c>
      <c r="C3387" t="s">
        <v>11</v>
      </c>
      <c r="D3387">
        <v>202.44</v>
      </c>
      <c r="E3387">
        <v>164.62</v>
      </c>
      <c r="F3387">
        <v>25000</v>
      </c>
      <c r="H3387">
        <f>_xlfn.LET(_xlpm.v, IFERROR(VLOOKUP($A3387, manifest!$A:$E, 3, FALSE), ""), IF(OR(_xlpm.v=0, _xlpm.v=""), "", _xlpm.v))</f>
        <v>50</v>
      </c>
      <c r="I3387" t="str">
        <f>_xlfn.LET(_xlpm.v, IFERROR(VLOOKUP($A3387, manifest!$A:$E, 5, FALSE), ""), IF(OR(_xlpm.v=0, _xlpm.v=""), "", _xlpm.v))</f>
        <v>female</v>
      </c>
    </row>
    <row r="3388" spans="1:9" x14ac:dyDescent="0.6">
      <c r="A3388">
        <v>716</v>
      </c>
      <c r="B3388" t="s">
        <v>7</v>
      </c>
      <c r="C3388" t="s">
        <v>12</v>
      </c>
      <c r="D3388">
        <v>206.45</v>
      </c>
      <c r="E3388">
        <v>162.38999999999999</v>
      </c>
      <c r="F3388">
        <v>24007</v>
      </c>
      <c r="H3388">
        <f>_xlfn.LET(_xlpm.v, IFERROR(VLOOKUP($A3388, manifest!$A:$E, 3, FALSE), ""), IF(OR(_xlpm.v=0, _xlpm.v=""), "", _xlpm.v))</f>
        <v>50</v>
      </c>
      <c r="I3388" t="str">
        <f>_xlfn.LET(_xlpm.v, IFERROR(VLOOKUP($A3388, manifest!$A:$E, 5, FALSE), ""), IF(OR(_xlpm.v=0, _xlpm.v=""), "", _xlpm.v))</f>
        <v>female</v>
      </c>
    </row>
    <row r="3389" spans="1:9" x14ac:dyDescent="0.6">
      <c r="A3389">
        <v>716</v>
      </c>
      <c r="B3389" t="s">
        <v>7</v>
      </c>
      <c r="C3389" t="s">
        <v>13</v>
      </c>
      <c r="D3389">
        <v>239.14</v>
      </c>
      <c r="E3389">
        <v>167.52</v>
      </c>
      <c r="F3389">
        <v>28141</v>
      </c>
      <c r="H3389">
        <f>_xlfn.LET(_xlpm.v, IFERROR(VLOOKUP($A3389, manifest!$A:$E, 3, FALSE), ""), IF(OR(_xlpm.v=0, _xlpm.v=""), "", _xlpm.v))</f>
        <v>50</v>
      </c>
      <c r="I3389" t="str">
        <f>_xlfn.LET(_xlpm.v, IFERROR(VLOOKUP($A3389, manifest!$A:$E, 5, FALSE), ""), IF(OR(_xlpm.v=0, _xlpm.v=""), "", _xlpm.v))</f>
        <v>female</v>
      </c>
    </row>
    <row r="3390" spans="1:9" x14ac:dyDescent="0.6">
      <c r="A3390">
        <v>713</v>
      </c>
      <c r="B3390" t="s">
        <v>14</v>
      </c>
      <c r="C3390" t="s">
        <v>8</v>
      </c>
      <c r="D3390">
        <v>252.71</v>
      </c>
      <c r="E3390">
        <v>158.71</v>
      </c>
      <c r="F3390">
        <v>29116</v>
      </c>
      <c r="G3390" t="s">
        <v>9</v>
      </c>
      <c r="H3390">
        <f>_xlfn.LET(_xlpm.v, IFERROR(VLOOKUP($A3390, manifest!$A:$E, 3, FALSE), ""), IF(OR(_xlpm.v=0, _xlpm.v=""), "", _xlpm.v))</f>
        <v>62</v>
      </c>
      <c r="I3390" t="str">
        <f>_xlfn.LET(_xlpm.v, IFERROR(VLOOKUP($A3390, manifest!$A:$E, 5, FALSE), ""), IF(OR(_xlpm.v=0, _xlpm.v=""), "", _xlpm.v))</f>
        <v>male</v>
      </c>
    </row>
    <row r="3391" spans="1:9" x14ac:dyDescent="0.6">
      <c r="A3391">
        <v>713</v>
      </c>
      <c r="B3391" t="s">
        <v>14</v>
      </c>
      <c r="C3391" t="s">
        <v>10</v>
      </c>
      <c r="D3391">
        <v>269.07</v>
      </c>
      <c r="E3391">
        <v>190.65</v>
      </c>
      <c r="F3391">
        <v>35113</v>
      </c>
      <c r="H3391">
        <f>_xlfn.LET(_xlpm.v, IFERROR(VLOOKUP($A3391, manifest!$A:$E, 3, FALSE), ""), IF(OR(_xlpm.v=0, _xlpm.v=""), "", _xlpm.v))</f>
        <v>62</v>
      </c>
      <c r="I3391" t="str">
        <f>_xlfn.LET(_xlpm.v, IFERROR(VLOOKUP($A3391, manifest!$A:$E, 5, FALSE), ""), IF(OR(_xlpm.v=0, _xlpm.v=""), "", _xlpm.v))</f>
        <v>male</v>
      </c>
    </row>
    <row r="3392" spans="1:9" x14ac:dyDescent="0.6">
      <c r="A3392">
        <v>713</v>
      </c>
      <c r="B3392" t="s">
        <v>14</v>
      </c>
      <c r="C3392" t="s">
        <v>11</v>
      </c>
      <c r="D3392">
        <v>262.08</v>
      </c>
      <c r="E3392">
        <v>197.81</v>
      </c>
      <c r="F3392">
        <v>37887</v>
      </c>
      <c r="H3392">
        <f>_xlfn.LET(_xlpm.v, IFERROR(VLOOKUP($A3392, manifest!$A:$E, 3, FALSE), ""), IF(OR(_xlpm.v=0, _xlpm.v=""), "", _xlpm.v))</f>
        <v>62</v>
      </c>
      <c r="I3392" t="str">
        <f>_xlfn.LET(_xlpm.v, IFERROR(VLOOKUP($A3392, manifest!$A:$E, 5, FALSE), ""), IF(OR(_xlpm.v=0, _xlpm.v=""), "", _xlpm.v))</f>
        <v>male</v>
      </c>
    </row>
    <row r="3393" spans="1:9" x14ac:dyDescent="0.6">
      <c r="A3393">
        <v>713</v>
      </c>
      <c r="B3393" t="s">
        <v>14</v>
      </c>
      <c r="C3393" t="s">
        <v>12</v>
      </c>
      <c r="D3393">
        <v>251.37</v>
      </c>
      <c r="E3393">
        <v>179.41</v>
      </c>
      <c r="F3393">
        <v>47218</v>
      </c>
      <c r="H3393">
        <f>_xlfn.LET(_xlpm.v, IFERROR(VLOOKUP($A3393, manifest!$A:$E, 3, FALSE), ""), IF(OR(_xlpm.v=0, _xlpm.v=""), "", _xlpm.v))</f>
        <v>62</v>
      </c>
      <c r="I3393" t="str">
        <f>_xlfn.LET(_xlpm.v, IFERROR(VLOOKUP($A3393, manifest!$A:$E, 5, FALSE), ""), IF(OR(_xlpm.v=0, _xlpm.v=""), "", _xlpm.v))</f>
        <v>male</v>
      </c>
    </row>
    <row r="3394" spans="1:9" x14ac:dyDescent="0.6">
      <c r="A3394">
        <v>713</v>
      </c>
      <c r="B3394" t="s">
        <v>14</v>
      </c>
      <c r="C3394" t="s">
        <v>13</v>
      </c>
      <c r="D3394">
        <v>274.83999999999997</v>
      </c>
      <c r="E3394">
        <v>184.49</v>
      </c>
      <c r="F3394">
        <v>49389</v>
      </c>
      <c r="H3394">
        <f>_xlfn.LET(_xlpm.v, IFERROR(VLOOKUP($A3394, manifest!$A:$E, 3, FALSE), ""), IF(OR(_xlpm.v=0, _xlpm.v=""), "", _xlpm.v))</f>
        <v>62</v>
      </c>
      <c r="I3394" t="str">
        <f>_xlfn.LET(_xlpm.v, IFERROR(VLOOKUP($A3394, manifest!$A:$E, 5, FALSE), ""), IF(OR(_xlpm.v=0, _xlpm.v=""), "", _xlpm.v))</f>
        <v>male</v>
      </c>
    </row>
    <row r="3395" spans="1:9" x14ac:dyDescent="0.6">
      <c r="A3395">
        <v>710</v>
      </c>
      <c r="B3395" t="s">
        <v>14</v>
      </c>
      <c r="C3395" t="s">
        <v>8</v>
      </c>
      <c r="D3395">
        <v>230.08</v>
      </c>
      <c r="E3395">
        <v>198.39</v>
      </c>
      <c r="F3395">
        <v>33093</v>
      </c>
      <c r="G3395" t="s">
        <v>9</v>
      </c>
      <c r="H3395">
        <f>_xlfn.LET(_xlpm.v, IFERROR(VLOOKUP($A3395, manifest!$A:$E, 3, FALSE), ""), IF(OR(_xlpm.v=0, _xlpm.v=""), "", _xlpm.v))</f>
        <v>60</v>
      </c>
      <c r="I3395" t="str">
        <f>_xlfn.LET(_xlpm.v, IFERROR(VLOOKUP($A3395, manifest!$A:$E, 5, FALSE), ""), IF(OR(_xlpm.v=0, _xlpm.v=""), "", _xlpm.v))</f>
        <v>male</v>
      </c>
    </row>
    <row r="3396" spans="1:9" x14ac:dyDescent="0.6">
      <c r="A3396">
        <v>710</v>
      </c>
      <c r="B3396" t="s">
        <v>14</v>
      </c>
      <c r="C3396" t="s">
        <v>10</v>
      </c>
      <c r="D3396">
        <v>241.56</v>
      </c>
      <c r="E3396">
        <v>219.7</v>
      </c>
      <c r="F3396">
        <v>36266</v>
      </c>
      <c r="H3396">
        <f>_xlfn.LET(_xlpm.v, IFERROR(VLOOKUP($A3396, manifest!$A:$E, 3, FALSE), ""), IF(OR(_xlpm.v=0, _xlpm.v=""), "", _xlpm.v))</f>
        <v>60</v>
      </c>
      <c r="I3396" t="str">
        <f>_xlfn.LET(_xlpm.v, IFERROR(VLOOKUP($A3396, manifest!$A:$E, 5, FALSE), ""), IF(OR(_xlpm.v=0, _xlpm.v=""), "", _xlpm.v))</f>
        <v>male</v>
      </c>
    </row>
    <row r="3397" spans="1:9" x14ac:dyDescent="0.6">
      <c r="A3397">
        <v>710</v>
      </c>
      <c r="B3397" t="s">
        <v>14</v>
      </c>
      <c r="C3397" t="s">
        <v>11</v>
      </c>
      <c r="D3397">
        <v>282.8</v>
      </c>
      <c r="E3397">
        <v>242.18</v>
      </c>
      <c r="F3397">
        <v>41485</v>
      </c>
      <c r="H3397">
        <f>_xlfn.LET(_xlpm.v, IFERROR(VLOOKUP($A3397, manifest!$A:$E, 3, FALSE), ""), IF(OR(_xlpm.v=0, _xlpm.v=""), "", _xlpm.v))</f>
        <v>60</v>
      </c>
      <c r="I3397" t="str">
        <f>_xlfn.LET(_xlpm.v, IFERROR(VLOOKUP($A3397, manifest!$A:$E, 5, FALSE), ""), IF(OR(_xlpm.v=0, _xlpm.v=""), "", _xlpm.v))</f>
        <v>male</v>
      </c>
    </row>
    <row r="3398" spans="1:9" x14ac:dyDescent="0.6">
      <c r="A3398">
        <v>710</v>
      </c>
      <c r="B3398" t="s">
        <v>14</v>
      </c>
      <c r="C3398" t="s">
        <v>12</v>
      </c>
      <c r="D3398">
        <v>256.89999999999998</v>
      </c>
      <c r="E3398">
        <v>216.08</v>
      </c>
      <c r="F3398">
        <v>59005</v>
      </c>
      <c r="H3398">
        <f>_xlfn.LET(_xlpm.v, IFERROR(VLOOKUP($A3398, manifest!$A:$E, 3, FALSE), ""), IF(OR(_xlpm.v=0, _xlpm.v=""), "", _xlpm.v))</f>
        <v>60</v>
      </c>
      <c r="I3398" t="str">
        <f>_xlfn.LET(_xlpm.v, IFERROR(VLOOKUP($A3398, manifest!$A:$E, 5, FALSE), ""), IF(OR(_xlpm.v=0, _xlpm.v=""), "", _xlpm.v))</f>
        <v>male</v>
      </c>
    </row>
    <row r="3399" spans="1:9" x14ac:dyDescent="0.6">
      <c r="A3399">
        <v>710</v>
      </c>
      <c r="B3399" t="s">
        <v>14</v>
      </c>
      <c r="C3399" t="s">
        <v>13</v>
      </c>
      <c r="D3399">
        <v>207.54</v>
      </c>
      <c r="E3399">
        <v>169.54</v>
      </c>
      <c r="F3399">
        <v>66040</v>
      </c>
      <c r="H3399">
        <f>_xlfn.LET(_xlpm.v, IFERROR(VLOOKUP($A3399, manifest!$A:$E, 3, FALSE), ""), IF(OR(_xlpm.v=0, _xlpm.v=""), "", _xlpm.v))</f>
        <v>60</v>
      </c>
      <c r="I3399" t="str">
        <f>_xlfn.LET(_xlpm.v, IFERROR(VLOOKUP($A3399, manifest!$A:$E, 5, FALSE), ""), IF(OR(_xlpm.v=0, _xlpm.v=""), "", _xlpm.v))</f>
        <v>male</v>
      </c>
    </row>
    <row r="3400" spans="1:9" x14ac:dyDescent="0.6">
      <c r="A3400">
        <v>732</v>
      </c>
      <c r="B3400" t="s">
        <v>7</v>
      </c>
      <c r="C3400" t="s">
        <v>8</v>
      </c>
      <c r="D3400">
        <v>157.44</v>
      </c>
      <c r="E3400">
        <v>106.01</v>
      </c>
      <c r="F3400">
        <v>36414</v>
      </c>
      <c r="G3400" t="s">
        <v>15</v>
      </c>
      <c r="H3400">
        <f>_xlfn.LET(_xlpm.v, IFERROR(VLOOKUP($A3400, manifest!$A:$E, 3, FALSE), ""), IF(OR(_xlpm.v=0, _xlpm.v=""), "", _xlpm.v))</f>
        <v>50</v>
      </c>
      <c r="I3400" t="str">
        <f>_xlfn.LET(_xlpm.v, IFERROR(VLOOKUP($A3400, manifest!$A:$E, 5, FALSE), ""), IF(OR(_xlpm.v=0, _xlpm.v=""), "", _xlpm.v))</f>
        <v>female</v>
      </c>
    </row>
    <row r="3401" spans="1:9" x14ac:dyDescent="0.6">
      <c r="A3401">
        <v>732</v>
      </c>
      <c r="B3401" t="s">
        <v>7</v>
      </c>
      <c r="C3401" t="s">
        <v>10</v>
      </c>
      <c r="D3401">
        <v>164.75</v>
      </c>
      <c r="E3401">
        <v>130.66</v>
      </c>
      <c r="F3401">
        <v>39395</v>
      </c>
      <c r="H3401">
        <f>_xlfn.LET(_xlpm.v, IFERROR(VLOOKUP($A3401, manifest!$A:$E, 3, FALSE), ""), IF(OR(_xlpm.v=0, _xlpm.v=""), "", _xlpm.v))</f>
        <v>50</v>
      </c>
      <c r="I3401" t="str">
        <f>_xlfn.LET(_xlpm.v, IFERROR(VLOOKUP($A3401, manifest!$A:$E, 5, FALSE), ""), IF(OR(_xlpm.v=0, _xlpm.v=""), "", _xlpm.v))</f>
        <v>female</v>
      </c>
    </row>
    <row r="3402" spans="1:9" x14ac:dyDescent="0.6">
      <c r="A3402">
        <v>732</v>
      </c>
      <c r="B3402" t="s">
        <v>7</v>
      </c>
      <c r="C3402" t="s">
        <v>11</v>
      </c>
      <c r="D3402">
        <v>154.33000000000001</v>
      </c>
      <c r="E3402">
        <v>110.16</v>
      </c>
      <c r="F3402">
        <v>47934</v>
      </c>
      <c r="H3402">
        <f>_xlfn.LET(_xlpm.v, IFERROR(VLOOKUP($A3402, manifest!$A:$E, 3, FALSE), ""), IF(OR(_xlpm.v=0, _xlpm.v=""), "", _xlpm.v))</f>
        <v>50</v>
      </c>
      <c r="I3402" t="str">
        <f>_xlfn.LET(_xlpm.v, IFERROR(VLOOKUP($A3402, manifest!$A:$E, 5, FALSE), ""), IF(OR(_xlpm.v=0, _xlpm.v=""), "", _xlpm.v))</f>
        <v>female</v>
      </c>
    </row>
    <row r="3403" spans="1:9" x14ac:dyDescent="0.6">
      <c r="A3403">
        <v>732</v>
      </c>
      <c r="B3403" t="s">
        <v>7</v>
      </c>
      <c r="C3403" t="s">
        <v>12</v>
      </c>
      <c r="D3403">
        <v>176.4</v>
      </c>
      <c r="E3403">
        <v>130.06</v>
      </c>
      <c r="F3403">
        <v>51854</v>
      </c>
      <c r="H3403">
        <f>_xlfn.LET(_xlpm.v, IFERROR(VLOOKUP($A3403, manifest!$A:$E, 3, FALSE), ""), IF(OR(_xlpm.v=0, _xlpm.v=""), "", _xlpm.v))</f>
        <v>50</v>
      </c>
      <c r="I3403" t="str">
        <f>_xlfn.LET(_xlpm.v, IFERROR(VLOOKUP($A3403, manifest!$A:$E, 5, FALSE), ""), IF(OR(_xlpm.v=0, _xlpm.v=""), "", _xlpm.v))</f>
        <v>female</v>
      </c>
    </row>
    <row r="3404" spans="1:9" x14ac:dyDescent="0.6">
      <c r="A3404">
        <v>732</v>
      </c>
      <c r="B3404" t="s">
        <v>7</v>
      </c>
      <c r="C3404" t="s">
        <v>13</v>
      </c>
      <c r="D3404">
        <v>186.68</v>
      </c>
      <c r="E3404">
        <v>144.08000000000001</v>
      </c>
      <c r="F3404">
        <v>59001</v>
      </c>
      <c r="H3404">
        <f>_xlfn.LET(_xlpm.v, IFERROR(VLOOKUP($A3404, manifest!$A:$E, 3, FALSE), ""), IF(OR(_xlpm.v=0, _xlpm.v=""), "", _xlpm.v))</f>
        <v>50</v>
      </c>
      <c r="I3404" t="str">
        <f>_xlfn.LET(_xlpm.v, IFERROR(VLOOKUP($A3404, manifest!$A:$E, 5, FALSE), ""), IF(OR(_xlpm.v=0, _xlpm.v=""), "", _xlpm.v))</f>
        <v>female</v>
      </c>
    </row>
    <row r="3405" spans="1:9" x14ac:dyDescent="0.6">
      <c r="A3405">
        <v>711</v>
      </c>
      <c r="B3405" t="s">
        <v>14</v>
      </c>
      <c r="C3405" t="s">
        <v>8</v>
      </c>
      <c r="D3405">
        <v>199.87</v>
      </c>
      <c r="E3405">
        <v>118.68</v>
      </c>
      <c r="F3405">
        <v>54741</v>
      </c>
      <c r="G3405" t="s">
        <v>9</v>
      </c>
      <c r="H3405">
        <f>_xlfn.LET(_xlpm.v, IFERROR(VLOOKUP($A3405, manifest!$A:$E, 3, FALSE), ""), IF(OR(_xlpm.v=0, _xlpm.v=""), "", _xlpm.v))</f>
        <v>70</v>
      </c>
      <c r="I3405" t="str">
        <f>_xlfn.LET(_xlpm.v, IFERROR(VLOOKUP($A3405, manifest!$A:$E, 5, FALSE), ""), IF(OR(_xlpm.v=0, _xlpm.v=""), "", _xlpm.v))</f>
        <v>male</v>
      </c>
    </row>
    <row r="3406" spans="1:9" x14ac:dyDescent="0.6">
      <c r="A3406">
        <v>711</v>
      </c>
      <c r="B3406" t="s">
        <v>14</v>
      </c>
      <c r="C3406" t="s">
        <v>10</v>
      </c>
      <c r="D3406">
        <v>230.74</v>
      </c>
      <c r="E3406">
        <v>158.59</v>
      </c>
      <c r="F3406">
        <v>70113</v>
      </c>
      <c r="H3406">
        <f>_xlfn.LET(_xlpm.v, IFERROR(VLOOKUP($A3406, manifest!$A:$E, 3, FALSE), ""), IF(OR(_xlpm.v=0, _xlpm.v=""), "", _xlpm.v))</f>
        <v>70</v>
      </c>
      <c r="I3406" t="str">
        <f>_xlfn.LET(_xlpm.v, IFERROR(VLOOKUP($A3406, manifest!$A:$E, 5, FALSE), ""), IF(OR(_xlpm.v=0, _xlpm.v=""), "", _xlpm.v))</f>
        <v>male</v>
      </c>
    </row>
    <row r="3407" spans="1:9" x14ac:dyDescent="0.6">
      <c r="A3407">
        <v>711</v>
      </c>
      <c r="B3407" t="s">
        <v>14</v>
      </c>
      <c r="C3407" t="s">
        <v>11</v>
      </c>
      <c r="D3407">
        <v>215.27</v>
      </c>
      <c r="E3407">
        <v>170.79</v>
      </c>
      <c r="F3407">
        <v>75859</v>
      </c>
      <c r="H3407">
        <f>_xlfn.LET(_xlpm.v, IFERROR(VLOOKUP($A3407, manifest!$A:$E, 3, FALSE), ""), IF(OR(_xlpm.v=0, _xlpm.v=""), "", _xlpm.v))</f>
        <v>70</v>
      </c>
      <c r="I3407" t="str">
        <f>_xlfn.LET(_xlpm.v, IFERROR(VLOOKUP($A3407, manifest!$A:$E, 5, FALSE), ""), IF(OR(_xlpm.v=0, _xlpm.v=""), "", _xlpm.v))</f>
        <v>male</v>
      </c>
    </row>
    <row r="3408" spans="1:9" x14ac:dyDescent="0.6">
      <c r="A3408">
        <v>711</v>
      </c>
      <c r="B3408" t="s">
        <v>14</v>
      </c>
      <c r="C3408" t="s">
        <v>12</v>
      </c>
      <c r="D3408">
        <v>204.13</v>
      </c>
      <c r="E3408">
        <v>171.79</v>
      </c>
      <c r="F3408">
        <v>95470</v>
      </c>
      <c r="H3408">
        <f>_xlfn.LET(_xlpm.v, IFERROR(VLOOKUP($A3408, manifest!$A:$E, 3, FALSE), ""), IF(OR(_xlpm.v=0, _xlpm.v=""), "", _xlpm.v))</f>
        <v>70</v>
      </c>
      <c r="I3408" t="str">
        <f>_xlfn.LET(_xlpm.v, IFERROR(VLOOKUP($A3408, manifest!$A:$E, 5, FALSE), ""), IF(OR(_xlpm.v=0, _xlpm.v=""), "", _xlpm.v))</f>
        <v>male</v>
      </c>
    </row>
    <row r="3409" spans="1:9" x14ac:dyDescent="0.6">
      <c r="A3409">
        <v>711</v>
      </c>
      <c r="B3409" t="s">
        <v>14</v>
      </c>
      <c r="C3409" t="s">
        <v>13</v>
      </c>
      <c r="D3409">
        <v>205.98</v>
      </c>
      <c r="E3409">
        <v>153.06</v>
      </c>
      <c r="F3409">
        <v>106106</v>
      </c>
      <c r="H3409">
        <f>_xlfn.LET(_xlpm.v, IFERROR(VLOOKUP($A3409, manifest!$A:$E, 3, FALSE), ""), IF(OR(_xlpm.v=0, _xlpm.v=""), "", _xlpm.v))</f>
        <v>70</v>
      </c>
      <c r="I3409" t="str">
        <f>_xlfn.LET(_xlpm.v, IFERROR(VLOOKUP($A3409, manifest!$A:$E, 5, FALSE), ""), IF(OR(_xlpm.v=0, _xlpm.v=""), "", _xlpm.v))</f>
        <v>male</v>
      </c>
    </row>
    <row r="3410" spans="1:9" x14ac:dyDescent="0.6">
      <c r="A3410">
        <v>745</v>
      </c>
      <c r="B3410" t="s">
        <v>14</v>
      </c>
      <c r="C3410" t="s">
        <v>8</v>
      </c>
      <c r="D3410">
        <v>146.37</v>
      </c>
      <c r="E3410">
        <v>116.78</v>
      </c>
      <c r="F3410">
        <v>25711</v>
      </c>
      <c r="G3410" t="s">
        <v>15</v>
      </c>
      <c r="H3410">
        <f>_xlfn.LET(_xlpm.v, IFERROR(VLOOKUP($A3410, manifest!$A:$E, 3, FALSE), ""), IF(OR(_xlpm.v=0, _xlpm.v=""), "", _xlpm.v))</f>
        <v>58</v>
      </c>
      <c r="I3410" t="str">
        <f>_xlfn.LET(_xlpm.v, IFERROR(VLOOKUP($A3410, manifest!$A:$E, 5, FALSE), ""), IF(OR(_xlpm.v=0, _xlpm.v=""), "", _xlpm.v))</f>
        <v>female</v>
      </c>
    </row>
    <row r="3411" spans="1:9" x14ac:dyDescent="0.6">
      <c r="A3411">
        <v>745</v>
      </c>
      <c r="B3411" t="s">
        <v>14</v>
      </c>
      <c r="C3411" t="s">
        <v>10</v>
      </c>
      <c r="D3411">
        <v>150.9</v>
      </c>
      <c r="E3411">
        <v>149.01</v>
      </c>
      <c r="F3411">
        <v>28471</v>
      </c>
      <c r="H3411">
        <f>_xlfn.LET(_xlpm.v, IFERROR(VLOOKUP($A3411, manifest!$A:$E, 3, FALSE), ""), IF(OR(_xlpm.v=0, _xlpm.v=""), "", _xlpm.v))</f>
        <v>58</v>
      </c>
      <c r="I3411" t="str">
        <f>_xlfn.LET(_xlpm.v, IFERROR(VLOOKUP($A3411, manifest!$A:$E, 5, FALSE), ""), IF(OR(_xlpm.v=0, _xlpm.v=""), "", _xlpm.v))</f>
        <v>female</v>
      </c>
    </row>
    <row r="3412" spans="1:9" x14ac:dyDescent="0.6">
      <c r="A3412">
        <v>745</v>
      </c>
      <c r="B3412" t="s">
        <v>14</v>
      </c>
      <c r="C3412" t="s">
        <v>11</v>
      </c>
      <c r="D3412">
        <v>153.35</v>
      </c>
      <c r="E3412">
        <v>151.19999999999999</v>
      </c>
      <c r="F3412">
        <v>29112</v>
      </c>
      <c r="H3412">
        <f>_xlfn.LET(_xlpm.v, IFERROR(VLOOKUP($A3412, manifest!$A:$E, 3, FALSE), ""), IF(OR(_xlpm.v=0, _xlpm.v=""), "", _xlpm.v))</f>
        <v>58</v>
      </c>
      <c r="I3412" t="str">
        <f>_xlfn.LET(_xlpm.v, IFERROR(VLOOKUP($A3412, manifest!$A:$E, 5, FALSE), ""), IF(OR(_xlpm.v=0, _xlpm.v=""), "", _xlpm.v))</f>
        <v>female</v>
      </c>
    </row>
    <row r="3413" spans="1:9" x14ac:dyDescent="0.6">
      <c r="A3413">
        <v>745</v>
      </c>
      <c r="B3413" t="s">
        <v>14</v>
      </c>
      <c r="C3413" t="s">
        <v>12</v>
      </c>
      <c r="D3413">
        <v>164.18</v>
      </c>
      <c r="E3413">
        <v>153.36000000000001</v>
      </c>
      <c r="F3413">
        <v>38443</v>
      </c>
      <c r="H3413">
        <f>_xlfn.LET(_xlpm.v, IFERROR(VLOOKUP($A3413, manifest!$A:$E, 3, FALSE), ""), IF(OR(_xlpm.v=0, _xlpm.v=""), "", _xlpm.v))</f>
        <v>58</v>
      </c>
      <c r="I3413" t="str">
        <f>_xlfn.LET(_xlpm.v, IFERROR(VLOOKUP($A3413, manifest!$A:$E, 5, FALSE), ""), IF(OR(_xlpm.v=0, _xlpm.v=""), "", _xlpm.v))</f>
        <v>female</v>
      </c>
    </row>
    <row r="3414" spans="1:9" x14ac:dyDescent="0.6">
      <c r="A3414">
        <v>745</v>
      </c>
      <c r="B3414" t="s">
        <v>14</v>
      </c>
      <c r="C3414" t="s">
        <v>13</v>
      </c>
      <c r="D3414">
        <v>166.74</v>
      </c>
      <c r="E3414">
        <v>149.77000000000001</v>
      </c>
      <c r="F3414">
        <v>43772</v>
      </c>
      <c r="H3414">
        <f>_xlfn.LET(_xlpm.v, IFERROR(VLOOKUP($A3414, manifest!$A:$E, 3, FALSE), ""), IF(OR(_xlpm.v=0, _xlpm.v=""), "", _xlpm.v))</f>
        <v>58</v>
      </c>
      <c r="I3414" t="str">
        <f>_xlfn.LET(_xlpm.v, IFERROR(VLOOKUP($A3414, manifest!$A:$E, 5, FALSE), ""), IF(OR(_xlpm.v=0, _xlpm.v=""), "", _xlpm.v))</f>
        <v>female</v>
      </c>
    </row>
    <row r="3415" spans="1:9" x14ac:dyDescent="0.6">
      <c r="A3415">
        <v>726</v>
      </c>
      <c r="B3415" t="s">
        <v>7</v>
      </c>
      <c r="C3415" t="s">
        <v>8</v>
      </c>
      <c r="D3415">
        <v>202.09</v>
      </c>
      <c r="E3415">
        <v>135.81</v>
      </c>
      <c r="F3415">
        <v>25481</v>
      </c>
      <c r="G3415" t="s">
        <v>9</v>
      </c>
      <c r="H3415">
        <f>_xlfn.LET(_xlpm.v, IFERROR(VLOOKUP($A3415, manifest!$A:$E, 3, FALSE), ""), IF(OR(_xlpm.v=0, _xlpm.v=""), "", _xlpm.v))</f>
        <v>56</v>
      </c>
      <c r="I3415" t="str">
        <f>_xlfn.LET(_xlpm.v, IFERROR(VLOOKUP($A3415, manifest!$A:$E, 5, FALSE), ""), IF(OR(_xlpm.v=0, _xlpm.v=""), "", _xlpm.v))</f>
        <v>female</v>
      </c>
    </row>
    <row r="3416" spans="1:9" x14ac:dyDescent="0.6">
      <c r="A3416">
        <v>726</v>
      </c>
      <c r="B3416" t="s">
        <v>7</v>
      </c>
      <c r="C3416" t="s">
        <v>10</v>
      </c>
      <c r="D3416">
        <v>208.54</v>
      </c>
      <c r="E3416">
        <v>153.15</v>
      </c>
      <c r="F3416">
        <v>27189</v>
      </c>
      <c r="H3416">
        <f>_xlfn.LET(_xlpm.v, IFERROR(VLOOKUP($A3416, manifest!$A:$E, 3, FALSE), ""), IF(OR(_xlpm.v=0, _xlpm.v=""), "", _xlpm.v))</f>
        <v>56</v>
      </c>
      <c r="I3416" t="str">
        <f>_xlfn.LET(_xlpm.v, IFERROR(VLOOKUP($A3416, manifest!$A:$E, 5, FALSE), ""), IF(OR(_xlpm.v=0, _xlpm.v=""), "", _xlpm.v))</f>
        <v>female</v>
      </c>
    </row>
    <row r="3417" spans="1:9" x14ac:dyDescent="0.6">
      <c r="A3417">
        <v>726</v>
      </c>
      <c r="B3417" t="s">
        <v>7</v>
      </c>
      <c r="C3417" t="s">
        <v>11</v>
      </c>
      <c r="D3417">
        <v>213.85</v>
      </c>
      <c r="E3417">
        <v>153.79</v>
      </c>
      <c r="F3417">
        <v>30018</v>
      </c>
      <c r="H3417">
        <f>_xlfn.LET(_xlpm.v, IFERROR(VLOOKUP($A3417, manifest!$A:$E, 3, FALSE), ""), IF(OR(_xlpm.v=0, _xlpm.v=""), "", _xlpm.v))</f>
        <v>56</v>
      </c>
      <c r="I3417" t="str">
        <f>_xlfn.LET(_xlpm.v, IFERROR(VLOOKUP($A3417, manifest!$A:$E, 5, FALSE), ""), IF(OR(_xlpm.v=0, _xlpm.v=""), "", _xlpm.v))</f>
        <v>female</v>
      </c>
    </row>
    <row r="3418" spans="1:9" x14ac:dyDescent="0.6">
      <c r="A3418">
        <v>726</v>
      </c>
      <c r="B3418" t="s">
        <v>7</v>
      </c>
      <c r="C3418" t="s">
        <v>12</v>
      </c>
      <c r="D3418">
        <v>201.19</v>
      </c>
      <c r="E3418">
        <v>152.96</v>
      </c>
      <c r="F3418">
        <v>42190</v>
      </c>
      <c r="H3418">
        <f>_xlfn.LET(_xlpm.v, IFERROR(VLOOKUP($A3418, manifest!$A:$E, 3, FALSE), ""), IF(OR(_xlpm.v=0, _xlpm.v=""), "", _xlpm.v))</f>
        <v>56</v>
      </c>
      <c r="I3418" t="str">
        <f>_xlfn.LET(_xlpm.v, IFERROR(VLOOKUP($A3418, manifest!$A:$E, 5, FALSE), ""), IF(OR(_xlpm.v=0, _xlpm.v=""), "", _xlpm.v))</f>
        <v>female</v>
      </c>
    </row>
    <row r="3419" spans="1:9" x14ac:dyDescent="0.6">
      <c r="A3419">
        <v>726</v>
      </c>
      <c r="B3419" t="s">
        <v>7</v>
      </c>
      <c r="C3419" t="s">
        <v>13</v>
      </c>
      <c r="D3419">
        <v>216.65</v>
      </c>
      <c r="E3419">
        <v>154.66</v>
      </c>
      <c r="F3419">
        <v>47904</v>
      </c>
      <c r="H3419">
        <f>_xlfn.LET(_xlpm.v, IFERROR(VLOOKUP($A3419, manifest!$A:$E, 3, FALSE), ""), IF(OR(_xlpm.v=0, _xlpm.v=""), "", _xlpm.v))</f>
        <v>56</v>
      </c>
      <c r="I3419" t="str">
        <f>_xlfn.LET(_xlpm.v, IFERROR(VLOOKUP($A3419, manifest!$A:$E, 5, FALSE), ""), IF(OR(_xlpm.v=0, _xlpm.v=""), "", _xlpm.v))</f>
        <v>female</v>
      </c>
    </row>
    <row r="3420" spans="1:9" x14ac:dyDescent="0.6">
      <c r="A3420">
        <v>717</v>
      </c>
      <c r="B3420" t="s">
        <v>14</v>
      </c>
      <c r="C3420" t="s">
        <v>8</v>
      </c>
      <c r="D3420">
        <v>118.1</v>
      </c>
      <c r="E3420">
        <v>92.43</v>
      </c>
      <c r="F3420">
        <v>34792</v>
      </c>
      <c r="G3420" t="s">
        <v>15</v>
      </c>
      <c r="H3420">
        <f>_xlfn.LET(_xlpm.v, IFERROR(VLOOKUP($A3420, manifest!$A:$E, 3, FALSE), ""), IF(OR(_xlpm.v=0, _xlpm.v=""), "", _xlpm.v))</f>
        <v>59</v>
      </c>
      <c r="I3420" t="str">
        <f>_xlfn.LET(_xlpm.v, IFERROR(VLOOKUP($A3420, manifest!$A:$E, 5, FALSE), ""), IF(OR(_xlpm.v=0, _xlpm.v=""), "", _xlpm.v))</f>
        <v>male</v>
      </c>
    </row>
    <row r="3421" spans="1:9" x14ac:dyDescent="0.6">
      <c r="A3421">
        <v>717</v>
      </c>
      <c r="B3421" t="s">
        <v>14</v>
      </c>
      <c r="C3421" t="s">
        <v>10</v>
      </c>
      <c r="D3421">
        <v>133.9</v>
      </c>
      <c r="E3421">
        <v>107.26</v>
      </c>
      <c r="F3421">
        <v>39338</v>
      </c>
      <c r="H3421">
        <f>_xlfn.LET(_xlpm.v, IFERROR(VLOOKUP($A3421, manifest!$A:$E, 3, FALSE), ""), IF(OR(_xlpm.v=0, _xlpm.v=""), "", _xlpm.v))</f>
        <v>59</v>
      </c>
      <c r="I3421" t="str">
        <f>_xlfn.LET(_xlpm.v, IFERROR(VLOOKUP($A3421, manifest!$A:$E, 5, FALSE), ""), IF(OR(_xlpm.v=0, _xlpm.v=""), "", _xlpm.v))</f>
        <v>male</v>
      </c>
    </row>
    <row r="3422" spans="1:9" x14ac:dyDescent="0.6">
      <c r="A3422">
        <v>717</v>
      </c>
      <c r="B3422" t="s">
        <v>14</v>
      </c>
      <c r="C3422" t="s">
        <v>11</v>
      </c>
      <c r="D3422">
        <v>126.13</v>
      </c>
      <c r="E3422">
        <v>105.13</v>
      </c>
      <c r="F3422">
        <v>45636</v>
      </c>
      <c r="H3422">
        <f>_xlfn.LET(_xlpm.v, IFERROR(VLOOKUP($A3422, manifest!$A:$E, 3, FALSE), ""), IF(OR(_xlpm.v=0, _xlpm.v=""), "", _xlpm.v))</f>
        <v>59</v>
      </c>
      <c r="I3422" t="str">
        <f>_xlfn.LET(_xlpm.v, IFERROR(VLOOKUP($A3422, manifest!$A:$E, 5, FALSE), ""), IF(OR(_xlpm.v=0, _xlpm.v=""), "", _xlpm.v))</f>
        <v>male</v>
      </c>
    </row>
    <row r="3423" spans="1:9" x14ac:dyDescent="0.6">
      <c r="A3423">
        <v>717</v>
      </c>
      <c r="B3423" t="s">
        <v>14</v>
      </c>
      <c r="C3423" t="s">
        <v>12</v>
      </c>
      <c r="D3423">
        <v>150.33000000000001</v>
      </c>
      <c r="E3423">
        <v>118.39</v>
      </c>
      <c r="F3423">
        <v>50993</v>
      </c>
      <c r="H3423">
        <f>_xlfn.LET(_xlpm.v, IFERROR(VLOOKUP($A3423, manifest!$A:$E, 3, FALSE), ""), IF(OR(_xlpm.v=0, _xlpm.v=""), "", _xlpm.v))</f>
        <v>59</v>
      </c>
      <c r="I3423" t="str">
        <f>_xlfn.LET(_xlpm.v, IFERROR(VLOOKUP($A3423, manifest!$A:$E, 5, FALSE), ""), IF(OR(_xlpm.v=0, _xlpm.v=""), "", _xlpm.v))</f>
        <v>male</v>
      </c>
    </row>
    <row r="3424" spans="1:9" x14ac:dyDescent="0.6">
      <c r="A3424">
        <v>717</v>
      </c>
      <c r="B3424" t="s">
        <v>14</v>
      </c>
      <c r="C3424" t="s">
        <v>13</v>
      </c>
      <c r="D3424">
        <v>159.79</v>
      </c>
      <c r="E3424">
        <v>119.61</v>
      </c>
      <c r="F3424">
        <v>55919</v>
      </c>
      <c r="H3424">
        <f>_xlfn.LET(_xlpm.v, IFERROR(VLOOKUP($A3424, manifest!$A:$E, 3, FALSE), ""), IF(OR(_xlpm.v=0, _xlpm.v=""), "", _xlpm.v))</f>
        <v>59</v>
      </c>
      <c r="I3424" t="str">
        <f>_xlfn.LET(_xlpm.v, IFERROR(VLOOKUP($A3424, manifest!$A:$E, 5, FALSE), ""), IF(OR(_xlpm.v=0, _xlpm.v=""), "", _xlpm.v))</f>
        <v>male</v>
      </c>
    </row>
    <row r="3425" spans="1:9" x14ac:dyDescent="0.6">
      <c r="A3425">
        <v>709</v>
      </c>
      <c r="B3425" t="s">
        <v>14</v>
      </c>
      <c r="C3425" t="s">
        <v>8</v>
      </c>
      <c r="D3425">
        <v>256.69</v>
      </c>
      <c r="E3425">
        <v>115.64</v>
      </c>
      <c r="F3425">
        <v>16604</v>
      </c>
      <c r="G3425" t="s">
        <v>9</v>
      </c>
      <c r="H3425">
        <f>_xlfn.LET(_xlpm.v, IFERROR(VLOOKUP($A3425, manifest!$A:$E, 3, FALSE), ""), IF(OR(_xlpm.v=0, _xlpm.v=""), "", _xlpm.v))</f>
        <v>70</v>
      </c>
      <c r="I3425" t="str">
        <f>_xlfn.LET(_xlpm.v, IFERROR(VLOOKUP($A3425, manifest!$A:$E, 5, FALSE), ""), IF(OR(_xlpm.v=0, _xlpm.v=""), "", _xlpm.v))</f>
        <v>female</v>
      </c>
    </row>
    <row r="3426" spans="1:9" x14ac:dyDescent="0.6">
      <c r="A3426">
        <v>709</v>
      </c>
      <c r="B3426" t="s">
        <v>14</v>
      </c>
      <c r="C3426" t="s">
        <v>10</v>
      </c>
      <c r="D3426">
        <v>255.56</v>
      </c>
      <c r="E3426">
        <v>120.34</v>
      </c>
      <c r="F3426">
        <v>20974</v>
      </c>
      <c r="H3426">
        <f>_xlfn.LET(_xlpm.v, IFERROR(VLOOKUP($A3426, manifest!$A:$E, 3, FALSE), ""), IF(OR(_xlpm.v=0, _xlpm.v=""), "", _xlpm.v))</f>
        <v>70</v>
      </c>
      <c r="I3426" t="str">
        <f>_xlfn.LET(_xlpm.v, IFERROR(VLOOKUP($A3426, manifest!$A:$E, 5, FALSE), ""), IF(OR(_xlpm.v=0, _xlpm.v=""), "", _xlpm.v))</f>
        <v>female</v>
      </c>
    </row>
    <row r="3427" spans="1:9" x14ac:dyDescent="0.6">
      <c r="A3427">
        <v>709</v>
      </c>
      <c r="B3427" t="s">
        <v>14</v>
      </c>
      <c r="C3427" t="s">
        <v>11</v>
      </c>
      <c r="D3427">
        <v>252.42</v>
      </c>
      <c r="E3427">
        <v>125.84</v>
      </c>
      <c r="F3427">
        <v>24668</v>
      </c>
      <c r="H3427">
        <f>_xlfn.LET(_xlpm.v, IFERROR(VLOOKUP($A3427, manifest!$A:$E, 3, FALSE), ""), IF(OR(_xlpm.v=0, _xlpm.v=""), "", _xlpm.v))</f>
        <v>70</v>
      </c>
      <c r="I3427" t="str">
        <f>_xlfn.LET(_xlpm.v, IFERROR(VLOOKUP($A3427, manifest!$A:$E, 5, FALSE), ""), IF(OR(_xlpm.v=0, _xlpm.v=""), "", _xlpm.v))</f>
        <v>female</v>
      </c>
    </row>
    <row r="3428" spans="1:9" x14ac:dyDescent="0.6">
      <c r="A3428">
        <v>709</v>
      </c>
      <c r="B3428" t="s">
        <v>14</v>
      </c>
      <c r="C3428" t="s">
        <v>12</v>
      </c>
      <c r="D3428">
        <v>257.58</v>
      </c>
      <c r="E3428">
        <v>149.43</v>
      </c>
      <c r="F3428">
        <v>36647</v>
      </c>
      <c r="H3428">
        <f>_xlfn.LET(_xlpm.v, IFERROR(VLOOKUP($A3428, manifest!$A:$E, 3, FALSE), ""), IF(OR(_xlpm.v=0, _xlpm.v=""), "", _xlpm.v))</f>
        <v>70</v>
      </c>
      <c r="I3428" t="str">
        <f>_xlfn.LET(_xlpm.v, IFERROR(VLOOKUP($A3428, manifest!$A:$E, 5, FALSE), ""), IF(OR(_xlpm.v=0, _xlpm.v=""), "", _xlpm.v))</f>
        <v>female</v>
      </c>
    </row>
    <row r="3429" spans="1:9" x14ac:dyDescent="0.6">
      <c r="A3429">
        <v>709</v>
      </c>
      <c r="B3429" t="s">
        <v>14</v>
      </c>
      <c r="C3429" t="s">
        <v>13</v>
      </c>
      <c r="D3429">
        <v>258.77999999999997</v>
      </c>
      <c r="E3429">
        <v>150.21</v>
      </c>
      <c r="F3429">
        <v>38016</v>
      </c>
      <c r="H3429">
        <f>_xlfn.LET(_xlpm.v, IFERROR(VLOOKUP($A3429, manifest!$A:$E, 3, FALSE), ""), IF(OR(_xlpm.v=0, _xlpm.v=""), "", _xlpm.v))</f>
        <v>70</v>
      </c>
      <c r="I3429" t="str">
        <f>_xlfn.LET(_xlpm.v, IFERROR(VLOOKUP($A3429, manifest!$A:$E, 5, FALSE), ""), IF(OR(_xlpm.v=0, _xlpm.v=""), "", _xlpm.v))</f>
        <v>female</v>
      </c>
    </row>
    <row r="3430" spans="1:9" x14ac:dyDescent="0.6">
      <c r="A3430">
        <v>728</v>
      </c>
      <c r="B3430" t="s">
        <v>14</v>
      </c>
      <c r="C3430" t="s">
        <v>8</v>
      </c>
      <c r="D3430">
        <v>148.41999999999999</v>
      </c>
      <c r="E3430">
        <v>98.73</v>
      </c>
      <c r="F3430">
        <v>41630</v>
      </c>
      <c r="G3430" t="s">
        <v>15</v>
      </c>
      <c r="H3430">
        <f>_xlfn.LET(_xlpm.v, IFERROR(VLOOKUP($A3430, manifest!$A:$E, 3, FALSE), ""), IF(OR(_xlpm.v=0, _xlpm.v=""), "", _xlpm.v))</f>
        <v>66</v>
      </c>
      <c r="I3430" t="str">
        <f>_xlfn.LET(_xlpm.v, IFERROR(VLOOKUP($A3430, manifest!$A:$E, 5, FALSE), ""), IF(OR(_xlpm.v=0, _xlpm.v=""), "", _xlpm.v))</f>
        <v>male</v>
      </c>
    </row>
    <row r="3431" spans="1:9" x14ac:dyDescent="0.6">
      <c r="A3431">
        <v>728</v>
      </c>
      <c r="B3431" t="s">
        <v>14</v>
      </c>
      <c r="C3431" t="s">
        <v>10</v>
      </c>
      <c r="D3431">
        <v>142.87</v>
      </c>
      <c r="E3431">
        <v>102.99</v>
      </c>
      <c r="F3431">
        <v>42108</v>
      </c>
      <c r="H3431">
        <f>_xlfn.LET(_xlpm.v, IFERROR(VLOOKUP($A3431, manifest!$A:$E, 3, FALSE), ""), IF(OR(_xlpm.v=0, _xlpm.v=""), "", _xlpm.v))</f>
        <v>66</v>
      </c>
      <c r="I3431" t="str">
        <f>_xlfn.LET(_xlpm.v, IFERROR(VLOOKUP($A3431, manifest!$A:$E, 5, FALSE), ""), IF(OR(_xlpm.v=0, _xlpm.v=""), "", _xlpm.v))</f>
        <v>male</v>
      </c>
    </row>
    <row r="3432" spans="1:9" x14ac:dyDescent="0.6">
      <c r="A3432">
        <v>728</v>
      </c>
      <c r="B3432" t="s">
        <v>14</v>
      </c>
      <c r="C3432" t="s">
        <v>11</v>
      </c>
      <c r="D3432">
        <v>139.91999999999999</v>
      </c>
      <c r="E3432">
        <v>116.38</v>
      </c>
      <c r="F3432">
        <v>41750</v>
      </c>
      <c r="H3432">
        <f>_xlfn.LET(_xlpm.v, IFERROR(VLOOKUP($A3432, manifest!$A:$E, 3, FALSE), ""), IF(OR(_xlpm.v=0, _xlpm.v=""), "", _xlpm.v))</f>
        <v>66</v>
      </c>
      <c r="I3432" t="str">
        <f>_xlfn.LET(_xlpm.v, IFERROR(VLOOKUP($A3432, manifest!$A:$E, 5, FALSE), ""), IF(OR(_xlpm.v=0, _xlpm.v=""), "", _xlpm.v))</f>
        <v>male</v>
      </c>
    </row>
    <row r="3433" spans="1:9" x14ac:dyDescent="0.6">
      <c r="A3433">
        <v>728</v>
      </c>
      <c r="B3433" t="s">
        <v>14</v>
      </c>
      <c r="C3433" t="s">
        <v>12</v>
      </c>
      <c r="D3433">
        <v>132.52000000000001</v>
      </c>
      <c r="E3433">
        <v>102.93</v>
      </c>
      <c r="F3433">
        <v>53168</v>
      </c>
      <c r="H3433">
        <f>_xlfn.LET(_xlpm.v, IFERROR(VLOOKUP($A3433, manifest!$A:$E, 3, FALSE), ""), IF(OR(_xlpm.v=0, _xlpm.v=""), "", _xlpm.v))</f>
        <v>66</v>
      </c>
      <c r="I3433" t="str">
        <f>_xlfn.LET(_xlpm.v, IFERROR(VLOOKUP($A3433, manifest!$A:$E, 5, FALSE), ""), IF(OR(_xlpm.v=0, _xlpm.v=""), "", _xlpm.v))</f>
        <v>male</v>
      </c>
    </row>
    <row r="3434" spans="1:9" x14ac:dyDescent="0.6">
      <c r="A3434">
        <v>728</v>
      </c>
      <c r="B3434" t="s">
        <v>14</v>
      </c>
      <c r="C3434" t="s">
        <v>13</v>
      </c>
      <c r="D3434">
        <v>138.07</v>
      </c>
      <c r="E3434">
        <v>90.71</v>
      </c>
      <c r="F3434">
        <v>61437</v>
      </c>
      <c r="H3434">
        <f>_xlfn.LET(_xlpm.v, IFERROR(VLOOKUP($A3434, manifest!$A:$E, 3, FALSE), ""), IF(OR(_xlpm.v=0, _xlpm.v=""), "", _xlpm.v))</f>
        <v>66</v>
      </c>
      <c r="I3434" t="str">
        <f>_xlfn.LET(_xlpm.v, IFERROR(VLOOKUP($A3434, manifest!$A:$E, 5, FALSE), ""), IF(OR(_xlpm.v=0, _xlpm.v=""), "", _xlpm.v))</f>
        <v>male</v>
      </c>
    </row>
    <row r="3435" spans="1:9" x14ac:dyDescent="0.6">
      <c r="A3435">
        <v>699</v>
      </c>
      <c r="B3435" t="s">
        <v>7</v>
      </c>
      <c r="C3435" t="s">
        <v>8</v>
      </c>
      <c r="D3435">
        <v>209.79</v>
      </c>
      <c r="E3435">
        <v>132.93</v>
      </c>
      <c r="F3435">
        <v>30009</v>
      </c>
      <c r="G3435" t="s">
        <v>9</v>
      </c>
      <c r="H3435">
        <f>_xlfn.LET(_xlpm.v, IFERROR(VLOOKUP($A3435, manifest!$A:$E, 3, FALSE), ""), IF(OR(_xlpm.v=0, _xlpm.v=""), "", _xlpm.v))</f>
        <v>70</v>
      </c>
      <c r="I3435" t="str">
        <f>_xlfn.LET(_xlpm.v, IFERROR(VLOOKUP($A3435, manifest!$A:$E, 5, FALSE), ""), IF(OR(_xlpm.v=0, _xlpm.v=""), "", _xlpm.v))</f>
        <v>male</v>
      </c>
    </row>
    <row r="3436" spans="1:9" x14ac:dyDescent="0.6">
      <c r="A3436">
        <v>699</v>
      </c>
      <c r="B3436" t="s">
        <v>7</v>
      </c>
      <c r="C3436" t="s">
        <v>10</v>
      </c>
      <c r="D3436">
        <v>213.9</v>
      </c>
      <c r="E3436">
        <v>139.22999999999999</v>
      </c>
      <c r="F3436">
        <v>33330</v>
      </c>
      <c r="H3436">
        <f>_xlfn.LET(_xlpm.v, IFERROR(VLOOKUP($A3436, manifest!$A:$E, 3, FALSE), ""), IF(OR(_xlpm.v=0, _xlpm.v=""), "", _xlpm.v))</f>
        <v>70</v>
      </c>
      <c r="I3436" t="str">
        <f>_xlfn.LET(_xlpm.v, IFERROR(VLOOKUP($A3436, manifest!$A:$E, 5, FALSE), ""), IF(OR(_xlpm.v=0, _xlpm.v=""), "", _xlpm.v))</f>
        <v>male</v>
      </c>
    </row>
    <row r="3437" spans="1:9" x14ac:dyDescent="0.6">
      <c r="A3437">
        <v>699</v>
      </c>
      <c r="B3437" t="s">
        <v>7</v>
      </c>
      <c r="C3437" t="s">
        <v>11</v>
      </c>
      <c r="D3437">
        <v>211.71</v>
      </c>
      <c r="E3437">
        <v>148.51</v>
      </c>
      <c r="F3437">
        <v>37703</v>
      </c>
      <c r="H3437">
        <f>_xlfn.LET(_xlpm.v, IFERROR(VLOOKUP($A3437, manifest!$A:$E, 3, FALSE), ""), IF(OR(_xlpm.v=0, _xlpm.v=""), "", _xlpm.v))</f>
        <v>70</v>
      </c>
      <c r="I3437" t="str">
        <f>_xlfn.LET(_xlpm.v, IFERROR(VLOOKUP($A3437, manifest!$A:$E, 5, FALSE), ""), IF(OR(_xlpm.v=0, _xlpm.v=""), "", _xlpm.v))</f>
        <v>male</v>
      </c>
    </row>
    <row r="3438" spans="1:9" x14ac:dyDescent="0.6">
      <c r="A3438">
        <v>699</v>
      </c>
      <c r="B3438" t="s">
        <v>7</v>
      </c>
      <c r="C3438" t="s">
        <v>12</v>
      </c>
      <c r="D3438">
        <v>226.46</v>
      </c>
      <c r="E3438">
        <v>163.09</v>
      </c>
      <c r="F3438">
        <v>51730</v>
      </c>
      <c r="H3438">
        <f>_xlfn.LET(_xlpm.v, IFERROR(VLOOKUP($A3438, manifest!$A:$E, 3, FALSE), ""), IF(OR(_xlpm.v=0, _xlpm.v=""), "", _xlpm.v))</f>
        <v>70</v>
      </c>
      <c r="I3438" t="str">
        <f>_xlfn.LET(_xlpm.v, IFERROR(VLOOKUP($A3438, manifest!$A:$E, 5, FALSE), ""), IF(OR(_xlpm.v=0, _xlpm.v=""), "", _xlpm.v))</f>
        <v>male</v>
      </c>
    </row>
    <row r="3439" spans="1:9" x14ac:dyDescent="0.6">
      <c r="A3439">
        <v>699</v>
      </c>
      <c r="B3439" t="s">
        <v>7</v>
      </c>
      <c r="C3439" t="s">
        <v>13</v>
      </c>
      <c r="D3439">
        <v>252.63</v>
      </c>
      <c r="E3439">
        <v>169.88</v>
      </c>
      <c r="F3439">
        <v>55043</v>
      </c>
      <c r="H3439">
        <f>_xlfn.LET(_xlpm.v, IFERROR(VLOOKUP($A3439, manifest!$A:$E, 3, FALSE), ""), IF(OR(_xlpm.v=0, _xlpm.v=""), "", _xlpm.v))</f>
        <v>70</v>
      </c>
      <c r="I3439" t="str">
        <f>_xlfn.LET(_xlpm.v, IFERROR(VLOOKUP($A3439, manifest!$A:$E, 5, FALSE), ""), IF(OR(_xlpm.v=0, _xlpm.v=""), "", _xlpm.v))</f>
        <v>male</v>
      </c>
    </row>
    <row r="3440" spans="1:9" x14ac:dyDescent="0.6">
      <c r="A3440">
        <v>699</v>
      </c>
      <c r="B3440" t="s">
        <v>7</v>
      </c>
      <c r="C3440" t="s">
        <v>16</v>
      </c>
      <c r="D3440">
        <v>241.39</v>
      </c>
      <c r="E3440">
        <v>167.38</v>
      </c>
      <c r="F3440">
        <v>51898</v>
      </c>
      <c r="H3440">
        <f>_xlfn.LET(_xlpm.v, IFERROR(VLOOKUP($A3440, manifest!$A:$E, 3, FALSE), ""), IF(OR(_xlpm.v=0, _xlpm.v=""), "", _xlpm.v))</f>
        <v>70</v>
      </c>
      <c r="I3440" t="str">
        <f>_xlfn.LET(_xlpm.v, IFERROR(VLOOKUP($A3440, manifest!$A:$E, 5, FALSE), ""), IF(OR(_xlpm.v=0, _xlpm.v=""), "", _xlpm.v))</f>
        <v>male</v>
      </c>
    </row>
    <row r="3441" spans="1:9" x14ac:dyDescent="0.6">
      <c r="A3441">
        <v>733</v>
      </c>
      <c r="B3441" t="s">
        <v>14</v>
      </c>
      <c r="C3441" t="s">
        <v>8</v>
      </c>
      <c r="D3441">
        <v>200.56</v>
      </c>
      <c r="E3441">
        <v>83.85</v>
      </c>
      <c r="F3441">
        <v>24396</v>
      </c>
      <c r="G3441" t="s">
        <v>9</v>
      </c>
      <c r="H3441">
        <f>_xlfn.LET(_xlpm.v, IFERROR(VLOOKUP($A3441, manifest!$A:$E, 3, FALSE), ""), IF(OR(_xlpm.v=0, _xlpm.v=""), "", _xlpm.v))</f>
        <v>54</v>
      </c>
      <c r="I3441" t="str">
        <f>_xlfn.LET(_xlpm.v, IFERROR(VLOOKUP($A3441, manifest!$A:$E, 5, FALSE), ""), IF(OR(_xlpm.v=0, _xlpm.v=""), "", _xlpm.v))</f>
        <v>female</v>
      </c>
    </row>
    <row r="3442" spans="1:9" x14ac:dyDescent="0.6">
      <c r="A3442">
        <v>733</v>
      </c>
      <c r="B3442" t="s">
        <v>14</v>
      </c>
      <c r="C3442" t="s">
        <v>10</v>
      </c>
      <c r="D3442">
        <v>194.29</v>
      </c>
      <c r="E3442">
        <v>98.68</v>
      </c>
      <c r="F3442">
        <v>28306</v>
      </c>
      <c r="H3442">
        <f>_xlfn.LET(_xlpm.v, IFERROR(VLOOKUP($A3442, manifest!$A:$E, 3, FALSE), ""), IF(OR(_xlpm.v=0, _xlpm.v=""), "", _xlpm.v))</f>
        <v>54</v>
      </c>
      <c r="I3442" t="str">
        <f>_xlfn.LET(_xlpm.v, IFERROR(VLOOKUP($A3442, manifest!$A:$E, 5, FALSE), ""), IF(OR(_xlpm.v=0, _xlpm.v=""), "", _xlpm.v))</f>
        <v>female</v>
      </c>
    </row>
    <row r="3443" spans="1:9" x14ac:dyDescent="0.6">
      <c r="A3443">
        <v>733</v>
      </c>
      <c r="B3443" t="s">
        <v>14</v>
      </c>
      <c r="C3443" t="s">
        <v>11</v>
      </c>
      <c r="D3443">
        <v>193.94</v>
      </c>
      <c r="E3443">
        <v>115.1</v>
      </c>
      <c r="F3443">
        <v>31997</v>
      </c>
      <c r="H3443">
        <f>_xlfn.LET(_xlpm.v, IFERROR(VLOOKUP($A3443, manifest!$A:$E, 3, FALSE), ""), IF(OR(_xlpm.v=0, _xlpm.v=""), "", _xlpm.v))</f>
        <v>54</v>
      </c>
      <c r="I3443" t="str">
        <f>_xlfn.LET(_xlpm.v, IFERROR(VLOOKUP($A3443, manifest!$A:$E, 5, FALSE), ""), IF(OR(_xlpm.v=0, _xlpm.v=""), "", _xlpm.v))</f>
        <v>female</v>
      </c>
    </row>
    <row r="3444" spans="1:9" x14ac:dyDescent="0.6">
      <c r="A3444">
        <v>733</v>
      </c>
      <c r="B3444" t="s">
        <v>14</v>
      </c>
      <c r="C3444" t="s">
        <v>12</v>
      </c>
      <c r="D3444">
        <v>197.22</v>
      </c>
      <c r="E3444">
        <v>165.89</v>
      </c>
      <c r="F3444">
        <v>36708</v>
      </c>
      <c r="H3444">
        <f>_xlfn.LET(_xlpm.v, IFERROR(VLOOKUP($A3444, manifest!$A:$E, 3, FALSE), ""), IF(OR(_xlpm.v=0, _xlpm.v=""), "", _xlpm.v))</f>
        <v>54</v>
      </c>
      <c r="I3444" t="str">
        <f>_xlfn.LET(_xlpm.v, IFERROR(VLOOKUP($A3444, manifest!$A:$E, 5, FALSE), ""), IF(OR(_xlpm.v=0, _xlpm.v=""), "", _xlpm.v))</f>
        <v>female</v>
      </c>
    </row>
    <row r="3445" spans="1:9" x14ac:dyDescent="0.6">
      <c r="A3445">
        <v>733</v>
      </c>
      <c r="B3445" t="s">
        <v>14</v>
      </c>
      <c r="C3445" t="s">
        <v>13</v>
      </c>
      <c r="D3445">
        <v>207.62</v>
      </c>
      <c r="E3445">
        <v>155.74</v>
      </c>
      <c r="F3445">
        <v>47728</v>
      </c>
      <c r="H3445">
        <f>_xlfn.LET(_xlpm.v, IFERROR(VLOOKUP($A3445, manifest!$A:$E, 3, FALSE), ""), IF(OR(_xlpm.v=0, _xlpm.v=""), "", _xlpm.v))</f>
        <v>54</v>
      </c>
      <c r="I3445" t="str">
        <f>_xlfn.LET(_xlpm.v, IFERROR(VLOOKUP($A3445, manifest!$A:$E, 5, FALSE), ""), IF(OR(_xlpm.v=0, _xlpm.v=""), "", _xlpm.v))</f>
        <v>female</v>
      </c>
    </row>
    <row r="3446" spans="1:9" x14ac:dyDescent="0.6">
      <c r="A3446">
        <v>697</v>
      </c>
      <c r="B3446" t="s">
        <v>7</v>
      </c>
      <c r="C3446" t="s">
        <v>8</v>
      </c>
      <c r="D3446">
        <v>172.95</v>
      </c>
      <c r="E3446">
        <v>101.9</v>
      </c>
      <c r="F3446">
        <v>31667</v>
      </c>
      <c r="G3446" t="s">
        <v>9</v>
      </c>
      <c r="H3446">
        <f>_xlfn.LET(_xlpm.v, IFERROR(VLOOKUP($A3446, manifest!$A:$E, 3, FALSE), ""), IF(OR(_xlpm.v=0, _xlpm.v=""), "", _xlpm.v))</f>
        <v>60</v>
      </c>
      <c r="I3446" t="str">
        <f>_xlfn.LET(_xlpm.v, IFERROR(VLOOKUP($A3446, manifest!$A:$E, 5, FALSE), ""), IF(OR(_xlpm.v=0, _xlpm.v=""), "", _xlpm.v))</f>
        <v>male</v>
      </c>
    </row>
    <row r="3447" spans="1:9" x14ac:dyDescent="0.6">
      <c r="A3447">
        <v>697</v>
      </c>
      <c r="B3447" t="s">
        <v>7</v>
      </c>
      <c r="C3447" t="s">
        <v>10</v>
      </c>
      <c r="D3447">
        <v>232.46</v>
      </c>
      <c r="E3447">
        <v>226.96</v>
      </c>
      <c r="F3447">
        <v>27862</v>
      </c>
      <c r="H3447">
        <f>_xlfn.LET(_xlpm.v, IFERROR(VLOOKUP($A3447, manifest!$A:$E, 3, FALSE), ""), IF(OR(_xlpm.v=0, _xlpm.v=""), "", _xlpm.v))</f>
        <v>60</v>
      </c>
      <c r="I3447" t="str">
        <f>_xlfn.LET(_xlpm.v, IFERROR(VLOOKUP($A3447, manifest!$A:$E, 5, FALSE), ""), IF(OR(_xlpm.v=0, _xlpm.v=""), "", _xlpm.v))</f>
        <v>male</v>
      </c>
    </row>
    <row r="3448" spans="1:9" x14ac:dyDescent="0.6">
      <c r="A3448">
        <v>697</v>
      </c>
      <c r="B3448" t="s">
        <v>7</v>
      </c>
      <c r="C3448" t="s">
        <v>11</v>
      </c>
      <c r="D3448">
        <v>236.65</v>
      </c>
      <c r="E3448">
        <v>223.06</v>
      </c>
      <c r="F3448">
        <v>36072</v>
      </c>
      <c r="H3448">
        <f>_xlfn.LET(_xlpm.v, IFERROR(VLOOKUP($A3448, manifest!$A:$E, 3, FALSE), ""), IF(OR(_xlpm.v=0, _xlpm.v=""), "", _xlpm.v))</f>
        <v>60</v>
      </c>
      <c r="I3448" t="str">
        <f>_xlfn.LET(_xlpm.v, IFERROR(VLOOKUP($A3448, manifest!$A:$E, 5, FALSE), ""), IF(OR(_xlpm.v=0, _xlpm.v=""), "", _xlpm.v))</f>
        <v>male</v>
      </c>
    </row>
    <row r="3449" spans="1:9" x14ac:dyDescent="0.6">
      <c r="A3449">
        <v>697</v>
      </c>
      <c r="B3449" t="s">
        <v>7</v>
      </c>
      <c r="C3449" t="s">
        <v>12</v>
      </c>
      <c r="D3449">
        <v>222.33</v>
      </c>
      <c r="E3449">
        <v>215.48</v>
      </c>
      <c r="F3449">
        <v>40995</v>
      </c>
      <c r="H3449">
        <f>_xlfn.LET(_xlpm.v, IFERROR(VLOOKUP($A3449, manifest!$A:$E, 3, FALSE), ""), IF(OR(_xlpm.v=0, _xlpm.v=""), "", _xlpm.v))</f>
        <v>60</v>
      </c>
      <c r="I3449" t="str">
        <f>_xlfn.LET(_xlpm.v, IFERROR(VLOOKUP($A3449, manifest!$A:$E, 5, FALSE), ""), IF(OR(_xlpm.v=0, _xlpm.v=""), "", _xlpm.v))</f>
        <v>male</v>
      </c>
    </row>
    <row r="3450" spans="1:9" x14ac:dyDescent="0.6">
      <c r="A3450">
        <v>697</v>
      </c>
      <c r="B3450" t="s">
        <v>7</v>
      </c>
      <c r="C3450" t="s">
        <v>13</v>
      </c>
      <c r="D3450">
        <v>229.98</v>
      </c>
      <c r="E3450">
        <v>212.51</v>
      </c>
      <c r="F3450">
        <v>38426</v>
      </c>
      <c r="H3450">
        <f>_xlfn.LET(_xlpm.v, IFERROR(VLOOKUP($A3450, manifest!$A:$E, 3, FALSE), ""), IF(OR(_xlpm.v=0, _xlpm.v=""), "", _xlpm.v))</f>
        <v>60</v>
      </c>
      <c r="I3450" t="str">
        <f>_xlfn.LET(_xlpm.v, IFERROR(VLOOKUP($A3450, manifest!$A:$E, 5, FALSE), ""), IF(OR(_xlpm.v=0, _xlpm.v=""), "", _xlpm.v))</f>
        <v>male</v>
      </c>
    </row>
    <row r="3451" spans="1:9" x14ac:dyDescent="0.6">
      <c r="A3451">
        <v>734</v>
      </c>
      <c r="B3451" t="s">
        <v>14</v>
      </c>
      <c r="C3451" t="s">
        <v>8</v>
      </c>
      <c r="D3451">
        <v>326.24</v>
      </c>
      <c r="E3451">
        <v>179.74</v>
      </c>
      <c r="F3451">
        <v>25203</v>
      </c>
      <c r="G3451" t="s">
        <v>9</v>
      </c>
      <c r="H3451">
        <f>_xlfn.LET(_xlpm.v, IFERROR(VLOOKUP($A3451, manifest!$A:$E, 3, FALSE), ""), IF(OR(_xlpm.v=0, _xlpm.v=""), "", _xlpm.v))</f>
        <v>51</v>
      </c>
      <c r="I3451" t="str">
        <f>_xlfn.LET(_xlpm.v, IFERROR(VLOOKUP($A3451, manifest!$A:$E, 5, FALSE), ""), IF(OR(_xlpm.v=0, _xlpm.v=""), "", _xlpm.v))</f>
        <v>female</v>
      </c>
    </row>
    <row r="3452" spans="1:9" x14ac:dyDescent="0.6">
      <c r="A3452">
        <v>734</v>
      </c>
      <c r="B3452" t="s">
        <v>14</v>
      </c>
      <c r="C3452" t="s">
        <v>10</v>
      </c>
      <c r="D3452">
        <v>329.66</v>
      </c>
      <c r="E3452">
        <v>232.77</v>
      </c>
      <c r="F3452">
        <v>27524</v>
      </c>
      <c r="H3452">
        <f>_xlfn.LET(_xlpm.v, IFERROR(VLOOKUP($A3452, manifest!$A:$E, 3, FALSE), ""), IF(OR(_xlpm.v=0, _xlpm.v=""), "", _xlpm.v))</f>
        <v>51</v>
      </c>
      <c r="I3452" t="str">
        <f>_xlfn.LET(_xlpm.v, IFERROR(VLOOKUP($A3452, manifest!$A:$E, 5, FALSE), ""), IF(OR(_xlpm.v=0, _xlpm.v=""), "", _xlpm.v))</f>
        <v>female</v>
      </c>
    </row>
    <row r="3453" spans="1:9" x14ac:dyDescent="0.6">
      <c r="A3453">
        <v>734</v>
      </c>
      <c r="B3453" t="s">
        <v>14</v>
      </c>
      <c r="C3453" t="s">
        <v>11</v>
      </c>
      <c r="D3453">
        <v>327.94</v>
      </c>
      <c r="E3453">
        <v>260.23</v>
      </c>
      <c r="F3453">
        <v>28574</v>
      </c>
      <c r="H3453">
        <f>_xlfn.LET(_xlpm.v, IFERROR(VLOOKUP($A3453, manifest!$A:$E, 3, FALSE), ""), IF(OR(_xlpm.v=0, _xlpm.v=""), "", _xlpm.v))</f>
        <v>51</v>
      </c>
      <c r="I3453" t="str">
        <f>_xlfn.LET(_xlpm.v, IFERROR(VLOOKUP($A3453, manifest!$A:$E, 5, FALSE), ""), IF(OR(_xlpm.v=0, _xlpm.v=""), "", _xlpm.v))</f>
        <v>female</v>
      </c>
    </row>
    <row r="3454" spans="1:9" x14ac:dyDescent="0.6">
      <c r="A3454">
        <v>734</v>
      </c>
      <c r="B3454" t="s">
        <v>14</v>
      </c>
      <c r="C3454" t="s">
        <v>12</v>
      </c>
      <c r="D3454">
        <v>348.2</v>
      </c>
      <c r="E3454">
        <v>292.67</v>
      </c>
      <c r="F3454">
        <v>35304</v>
      </c>
      <c r="H3454">
        <f>_xlfn.LET(_xlpm.v, IFERROR(VLOOKUP($A3454, manifest!$A:$E, 3, FALSE), ""), IF(OR(_xlpm.v=0, _xlpm.v=""), "", _xlpm.v))</f>
        <v>51</v>
      </c>
      <c r="I3454" t="str">
        <f>_xlfn.LET(_xlpm.v, IFERROR(VLOOKUP($A3454, manifest!$A:$E, 5, FALSE), ""), IF(OR(_xlpm.v=0, _xlpm.v=""), "", _xlpm.v))</f>
        <v>female</v>
      </c>
    </row>
    <row r="3455" spans="1:9" x14ac:dyDescent="0.6">
      <c r="A3455">
        <v>734</v>
      </c>
      <c r="B3455" t="s">
        <v>14</v>
      </c>
      <c r="C3455" t="s">
        <v>13</v>
      </c>
      <c r="D3455">
        <v>355.09</v>
      </c>
      <c r="E3455">
        <v>284.13</v>
      </c>
      <c r="F3455">
        <v>38509</v>
      </c>
      <c r="H3455">
        <f>_xlfn.LET(_xlpm.v, IFERROR(VLOOKUP($A3455, manifest!$A:$E, 3, FALSE), ""), IF(OR(_xlpm.v=0, _xlpm.v=""), "", _xlpm.v))</f>
        <v>51</v>
      </c>
      <c r="I3455" t="str">
        <f>_xlfn.LET(_xlpm.v, IFERROR(VLOOKUP($A3455, manifest!$A:$E, 5, FALSE), ""), IF(OR(_xlpm.v=0, _xlpm.v=""), "", _xlpm.v))</f>
        <v>female</v>
      </c>
    </row>
    <row r="3456" spans="1:9" x14ac:dyDescent="0.6">
      <c r="A3456">
        <v>731</v>
      </c>
      <c r="B3456" t="s">
        <v>7</v>
      </c>
      <c r="C3456" t="s">
        <v>8</v>
      </c>
      <c r="D3456">
        <v>68.099999999999994</v>
      </c>
      <c r="E3456">
        <v>79.489999999999995</v>
      </c>
      <c r="F3456">
        <v>24597</v>
      </c>
      <c r="G3456" t="s">
        <v>17</v>
      </c>
      <c r="H3456">
        <f>_xlfn.LET(_xlpm.v, IFERROR(VLOOKUP($A3456, manifest!$A:$E, 3, FALSE), ""), IF(OR(_xlpm.v=0, _xlpm.v=""), "", _xlpm.v))</f>
        <v>77</v>
      </c>
      <c r="I3456" t="str">
        <f>_xlfn.LET(_xlpm.v, IFERROR(VLOOKUP($A3456, manifest!$A:$E, 5, FALSE), ""), IF(OR(_xlpm.v=0, _xlpm.v=""), "", _xlpm.v))</f>
        <v>female</v>
      </c>
    </row>
    <row r="3457" spans="1:9" x14ac:dyDescent="0.6">
      <c r="A3457">
        <v>731</v>
      </c>
      <c r="B3457" t="s">
        <v>7</v>
      </c>
      <c r="C3457" t="s">
        <v>10</v>
      </c>
      <c r="D3457">
        <v>81.44</v>
      </c>
      <c r="E3457">
        <v>109.18</v>
      </c>
      <c r="F3457">
        <v>31263</v>
      </c>
      <c r="H3457">
        <f>_xlfn.LET(_xlpm.v, IFERROR(VLOOKUP($A3457, manifest!$A:$E, 3, FALSE), ""), IF(OR(_xlpm.v=0, _xlpm.v=""), "", _xlpm.v))</f>
        <v>77</v>
      </c>
      <c r="I3457" t="str">
        <f>_xlfn.LET(_xlpm.v, IFERROR(VLOOKUP($A3457, manifest!$A:$E, 5, FALSE), ""), IF(OR(_xlpm.v=0, _xlpm.v=""), "", _xlpm.v))</f>
        <v>female</v>
      </c>
    </row>
    <row r="3458" spans="1:9" x14ac:dyDescent="0.6">
      <c r="A3458">
        <v>731</v>
      </c>
      <c r="B3458" t="s">
        <v>7</v>
      </c>
      <c r="C3458" t="s">
        <v>11</v>
      </c>
      <c r="D3458">
        <v>62.16</v>
      </c>
      <c r="E3458">
        <v>87.31</v>
      </c>
      <c r="F3458">
        <v>35139</v>
      </c>
      <c r="H3458">
        <f>_xlfn.LET(_xlpm.v, IFERROR(VLOOKUP($A3458, manifest!$A:$E, 3, FALSE), ""), IF(OR(_xlpm.v=0, _xlpm.v=""), "", _xlpm.v))</f>
        <v>77</v>
      </c>
      <c r="I3458" t="str">
        <f>_xlfn.LET(_xlpm.v, IFERROR(VLOOKUP($A3458, manifest!$A:$E, 5, FALSE), ""), IF(OR(_xlpm.v=0, _xlpm.v=""), "", _xlpm.v))</f>
        <v>female</v>
      </c>
    </row>
    <row r="3459" spans="1:9" x14ac:dyDescent="0.6">
      <c r="A3459">
        <v>731</v>
      </c>
      <c r="B3459" t="s">
        <v>7</v>
      </c>
      <c r="C3459" t="s">
        <v>12</v>
      </c>
      <c r="D3459">
        <v>125.64</v>
      </c>
      <c r="E3459">
        <v>157.61000000000001</v>
      </c>
      <c r="F3459">
        <v>34702</v>
      </c>
      <c r="H3459">
        <f>_xlfn.LET(_xlpm.v, IFERROR(VLOOKUP($A3459, manifest!$A:$E, 3, FALSE), ""), IF(OR(_xlpm.v=0, _xlpm.v=""), "", _xlpm.v))</f>
        <v>77</v>
      </c>
      <c r="I3459" t="str">
        <f>_xlfn.LET(_xlpm.v, IFERROR(VLOOKUP($A3459, manifest!$A:$E, 5, FALSE), ""), IF(OR(_xlpm.v=0, _xlpm.v=""), "", _xlpm.v))</f>
        <v>female</v>
      </c>
    </row>
    <row r="3460" spans="1:9" x14ac:dyDescent="0.6">
      <c r="A3460">
        <v>731</v>
      </c>
      <c r="B3460" t="s">
        <v>7</v>
      </c>
      <c r="C3460" t="s">
        <v>13</v>
      </c>
      <c r="D3460">
        <v>110.85</v>
      </c>
      <c r="E3460">
        <v>148.06</v>
      </c>
      <c r="F3460">
        <v>43806</v>
      </c>
      <c r="H3460">
        <f>_xlfn.LET(_xlpm.v, IFERROR(VLOOKUP($A3460, manifest!$A:$E, 3, FALSE), ""), IF(OR(_xlpm.v=0, _xlpm.v=""), "", _xlpm.v))</f>
        <v>77</v>
      </c>
      <c r="I3460" t="str">
        <f>_xlfn.LET(_xlpm.v, IFERROR(VLOOKUP($A3460, manifest!$A:$E, 5, FALSE), ""), IF(OR(_xlpm.v=0, _xlpm.v=""), "", _xlpm.v))</f>
        <v>female</v>
      </c>
    </row>
    <row r="3461" spans="1:9" x14ac:dyDescent="0.6">
      <c r="A3461">
        <v>722</v>
      </c>
      <c r="B3461" t="s">
        <v>14</v>
      </c>
      <c r="C3461" t="s">
        <v>8</v>
      </c>
      <c r="D3461">
        <v>171.47</v>
      </c>
      <c r="E3461">
        <v>114.94</v>
      </c>
      <c r="F3461">
        <v>18082</v>
      </c>
      <c r="G3461" t="s">
        <v>9</v>
      </c>
      <c r="H3461">
        <f>_xlfn.LET(_xlpm.v, IFERROR(VLOOKUP($A3461, manifest!$A:$E, 3, FALSE), ""), IF(OR(_xlpm.v=0, _xlpm.v=""), "", _xlpm.v))</f>
        <v>76</v>
      </c>
      <c r="I3461" t="str">
        <f>_xlfn.LET(_xlpm.v, IFERROR(VLOOKUP($A3461, manifest!$A:$E, 5, FALSE), ""), IF(OR(_xlpm.v=0, _xlpm.v=""), "", _xlpm.v))</f>
        <v>female</v>
      </c>
    </row>
    <row r="3462" spans="1:9" x14ac:dyDescent="0.6">
      <c r="A3462">
        <v>722</v>
      </c>
      <c r="B3462" t="s">
        <v>14</v>
      </c>
      <c r="C3462" t="s">
        <v>10</v>
      </c>
      <c r="D3462">
        <v>184.09</v>
      </c>
      <c r="E3462">
        <v>123.28</v>
      </c>
      <c r="F3462">
        <v>19812</v>
      </c>
      <c r="H3462">
        <f>_xlfn.LET(_xlpm.v, IFERROR(VLOOKUP($A3462, manifest!$A:$E, 3, FALSE), ""), IF(OR(_xlpm.v=0, _xlpm.v=""), "", _xlpm.v))</f>
        <v>76</v>
      </c>
      <c r="I3462" t="str">
        <f>_xlfn.LET(_xlpm.v, IFERROR(VLOOKUP($A3462, manifest!$A:$E, 5, FALSE), ""), IF(OR(_xlpm.v=0, _xlpm.v=""), "", _xlpm.v))</f>
        <v>female</v>
      </c>
    </row>
    <row r="3463" spans="1:9" x14ac:dyDescent="0.6">
      <c r="A3463">
        <v>722</v>
      </c>
      <c r="B3463" t="s">
        <v>14</v>
      </c>
      <c r="C3463" t="s">
        <v>11</v>
      </c>
      <c r="D3463">
        <v>175.45</v>
      </c>
      <c r="E3463">
        <v>136</v>
      </c>
      <c r="F3463">
        <v>23230</v>
      </c>
      <c r="H3463">
        <f>_xlfn.LET(_xlpm.v, IFERROR(VLOOKUP($A3463, manifest!$A:$E, 3, FALSE), ""), IF(OR(_xlpm.v=0, _xlpm.v=""), "", _xlpm.v))</f>
        <v>76</v>
      </c>
      <c r="I3463" t="str">
        <f>_xlfn.LET(_xlpm.v, IFERROR(VLOOKUP($A3463, manifest!$A:$E, 5, FALSE), ""), IF(OR(_xlpm.v=0, _xlpm.v=""), "", _xlpm.v))</f>
        <v>female</v>
      </c>
    </row>
    <row r="3464" spans="1:9" x14ac:dyDescent="0.6">
      <c r="A3464">
        <v>722</v>
      </c>
      <c r="B3464" t="s">
        <v>14</v>
      </c>
      <c r="C3464" t="s">
        <v>12</v>
      </c>
      <c r="D3464">
        <v>177.98</v>
      </c>
      <c r="E3464">
        <v>159.5</v>
      </c>
      <c r="F3464">
        <v>28829</v>
      </c>
      <c r="H3464">
        <f>_xlfn.LET(_xlpm.v, IFERROR(VLOOKUP($A3464, manifest!$A:$E, 3, FALSE), ""), IF(OR(_xlpm.v=0, _xlpm.v=""), "", _xlpm.v))</f>
        <v>76</v>
      </c>
      <c r="I3464" t="str">
        <f>_xlfn.LET(_xlpm.v, IFERROR(VLOOKUP($A3464, manifest!$A:$E, 5, FALSE), ""), IF(OR(_xlpm.v=0, _xlpm.v=""), "", _xlpm.v))</f>
        <v>female</v>
      </c>
    </row>
    <row r="3465" spans="1:9" x14ac:dyDescent="0.6">
      <c r="A3465">
        <v>722</v>
      </c>
      <c r="B3465" t="s">
        <v>14</v>
      </c>
      <c r="C3465" t="s">
        <v>13</v>
      </c>
      <c r="D3465">
        <v>185.56</v>
      </c>
      <c r="E3465">
        <v>135.30000000000001</v>
      </c>
      <c r="F3465">
        <v>34166</v>
      </c>
      <c r="H3465">
        <f>_xlfn.LET(_xlpm.v, IFERROR(VLOOKUP($A3465, manifest!$A:$E, 3, FALSE), ""), IF(OR(_xlpm.v=0, _xlpm.v=""), "", _xlpm.v))</f>
        <v>76</v>
      </c>
      <c r="I3465" t="str">
        <f>_xlfn.LET(_xlpm.v, IFERROR(VLOOKUP($A3465, manifest!$A:$E, 5, FALSE), ""), IF(OR(_xlpm.v=0, _xlpm.v=""), "", _xlpm.v))</f>
        <v>female</v>
      </c>
    </row>
    <row r="3466" spans="1:9" x14ac:dyDescent="0.6">
      <c r="A3466">
        <v>735</v>
      </c>
      <c r="B3466" t="s">
        <v>14</v>
      </c>
      <c r="C3466" t="s">
        <v>8</v>
      </c>
      <c r="D3466">
        <v>117</v>
      </c>
      <c r="E3466">
        <v>102.31</v>
      </c>
      <c r="F3466">
        <v>13673</v>
      </c>
      <c r="G3466" t="s">
        <v>15</v>
      </c>
      <c r="H3466">
        <f>_xlfn.LET(_xlpm.v, IFERROR(VLOOKUP($A3466, manifest!$A:$E, 3, FALSE), ""), IF(OR(_xlpm.v=0, _xlpm.v=""), "", _xlpm.v))</f>
        <v>81</v>
      </c>
      <c r="I3466" t="str">
        <f>_xlfn.LET(_xlpm.v, IFERROR(VLOOKUP($A3466, manifest!$A:$E, 5, FALSE), ""), IF(OR(_xlpm.v=0, _xlpm.v=""), "", _xlpm.v))</f>
        <v>female</v>
      </c>
    </row>
    <row r="3467" spans="1:9" x14ac:dyDescent="0.6">
      <c r="A3467">
        <v>735</v>
      </c>
      <c r="B3467" t="s">
        <v>14</v>
      </c>
      <c r="C3467" t="s">
        <v>10</v>
      </c>
      <c r="D3467">
        <v>122.98</v>
      </c>
      <c r="E3467">
        <v>129.07</v>
      </c>
      <c r="F3467">
        <v>18749</v>
      </c>
      <c r="H3467">
        <f>_xlfn.LET(_xlpm.v, IFERROR(VLOOKUP($A3467, manifest!$A:$E, 3, FALSE), ""), IF(OR(_xlpm.v=0, _xlpm.v=""), "", _xlpm.v))</f>
        <v>81</v>
      </c>
      <c r="I3467" t="str">
        <f>_xlfn.LET(_xlpm.v, IFERROR(VLOOKUP($A3467, manifest!$A:$E, 5, FALSE), ""), IF(OR(_xlpm.v=0, _xlpm.v=""), "", _xlpm.v))</f>
        <v>female</v>
      </c>
    </row>
    <row r="3468" spans="1:9" x14ac:dyDescent="0.6">
      <c r="A3468">
        <v>735</v>
      </c>
      <c r="B3468" t="s">
        <v>14</v>
      </c>
      <c r="C3468" t="s">
        <v>11</v>
      </c>
      <c r="D3468">
        <v>126.56</v>
      </c>
      <c r="E3468">
        <v>139.47999999999999</v>
      </c>
      <c r="F3468">
        <v>18530</v>
      </c>
      <c r="H3468">
        <f>_xlfn.LET(_xlpm.v, IFERROR(VLOOKUP($A3468, manifest!$A:$E, 3, FALSE), ""), IF(OR(_xlpm.v=0, _xlpm.v=""), "", _xlpm.v))</f>
        <v>81</v>
      </c>
      <c r="I3468" t="str">
        <f>_xlfn.LET(_xlpm.v, IFERROR(VLOOKUP($A3468, manifest!$A:$E, 5, FALSE), ""), IF(OR(_xlpm.v=0, _xlpm.v=""), "", _xlpm.v))</f>
        <v>female</v>
      </c>
    </row>
    <row r="3469" spans="1:9" x14ac:dyDescent="0.6">
      <c r="A3469">
        <v>735</v>
      </c>
      <c r="B3469" t="s">
        <v>14</v>
      </c>
      <c r="C3469" t="s">
        <v>12</v>
      </c>
      <c r="D3469">
        <v>123.32</v>
      </c>
      <c r="E3469">
        <v>144.99</v>
      </c>
      <c r="F3469">
        <v>23112</v>
      </c>
      <c r="H3469">
        <f>_xlfn.LET(_xlpm.v, IFERROR(VLOOKUP($A3469, manifest!$A:$E, 3, FALSE), ""), IF(OR(_xlpm.v=0, _xlpm.v=""), "", _xlpm.v))</f>
        <v>81</v>
      </c>
      <c r="I3469" t="str">
        <f>_xlfn.LET(_xlpm.v, IFERROR(VLOOKUP($A3469, manifest!$A:$E, 5, FALSE), ""), IF(OR(_xlpm.v=0, _xlpm.v=""), "", _xlpm.v))</f>
        <v>female</v>
      </c>
    </row>
    <row r="3470" spans="1:9" x14ac:dyDescent="0.6">
      <c r="A3470">
        <v>735</v>
      </c>
      <c r="B3470" t="s">
        <v>14</v>
      </c>
      <c r="C3470" t="s">
        <v>13</v>
      </c>
      <c r="D3470">
        <v>129.56</v>
      </c>
      <c r="E3470">
        <v>119.28</v>
      </c>
      <c r="F3470">
        <v>26781</v>
      </c>
      <c r="H3470">
        <f>_xlfn.LET(_xlpm.v, IFERROR(VLOOKUP($A3470, manifest!$A:$E, 3, FALSE), ""), IF(OR(_xlpm.v=0, _xlpm.v=""), "", _xlpm.v))</f>
        <v>81</v>
      </c>
      <c r="I3470" t="str">
        <f>_xlfn.LET(_xlpm.v, IFERROR(VLOOKUP($A3470, manifest!$A:$E, 5, FALSE), ""), IF(OR(_xlpm.v=0, _xlpm.v=""), "", _xlpm.v))</f>
        <v>female</v>
      </c>
    </row>
    <row r="3471" spans="1:9" x14ac:dyDescent="0.6">
      <c r="A3471">
        <v>715</v>
      </c>
      <c r="B3471" t="s">
        <v>7</v>
      </c>
      <c r="C3471" t="s">
        <v>8</v>
      </c>
      <c r="D3471">
        <v>234.66</v>
      </c>
      <c r="E3471">
        <v>172.02</v>
      </c>
      <c r="F3471">
        <v>23945</v>
      </c>
      <c r="G3471" t="s">
        <v>9</v>
      </c>
      <c r="H3471">
        <f>_xlfn.LET(_xlpm.v, IFERROR(VLOOKUP($A3471, manifest!$A:$E, 3, FALSE), ""), IF(OR(_xlpm.v=0, _xlpm.v=""), "", _xlpm.v))</f>
        <v>67</v>
      </c>
      <c r="I3471" t="str">
        <f>_xlfn.LET(_xlpm.v, IFERROR(VLOOKUP($A3471, manifest!$A:$E, 5, FALSE), ""), IF(OR(_xlpm.v=0, _xlpm.v=""), "", _xlpm.v))</f>
        <v>female</v>
      </c>
    </row>
    <row r="3472" spans="1:9" x14ac:dyDescent="0.6">
      <c r="A3472">
        <v>715</v>
      </c>
      <c r="B3472" t="s">
        <v>7</v>
      </c>
      <c r="C3472" t="s">
        <v>10</v>
      </c>
      <c r="D3472">
        <v>232.4</v>
      </c>
      <c r="E3472">
        <v>198.1</v>
      </c>
      <c r="F3472">
        <v>24420</v>
      </c>
      <c r="H3472">
        <f>_xlfn.LET(_xlpm.v, IFERROR(VLOOKUP($A3472, manifest!$A:$E, 3, FALSE), ""), IF(OR(_xlpm.v=0, _xlpm.v=""), "", _xlpm.v))</f>
        <v>67</v>
      </c>
      <c r="I3472" t="str">
        <f>_xlfn.LET(_xlpm.v, IFERROR(VLOOKUP($A3472, manifest!$A:$E, 5, FALSE), ""), IF(OR(_xlpm.v=0, _xlpm.v=""), "", _xlpm.v))</f>
        <v>female</v>
      </c>
    </row>
    <row r="3473" spans="1:9" x14ac:dyDescent="0.6">
      <c r="A3473">
        <v>715</v>
      </c>
      <c r="B3473" t="s">
        <v>7</v>
      </c>
      <c r="C3473" t="s">
        <v>11</v>
      </c>
      <c r="D3473">
        <v>237.09</v>
      </c>
      <c r="E3473">
        <v>217.6</v>
      </c>
      <c r="F3473">
        <v>29346</v>
      </c>
      <c r="H3473">
        <f>_xlfn.LET(_xlpm.v, IFERROR(VLOOKUP($A3473, manifest!$A:$E, 3, FALSE), ""), IF(OR(_xlpm.v=0, _xlpm.v=""), "", _xlpm.v))</f>
        <v>67</v>
      </c>
      <c r="I3473" t="str">
        <f>_xlfn.LET(_xlpm.v, IFERROR(VLOOKUP($A3473, manifest!$A:$E, 5, FALSE), ""), IF(OR(_xlpm.v=0, _xlpm.v=""), "", _xlpm.v))</f>
        <v>female</v>
      </c>
    </row>
    <row r="3474" spans="1:9" x14ac:dyDescent="0.6">
      <c r="A3474">
        <v>715</v>
      </c>
      <c r="B3474" t="s">
        <v>7</v>
      </c>
      <c r="C3474" t="s">
        <v>12</v>
      </c>
      <c r="D3474">
        <v>264.25</v>
      </c>
      <c r="E3474">
        <v>209.15</v>
      </c>
      <c r="F3474">
        <v>40685</v>
      </c>
      <c r="H3474">
        <f>_xlfn.LET(_xlpm.v, IFERROR(VLOOKUP($A3474, manifest!$A:$E, 3, FALSE), ""), IF(OR(_xlpm.v=0, _xlpm.v=""), "", _xlpm.v))</f>
        <v>67</v>
      </c>
      <c r="I3474" t="str">
        <f>_xlfn.LET(_xlpm.v, IFERROR(VLOOKUP($A3474, manifest!$A:$E, 5, FALSE), ""), IF(OR(_xlpm.v=0, _xlpm.v=""), "", _xlpm.v))</f>
        <v>female</v>
      </c>
    </row>
    <row r="3475" spans="1:9" x14ac:dyDescent="0.6">
      <c r="A3475">
        <v>715</v>
      </c>
      <c r="B3475" t="s">
        <v>7</v>
      </c>
      <c r="C3475" t="s">
        <v>13</v>
      </c>
      <c r="D3475">
        <v>297.05</v>
      </c>
      <c r="E3475">
        <v>217.49</v>
      </c>
      <c r="F3475">
        <v>41522</v>
      </c>
      <c r="H3475">
        <f>_xlfn.LET(_xlpm.v, IFERROR(VLOOKUP($A3475, manifest!$A:$E, 3, FALSE), ""), IF(OR(_xlpm.v=0, _xlpm.v=""), "", _xlpm.v))</f>
        <v>67</v>
      </c>
      <c r="I3475" t="str">
        <f>_xlfn.LET(_xlpm.v, IFERROR(VLOOKUP($A3475, manifest!$A:$E, 5, FALSE), ""), IF(OR(_xlpm.v=0, _xlpm.v=""), "", _xlpm.v))</f>
        <v>female</v>
      </c>
    </row>
    <row r="3476" spans="1:9" x14ac:dyDescent="0.6">
      <c r="A3476">
        <v>739</v>
      </c>
      <c r="B3476" t="s">
        <v>7</v>
      </c>
      <c r="C3476" t="s">
        <v>8</v>
      </c>
      <c r="D3476">
        <v>128.08000000000001</v>
      </c>
      <c r="E3476">
        <v>118.31</v>
      </c>
      <c r="F3476">
        <v>19701</v>
      </c>
      <c r="G3476" t="s">
        <v>15</v>
      </c>
      <c r="H3476">
        <f>_xlfn.LET(_xlpm.v, IFERROR(VLOOKUP($A3476, manifest!$A:$E, 3, FALSE), ""), IF(OR(_xlpm.v=0, _xlpm.v=""), "", _xlpm.v))</f>
        <v>63</v>
      </c>
      <c r="I3476" t="str">
        <f>_xlfn.LET(_xlpm.v, IFERROR(VLOOKUP($A3476, manifest!$A:$E, 5, FALSE), ""), IF(OR(_xlpm.v=0, _xlpm.v=""), "", _xlpm.v))</f>
        <v>female</v>
      </c>
    </row>
    <row r="3477" spans="1:9" x14ac:dyDescent="0.6">
      <c r="A3477">
        <v>739</v>
      </c>
      <c r="B3477" t="s">
        <v>7</v>
      </c>
      <c r="C3477" t="s">
        <v>10</v>
      </c>
      <c r="D3477">
        <v>144.75</v>
      </c>
      <c r="E3477">
        <v>142.30000000000001</v>
      </c>
      <c r="F3477">
        <v>20879</v>
      </c>
      <c r="H3477">
        <f>_xlfn.LET(_xlpm.v, IFERROR(VLOOKUP($A3477, manifest!$A:$E, 3, FALSE), ""), IF(OR(_xlpm.v=0, _xlpm.v=""), "", _xlpm.v))</f>
        <v>63</v>
      </c>
      <c r="I3477" t="str">
        <f>_xlfn.LET(_xlpm.v, IFERROR(VLOOKUP($A3477, manifest!$A:$E, 5, FALSE), ""), IF(OR(_xlpm.v=0, _xlpm.v=""), "", _xlpm.v))</f>
        <v>female</v>
      </c>
    </row>
    <row r="3478" spans="1:9" x14ac:dyDescent="0.6">
      <c r="A3478">
        <v>739</v>
      </c>
      <c r="B3478" t="s">
        <v>7</v>
      </c>
      <c r="C3478" t="s">
        <v>11</v>
      </c>
      <c r="D3478">
        <v>149.03</v>
      </c>
      <c r="E3478">
        <v>148.13</v>
      </c>
      <c r="F3478">
        <v>24106</v>
      </c>
      <c r="H3478">
        <f>_xlfn.LET(_xlpm.v, IFERROR(VLOOKUP($A3478, manifest!$A:$E, 3, FALSE), ""), IF(OR(_xlpm.v=0, _xlpm.v=""), "", _xlpm.v))</f>
        <v>63</v>
      </c>
      <c r="I3478" t="str">
        <f>_xlfn.LET(_xlpm.v, IFERROR(VLOOKUP($A3478, manifest!$A:$E, 5, FALSE), ""), IF(OR(_xlpm.v=0, _xlpm.v=""), "", _xlpm.v))</f>
        <v>female</v>
      </c>
    </row>
    <row r="3479" spans="1:9" x14ac:dyDescent="0.6">
      <c r="A3479">
        <v>739</v>
      </c>
      <c r="B3479" t="s">
        <v>7</v>
      </c>
      <c r="C3479" t="s">
        <v>12</v>
      </c>
      <c r="D3479">
        <v>156.86000000000001</v>
      </c>
      <c r="E3479">
        <v>161.35</v>
      </c>
      <c r="F3479">
        <v>32825</v>
      </c>
      <c r="H3479">
        <f>_xlfn.LET(_xlpm.v, IFERROR(VLOOKUP($A3479, manifest!$A:$E, 3, FALSE), ""), IF(OR(_xlpm.v=0, _xlpm.v=""), "", _xlpm.v))</f>
        <v>63</v>
      </c>
      <c r="I3479" t="str">
        <f>_xlfn.LET(_xlpm.v, IFERROR(VLOOKUP($A3479, manifest!$A:$E, 5, FALSE), ""), IF(OR(_xlpm.v=0, _xlpm.v=""), "", _xlpm.v))</f>
        <v>female</v>
      </c>
    </row>
    <row r="3480" spans="1:9" x14ac:dyDescent="0.6">
      <c r="A3480">
        <v>739</v>
      </c>
      <c r="B3480" t="s">
        <v>7</v>
      </c>
      <c r="C3480" t="s">
        <v>13</v>
      </c>
      <c r="D3480">
        <v>155.55000000000001</v>
      </c>
      <c r="E3480">
        <v>136.43</v>
      </c>
      <c r="F3480">
        <v>35749</v>
      </c>
      <c r="H3480">
        <f>_xlfn.LET(_xlpm.v, IFERROR(VLOOKUP($A3480, manifest!$A:$E, 3, FALSE), ""), IF(OR(_xlpm.v=0, _xlpm.v=""), "", _xlpm.v))</f>
        <v>63</v>
      </c>
      <c r="I3480" t="str">
        <f>_xlfn.LET(_xlpm.v, IFERROR(VLOOKUP($A3480, manifest!$A:$E, 5, FALSE), ""), IF(OR(_xlpm.v=0, _xlpm.v=""), "", _xlpm.v))</f>
        <v>female</v>
      </c>
    </row>
    <row r="3481" spans="1:9" x14ac:dyDescent="0.6">
      <c r="A3481">
        <v>746</v>
      </c>
      <c r="B3481" t="s">
        <v>7</v>
      </c>
      <c r="C3481" t="s">
        <v>8</v>
      </c>
      <c r="D3481">
        <v>144.69999999999999</v>
      </c>
      <c r="E3481">
        <v>109.71</v>
      </c>
      <c r="F3481">
        <v>23117</v>
      </c>
      <c r="G3481" t="s">
        <v>15</v>
      </c>
      <c r="H3481">
        <f>_xlfn.LET(_xlpm.v, IFERROR(VLOOKUP($A3481, manifest!$A:$E, 3, FALSE), ""), IF(OR(_xlpm.v=0, _xlpm.v=""), "", _xlpm.v))</f>
        <v>64</v>
      </c>
      <c r="I3481" t="str">
        <f>_xlfn.LET(_xlpm.v, IFERROR(VLOOKUP($A3481, manifest!$A:$E, 5, FALSE), ""), IF(OR(_xlpm.v=0, _xlpm.v=""), "", _xlpm.v))</f>
        <v>female</v>
      </c>
    </row>
    <row r="3482" spans="1:9" x14ac:dyDescent="0.6">
      <c r="A3482">
        <v>746</v>
      </c>
      <c r="B3482" t="s">
        <v>7</v>
      </c>
      <c r="C3482" t="s">
        <v>10</v>
      </c>
      <c r="D3482">
        <v>155.44</v>
      </c>
      <c r="E3482">
        <v>141.91999999999999</v>
      </c>
      <c r="F3482">
        <v>24445</v>
      </c>
      <c r="H3482">
        <f>_xlfn.LET(_xlpm.v, IFERROR(VLOOKUP($A3482, manifest!$A:$E, 3, FALSE), ""), IF(OR(_xlpm.v=0, _xlpm.v=""), "", _xlpm.v))</f>
        <v>64</v>
      </c>
      <c r="I3482" t="str">
        <f>_xlfn.LET(_xlpm.v, IFERROR(VLOOKUP($A3482, manifest!$A:$E, 5, FALSE), ""), IF(OR(_xlpm.v=0, _xlpm.v=""), "", _xlpm.v))</f>
        <v>female</v>
      </c>
    </row>
    <row r="3483" spans="1:9" x14ac:dyDescent="0.6">
      <c r="A3483">
        <v>746</v>
      </c>
      <c r="B3483" t="s">
        <v>7</v>
      </c>
      <c r="C3483" t="s">
        <v>11</v>
      </c>
      <c r="D3483">
        <v>119.32</v>
      </c>
      <c r="E3483">
        <v>129.44</v>
      </c>
      <c r="F3483">
        <v>36187</v>
      </c>
      <c r="H3483">
        <f>_xlfn.LET(_xlpm.v, IFERROR(VLOOKUP($A3483, manifest!$A:$E, 3, FALSE), ""), IF(OR(_xlpm.v=0, _xlpm.v=""), "", _xlpm.v))</f>
        <v>64</v>
      </c>
      <c r="I3483" t="str">
        <f>_xlfn.LET(_xlpm.v, IFERROR(VLOOKUP($A3483, manifest!$A:$E, 5, FALSE), ""), IF(OR(_xlpm.v=0, _xlpm.v=""), "", _xlpm.v))</f>
        <v>female</v>
      </c>
    </row>
    <row r="3484" spans="1:9" x14ac:dyDescent="0.6">
      <c r="A3484">
        <v>746</v>
      </c>
      <c r="B3484" t="s">
        <v>7</v>
      </c>
      <c r="C3484" t="s">
        <v>12</v>
      </c>
      <c r="D3484">
        <v>143.44</v>
      </c>
      <c r="E3484">
        <v>159.19</v>
      </c>
      <c r="F3484">
        <v>42030</v>
      </c>
      <c r="H3484">
        <f>_xlfn.LET(_xlpm.v, IFERROR(VLOOKUP($A3484, manifest!$A:$E, 3, FALSE), ""), IF(OR(_xlpm.v=0, _xlpm.v=""), "", _xlpm.v))</f>
        <v>64</v>
      </c>
      <c r="I3484" t="str">
        <f>_xlfn.LET(_xlpm.v, IFERROR(VLOOKUP($A3484, manifest!$A:$E, 5, FALSE), ""), IF(OR(_xlpm.v=0, _xlpm.v=""), "", _xlpm.v))</f>
        <v>female</v>
      </c>
    </row>
    <row r="3485" spans="1:9" x14ac:dyDescent="0.6">
      <c r="A3485">
        <v>746</v>
      </c>
      <c r="B3485" t="s">
        <v>7</v>
      </c>
      <c r="C3485" t="s">
        <v>13</v>
      </c>
      <c r="D3485">
        <v>179.75</v>
      </c>
      <c r="E3485">
        <v>146.71</v>
      </c>
      <c r="F3485">
        <v>37743</v>
      </c>
      <c r="H3485">
        <f>_xlfn.LET(_xlpm.v, IFERROR(VLOOKUP($A3485, manifest!$A:$E, 3, FALSE), ""), IF(OR(_xlpm.v=0, _xlpm.v=""), "", _xlpm.v))</f>
        <v>64</v>
      </c>
      <c r="I3485" t="str">
        <f>_xlfn.LET(_xlpm.v, IFERROR(VLOOKUP($A3485, manifest!$A:$E, 5, FALSE), ""), IF(OR(_xlpm.v=0, _xlpm.v=""), "", _xlpm.v))</f>
        <v>female</v>
      </c>
    </row>
    <row r="3486" spans="1:9" x14ac:dyDescent="0.6">
      <c r="A3486">
        <v>738</v>
      </c>
      <c r="B3486" t="s">
        <v>7</v>
      </c>
      <c r="C3486" t="s">
        <v>8</v>
      </c>
      <c r="D3486">
        <v>216.53</v>
      </c>
      <c r="E3486">
        <v>184.21</v>
      </c>
      <c r="F3486">
        <v>21999</v>
      </c>
      <c r="G3486" t="s">
        <v>9</v>
      </c>
      <c r="H3486">
        <f>_xlfn.LET(_xlpm.v, IFERROR(VLOOKUP($A3486, manifest!$A:$E, 3, FALSE), ""), IF(OR(_xlpm.v=0, _xlpm.v=""), "", _xlpm.v))</f>
        <v>61</v>
      </c>
      <c r="I3486" t="str">
        <f>_xlfn.LET(_xlpm.v, IFERROR(VLOOKUP($A3486, manifest!$A:$E, 5, FALSE), ""), IF(OR(_xlpm.v=0, _xlpm.v=""), "", _xlpm.v))</f>
        <v>female</v>
      </c>
    </row>
    <row r="3487" spans="1:9" x14ac:dyDescent="0.6">
      <c r="A3487">
        <v>738</v>
      </c>
      <c r="B3487" t="s">
        <v>7</v>
      </c>
      <c r="C3487" t="s">
        <v>10</v>
      </c>
      <c r="D3487">
        <v>232.46</v>
      </c>
      <c r="E3487">
        <v>205.52</v>
      </c>
      <c r="F3487">
        <v>24954</v>
      </c>
      <c r="H3487">
        <f>_xlfn.LET(_xlpm.v, IFERROR(VLOOKUP($A3487, manifest!$A:$E, 3, FALSE), ""), IF(OR(_xlpm.v=0, _xlpm.v=""), "", _xlpm.v))</f>
        <v>61</v>
      </c>
      <c r="I3487" t="str">
        <f>_xlfn.LET(_xlpm.v, IFERROR(VLOOKUP($A3487, manifest!$A:$E, 5, FALSE), ""), IF(OR(_xlpm.v=0, _xlpm.v=""), "", _xlpm.v))</f>
        <v>female</v>
      </c>
    </row>
    <row r="3488" spans="1:9" x14ac:dyDescent="0.6">
      <c r="A3488">
        <v>738</v>
      </c>
      <c r="B3488" t="s">
        <v>7</v>
      </c>
      <c r="C3488" t="s">
        <v>11</v>
      </c>
      <c r="D3488">
        <v>229.16</v>
      </c>
      <c r="E3488">
        <v>217.96</v>
      </c>
      <c r="F3488">
        <v>27858</v>
      </c>
      <c r="H3488">
        <f>_xlfn.LET(_xlpm.v, IFERROR(VLOOKUP($A3488, manifest!$A:$E, 3, FALSE), ""), IF(OR(_xlpm.v=0, _xlpm.v=""), "", _xlpm.v))</f>
        <v>61</v>
      </c>
      <c r="I3488" t="str">
        <f>_xlfn.LET(_xlpm.v, IFERROR(VLOOKUP($A3488, manifest!$A:$E, 5, FALSE), ""), IF(OR(_xlpm.v=0, _xlpm.v=""), "", _xlpm.v))</f>
        <v>female</v>
      </c>
    </row>
    <row r="3489" spans="1:9" x14ac:dyDescent="0.6">
      <c r="A3489">
        <v>738</v>
      </c>
      <c r="B3489" t="s">
        <v>7</v>
      </c>
      <c r="C3489" t="s">
        <v>12</v>
      </c>
      <c r="D3489">
        <v>255.74</v>
      </c>
      <c r="E3489">
        <v>270.98</v>
      </c>
      <c r="F3489">
        <v>27600</v>
      </c>
      <c r="H3489">
        <f>_xlfn.LET(_xlpm.v, IFERROR(VLOOKUP($A3489, manifest!$A:$E, 3, FALSE), ""), IF(OR(_xlpm.v=0, _xlpm.v=""), "", _xlpm.v))</f>
        <v>61</v>
      </c>
      <c r="I3489" t="str">
        <f>_xlfn.LET(_xlpm.v, IFERROR(VLOOKUP($A3489, manifest!$A:$E, 5, FALSE), ""), IF(OR(_xlpm.v=0, _xlpm.v=""), "", _xlpm.v))</f>
        <v>female</v>
      </c>
    </row>
    <row r="3490" spans="1:9" x14ac:dyDescent="0.6">
      <c r="A3490">
        <v>738</v>
      </c>
      <c r="B3490" t="s">
        <v>7</v>
      </c>
      <c r="C3490" t="s">
        <v>13</v>
      </c>
      <c r="D3490">
        <v>258.81</v>
      </c>
      <c r="E3490">
        <v>249.06</v>
      </c>
      <c r="F3490">
        <v>39345</v>
      </c>
      <c r="H3490">
        <f>_xlfn.LET(_xlpm.v, IFERROR(VLOOKUP($A3490, manifest!$A:$E, 3, FALSE), ""), IF(OR(_xlpm.v=0, _xlpm.v=""), "", _xlpm.v))</f>
        <v>61</v>
      </c>
      <c r="I3490" t="str">
        <f>_xlfn.LET(_xlpm.v, IFERROR(VLOOKUP($A3490, manifest!$A:$E, 5, FALSE), ""), IF(OR(_xlpm.v=0, _xlpm.v=""), "", _xlpm.v))</f>
        <v>female</v>
      </c>
    </row>
    <row r="3491" spans="1:9" x14ac:dyDescent="0.6">
      <c r="A3491">
        <v>737</v>
      </c>
      <c r="B3491" t="s">
        <v>14</v>
      </c>
      <c r="C3491" t="s">
        <v>8</v>
      </c>
      <c r="D3491">
        <v>181.64</v>
      </c>
      <c r="E3491">
        <v>127.78</v>
      </c>
      <c r="F3491">
        <v>17550</v>
      </c>
      <c r="G3491" t="s">
        <v>9</v>
      </c>
      <c r="H3491">
        <f>_xlfn.LET(_xlpm.v, IFERROR(VLOOKUP($A3491, manifest!$A:$E, 3, FALSE), ""), IF(OR(_xlpm.v=0, _xlpm.v=""), "", _xlpm.v))</f>
        <v>55</v>
      </c>
      <c r="I3491" t="str">
        <f>_xlfn.LET(_xlpm.v, IFERROR(VLOOKUP($A3491, manifest!$A:$E, 5, FALSE), ""), IF(OR(_xlpm.v=0, _xlpm.v=""), "", _xlpm.v))</f>
        <v>female</v>
      </c>
    </row>
    <row r="3492" spans="1:9" x14ac:dyDescent="0.6">
      <c r="A3492">
        <v>737</v>
      </c>
      <c r="B3492" t="s">
        <v>14</v>
      </c>
      <c r="C3492" t="s">
        <v>10</v>
      </c>
      <c r="D3492">
        <v>185.03</v>
      </c>
      <c r="E3492">
        <v>144.37</v>
      </c>
      <c r="F3492">
        <v>24958</v>
      </c>
      <c r="H3492">
        <f>_xlfn.LET(_xlpm.v, IFERROR(VLOOKUP($A3492, manifest!$A:$E, 3, FALSE), ""), IF(OR(_xlpm.v=0, _xlpm.v=""), "", _xlpm.v))</f>
        <v>55</v>
      </c>
      <c r="I3492" t="str">
        <f>_xlfn.LET(_xlpm.v, IFERROR(VLOOKUP($A3492, manifest!$A:$E, 5, FALSE), ""), IF(OR(_xlpm.v=0, _xlpm.v=""), "", _xlpm.v))</f>
        <v>female</v>
      </c>
    </row>
    <row r="3493" spans="1:9" x14ac:dyDescent="0.6">
      <c r="A3493">
        <v>737</v>
      </c>
      <c r="B3493" t="s">
        <v>14</v>
      </c>
      <c r="C3493" t="s">
        <v>11</v>
      </c>
      <c r="D3493">
        <v>188.13</v>
      </c>
      <c r="E3493">
        <v>155.96</v>
      </c>
      <c r="F3493">
        <v>26803</v>
      </c>
      <c r="H3493">
        <f>_xlfn.LET(_xlpm.v, IFERROR(VLOOKUP($A3493, manifest!$A:$E, 3, FALSE), ""), IF(OR(_xlpm.v=0, _xlpm.v=""), "", _xlpm.v))</f>
        <v>55</v>
      </c>
      <c r="I3493" t="str">
        <f>_xlfn.LET(_xlpm.v, IFERROR(VLOOKUP($A3493, manifest!$A:$E, 5, FALSE), ""), IF(OR(_xlpm.v=0, _xlpm.v=""), "", _xlpm.v))</f>
        <v>female</v>
      </c>
    </row>
    <row r="3494" spans="1:9" x14ac:dyDescent="0.6">
      <c r="A3494">
        <v>737</v>
      </c>
      <c r="B3494" t="s">
        <v>14</v>
      </c>
      <c r="C3494" t="s">
        <v>12</v>
      </c>
      <c r="D3494">
        <v>208.53</v>
      </c>
      <c r="E3494">
        <v>183.23</v>
      </c>
      <c r="F3494">
        <v>34075</v>
      </c>
      <c r="H3494">
        <f>_xlfn.LET(_xlpm.v, IFERROR(VLOOKUP($A3494, manifest!$A:$E, 3, FALSE), ""), IF(OR(_xlpm.v=0, _xlpm.v=""), "", _xlpm.v))</f>
        <v>55</v>
      </c>
      <c r="I3494" t="str">
        <f>_xlfn.LET(_xlpm.v, IFERROR(VLOOKUP($A3494, manifest!$A:$E, 5, FALSE), ""), IF(OR(_xlpm.v=0, _xlpm.v=""), "", _xlpm.v))</f>
        <v>female</v>
      </c>
    </row>
    <row r="3495" spans="1:9" x14ac:dyDescent="0.6">
      <c r="A3495">
        <v>737</v>
      </c>
      <c r="B3495" t="s">
        <v>14</v>
      </c>
      <c r="C3495" t="s">
        <v>13</v>
      </c>
      <c r="D3495">
        <v>235.11</v>
      </c>
      <c r="E3495">
        <v>183.63</v>
      </c>
      <c r="F3495">
        <v>40311</v>
      </c>
      <c r="H3495">
        <f>_xlfn.LET(_xlpm.v, IFERROR(VLOOKUP($A3495, manifest!$A:$E, 3, FALSE), ""), IF(OR(_xlpm.v=0, _xlpm.v=""), "", _xlpm.v))</f>
        <v>55</v>
      </c>
      <c r="I3495" t="str">
        <f>_xlfn.LET(_xlpm.v, IFERROR(VLOOKUP($A3495, manifest!$A:$E, 5, FALSE), ""), IF(OR(_xlpm.v=0, _xlpm.v=""), "", _xlpm.v))</f>
        <v>female</v>
      </c>
    </row>
    <row r="3496" spans="1:9" x14ac:dyDescent="0.6">
      <c r="A3496">
        <v>737</v>
      </c>
      <c r="B3496" t="s">
        <v>14</v>
      </c>
      <c r="C3496" t="s">
        <v>16</v>
      </c>
      <c r="D3496">
        <v>225.59</v>
      </c>
      <c r="E3496">
        <v>143.69</v>
      </c>
      <c r="F3496">
        <v>44259</v>
      </c>
      <c r="H3496">
        <f>_xlfn.LET(_xlpm.v, IFERROR(VLOOKUP($A3496, manifest!$A:$E, 3, FALSE), ""), IF(OR(_xlpm.v=0, _xlpm.v=""), "", _xlpm.v))</f>
        <v>55</v>
      </c>
      <c r="I3496" t="str">
        <f>_xlfn.LET(_xlpm.v, IFERROR(VLOOKUP($A3496, manifest!$A:$E, 5, FALSE), ""), IF(OR(_xlpm.v=0, _xlpm.v=""), "", _xlpm.v))</f>
        <v>female</v>
      </c>
    </row>
    <row r="3497" spans="1:9" x14ac:dyDescent="0.6">
      <c r="A3497">
        <v>723</v>
      </c>
      <c r="B3497" t="s">
        <v>14</v>
      </c>
      <c r="C3497" t="s">
        <v>8</v>
      </c>
      <c r="D3497">
        <v>285.72000000000003</v>
      </c>
      <c r="E3497">
        <v>174.09</v>
      </c>
      <c r="F3497">
        <v>41318</v>
      </c>
      <c r="G3497" t="s">
        <v>9</v>
      </c>
      <c r="H3497">
        <f>_xlfn.LET(_xlpm.v, IFERROR(VLOOKUP($A3497, manifest!$A:$E, 3, FALSE), ""), IF(OR(_xlpm.v=0, _xlpm.v=""), "", _xlpm.v))</f>
        <v>64</v>
      </c>
      <c r="I3497" t="str">
        <f>_xlfn.LET(_xlpm.v, IFERROR(VLOOKUP($A3497, manifest!$A:$E, 5, FALSE), ""), IF(OR(_xlpm.v=0, _xlpm.v=""), "", _xlpm.v))</f>
        <v>male</v>
      </c>
    </row>
    <row r="3498" spans="1:9" x14ac:dyDescent="0.6">
      <c r="A3498">
        <v>723</v>
      </c>
      <c r="B3498" t="s">
        <v>14</v>
      </c>
      <c r="C3498" t="s">
        <v>10</v>
      </c>
      <c r="D3498">
        <v>310.70999999999998</v>
      </c>
      <c r="E3498">
        <v>197.94</v>
      </c>
      <c r="F3498">
        <v>37625</v>
      </c>
      <c r="H3498">
        <f>_xlfn.LET(_xlpm.v, IFERROR(VLOOKUP($A3498, manifest!$A:$E, 3, FALSE), ""), IF(OR(_xlpm.v=0, _xlpm.v=""), "", _xlpm.v))</f>
        <v>64</v>
      </c>
      <c r="I3498" t="str">
        <f>_xlfn.LET(_xlpm.v, IFERROR(VLOOKUP($A3498, manifest!$A:$E, 5, FALSE), ""), IF(OR(_xlpm.v=0, _xlpm.v=""), "", _xlpm.v))</f>
        <v>male</v>
      </c>
    </row>
    <row r="3499" spans="1:9" x14ac:dyDescent="0.6">
      <c r="A3499">
        <v>723</v>
      </c>
      <c r="B3499" t="s">
        <v>14</v>
      </c>
      <c r="C3499" t="s">
        <v>11</v>
      </c>
      <c r="D3499">
        <v>293.8</v>
      </c>
      <c r="E3499">
        <v>187.1</v>
      </c>
      <c r="F3499">
        <v>51462</v>
      </c>
      <c r="H3499">
        <f>_xlfn.LET(_xlpm.v, IFERROR(VLOOKUP($A3499, manifest!$A:$E, 3, FALSE), ""), IF(OR(_xlpm.v=0, _xlpm.v=""), "", _xlpm.v))</f>
        <v>64</v>
      </c>
      <c r="I3499" t="str">
        <f>_xlfn.LET(_xlpm.v, IFERROR(VLOOKUP($A3499, manifest!$A:$E, 5, FALSE), ""), IF(OR(_xlpm.v=0, _xlpm.v=""), "", _xlpm.v))</f>
        <v>male</v>
      </c>
    </row>
    <row r="3500" spans="1:9" x14ac:dyDescent="0.6">
      <c r="A3500">
        <v>723</v>
      </c>
      <c r="B3500" t="s">
        <v>14</v>
      </c>
      <c r="C3500" t="s">
        <v>12</v>
      </c>
      <c r="D3500">
        <v>271.56</v>
      </c>
      <c r="E3500">
        <v>165.88</v>
      </c>
      <c r="F3500">
        <v>66886</v>
      </c>
      <c r="H3500">
        <f>_xlfn.LET(_xlpm.v, IFERROR(VLOOKUP($A3500, manifest!$A:$E, 3, FALSE), ""), IF(OR(_xlpm.v=0, _xlpm.v=""), "", _xlpm.v))</f>
        <v>64</v>
      </c>
      <c r="I3500" t="str">
        <f>_xlfn.LET(_xlpm.v, IFERROR(VLOOKUP($A3500, manifest!$A:$E, 5, FALSE), ""), IF(OR(_xlpm.v=0, _xlpm.v=""), "", _xlpm.v))</f>
        <v>male</v>
      </c>
    </row>
    <row r="3501" spans="1:9" x14ac:dyDescent="0.6">
      <c r="A3501">
        <v>723</v>
      </c>
      <c r="B3501" t="s">
        <v>14</v>
      </c>
      <c r="C3501" t="s">
        <v>13</v>
      </c>
      <c r="D3501">
        <v>266.82</v>
      </c>
      <c r="E3501">
        <v>170.54</v>
      </c>
      <c r="F3501">
        <v>68935</v>
      </c>
      <c r="H3501">
        <f>_xlfn.LET(_xlpm.v, IFERROR(VLOOKUP($A3501, manifest!$A:$E, 3, FALSE), ""), IF(OR(_xlpm.v=0, _xlpm.v=""), "", _xlpm.v))</f>
        <v>64</v>
      </c>
      <c r="I3501" t="str">
        <f>_xlfn.LET(_xlpm.v, IFERROR(VLOOKUP($A3501, manifest!$A:$E, 5, FALSE), ""), IF(OR(_xlpm.v=0, _xlpm.v=""), "", _xlpm.v))</f>
        <v>male</v>
      </c>
    </row>
    <row r="3502" spans="1:9" x14ac:dyDescent="0.6">
      <c r="A3502">
        <v>724</v>
      </c>
      <c r="B3502" t="s">
        <v>7</v>
      </c>
      <c r="C3502" t="s">
        <v>8</v>
      </c>
      <c r="D3502">
        <v>179.2</v>
      </c>
      <c r="E3502">
        <v>125.46</v>
      </c>
      <c r="F3502">
        <v>26303</v>
      </c>
      <c r="G3502" t="s">
        <v>9</v>
      </c>
      <c r="H3502">
        <f>_xlfn.LET(_xlpm.v, IFERROR(VLOOKUP($A3502, manifest!$A:$E, 3, FALSE), ""), IF(OR(_xlpm.v=0, _xlpm.v=""), "", _xlpm.v))</f>
        <v>55</v>
      </c>
      <c r="I3502" t="str">
        <f>_xlfn.LET(_xlpm.v, IFERROR(VLOOKUP($A3502, manifest!$A:$E, 5, FALSE), ""), IF(OR(_xlpm.v=0, _xlpm.v=""), "", _xlpm.v))</f>
        <v>male</v>
      </c>
    </row>
    <row r="3503" spans="1:9" x14ac:dyDescent="0.6">
      <c r="A3503">
        <v>724</v>
      </c>
      <c r="B3503" t="s">
        <v>7</v>
      </c>
      <c r="C3503" t="s">
        <v>10</v>
      </c>
      <c r="D3503">
        <v>176.52</v>
      </c>
      <c r="E3503">
        <v>121.91</v>
      </c>
      <c r="F3503">
        <v>31873</v>
      </c>
      <c r="H3503">
        <f>_xlfn.LET(_xlpm.v, IFERROR(VLOOKUP($A3503, manifest!$A:$E, 3, FALSE), ""), IF(OR(_xlpm.v=0, _xlpm.v=""), "", _xlpm.v))</f>
        <v>55</v>
      </c>
      <c r="I3503" t="str">
        <f>_xlfn.LET(_xlpm.v, IFERROR(VLOOKUP($A3503, manifest!$A:$E, 5, FALSE), ""), IF(OR(_xlpm.v=0, _xlpm.v=""), "", _xlpm.v))</f>
        <v>male</v>
      </c>
    </row>
    <row r="3504" spans="1:9" x14ac:dyDescent="0.6">
      <c r="A3504">
        <v>724</v>
      </c>
      <c r="B3504" t="s">
        <v>7</v>
      </c>
      <c r="C3504" t="s">
        <v>11</v>
      </c>
      <c r="D3504">
        <v>170.82</v>
      </c>
      <c r="E3504">
        <v>129.69999999999999</v>
      </c>
      <c r="F3504">
        <v>38057</v>
      </c>
      <c r="H3504">
        <f>_xlfn.LET(_xlpm.v, IFERROR(VLOOKUP($A3504, manifest!$A:$E, 3, FALSE), ""), IF(OR(_xlpm.v=0, _xlpm.v=""), "", _xlpm.v))</f>
        <v>55</v>
      </c>
      <c r="I3504" t="str">
        <f>_xlfn.LET(_xlpm.v, IFERROR(VLOOKUP($A3504, manifest!$A:$E, 5, FALSE), ""), IF(OR(_xlpm.v=0, _xlpm.v=""), "", _xlpm.v))</f>
        <v>male</v>
      </c>
    </row>
    <row r="3505" spans="1:9" x14ac:dyDescent="0.6">
      <c r="A3505">
        <v>724</v>
      </c>
      <c r="B3505" t="s">
        <v>7</v>
      </c>
      <c r="C3505" t="s">
        <v>12</v>
      </c>
      <c r="D3505">
        <v>183.59</v>
      </c>
      <c r="E3505">
        <v>147.81</v>
      </c>
      <c r="F3505">
        <v>38118</v>
      </c>
      <c r="H3505">
        <f>_xlfn.LET(_xlpm.v, IFERROR(VLOOKUP($A3505, manifest!$A:$E, 3, FALSE), ""), IF(OR(_xlpm.v=0, _xlpm.v=""), "", _xlpm.v))</f>
        <v>55</v>
      </c>
      <c r="I3505" t="str">
        <f>_xlfn.LET(_xlpm.v, IFERROR(VLOOKUP($A3505, manifest!$A:$E, 5, FALSE), ""), IF(OR(_xlpm.v=0, _xlpm.v=""), "", _xlpm.v))</f>
        <v>male</v>
      </c>
    </row>
    <row r="3506" spans="1:9" x14ac:dyDescent="0.6">
      <c r="A3506">
        <v>724</v>
      </c>
      <c r="B3506" t="s">
        <v>7</v>
      </c>
      <c r="C3506" t="s">
        <v>13</v>
      </c>
      <c r="D3506">
        <v>187.83</v>
      </c>
      <c r="E3506">
        <v>127.63</v>
      </c>
      <c r="F3506">
        <v>42681</v>
      </c>
      <c r="H3506">
        <f>_xlfn.LET(_xlpm.v, IFERROR(VLOOKUP($A3506, manifest!$A:$E, 3, FALSE), ""), IF(OR(_xlpm.v=0, _xlpm.v=""), "", _xlpm.v))</f>
        <v>55</v>
      </c>
      <c r="I3506" t="str">
        <f>_xlfn.LET(_xlpm.v, IFERROR(VLOOKUP($A3506, manifest!$A:$E, 5, FALSE), ""), IF(OR(_xlpm.v=0, _xlpm.v=""), "", _xlpm.v))</f>
        <v>male</v>
      </c>
    </row>
    <row r="3507" spans="1:9" x14ac:dyDescent="0.6">
      <c r="A3507">
        <v>736</v>
      </c>
      <c r="B3507" t="s">
        <v>14</v>
      </c>
      <c r="C3507" t="s">
        <v>8</v>
      </c>
      <c r="D3507">
        <v>192.46</v>
      </c>
      <c r="E3507">
        <v>203.21</v>
      </c>
      <c r="F3507">
        <v>26170</v>
      </c>
      <c r="G3507" t="s">
        <v>9</v>
      </c>
      <c r="H3507">
        <f>_xlfn.LET(_xlpm.v, IFERROR(VLOOKUP($A3507, manifest!$A:$E, 3, FALSE), ""), IF(OR(_xlpm.v=0, _xlpm.v=""), "", _xlpm.v))</f>
        <v>58</v>
      </c>
      <c r="I3507" t="str">
        <f>_xlfn.LET(_xlpm.v, IFERROR(VLOOKUP($A3507, manifest!$A:$E, 5, FALSE), ""), IF(OR(_xlpm.v=0, _xlpm.v=""), "", _xlpm.v))</f>
        <v>female</v>
      </c>
    </row>
    <row r="3508" spans="1:9" x14ac:dyDescent="0.6">
      <c r="A3508">
        <v>736</v>
      </c>
      <c r="B3508" t="s">
        <v>14</v>
      </c>
      <c r="C3508" t="s">
        <v>10</v>
      </c>
      <c r="D3508">
        <v>203.58</v>
      </c>
      <c r="E3508">
        <v>234.71</v>
      </c>
      <c r="F3508">
        <v>32799</v>
      </c>
      <c r="H3508">
        <f>_xlfn.LET(_xlpm.v, IFERROR(VLOOKUP($A3508, manifest!$A:$E, 3, FALSE), ""), IF(OR(_xlpm.v=0, _xlpm.v=""), "", _xlpm.v))</f>
        <v>58</v>
      </c>
      <c r="I3508" t="str">
        <f>_xlfn.LET(_xlpm.v, IFERROR(VLOOKUP($A3508, manifest!$A:$E, 5, FALSE), ""), IF(OR(_xlpm.v=0, _xlpm.v=""), "", _xlpm.v))</f>
        <v>female</v>
      </c>
    </row>
    <row r="3509" spans="1:9" x14ac:dyDescent="0.6">
      <c r="A3509">
        <v>736</v>
      </c>
      <c r="B3509" t="s">
        <v>14</v>
      </c>
      <c r="C3509" t="s">
        <v>11</v>
      </c>
      <c r="D3509">
        <v>187.65</v>
      </c>
      <c r="E3509">
        <v>227.39</v>
      </c>
      <c r="F3509">
        <v>43853</v>
      </c>
      <c r="H3509">
        <f>_xlfn.LET(_xlpm.v, IFERROR(VLOOKUP($A3509, manifest!$A:$E, 3, FALSE), ""), IF(OR(_xlpm.v=0, _xlpm.v=""), "", _xlpm.v))</f>
        <v>58</v>
      </c>
      <c r="I3509" t="str">
        <f>_xlfn.LET(_xlpm.v, IFERROR(VLOOKUP($A3509, manifest!$A:$E, 5, FALSE), ""), IF(OR(_xlpm.v=0, _xlpm.v=""), "", _xlpm.v))</f>
        <v>female</v>
      </c>
    </row>
    <row r="3510" spans="1:9" x14ac:dyDescent="0.6">
      <c r="A3510">
        <v>736</v>
      </c>
      <c r="B3510" t="s">
        <v>14</v>
      </c>
      <c r="C3510" t="s">
        <v>12</v>
      </c>
      <c r="D3510">
        <v>227.23</v>
      </c>
      <c r="E3510">
        <v>261.87</v>
      </c>
      <c r="F3510">
        <v>51157</v>
      </c>
      <c r="H3510">
        <f>_xlfn.LET(_xlpm.v, IFERROR(VLOOKUP($A3510, manifest!$A:$E, 3, FALSE), ""), IF(OR(_xlpm.v=0, _xlpm.v=""), "", _xlpm.v))</f>
        <v>58</v>
      </c>
      <c r="I3510" t="str">
        <f>_xlfn.LET(_xlpm.v, IFERROR(VLOOKUP($A3510, manifest!$A:$E, 5, FALSE), ""), IF(OR(_xlpm.v=0, _xlpm.v=""), "", _xlpm.v))</f>
        <v>female</v>
      </c>
    </row>
    <row r="3511" spans="1:9" x14ac:dyDescent="0.6">
      <c r="A3511">
        <v>736</v>
      </c>
      <c r="B3511" t="s">
        <v>14</v>
      </c>
      <c r="C3511" t="s">
        <v>13</v>
      </c>
      <c r="D3511">
        <v>206.84</v>
      </c>
      <c r="E3511">
        <v>239.89</v>
      </c>
      <c r="F3511">
        <v>48144</v>
      </c>
      <c r="H3511">
        <f>_xlfn.LET(_xlpm.v, IFERROR(VLOOKUP($A3511, manifest!$A:$E, 3, FALSE), ""), IF(OR(_xlpm.v=0, _xlpm.v=""), "", _xlpm.v))</f>
        <v>58</v>
      </c>
      <c r="I3511" t="str">
        <f>_xlfn.LET(_xlpm.v, IFERROR(VLOOKUP($A3511, manifest!$A:$E, 5, FALSE), ""), IF(OR(_xlpm.v=0, _xlpm.v=""), "", _xlpm.v))</f>
        <v>female</v>
      </c>
    </row>
    <row r="3512" spans="1:9" x14ac:dyDescent="0.6">
      <c r="A3512">
        <v>748</v>
      </c>
      <c r="B3512" t="s">
        <v>14</v>
      </c>
      <c r="C3512" t="s">
        <v>8</v>
      </c>
      <c r="D3512">
        <v>266.86</v>
      </c>
      <c r="E3512">
        <v>133.5</v>
      </c>
      <c r="F3512">
        <v>18248</v>
      </c>
      <c r="G3512" t="s">
        <v>9</v>
      </c>
      <c r="H3512">
        <f>_xlfn.LET(_xlpm.v, IFERROR(VLOOKUP($A3512, manifest!$A:$E, 3, FALSE), ""), IF(OR(_xlpm.v=0, _xlpm.v=""), "", _xlpm.v))</f>
        <v>53</v>
      </c>
      <c r="I3512" t="str">
        <f>_xlfn.LET(_xlpm.v, IFERROR(VLOOKUP($A3512, manifest!$A:$E, 5, FALSE), ""), IF(OR(_xlpm.v=0, _xlpm.v=""), "", _xlpm.v))</f>
        <v>female</v>
      </c>
    </row>
    <row r="3513" spans="1:9" x14ac:dyDescent="0.6">
      <c r="A3513">
        <v>748</v>
      </c>
      <c r="B3513" t="s">
        <v>14</v>
      </c>
      <c r="C3513" t="s">
        <v>10</v>
      </c>
      <c r="D3513">
        <v>284.61</v>
      </c>
      <c r="E3513">
        <v>167.81</v>
      </c>
      <c r="F3513">
        <v>18968</v>
      </c>
      <c r="H3513">
        <f>_xlfn.LET(_xlpm.v, IFERROR(VLOOKUP($A3513, manifest!$A:$E, 3, FALSE), ""), IF(OR(_xlpm.v=0, _xlpm.v=""), "", _xlpm.v))</f>
        <v>53</v>
      </c>
      <c r="I3513" t="str">
        <f>_xlfn.LET(_xlpm.v, IFERROR(VLOOKUP($A3513, manifest!$A:$E, 5, FALSE), ""), IF(OR(_xlpm.v=0, _xlpm.v=""), "", _xlpm.v))</f>
        <v>female</v>
      </c>
    </row>
    <row r="3514" spans="1:9" x14ac:dyDescent="0.6">
      <c r="A3514">
        <v>748</v>
      </c>
      <c r="B3514" t="s">
        <v>14</v>
      </c>
      <c r="C3514" t="s">
        <v>11</v>
      </c>
      <c r="D3514">
        <v>287.29000000000002</v>
      </c>
      <c r="E3514">
        <v>193.32</v>
      </c>
      <c r="F3514">
        <v>21567</v>
      </c>
      <c r="H3514">
        <f>_xlfn.LET(_xlpm.v, IFERROR(VLOOKUP($A3514, manifest!$A:$E, 3, FALSE), ""), IF(OR(_xlpm.v=0, _xlpm.v=""), "", _xlpm.v))</f>
        <v>53</v>
      </c>
      <c r="I3514" t="str">
        <f>_xlfn.LET(_xlpm.v, IFERROR(VLOOKUP($A3514, manifest!$A:$E, 5, FALSE), ""), IF(OR(_xlpm.v=0, _xlpm.v=""), "", _xlpm.v))</f>
        <v>female</v>
      </c>
    </row>
    <row r="3515" spans="1:9" x14ac:dyDescent="0.6">
      <c r="A3515">
        <v>748</v>
      </c>
      <c r="B3515" t="s">
        <v>14</v>
      </c>
      <c r="C3515" t="s">
        <v>12</v>
      </c>
      <c r="D3515">
        <v>296.83999999999997</v>
      </c>
      <c r="E3515">
        <v>197.06</v>
      </c>
      <c r="F3515">
        <v>22888</v>
      </c>
      <c r="H3515">
        <f>_xlfn.LET(_xlpm.v, IFERROR(VLOOKUP($A3515, manifest!$A:$E, 3, FALSE), ""), IF(OR(_xlpm.v=0, _xlpm.v=""), "", _xlpm.v))</f>
        <v>53</v>
      </c>
      <c r="I3515" t="str">
        <f>_xlfn.LET(_xlpm.v, IFERROR(VLOOKUP($A3515, manifest!$A:$E, 5, FALSE), ""), IF(OR(_xlpm.v=0, _xlpm.v=""), "", _xlpm.v))</f>
        <v>female</v>
      </c>
    </row>
    <row r="3516" spans="1:9" x14ac:dyDescent="0.6">
      <c r="A3516">
        <v>748</v>
      </c>
      <c r="B3516" t="s">
        <v>14</v>
      </c>
      <c r="C3516" t="s">
        <v>13</v>
      </c>
      <c r="D3516">
        <v>324.77999999999997</v>
      </c>
      <c r="E3516">
        <v>222.6</v>
      </c>
      <c r="F3516">
        <v>27713</v>
      </c>
      <c r="H3516">
        <f>_xlfn.LET(_xlpm.v, IFERROR(VLOOKUP($A3516, manifest!$A:$E, 3, FALSE), ""), IF(OR(_xlpm.v=0, _xlpm.v=""), "", _xlpm.v))</f>
        <v>53</v>
      </c>
      <c r="I3516" t="str">
        <f>_xlfn.LET(_xlpm.v, IFERROR(VLOOKUP($A3516, manifest!$A:$E, 5, FALSE), ""), IF(OR(_xlpm.v=0, _xlpm.v=""), "", _xlpm.v))</f>
        <v>female</v>
      </c>
    </row>
    <row r="3517" spans="1:9" x14ac:dyDescent="0.6">
      <c r="A3517">
        <v>747</v>
      </c>
      <c r="B3517" t="s">
        <v>7</v>
      </c>
      <c r="C3517" t="s">
        <v>8</v>
      </c>
      <c r="D3517">
        <v>128.05000000000001</v>
      </c>
      <c r="E3517">
        <v>87.82</v>
      </c>
      <c r="F3517">
        <v>23346</v>
      </c>
      <c r="G3517" t="s">
        <v>15</v>
      </c>
      <c r="H3517" t="str">
        <f>_xlfn.LET(_xlpm.v, IFERROR(VLOOKUP($A3517, manifest!$A:$E, 3, FALSE), ""), IF(OR(_xlpm.v=0, _xlpm.v=""), "", _xlpm.v))</f>
        <v/>
      </c>
      <c r="I3517" t="str">
        <f>_xlfn.LET(_xlpm.v, IFERROR(VLOOKUP($A3517, manifest!$A:$E, 5, FALSE), ""), IF(OR(_xlpm.v=0, _xlpm.v=""), "", _xlpm.v))</f>
        <v>female</v>
      </c>
    </row>
    <row r="3518" spans="1:9" x14ac:dyDescent="0.6">
      <c r="A3518">
        <v>747</v>
      </c>
      <c r="B3518" t="s">
        <v>7</v>
      </c>
      <c r="C3518" t="s">
        <v>10</v>
      </c>
      <c r="D3518">
        <v>139.53</v>
      </c>
      <c r="E3518">
        <v>122.62</v>
      </c>
      <c r="F3518">
        <v>28744</v>
      </c>
      <c r="H3518" t="str">
        <f>_xlfn.LET(_xlpm.v, IFERROR(VLOOKUP($A3518, manifest!$A:$E, 3, FALSE), ""), IF(OR(_xlpm.v=0, _xlpm.v=""), "", _xlpm.v))</f>
        <v/>
      </c>
      <c r="I3518" t="str">
        <f>_xlfn.LET(_xlpm.v, IFERROR(VLOOKUP($A3518, manifest!$A:$E, 5, FALSE), ""), IF(OR(_xlpm.v=0, _xlpm.v=""), "", _xlpm.v))</f>
        <v>female</v>
      </c>
    </row>
    <row r="3519" spans="1:9" x14ac:dyDescent="0.6">
      <c r="A3519">
        <v>747</v>
      </c>
      <c r="B3519" t="s">
        <v>7</v>
      </c>
      <c r="C3519" t="s">
        <v>11</v>
      </c>
      <c r="D3519">
        <v>130.80000000000001</v>
      </c>
      <c r="E3519">
        <v>130.99</v>
      </c>
      <c r="F3519">
        <v>33609</v>
      </c>
      <c r="H3519" t="str">
        <f>_xlfn.LET(_xlpm.v, IFERROR(VLOOKUP($A3519, manifest!$A:$E, 3, FALSE), ""), IF(OR(_xlpm.v=0, _xlpm.v=""), "", _xlpm.v))</f>
        <v/>
      </c>
      <c r="I3519" t="str">
        <f>_xlfn.LET(_xlpm.v, IFERROR(VLOOKUP($A3519, manifest!$A:$E, 5, FALSE), ""), IF(OR(_xlpm.v=0, _xlpm.v=""), "", _xlpm.v))</f>
        <v>female</v>
      </c>
    </row>
    <row r="3520" spans="1:9" x14ac:dyDescent="0.6">
      <c r="A3520">
        <v>747</v>
      </c>
      <c r="B3520" t="s">
        <v>7</v>
      </c>
      <c r="C3520" t="s">
        <v>12</v>
      </c>
      <c r="D3520">
        <v>136.61000000000001</v>
      </c>
      <c r="E3520">
        <v>141.35</v>
      </c>
      <c r="F3520">
        <v>40717</v>
      </c>
      <c r="H3520" t="str">
        <f>_xlfn.LET(_xlpm.v, IFERROR(VLOOKUP($A3520, manifest!$A:$E, 3, FALSE), ""), IF(OR(_xlpm.v=0, _xlpm.v=""), "", _xlpm.v))</f>
        <v/>
      </c>
      <c r="I3520" t="str">
        <f>_xlfn.LET(_xlpm.v, IFERROR(VLOOKUP($A3520, manifest!$A:$E, 5, FALSE), ""), IF(OR(_xlpm.v=0, _xlpm.v=""), "", _xlpm.v))</f>
        <v>female</v>
      </c>
    </row>
    <row r="3521" spans="1:9" x14ac:dyDescent="0.6">
      <c r="A3521">
        <v>747</v>
      </c>
      <c r="B3521" t="s">
        <v>7</v>
      </c>
      <c r="C3521" t="s">
        <v>13</v>
      </c>
      <c r="D3521">
        <v>157.82</v>
      </c>
      <c r="E3521">
        <v>153.74</v>
      </c>
      <c r="F3521">
        <v>44045</v>
      </c>
      <c r="H3521" t="str">
        <f>_xlfn.LET(_xlpm.v, IFERROR(VLOOKUP($A3521, manifest!$A:$E, 3, FALSE), ""), IF(OR(_xlpm.v=0, _xlpm.v=""), "", _xlpm.v))</f>
        <v/>
      </c>
      <c r="I3521" t="str">
        <f>_xlfn.LET(_xlpm.v, IFERROR(VLOOKUP($A3521, manifest!$A:$E, 5, FALSE), ""), IF(OR(_xlpm.v=0, _xlpm.v=""), "", _xlpm.v))</f>
        <v>female</v>
      </c>
    </row>
    <row r="3522" spans="1:9" x14ac:dyDescent="0.6">
      <c r="A3522">
        <v>749</v>
      </c>
      <c r="B3522" t="s">
        <v>7</v>
      </c>
      <c r="C3522" t="s">
        <v>8</v>
      </c>
      <c r="D3522">
        <v>215.21</v>
      </c>
      <c r="E3522">
        <v>119.66</v>
      </c>
      <c r="F3522">
        <v>27873</v>
      </c>
      <c r="G3522" t="s">
        <v>9</v>
      </c>
      <c r="H3522" t="str">
        <f>_xlfn.LET(_xlpm.v, IFERROR(VLOOKUP($A3522, manifest!$A:$E, 3, FALSE), ""), IF(OR(_xlpm.v=0, _xlpm.v=""), "", _xlpm.v))</f>
        <v/>
      </c>
      <c r="I3522" t="str">
        <f>_xlfn.LET(_xlpm.v, IFERROR(VLOOKUP($A3522, manifest!$A:$E, 5, FALSE), ""), IF(OR(_xlpm.v=0, _xlpm.v=""), "", _xlpm.v))</f>
        <v>female</v>
      </c>
    </row>
    <row r="3523" spans="1:9" x14ac:dyDescent="0.6">
      <c r="A3523">
        <v>749</v>
      </c>
      <c r="B3523" t="s">
        <v>7</v>
      </c>
      <c r="C3523" t="s">
        <v>10</v>
      </c>
      <c r="D3523">
        <v>243.46</v>
      </c>
      <c r="E3523">
        <v>168.96</v>
      </c>
      <c r="F3523">
        <v>32238</v>
      </c>
      <c r="H3523" t="str">
        <f>_xlfn.LET(_xlpm.v, IFERROR(VLOOKUP($A3523, manifest!$A:$E, 3, FALSE), ""), IF(OR(_xlpm.v=0, _xlpm.v=""), "", _xlpm.v))</f>
        <v/>
      </c>
      <c r="I3523" t="str">
        <f>_xlfn.LET(_xlpm.v, IFERROR(VLOOKUP($A3523, manifest!$A:$E, 5, FALSE), ""), IF(OR(_xlpm.v=0, _xlpm.v=""), "", _xlpm.v))</f>
        <v>female</v>
      </c>
    </row>
    <row r="3524" spans="1:9" x14ac:dyDescent="0.6">
      <c r="A3524">
        <v>749</v>
      </c>
      <c r="B3524" t="s">
        <v>7</v>
      </c>
      <c r="C3524" t="s">
        <v>11</v>
      </c>
      <c r="D3524">
        <v>226.62</v>
      </c>
      <c r="E3524">
        <v>163.55000000000001</v>
      </c>
      <c r="F3524">
        <v>37832</v>
      </c>
      <c r="H3524" t="str">
        <f>_xlfn.LET(_xlpm.v, IFERROR(VLOOKUP($A3524, manifest!$A:$E, 3, FALSE), ""), IF(OR(_xlpm.v=0, _xlpm.v=""), "", _xlpm.v))</f>
        <v/>
      </c>
      <c r="I3524" t="str">
        <f>_xlfn.LET(_xlpm.v, IFERROR(VLOOKUP($A3524, manifest!$A:$E, 5, FALSE), ""), IF(OR(_xlpm.v=0, _xlpm.v=""), "", _xlpm.v))</f>
        <v>female</v>
      </c>
    </row>
    <row r="3525" spans="1:9" x14ac:dyDescent="0.6">
      <c r="A3525">
        <v>749</v>
      </c>
      <c r="B3525" t="s">
        <v>7</v>
      </c>
      <c r="C3525" t="s">
        <v>12</v>
      </c>
      <c r="D3525">
        <v>266.68</v>
      </c>
      <c r="E3525">
        <v>189.74</v>
      </c>
      <c r="F3525">
        <v>39672</v>
      </c>
      <c r="H3525" t="str">
        <f>_xlfn.LET(_xlpm.v, IFERROR(VLOOKUP($A3525, manifest!$A:$E, 3, FALSE), ""), IF(OR(_xlpm.v=0, _xlpm.v=""), "", _xlpm.v))</f>
        <v/>
      </c>
      <c r="I3525" t="str">
        <f>_xlfn.LET(_xlpm.v, IFERROR(VLOOKUP($A3525, manifest!$A:$E, 5, FALSE), ""), IF(OR(_xlpm.v=0, _xlpm.v=""), "", _xlpm.v))</f>
        <v>female</v>
      </c>
    </row>
    <row r="3526" spans="1:9" x14ac:dyDescent="0.6">
      <c r="A3526">
        <v>749</v>
      </c>
      <c r="B3526" t="s">
        <v>7</v>
      </c>
      <c r="C3526" t="s">
        <v>13</v>
      </c>
      <c r="D3526">
        <v>227.11</v>
      </c>
      <c r="E3526">
        <v>134.47</v>
      </c>
      <c r="F3526">
        <v>57055</v>
      </c>
      <c r="H3526" t="str">
        <f>_xlfn.LET(_xlpm.v, IFERROR(VLOOKUP($A3526, manifest!$A:$E, 3, FALSE), ""), IF(OR(_xlpm.v=0, _xlpm.v=""), "", _xlpm.v))</f>
        <v/>
      </c>
      <c r="I3526" t="str">
        <f>_xlfn.LET(_xlpm.v, IFERROR(VLOOKUP($A3526, manifest!$A:$E, 5, FALSE), ""), IF(OR(_xlpm.v=0, _xlpm.v=""), "", _xlpm.v))</f>
        <v>female</v>
      </c>
    </row>
    <row r="3527" spans="1:9" x14ac:dyDescent="0.6">
      <c r="A3527">
        <v>729</v>
      </c>
      <c r="B3527" t="s">
        <v>7</v>
      </c>
      <c r="C3527" t="s">
        <v>8</v>
      </c>
      <c r="D3527">
        <v>157.22</v>
      </c>
      <c r="E3527">
        <v>88.27</v>
      </c>
      <c r="F3527">
        <v>28917</v>
      </c>
      <c r="G3527" t="s">
        <v>15</v>
      </c>
      <c r="H3527">
        <f>_xlfn.LET(_xlpm.v, IFERROR(VLOOKUP($A3527, manifest!$A:$E, 3, FALSE), ""), IF(OR(_xlpm.v=0, _xlpm.v=""), "", _xlpm.v))</f>
        <v>53</v>
      </c>
      <c r="I3527" t="str">
        <f>_xlfn.LET(_xlpm.v, IFERROR(VLOOKUP($A3527, manifest!$A:$E, 5, FALSE), ""), IF(OR(_xlpm.v=0, _xlpm.v=""), "", _xlpm.v))</f>
        <v>male</v>
      </c>
    </row>
    <row r="3528" spans="1:9" x14ac:dyDescent="0.6">
      <c r="A3528">
        <v>729</v>
      </c>
      <c r="B3528" t="s">
        <v>7</v>
      </c>
      <c r="C3528" t="s">
        <v>10</v>
      </c>
      <c r="D3528">
        <v>171.52</v>
      </c>
      <c r="E3528">
        <v>133.97999999999999</v>
      </c>
      <c r="F3528">
        <v>29718</v>
      </c>
      <c r="H3528">
        <f>_xlfn.LET(_xlpm.v, IFERROR(VLOOKUP($A3528, manifest!$A:$E, 3, FALSE), ""), IF(OR(_xlpm.v=0, _xlpm.v=""), "", _xlpm.v))</f>
        <v>53</v>
      </c>
      <c r="I3528" t="str">
        <f>_xlfn.LET(_xlpm.v, IFERROR(VLOOKUP($A3528, manifest!$A:$E, 5, FALSE), ""), IF(OR(_xlpm.v=0, _xlpm.v=""), "", _xlpm.v))</f>
        <v>male</v>
      </c>
    </row>
    <row r="3529" spans="1:9" x14ac:dyDescent="0.6">
      <c r="A3529">
        <v>729</v>
      </c>
      <c r="B3529" t="s">
        <v>7</v>
      </c>
      <c r="C3529" t="s">
        <v>11</v>
      </c>
      <c r="D3529">
        <v>177.84</v>
      </c>
      <c r="E3529">
        <v>118.23</v>
      </c>
      <c r="F3529">
        <v>32274</v>
      </c>
      <c r="H3529">
        <f>_xlfn.LET(_xlpm.v, IFERROR(VLOOKUP($A3529, manifest!$A:$E, 3, FALSE), ""), IF(OR(_xlpm.v=0, _xlpm.v=""), "", _xlpm.v))</f>
        <v>53</v>
      </c>
      <c r="I3529" t="str">
        <f>_xlfn.LET(_xlpm.v, IFERROR(VLOOKUP($A3529, manifest!$A:$E, 5, FALSE), ""), IF(OR(_xlpm.v=0, _xlpm.v=""), "", _xlpm.v))</f>
        <v>male</v>
      </c>
    </row>
    <row r="3530" spans="1:9" x14ac:dyDescent="0.6">
      <c r="A3530">
        <v>729</v>
      </c>
      <c r="B3530" t="s">
        <v>7</v>
      </c>
      <c r="C3530" t="s">
        <v>12</v>
      </c>
      <c r="D3530">
        <v>170.63</v>
      </c>
      <c r="E3530">
        <v>127.37</v>
      </c>
      <c r="F3530">
        <v>39390</v>
      </c>
      <c r="H3530">
        <f>_xlfn.LET(_xlpm.v, IFERROR(VLOOKUP($A3530, manifest!$A:$E, 3, FALSE), ""), IF(OR(_xlpm.v=0, _xlpm.v=""), "", _xlpm.v))</f>
        <v>53</v>
      </c>
      <c r="I3530" t="str">
        <f>_xlfn.LET(_xlpm.v, IFERROR(VLOOKUP($A3530, manifest!$A:$E, 5, FALSE), ""), IF(OR(_xlpm.v=0, _xlpm.v=""), "", _xlpm.v))</f>
        <v>male</v>
      </c>
    </row>
    <row r="3531" spans="1:9" x14ac:dyDescent="0.6">
      <c r="A3531">
        <v>729</v>
      </c>
      <c r="B3531" t="s">
        <v>7</v>
      </c>
      <c r="C3531" t="s">
        <v>13</v>
      </c>
      <c r="D3531">
        <v>201.58</v>
      </c>
      <c r="E3531">
        <v>150.12</v>
      </c>
      <c r="F3531">
        <v>42926</v>
      </c>
      <c r="H3531">
        <f>_xlfn.LET(_xlpm.v, IFERROR(VLOOKUP($A3531, manifest!$A:$E, 3, FALSE), ""), IF(OR(_xlpm.v=0, _xlpm.v=""), "", _xlpm.v))</f>
        <v>53</v>
      </c>
      <c r="I3531" t="str">
        <f>_xlfn.LET(_xlpm.v, IFERROR(VLOOKUP($A3531, manifest!$A:$E, 5, FALSE), ""), IF(OR(_xlpm.v=0, _xlpm.v=""), "", _xlpm.v))</f>
        <v>male</v>
      </c>
    </row>
    <row r="3532" spans="1:9" x14ac:dyDescent="0.6">
      <c r="A3532">
        <v>730</v>
      </c>
      <c r="B3532" t="s">
        <v>14</v>
      </c>
      <c r="C3532" t="s">
        <v>8</v>
      </c>
      <c r="D3532">
        <v>145.34</v>
      </c>
      <c r="E3532">
        <v>108.19</v>
      </c>
      <c r="F3532">
        <v>31530</v>
      </c>
      <c r="G3532" t="s">
        <v>15</v>
      </c>
      <c r="H3532">
        <f>_xlfn.LET(_xlpm.v, IFERROR(VLOOKUP($A3532, manifest!$A:$E, 3, FALSE), ""), IF(OR(_xlpm.v=0, _xlpm.v=""), "", _xlpm.v))</f>
        <v>61</v>
      </c>
      <c r="I3532" t="str">
        <f>_xlfn.LET(_xlpm.v, IFERROR(VLOOKUP($A3532, manifest!$A:$E, 5, FALSE), ""), IF(OR(_xlpm.v=0, _xlpm.v=""), "", _xlpm.v))</f>
        <v>male</v>
      </c>
    </row>
    <row r="3533" spans="1:9" x14ac:dyDescent="0.6">
      <c r="A3533">
        <v>730</v>
      </c>
      <c r="B3533" t="s">
        <v>14</v>
      </c>
      <c r="C3533" t="s">
        <v>10</v>
      </c>
      <c r="D3533">
        <v>145.18</v>
      </c>
      <c r="E3533">
        <v>124.44</v>
      </c>
      <c r="F3533">
        <v>32442</v>
      </c>
      <c r="H3533">
        <f>_xlfn.LET(_xlpm.v, IFERROR(VLOOKUP($A3533, manifest!$A:$E, 3, FALSE), ""), IF(OR(_xlpm.v=0, _xlpm.v=""), "", _xlpm.v))</f>
        <v>61</v>
      </c>
      <c r="I3533" t="str">
        <f>_xlfn.LET(_xlpm.v, IFERROR(VLOOKUP($A3533, manifest!$A:$E, 5, FALSE), ""), IF(OR(_xlpm.v=0, _xlpm.v=""), "", _xlpm.v))</f>
        <v>male</v>
      </c>
    </row>
    <row r="3534" spans="1:9" x14ac:dyDescent="0.6">
      <c r="A3534">
        <v>730</v>
      </c>
      <c r="B3534" t="s">
        <v>14</v>
      </c>
      <c r="C3534" t="s">
        <v>12</v>
      </c>
      <c r="D3534">
        <v>170.13</v>
      </c>
      <c r="E3534">
        <v>143.6</v>
      </c>
      <c r="F3534">
        <v>37750</v>
      </c>
      <c r="H3534">
        <f>_xlfn.LET(_xlpm.v, IFERROR(VLOOKUP($A3534, manifest!$A:$E, 3, FALSE), ""), IF(OR(_xlpm.v=0, _xlpm.v=""), "", _xlpm.v))</f>
        <v>61</v>
      </c>
      <c r="I3534" t="str">
        <f>_xlfn.LET(_xlpm.v, IFERROR(VLOOKUP($A3534, manifest!$A:$E, 5, FALSE), ""), IF(OR(_xlpm.v=0, _xlpm.v=""), "", _xlpm.v))</f>
        <v>male</v>
      </c>
    </row>
    <row r="3535" spans="1:9" x14ac:dyDescent="0.6">
      <c r="A3535">
        <v>730</v>
      </c>
      <c r="B3535" t="s">
        <v>14</v>
      </c>
      <c r="C3535" t="s">
        <v>13</v>
      </c>
      <c r="D3535">
        <v>171.89</v>
      </c>
      <c r="E3535">
        <v>127.93</v>
      </c>
      <c r="F3535">
        <v>39593</v>
      </c>
      <c r="H3535">
        <f>_xlfn.LET(_xlpm.v, IFERROR(VLOOKUP($A3535, manifest!$A:$E, 3, FALSE), ""), IF(OR(_xlpm.v=0, _xlpm.v=""), "", _xlpm.v))</f>
        <v>61</v>
      </c>
      <c r="I3535" t="str">
        <f>_xlfn.LET(_xlpm.v, IFERROR(VLOOKUP($A3535, manifest!$A:$E, 5, FALSE), ""), IF(OR(_xlpm.v=0, _xlpm.v=""), "", _xlpm.v))</f>
        <v>male</v>
      </c>
    </row>
    <row r="3536" spans="1:9" x14ac:dyDescent="0.6">
      <c r="A3536">
        <v>727</v>
      </c>
      <c r="B3536" t="s">
        <v>7</v>
      </c>
      <c r="C3536" t="s">
        <v>8</v>
      </c>
      <c r="D3536">
        <v>278.60000000000002</v>
      </c>
      <c r="E3536">
        <v>171.32</v>
      </c>
      <c r="F3536">
        <v>40366</v>
      </c>
      <c r="G3536" t="s">
        <v>9</v>
      </c>
      <c r="H3536">
        <f>_xlfn.LET(_xlpm.v, IFERROR(VLOOKUP($A3536, manifest!$A:$E, 3, FALSE), ""), IF(OR(_xlpm.v=0, _xlpm.v=""), "", _xlpm.v))</f>
        <v>57</v>
      </c>
      <c r="I3536" t="str">
        <f>_xlfn.LET(_xlpm.v, IFERROR(VLOOKUP($A3536, manifest!$A:$E, 5, FALSE), ""), IF(OR(_xlpm.v=0, _xlpm.v=""), "", _xlpm.v))</f>
        <v>male</v>
      </c>
    </row>
    <row r="3537" spans="1:9" x14ac:dyDescent="0.6">
      <c r="A3537">
        <v>727</v>
      </c>
      <c r="B3537" t="s">
        <v>7</v>
      </c>
      <c r="C3537" t="s">
        <v>10</v>
      </c>
      <c r="D3537">
        <v>288.41000000000003</v>
      </c>
      <c r="E3537">
        <v>212.32</v>
      </c>
      <c r="F3537">
        <v>39977</v>
      </c>
      <c r="H3537">
        <f>_xlfn.LET(_xlpm.v, IFERROR(VLOOKUP($A3537, manifest!$A:$E, 3, FALSE), ""), IF(OR(_xlpm.v=0, _xlpm.v=""), "", _xlpm.v))</f>
        <v>57</v>
      </c>
      <c r="I3537" t="str">
        <f>_xlfn.LET(_xlpm.v, IFERROR(VLOOKUP($A3537, manifest!$A:$E, 5, FALSE), ""), IF(OR(_xlpm.v=0, _xlpm.v=""), "", _xlpm.v))</f>
        <v>male</v>
      </c>
    </row>
    <row r="3538" spans="1:9" x14ac:dyDescent="0.6">
      <c r="A3538">
        <v>727</v>
      </c>
      <c r="B3538" t="s">
        <v>7</v>
      </c>
      <c r="C3538" t="s">
        <v>11</v>
      </c>
      <c r="D3538">
        <v>293.74</v>
      </c>
      <c r="E3538">
        <v>226.26</v>
      </c>
      <c r="F3538">
        <v>43755</v>
      </c>
      <c r="H3538">
        <f>_xlfn.LET(_xlpm.v, IFERROR(VLOOKUP($A3538, manifest!$A:$E, 3, FALSE), ""), IF(OR(_xlpm.v=0, _xlpm.v=""), "", _xlpm.v))</f>
        <v>57</v>
      </c>
      <c r="I3538" t="str">
        <f>_xlfn.LET(_xlpm.v, IFERROR(VLOOKUP($A3538, manifest!$A:$E, 5, FALSE), ""), IF(OR(_xlpm.v=0, _xlpm.v=""), "", _xlpm.v))</f>
        <v>male</v>
      </c>
    </row>
    <row r="3539" spans="1:9" x14ac:dyDescent="0.6">
      <c r="A3539">
        <v>727</v>
      </c>
      <c r="B3539" t="s">
        <v>7</v>
      </c>
      <c r="C3539" t="s">
        <v>12</v>
      </c>
      <c r="D3539">
        <v>270.66000000000003</v>
      </c>
      <c r="E3539">
        <v>206.47</v>
      </c>
      <c r="F3539">
        <v>48675</v>
      </c>
      <c r="H3539">
        <f>_xlfn.LET(_xlpm.v, IFERROR(VLOOKUP($A3539, manifest!$A:$E, 3, FALSE), ""), IF(OR(_xlpm.v=0, _xlpm.v=""), "", _xlpm.v))</f>
        <v>57</v>
      </c>
      <c r="I3539" t="str">
        <f>_xlfn.LET(_xlpm.v, IFERROR(VLOOKUP($A3539, manifest!$A:$E, 5, FALSE), ""), IF(OR(_xlpm.v=0, _xlpm.v=""), "", _xlpm.v))</f>
        <v>male</v>
      </c>
    </row>
    <row r="3540" spans="1:9" x14ac:dyDescent="0.6">
      <c r="A3540">
        <v>727</v>
      </c>
      <c r="B3540" t="s">
        <v>7</v>
      </c>
      <c r="C3540" t="s">
        <v>13</v>
      </c>
      <c r="D3540">
        <v>291.25</v>
      </c>
      <c r="E3540">
        <v>215.88</v>
      </c>
      <c r="F3540">
        <v>53377</v>
      </c>
      <c r="H3540">
        <f>_xlfn.LET(_xlpm.v, IFERROR(VLOOKUP($A3540, manifest!$A:$E, 3, FALSE), ""), IF(OR(_xlpm.v=0, _xlpm.v=""), "", _xlpm.v))</f>
        <v>57</v>
      </c>
      <c r="I3540" t="str">
        <f>_xlfn.LET(_xlpm.v, IFERROR(VLOOKUP($A3540, manifest!$A:$E, 5, FALSE), ""), IF(OR(_xlpm.v=0, _xlpm.v=""), "", _xlpm.v))</f>
        <v>male</v>
      </c>
    </row>
    <row r="3541" spans="1:9" x14ac:dyDescent="0.6">
      <c r="A3541">
        <v>740</v>
      </c>
      <c r="B3541" t="s">
        <v>7</v>
      </c>
      <c r="C3541" t="s">
        <v>8</v>
      </c>
      <c r="D3541">
        <v>242.81</v>
      </c>
      <c r="E3541">
        <v>149.74</v>
      </c>
      <c r="F3541">
        <v>36999</v>
      </c>
      <c r="G3541" t="s">
        <v>9</v>
      </c>
      <c r="H3541">
        <f>_xlfn.LET(_xlpm.v, IFERROR(VLOOKUP($A3541, manifest!$A:$E, 3, FALSE), ""), IF(OR(_xlpm.v=0, _xlpm.v=""), "", _xlpm.v))</f>
        <v>51</v>
      </c>
      <c r="I3541" t="str">
        <f>_xlfn.LET(_xlpm.v, IFERROR(VLOOKUP($A3541, manifest!$A:$E, 5, FALSE), ""), IF(OR(_xlpm.v=0, _xlpm.v=""), "", _xlpm.v))</f>
        <v>female</v>
      </c>
    </row>
    <row r="3542" spans="1:9" x14ac:dyDescent="0.6">
      <c r="A3542">
        <v>740</v>
      </c>
      <c r="B3542" t="s">
        <v>7</v>
      </c>
      <c r="C3542" t="s">
        <v>10</v>
      </c>
      <c r="D3542">
        <v>265.2</v>
      </c>
      <c r="E3542">
        <v>165.67</v>
      </c>
      <c r="F3542">
        <v>44258</v>
      </c>
      <c r="H3542">
        <f>_xlfn.LET(_xlpm.v, IFERROR(VLOOKUP($A3542, manifest!$A:$E, 3, FALSE), ""), IF(OR(_xlpm.v=0, _xlpm.v=""), "", _xlpm.v))</f>
        <v>51</v>
      </c>
      <c r="I3542" t="str">
        <f>_xlfn.LET(_xlpm.v, IFERROR(VLOOKUP($A3542, manifest!$A:$E, 5, FALSE), ""), IF(OR(_xlpm.v=0, _xlpm.v=""), "", _xlpm.v))</f>
        <v>female</v>
      </c>
    </row>
    <row r="3543" spans="1:9" x14ac:dyDescent="0.6">
      <c r="A3543">
        <v>740</v>
      </c>
      <c r="B3543" t="s">
        <v>7</v>
      </c>
      <c r="C3543" t="s">
        <v>11</v>
      </c>
      <c r="D3543">
        <v>261.93</v>
      </c>
      <c r="E3543">
        <v>169.12</v>
      </c>
      <c r="F3543">
        <v>49085</v>
      </c>
      <c r="H3543">
        <f>_xlfn.LET(_xlpm.v, IFERROR(VLOOKUP($A3543, manifest!$A:$E, 3, FALSE), ""), IF(OR(_xlpm.v=0, _xlpm.v=""), "", _xlpm.v))</f>
        <v>51</v>
      </c>
      <c r="I3543" t="str">
        <f>_xlfn.LET(_xlpm.v, IFERROR(VLOOKUP($A3543, manifest!$A:$E, 5, FALSE), ""), IF(OR(_xlpm.v=0, _xlpm.v=""), "", _xlpm.v))</f>
        <v>female</v>
      </c>
    </row>
    <row r="3544" spans="1:9" x14ac:dyDescent="0.6">
      <c r="A3544">
        <v>740</v>
      </c>
      <c r="B3544" t="s">
        <v>7</v>
      </c>
      <c r="C3544" t="s">
        <v>12</v>
      </c>
      <c r="D3544">
        <v>273.33</v>
      </c>
      <c r="E3544">
        <v>193.78</v>
      </c>
      <c r="F3544">
        <v>53160</v>
      </c>
      <c r="H3544">
        <f>_xlfn.LET(_xlpm.v, IFERROR(VLOOKUP($A3544, manifest!$A:$E, 3, FALSE), ""), IF(OR(_xlpm.v=0, _xlpm.v=""), "", _xlpm.v))</f>
        <v>51</v>
      </c>
      <c r="I3544" t="str">
        <f>_xlfn.LET(_xlpm.v, IFERROR(VLOOKUP($A3544, manifest!$A:$E, 5, FALSE), ""), IF(OR(_xlpm.v=0, _xlpm.v=""), "", _xlpm.v))</f>
        <v>female</v>
      </c>
    </row>
    <row r="3545" spans="1:9" x14ac:dyDescent="0.6">
      <c r="A3545">
        <v>740</v>
      </c>
      <c r="B3545" t="s">
        <v>7</v>
      </c>
      <c r="C3545" t="s">
        <v>13</v>
      </c>
      <c r="D3545">
        <v>260.97000000000003</v>
      </c>
      <c r="E3545">
        <v>182.64</v>
      </c>
      <c r="F3545">
        <v>66186</v>
      </c>
      <c r="H3545">
        <f>_xlfn.LET(_xlpm.v, IFERROR(VLOOKUP($A3545, manifest!$A:$E, 3, FALSE), ""), IF(OR(_xlpm.v=0, _xlpm.v=""), "", _xlpm.v))</f>
        <v>51</v>
      </c>
      <c r="I3545" t="str">
        <f>_xlfn.LET(_xlpm.v, IFERROR(VLOOKUP($A3545, manifest!$A:$E, 5, FALSE), ""), IF(OR(_xlpm.v=0, _xlpm.v=""), "", _xlpm.v))</f>
        <v>female</v>
      </c>
    </row>
    <row r="3546" spans="1:9" x14ac:dyDescent="0.6">
      <c r="A3546">
        <v>744</v>
      </c>
      <c r="B3546" t="s">
        <v>7</v>
      </c>
      <c r="C3546" t="s">
        <v>8</v>
      </c>
      <c r="D3546">
        <v>215.72</v>
      </c>
      <c r="E3546">
        <v>202.07</v>
      </c>
      <c r="F3546">
        <v>31565</v>
      </c>
      <c r="G3546" t="s">
        <v>9</v>
      </c>
      <c r="H3546">
        <f>_xlfn.LET(_xlpm.v, IFERROR(VLOOKUP($A3546, manifest!$A:$E, 3, FALSE), ""), IF(OR(_xlpm.v=0, _xlpm.v=""), "", _xlpm.v))</f>
        <v>55</v>
      </c>
      <c r="I3546" t="str">
        <f>_xlfn.LET(_xlpm.v, IFERROR(VLOOKUP($A3546, manifest!$A:$E, 5, FALSE), ""), IF(OR(_xlpm.v=0, _xlpm.v=""), "", _xlpm.v))</f>
        <v>female</v>
      </c>
    </row>
    <row r="3547" spans="1:9" x14ac:dyDescent="0.6">
      <c r="A3547">
        <v>744</v>
      </c>
      <c r="B3547" t="s">
        <v>7</v>
      </c>
      <c r="C3547" t="s">
        <v>10</v>
      </c>
      <c r="D3547">
        <v>239.96</v>
      </c>
      <c r="E3547">
        <v>241.4</v>
      </c>
      <c r="F3547">
        <v>34113</v>
      </c>
      <c r="H3547">
        <f>_xlfn.LET(_xlpm.v, IFERROR(VLOOKUP($A3547, manifest!$A:$E, 3, FALSE), ""), IF(OR(_xlpm.v=0, _xlpm.v=""), "", _xlpm.v))</f>
        <v>55</v>
      </c>
      <c r="I3547" t="str">
        <f>_xlfn.LET(_xlpm.v, IFERROR(VLOOKUP($A3547, manifest!$A:$E, 5, FALSE), ""), IF(OR(_xlpm.v=0, _xlpm.v=""), "", _xlpm.v))</f>
        <v>female</v>
      </c>
    </row>
    <row r="3548" spans="1:9" x14ac:dyDescent="0.6">
      <c r="A3548">
        <v>744</v>
      </c>
      <c r="B3548" t="s">
        <v>7</v>
      </c>
      <c r="C3548" t="s">
        <v>11</v>
      </c>
      <c r="D3548">
        <v>242.21</v>
      </c>
      <c r="E3548">
        <v>234.16</v>
      </c>
      <c r="F3548">
        <v>37532</v>
      </c>
      <c r="H3548">
        <f>_xlfn.LET(_xlpm.v, IFERROR(VLOOKUP($A3548, manifest!$A:$E, 3, FALSE), ""), IF(OR(_xlpm.v=0, _xlpm.v=""), "", _xlpm.v))</f>
        <v>55</v>
      </c>
      <c r="I3548" t="str">
        <f>_xlfn.LET(_xlpm.v, IFERROR(VLOOKUP($A3548, manifest!$A:$E, 5, FALSE), ""), IF(OR(_xlpm.v=0, _xlpm.v=""), "", _xlpm.v))</f>
        <v>female</v>
      </c>
    </row>
    <row r="3549" spans="1:9" x14ac:dyDescent="0.6">
      <c r="A3549">
        <v>744</v>
      </c>
      <c r="B3549" t="s">
        <v>7</v>
      </c>
      <c r="C3549" t="s">
        <v>12</v>
      </c>
      <c r="D3549">
        <v>255.2</v>
      </c>
      <c r="E3549">
        <v>249.38</v>
      </c>
      <c r="F3549">
        <v>51266</v>
      </c>
      <c r="H3549">
        <f>_xlfn.LET(_xlpm.v, IFERROR(VLOOKUP($A3549, manifest!$A:$E, 3, FALSE), ""), IF(OR(_xlpm.v=0, _xlpm.v=""), "", _xlpm.v))</f>
        <v>55</v>
      </c>
      <c r="I3549" t="str">
        <f>_xlfn.LET(_xlpm.v, IFERROR(VLOOKUP($A3549, manifest!$A:$E, 5, FALSE), ""), IF(OR(_xlpm.v=0, _xlpm.v=""), "", _xlpm.v))</f>
        <v>female</v>
      </c>
    </row>
    <row r="3550" spans="1:9" x14ac:dyDescent="0.6">
      <c r="A3550">
        <v>744</v>
      </c>
      <c r="B3550" t="s">
        <v>7</v>
      </c>
      <c r="C3550" t="s">
        <v>13</v>
      </c>
      <c r="D3550">
        <v>257.69</v>
      </c>
      <c r="E3550">
        <v>214.51</v>
      </c>
      <c r="F3550">
        <v>50366</v>
      </c>
      <c r="H3550">
        <f>_xlfn.LET(_xlpm.v, IFERROR(VLOOKUP($A3550, manifest!$A:$E, 3, FALSE), ""), IF(OR(_xlpm.v=0, _xlpm.v=""), "", _xlpm.v))</f>
        <v>55</v>
      </c>
      <c r="I3550" t="str">
        <f>_xlfn.LET(_xlpm.v, IFERROR(VLOOKUP($A3550, manifest!$A:$E, 5, FALSE), ""), IF(OR(_xlpm.v=0, _xlpm.v=""), "", _xlpm.v))</f>
        <v>female</v>
      </c>
    </row>
    <row r="3551" spans="1:9" x14ac:dyDescent="0.6">
      <c r="A3551" t="s">
        <v>18</v>
      </c>
      <c r="B3551" t="s">
        <v>14</v>
      </c>
      <c r="C3551" t="s">
        <v>8</v>
      </c>
      <c r="D3551">
        <v>214.17</v>
      </c>
      <c r="E3551">
        <v>159.75</v>
      </c>
      <c r="F3551">
        <v>34826</v>
      </c>
      <c r="G3551" t="s">
        <v>9</v>
      </c>
      <c r="H3551" t="str">
        <f>_xlfn.LET(_xlpm.v, IFERROR(VLOOKUP($A3551, manifest!$A:$E, 3, FALSE), ""), IF(OR(_xlpm.v=0, _xlpm.v=""), "", _xlpm.v))</f>
        <v/>
      </c>
      <c r="I3551" t="str">
        <f>_xlfn.LET(_xlpm.v, IFERROR(VLOOKUP($A3551, manifest!$A:$E, 5, FALSE), ""), IF(OR(_xlpm.v=0, _xlpm.v=""), "", _xlpm.v))</f>
        <v/>
      </c>
    </row>
    <row r="3552" spans="1:9" x14ac:dyDescent="0.6">
      <c r="A3552" t="s">
        <v>18</v>
      </c>
      <c r="B3552" t="s">
        <v>14</v>
      </c>
      <c r="C3552" t="s">
        <v>10</v>
      </c>
      <c r="D3552">
        <v>207.8</v>
      </c>
      <c r="E3552">
        <v>159.06</v>
      </c>
      <c r="F3552">
        <v>39759</v>
      </c>
      <c r="H3552" t="str">
        <f>_xlfn.LET(_xlpm.v, IFERROR(VLOOKUP($A3552, manifest!$A:$E, 3, FALSE), ""), IF(OR(_xlpm.v=0, _xlpm.v=""), "", _xlpm.v))</f>
        <v/>
      </c>
      <c r="I3552" t="str">
        <f>_xlfn.LET(_xlpm.v, IFERROR(VLOOKUP($A3552, manifest!$A:$E, 5, FALSE), ""), IF(OR(_xlpm.v=0, _xlpm.v=""), "", _xlpm.v))</f>
        <v/>
      </c>
    </row>
    <row r="3553" spans="1:9" x14ac:dyDescent="0.6">
      <c r="A3553" t="s">
        <v>18</v>
      </c>
      <c r="B3553" t="s">
        <v>14</v>
      </c>
      <c r="C3553" t="s">
        <v>11</v>
      </c>
      <c r="D3553">
        <v>208.38</v>
      </c>
      <c r="E3553">
        <v>165.64</v>
      </c>
      <c r="F3553">
        <v>43804</v>
      </c>
      <c r="H3553" t="str">
        <f>_xlfn.LET(_xlpm.v, IFERROR(VLOOKUP($A3553, manifest!$A:$E, 3, FALSE), ""), IF(OR(_xlpm.v=0, _xlpm.v=""), "", _xlpm.v))</f>
        <v/>
      </c>
      <c r="I3553" t="str">
        <f>_xlfn.LET(_xlpm.v, IFERROR(VLOOKUP($A3553, manifest!$A:$E, 5, FALSE), ""), IF(OR(_xlpm.v=0, _xlpm.v=""), "", _xlpm.v))</f>
        <v/>
      </c>
    </row>
    <row r="3554" spans="1:9" x14ac:dyDescent="0.6">
      <c r="A3554" t="s">
        <v>18</v>
      </c>
      <c r="B3554" t="s">
        <v>14</v>
      </c>
      <c r="C3554" t="s">
        <v>12</v>
      </c>
      <c r="D3554">
        <v>204.28</v>
      </c>
      <c r="E3554">
        <v>150.91999999999999</v>
      </c>
      <c r="F3554">
        <v>43242</v>
      </c>
      <c r="H3554" t="str">
        <f>_xlfn.LET(_xlpm.v, IFERROR(VLOOKUP($A3554, manifest!$A:$E, 3, FALSE), ""), IF(OR(_xlpm.v=0, _xlpm.v=""), "", _xlpm.v))</f>
        <v/>
      </c>
      <c r="I3554" t="str">
        <f>_xlfn.LET(_xlpm.v, IFERROR(VLOOKUP($A3554, manifest!$A:$E, 5, FALSE), ""), IF(OR(_xlpm.v=0, _xlpm.v=""), "", _xlpm.v))</f>
        <v/>
      </c>
    </row>
    <row r="3555" spans="1:9" x14ac:dyDescent="0.6">
      <c r="A3555" t="s">
        <v>18</v>
      </c>
      <c r="B3555" t="s">
        <v>14</v>
      </c>
      <c r="C3555" t="s">
        <v>13</v>
      </c>
      <c r="D3555">
        <v>206.58</v>
      </c>
      <c r="E3555">
        <v>159.47</v>
      </c>
      <c r="F3555">
        <v>65537</v>
      </c>
      <c r="H3555" t="str">
        <f>_xlfn.LET(_xlpm.v, IFERROR(VLOOKUP($A3555, manifest!$A:$E, 3, FALSE), ""), IF(OR(_xlpm.v=0, _xlpm.v=""), "", _xlpm.v))</f>
        <v/>
      </c>
      <c r="I3555" t="str">
        <f>_xlfn.LET(_xlpm.v, IFERROR(VLOOKUP($A3555, manifest!$A:$E, 5, FALSE), ""), IF(OR(_xlpm.v=0, _xlpm.v=""), "", _xlpm.v))</f>
        <v/>
      </c>
    </row>
    <row r="3556" spans="1:9" x14ac:dyDescent="0.6">
      <c r="A3556">
        <v>762</v>
      </c>
      <c r="B3556" t="s">
        <v>14</v>
      </c>
      <c r="C3556" t="s">
        <v>8</v>
      </c>
      <c r="D3556">
        <v>248.92</v>
      </c>
      <c r="E3556">
        <v>178.08</v>
      </c>
      <c r="F3556">
        <v>45646</v>
      </c>
      <c r="G3556" t="s">
        <v>9</v>
      </c>
      <c r="H3556">
        <f>_xlfn.LET(_xlpm.v, IFERROR(VLOOKUP($A3556, manifest!$A:$E, 3, FALSE), ""), IF(OR(_xlpm.v=0, _xlpm.v=""), "", _xlpm.v))</f>
        <v>52</v>
      </c>
      <c r="I3556" t="str">
        <f>_xlfn.LET(_xlpm.v, IFERROR(VLOOKUP($A3556, manifest!$A:$E, 5, FALSE), ""), IF(OR(_xlpm.v=0, _xlpm.v=""), "", _xlpm.v))</f>
        <v>male</v>
      </c>
    </row>
    <row r="3557" spans="1:9" x14ac:dyDescent="0.6">
      <c r="A3557">
        <v>762</v>
      </c>
      <c r="B3557" t="s">
        <v>14</v>
      </c>
      <c r="C3557" t="s">
        <v>10</v>
      </c>
      <c r="D3557">
        <v>254.31</v>
      </c>
      <c r="E3557">
        <v>199.23</v>
      </c>
      <c r="F3557">
        <v>54362</v>
      </c>
      <c r="H3557">
        <f>_xlfn.LET(_xlpm.v, IFERROR(VLOOKUP($A3557, manifest!$A:$E, 3, FALSE), ""), IF(OR(_xlpm.v=0, _xlpm.v=""), "", _xlpm.v))</f>
        <v>52</v>
      </c>
      <c r="I3557" t="str">
        <f>_xlfn.LET(_xlpm.v, IFERROR(VLOOKUP($A3557, manifest!$A:$E, 5, FALSE), ""), IF(OR(_xlpm.v=0, _xlpm.v=""), "", _xlpm.v))</f>
        <v>male</v>
      </c>
    </row>
    <row r="3558" spans="1:9" x14ac:dyDescent="0.6">
      <c r="A3558">
        <v>762</v>
      </c>
      <c r="B3558" t="s">
        <v>14</v>
      </c>
      <c r="C3558" t="s">
        <v>11</v>
      </c>
      <c r="D3558">
        <v>286.48</v>
      </c>
      <c r="E3558">
        <v>222.71</v>
      </c>
      <c r="F3558">
        <v>53742</v>
      </c>
      <c r="H3558">
        <f>_xlfn.LET(_xlpm.v, IFERROR(VLOOKUP($A3558, manifest!$A:$E, 3, FALSE), ""), IF(OR(_xlpm.v=0, _xlpm.v=""), "", _xlpm.v))</f>
        <v>52</v>
      </c>
      <c r="I3558" t="str">
        <f>_xlfn.LET(_xlpm.v, IFERROR(VLOOKUP($A3558, manifest!$A:$E, 5, FALSE), ""), IF(OR(_xlpm.v=0, _xlpm.v=""), "", _xlpm.v))</f>
        <v>male</v>
      </c>
    </row>
    <row r="3559" spans="1:9" x14ac:dyDescent="0.6">
      <c r="A3559">
        <v>762</v>
      </c>
      <c r="B3559" t="s">
        <v>14</v>
      </c>
      <c r="C3559" t="s">
        <v>12</v>
      </c>
      <c r="D3559">
        <v>305</v>
      </c>
      <c r="E3559">
        <v>236.08</v>
      </c>
      <c r="F3559">
        <v>52300</v>
      </c>
      <c r="H3559">
        <f>_xlfn.LET(_xlpm.v, IFERROR(VLOOKUP($A3559, manifest!$A:$E, 3, FALSE), ""), IF(OR(_xlpm.v=0, _xlpm.v=""), "", _xlpm.v))</f>
        <v>52</v>
      </c>
      <c r="I3559" t="str">
        <f>_xlfn.LET(_xlpm.v, IFERROR(VLOOKUP($A3559, manifest!$A:$E, 5, FALSE), ""), IF(OR(_xlpm.v=0, _xlpm.v=""), "", _xlpm.v))</f>
        <v>male</v>
      </c>
    </row>
    <row r="3560" spans="1:9" x14ac:dyDescent="0.6">
      <c r="A3560">
        <v>762</v>
      </c>
      <c r="B3560" t="s">
        <v>14</v>
      </c>
      <c r="C3560" t="s">
        <v>13</v>
      </c>
      <c r="D3560">
        <v>283.64</v>
      </c>
      <c r="E3560">
        <v>247.69</v>
      </c>
      <c r="F3560">
        <v>55912</v>
      </c>
      <c r="H3560">
        <f>_xlfn.LET(_xlpm.v, IFERROR(VLOOKUP($A3560, manifest!$A:$E, 3, FALSE), ""), IF(OR(_xlpm.v=0, _xlpm.v=""), "", _xlpm.v))</f>
        <v>52</v>
      </c>
      <c r="I3560" t="str">
        <f>_xlfn.LET(_xlpm.v, IFERROR(VLOOKUP($A3560, manifest!$A:$E, 5, FALSE), ""), IF(OR(_xlpm.v=0, _xlpm.v=""), "", _xlpm.v))</f>
        <v>male</v>
      </c>
    </row>
    <row r="3561" spans="1:9" x14ac:dyDescent="0.6">
      <c r="A3561">
        <v>743</v>
      </c>
      <c r="B3561" t="s">
        <v>14</v>
      </c>
      <c r="C3561" t="s">
        <v>8</v>
      </c>
      <c r="D3561">
        <v>148.1</v>
      </c>
      <c r="E3561">
        <v>151.94999999999999</v>
      </c>
      <c r="F3561">
        <v>44834</v>
      </c>
      <c r="G3561" t="s">
        <v>15</v>
      </c>
      <c r="H3561">
        <f>_xlfn.LET(_xlpm.v, IFERROR(VLOOKUP($A3561, manifest!$A:$E, 3, FALSE), ""), IF(OR(_xlpm.v=0, _xlpm.v=""), "", _xlpm.v))</f>
        <v>69</v>
      </c>
      <c r="I3561" t="str">
        <f>_xlfn.LET(_xlpm.v, IFERROR(VLOOKUP($A3561, manifest!$A:$E, 5, FALSE), ""), IF(OR(_xlpm.v=0, _xlpm.v=""), "", _xlpm.v))</f>
        <v>male</v>
      </c>
    </row>
    <row r="3562" spans="1:9" x14ac:dyDescent="0.6">
      <c r="A3562">
        <v>743</v>
      </c>
      <c r="B3562" t="s">
        <v>14</v>
      </c>
      <c r="C3562" t="s">
        <v>10</v>
      </c>
      <c r="D3562">
        <v>154.13</v>
      </c>
      <c r="E3562">
        <v>187.45</v>
      </c>
      <c r="F3562">
        <v>46999</v>
      </c>
      <c r="H3562">
        <f>_xlfn.LET(_xlpm.v, IFERROR(VLOOKUP($A3562, manifest!$A:$E, 3, FALSE), ""), IF(OR(_xlpm.v=0, _xlpm.v=""), "", _xlpm.v))</f>
        <v>69</v>
      </c>
      <c r="I3562" t="str">
        <f>_xlfn.LET(_xlpm.v, IFERROR(VLOOKUP($A3562, manifest!$A:$E, 5, FALSE), ""), IF(OR(_xlpm.v=0, _xlpm.v=""), "", _xlpm.v))</f>
        <v>male</v>
      </c>
    </row>
    <row r="3563" spans="1:9" x14ac:dyDescent="0.6">
      <c r="A3563">
        <v>743</v>
      </c>
      <c r="B3563" t="s">
        <v>14</v>
      </c>
      <c r="C3563" t="s">
        <v>11</v>
      </c>
      <c r="D3563">
        <v>141.27000000000001</v>
      </c>
      <c r="E3563">
        <v>186.68</v>
      </c>
      <c r="F3563">
        <v>52896</v>
      </c>
      <c r="H3563">
        <f>_xlfn.LET(_xlpm.v, IFERROR(VLOOKUP($A3563, manifest!$A:$E, 3, FALSE), ""), IF(OR(_xlpm.v=0, _xlpm.v=""), "", _xlpm.v))</f>
        <v>69</v>
      </c>
      <c r="I3563" t="str">
        <f>_xlfn.LET(_xlpm.v, IFERROR(VLOOKUP($A3563, manifest!$A:$E, 5, FALSE), ""), IF(OR(_xlpm.v=0, _xlpm.v=""), "", _xlpm.v))</f>
        <v>male</v>
      </c>
    </row>
    <row r="3564" spans="1:9" x14ac:dyDescent="0.6">
      <c r="A3564">
        <v>743</v>
      </c>
      <c r="B3564" t="s">
        <v>14</v>
      </c>
      <c r="C3564" t="s">
        <v>12</v>
      </c>
      <c r="D3564">
        <v>107.69</v>
      </c>
      <c r="E3564">
        <v>136.38</v>
      </c>
      <c r="F3564">
        <v>76935</v>
      </c>
      <c r="H3564">
        <f>_xlfn.LET(_xlpm.v, IFERROR(VLOOKUP($A3564, manifest!$A:$E, 3, FALSE), ""), IF(OR(_xlpm.v=0, _xlpm.v=""), "", _xlpm.v))</f>
        <v>69</v>
      </c>
      <c r="I3564" t="str">
        <f>_xlfn.LET(_xlpm.v, IFERROR(VLOOKUP($A3564, manifest!$A:$E, 5, FALSE), ""), IF(OR(_xlpm.v=0, _xlpm.v=""), "", _xlpm.v))</f>
        <v>male</v>
      </c>
    </row>
    <row r="3565" spans="1:9" x14ac:dyDescent="0.6">
      <c r="A3565">
        <v>743</v>
      </c>
      <c r="B3565" t="s">
        <v>14</v>
      </c>
      <c r="C3565" t="s">
        <v>13</v>
      </c>
      <c r="D3565">
        <v>136.31</v>
      </c>
      <c r="E3565">
        <v>175.78</v>
      </c>
      <c r="F3565">
        <v>76938</v>
      </c>
      <c r="H3565">
        <f>_xlfn.LET(_xlpm.v, IFERROR(VLOOKUP($A3565, manifest!$A:$E, 3, FALSE), ""), IF(OR(_xlpm.v=0, _xlpm.v=""), "", _xlpm.v))</f>
        <v>69</v>
      </c>
      <c r="I3565" t="str">
        <f>_xlfn.LET(_xlpm.v, IFERROR(VLOOKUP($A3565, manifest!$A:$E, 5, FALSE), ""), IF(OR(_xlpm.v=0, _xlpm.v=""), "", _xlpm.v))</f>
        <v>male</v>
      </c>
    </row>
    <row r="3566" spans="1:9" x14ac:dyDescent="0.6">
      <c r="A3566">
        <v>751</v>
      </c>
      <c r="B3566" t="s">
        <v>14</v>
      </c>
      <c r="C3566" t="s">
        <v>8</v>
      </c>
      <c r="D3566">
        <v>226.06</v>
      </c>
      <c r="E3566">
        <v>130.69</v>
      </c>
      <c r="F3566">
        <v>19115</v>
      </c>
      <c r="G3566" t="s">
        <v>9</v>
      </c>
      <c r="H3566">
        <f>_xlfn.LET(_xlpm.v, IFERROR(VLOOKUP($A3566, manifest!$A:$E, 3, FALSE), ""), IF(OR(_xlpm.v=0, _xlpm.v=""), "", _xlpm.v))</f>
        <v>54</v>
      </c>
      <c r="I3566" t="str">
        <f>_xlfn.LET(_xlpm.v, IFERROR(VLOOKUP($A3566, manifest!$A:$E, 5, FALSE), ""), IF(OR(_xlpm.v=0, _xlpm.v=""), "", _xlpm.v))</f>
        <v>male</v>
      </c>
    </row>
    <row r="3567" spans="1:9" x14ac:dyDescent="0.6">
      <c r="A3567">
        <v>751</v>
      </c>
      <c r="B3567" t="s">
        <v>14</v>
      </c>
      <c r="C3567" t="s">
        <v>10</v>
      </c>
      <c r="D3567">
        <v>225.54</v>
      </c>
      <c r="E3567">
        <v>167.4</v>
      </c>
      <c r="F3567">
        <v>21332</v>
      </c>
      <c r="H3567">
        <f>_xlfn.LET(_xlpm.v, IFERROR(VLOOKUP($A3567, manifest!$A:$E, 3, FALSE), ""), IF(OR(_xlpm.v=0, _xlpm.v=""), "", _xlpm.v))</f>
        <v>54</v>
      </c>
      <c r="I3567" t="str">
        <f>_xlfn.LET(_xlpm.v, IFERROR(VLOOKUP($A3567, manifest!$A:$E, 5, FALSE), ""), IF(OR(_xlpm.v=0, _xlpm.v=""), "", _xlpm.v))</f>
        <v>male</v>
      </c>
    </row>
    <row r="3568" spans="1:9" x14ac:dyDescent="0.6">
      <c r="A3568">
        <v>751</v>
      </c>
      <c r="B3568" t="s">
        <v>14</v>
      </c>
      <c r="C3568" t="s">
        <v>11</v>
      </c>
      <c r="D3568">
        <v>217.5</v>
      </c>
      <c r="E3568">
        <v>178.08</v>
      </c>
      <c r="F3568">
        <v>27860</v>
      </c>
      <c r="H3568">
        <f>_xlfn.LET(_xlpm.v, IFERROR(VLOOKUP($A3568, manifest!$A:$E, 3, FALSE), ""), IF(OR(_xlpm.v=0, _xlpm.v=""), "", _xlpm.v))</f>
        <v>54</v>
      </c>
      <c r="I3568" t="str">
        <f>_xlfn.LET(_xlpm.v, IFERROR(VLOOKUP($A3568, manifest!$A:$E, 5, FALSE), ""), IF(OR(_xlpm.v=0, _xlpm.v=""), "", _xlpm.v))</f>
        <v>male</v>
      </c>
    </row>
    <row r="3569" spans="1:9" x14ac:dyDescent="0.6">
      <c r="A3569">
        <v>751</v>
      </c>
      <c r="B3569" t="s">
        <v>14</v>
      </c>
      <c r="C3569" t="s">
        <v>12</v>
      </c>
      <c r="D3569">
        <v>245.57</v>
      </c>
      <c r="E3569">
        <v>204.92</v>
      </c>
      <c r="F3569">
        <v>31301</v>
      </c>
      <c r="H3569">
        <f>_xlfn.LET(_xlpm.v, IFERROR(VLOOKUP($A3569, manifest!$A:$E, 3, FALSE), ""), IF(OR(_xlpm.v=0, _xlpm.v=""), "", _xlpm.v))</f>
        <v>54</v>
      </c>
      <c r="I3569" t="str">
        <f>_xlfn.LET(_xlpm.v, IFERROR(VLOOKUP($A3569, manifest!$A:$E, 5, FALSE), ""), IF(OR(_xlpm.v=0, _xlpm.v=""), "", _xlpm.v))</f>
        <v>male</v>
      </c>
    </row>
    <row r="3570" spans="1:9" x14ac:dyDescent="0.6">
      <c r="A3570">
        <v>751</v>
      </c>
      <c r="B3570" t="s">
        <v>14</v>
      </c>
      <c r="C3570" t="s">
        <v>13</v>
      </c>
      <c r="D3570">
        <v>238.31</v>
      </c>
      <c r="E3570">
        <v>195.54</v>
      </c>
      <c r="F3570">
        <v>36177</v>
      </c>
      <c r="H3570">
        <f>_xlfn.LET(_xlpm.v, IFERROR(VLOOKUP($A3570, manifest!$A:$E, 3, FALSE), ""), IF(OR(_xlpm.v=0, _xlpm.v=""), "", _xlpm.v))</f>
        <v>54</v>
      </c>
      <c r="I3570" t="str">
        <f>_xlfn.LET(_xlpm.v, IFERROR(VLOOKUP($A3570, manifest!$A:$E, 5, FALSE), ""), IF(OR(_xlpm.v=0, _xlpm.v=""), "", _xlpm.v))</f>
        <v>male</v>
      </c>
    </row>
    <row r="3571" spans="1:9" x14ac:dyDescent="0.6">
      <c r="A3571">
        <v>750</v>
      </c>
      <c r="B3571" t="s">
        <v>7</v>
      </c>
      <c r="C3571" t="s">
        <v>8</v>
      </c>
      <c r="D3571">
        <v>169.41</v>
      </c>
      <c r="E3571">
        <v>110.06</v>
      </c>
      <c r="F3571">
        <v>27718</v>
      </c>
      <c r="G3571" t="s">
        <v>9</v>
      </c>
      <c r="H3571" t="str">
        <f>_xlfn.LET(_xlpm.v, IFERROR(VLOOKUP($A3571, manifest!$A:$E, 3, FALSE), ""), IF(OR(_xlpm.v=0, _xlpm.v=""), "", _xlpm.v))</f>
        <v/>
      </c>
      <c r="I3571" t="str">
        <f>_xlfn.LET(_xlpm.v, IFERROR(VLOOKUP($A3571, manifest!$A:$E, 5, FALSE), ""), IF(OR(_xlpm.v=0, _xlpm.v=""), "", _xlpm.v))</f>
        <v>male</v>
      </c>
    </row>
    <row r="3572" spans="1:9" x14ac:dyDescent="0.6">
      <c r="A3572">
        <v>750</v>
      </c>
      <c r="B3572" t="s">
        <v>7</v>
      </c>
      <c r="C3572" t="s">
        <v>10</v>
      </c>
      <c r="D3572">
        <v>181.56</v>
      </c>
      <c r="E3572">
        <v>138.29</v>
      </c>
      <c r="F3572">
        <v>30641</v>
      </c>
      <c r="H3572" t="str">
        <f>_xlfn.LET(_xlpm.v, IFERROR(VLOOKUP($A3572, manifest!$A:$E, 3, FALSE), ""), IF(OR(_xlpm.v=0, _xlpm.v=""), "", _xlpm.v))</f>
        <v/>
      </c>
      <c r="I3572" t="str">
        <f>_xlfn.LET(_xlpm.v, IFERROR(VLOOKUP($A3572, manifest!$A:$E, 5, FALSE), ""), IF(OR(_xlpm.v=0, _xlpm.v=""), "", _xlpm.v))</f>
        <v>male</v>
      </c>
    </row>
    <row r="3573" spans="1:9" x14ac:dyDescent="0.6">
      <c r="A3573">
        <v>750</v>
      </c>
      <c r="B3573" t="s">
        <v>7</v>
      </c>
      <c r="C3573" t="s">
        <v>11</v>
      </c>
      <c r="D3573">
        <v>176.51</v>
      </c>
      <c r="E3573">
        <v>137.51</v>
      </c>
      <c r="F3573">
        <v>33521</v>
      </c>
      <c r="H3573" t="str">
        <f>_xlfn.LET(_xlpm.v, IFERROR(VLOOKUP($A3573, manifest!$A:$E, 3, FALSE), ""), IF(OR(_xlpm.v=0, _xlpm.v=""), "", _xlpm.v))</f>
        <v/>
      </c>
      <c r="I3573" t="str">
        <f>_xlfn.LET(_xlpm.v, IFERROR(VLOOKUP($A3573, manifest!$A:$E, 5, FALSE), ""), IF(OR(_xlpm.v=0, _xlpm.v=""), "", _xlpm.v))</f>
        <v>male</v>
      </c>
    </row>
    <row r="3574" spans="1:9" x14ac:dyDescent="0.6">
      <c r="A3574">
        <v>750</v>
      </c>
      <c r="B3574" t="s">
        <v>7</v>
      </c>
      <c r="C3574" t="s">
        <v>12</v>
      </c>
      <c r="D3574">
        <v>201.28</v>
      </c>
      <c r="E3574">
        <v>176.34</v>
      </c>
      <c r="F3574">
        <v>32611</v>
      </c>
      <c r="H3574" t="str">
        <f>_xlfn.LET(_xlpm.v, IFERROR(VLOOKUP($A3574, manifest!$A:$E, 3, FALSE), ""), IF(OR(_xlpm.v=0, _xlpm.v=""), "", _xlpm.v))</f>
        <v/>
      </c>
      <c r="I3574" t="str">
        <f>_xlfn.LET(_xlpm.v, IFERROR(VLOOKUP($A3574, manifest!$A:$E, 5, FALSE), ""), IF(OR(_xlpm.v=0, _xlpm.v=""), "", _xlpm.v))</f>
        <v>male</v>
      </c>
    </row>
    <row r="3575" spans="1:9" x14ac:dyDescent="0.6">
      <c r="A3575">
        <v>750</v>
      </c>
      <c r="B3575" t="s">
        <v>7</v>
      </c>
      <c r="C3575" t="s">
        <v>13</v>
      </c>
      <c r="D3575">
        <v>173.52</v>
      </c>
      <c r="E3575">
        <v>150.09</v>
      </c>
      <c r="F3575">
        <v>46912</v>
      </c>
      <c r="H3575" t="str">
        <f>_xlfn.LET(_xlpm.v, IFERROR(VLOOKUP($A3575, manifest!$A:$E, 3, FALSE), ""), IF(OR(_xlpm.v=0, _xlpm.v=""), "", _xlpm.v))</f>
        <v/>
      </c>
      <c r="I3575" t="str">
        <f>_xlfn.LET(_xlpm.v, IFERROR(VLOOKUP($A3575, manifest!$A:$E, 5, FALSE), ""), IF(OR(_xlpm.v=0, _xlpm.v=""), "", _xlpm.v))</f>
        <v>male</v>
      </c>
    </row>
    <row r="3576" spans="1:9" x14ac:dyDescent="0.6">
      <c r="A3576">
        <v>741</v>
      </c>
      <c r="B3576" t="s">
        <v>7</v>
      </c>
      <c r="C3576" t="s">
        <v>8</v>
      </c>
      <c r="D3576">
        <v>250.59</v>
      </c>
      <c r="E3576">
        <v>151.09</v>
      </c>
      <c r="F3576">
        <v>28220</v>
      </c>
      <c r="G3576" t="s">
        <v>9</v>
      </c>
      <c r="H3576">
        <f>_xlfn.LET(_xlpm.v, IFERROR(VLOOKUP($A3576, manifest!$A:$E, 3, FALSE), ""), IF(OR(_xlpm.v=0, _xlpm.v=""), "", _xlpm.v))</f>
        <v>58</v>
      </c>
      <c r="I3576" t="str">
        <f>_xlfn.LET(_xlpm.v, IFERROR(VLOOKUP($A3576, manifest!$A:$E, 5, FALSE), ""), IF(OR(_xlpm.v=0, _xlpm.v=""), "", _xlpm.v))</f>
        <v>female</v>
      </c>
    </row>
    <row r="3577" spans="1:9" x14ac:dyDescent="0.6">
      <c r="A3577">
        <v>741</v>
      </c>
      <c r="B3577" t="s">
        <v>7</v>
      </c>
      <c r="C3577" t="s">
        <v>10</v>
      </c>
      <c r="D3577">
        <v>258.27999999999997</v>
      </c>
      <c r="E3577">
        <v>182.96</v>
      </c>
      <c r="F3577">
        <v>29590</v>
      </c>
      <c r="H3577">
        <f>_xlfn.LET(_xlpm.v, IFERROR(VLOOKUP($A3577, manifest!$A:$E, 3, FALSE), ""), IF(OR(_xlpm.v=0, _xlpm.v=""), "", _xlpm.v))</f>
        <v>58</v>
      </c>
      <c r="I3577" t="str">
        <f>_xlfn.LET(_xlpm.v, IFERROR(VLOOKUP($A3577, manifest!$A:$E, 5, FALSE), ""), IF(OR(_xlpm.v=0, _xlpm.v=""), "", _xlpm.v))</f>
        <v>female</v>
      </c>
    </row>
    <row r="3578" spans="1:9" x14ac:dyDescent="0.6">
      <c r="A3578">
        <v>741</v>
      </c>
      <c r="B3578" t="s">
        <v>7</v>
      </c>
      <c r="C3578" t="s">
        <v>11</v>
      </c>
      <c r="D3578">
        <v>253.1</v>
      </c>
      <c r="E3578">
        <v>207.42</v>
      </c>
      <c r="F3578">
        <v>41458</v>
      </c>
      <c r="H3578">
        <f>_xlfn.LET(_xlpm.v, IFERROR(VLOOKUP($A3578, manifest!$A:$E, 3, FALSE), ""), IF(OR(_xlpm.v=0, _xlpm.v=""), "", _xlpm.v))</f>
        <v>58</v>
      </c>
      <c r="I3578" t="str">
        <f>_xlfn.LET(_xlpm.v, IFERROR(VLOOKUP($A3578, manifest!$A:$E, 5, FALSE), ""), IF(OR(_xlpm.v=0, _xlpm.v=""), "", _xlpm.v))</f>
        <v>female</v>
      </c>
    </row>
    <row r="3579" spans="1:9" x14ac:dyDescent="0.6">
      <c r="A3579">
        <v>741</v>
      </c>
      <c r="B3579" t="s">
        <v>7</v>
      </c>
      <c r="C3579" t="s">
        <v>12</v>
      </c>
      <c r="D3579">
        <v>233.77</v>
      </c>
      <c r="E3579">
        <v>147.02000000000001</v>
      </c>
      <c r="F3579">
        <v>43177</v>
      </c>
      <c r="H3579">
        <f>_xlfn.LET(_xlpm.v, IFERROR(VLOOKUP($A3579, manifest!$A:$E, 3, FALSE), ""), IF(OR(_xlpm.v=0, _xlpm.v=""), "", _xlpm.v))</f>
        <v>58</v>
      </c>
      <c r="I3579" t="str">
        <f>_xlfn.LET(_xlpm.v, IFERROR(VLOOKUP($A3579, manifest!$A:$E, 5, FALSE), ""), IF(OR(_xlpm.v=0, _xlpm.v=""), "", _xlpm.v))</f>
        <v>female</v>
      </c>
    </row>
    <row r="3580" spans="1:9" x14ac:dyDescent="0.6">
      <c r="A3580">
        <v>741</v>
      </c>
      <c r="B3580" t="s">
        <v>7</v>
      </c>
      <c r="C3580" t="s">
        <v>13</v>
      </c>
      <c r="D3580">
        <v>242.36</v>
      </c>
      <c r="E3580">
        <v>138.54</v>
      </c>
      <c r="F3580">
        <v>51836</v>
      </c>
      <c r="H3580">
        <f>_xlfn.LET(_xlpm.v, IFERROR(VLOOKUP($A3580, manifest!$A:$E, 3, FALSE), ""), IF(OR(_xlpm.v=0, _xlpm.v=""), "", _xlpm.v))</f>
        <v>58</v>
      </c>
      <c r="I3580" t="str">
        <f>_xlfn.LET(_xlpm.v, IFERROR(VLOOKUP($A3580, manifest!$A:$E, 5, FALSE), ""), IF(OR(_xlpm.v=0, _xlpm.v=""), "", _xlpm.v))</f>
        <v>female</v>
      </c>
    </row>
    <row r="3581" spans="1:9" x14ac:dyDescent="0.6">
      <c r="A3581">
        <v>759</v>
      </c>
      <c r="B3581" t="s">
        <v>14</v>
      </c>
      <c r="C3581" t="s">
        <v>8</v>
      </c>
      <c r="D3581">
        <v>161.65</v>
      </c>
      <c r="E3581">
        <v>159.6</v>
      </c>
      <c r="F3581">
        <v>19856</v>
      </c>
      <c r="G3581" t="s">
        <v>9</v>
      </c>
      <c r="H3581">
        <f>_xlfn.LET(_xlpm.v, IFERROR(VLOOKUP($A3581, manifest!$A:$E, 3, FALSE), ""), IF(OR(_xlpm.v=0, _xlpm.v=""), "", _xlpm.v))</f>
        <v>53</v>
      </c>
      <c r="I3581" t="str">
        <f>_xlfn.LET(_xlpm.v, IFERROR(VLOOKUP($A3581, manifest!$A:$E, 5, FALSE), ""), IF(OR(_xlpm.v=0, _xlpm.v=""), "", _xlpm.v))</f>
        <v>female</v>
      </c>
    </row>
    <row r="3582" spans="1:9" x14ac:dyDescent="0.6">
      <c r="A3582">
        <v>759</v>
      </c>
      <c r="B3582" t="s">
        <v>14</v>
      </c>
      <c r="C3582" t="s">
        <v>10</v>
      </c>
      <c r="D3582">
        <v>182.54</v>
      </c>
      <c r="E3582">
        <v>217.11</v>
      </c>
      <c r="F3582">
        <v>20495</v>
      </c>
      <c r="H3582">
        <f>_xlfn.LET(_xlpm.v, IFERROR(VLOOKUP($A3582, manifest!$A:$E, 3, FALSE), ""), IF(OR(_xlpm.v=0, _xlpm.v=""), "", _xlpm.v))</f>
        <v>53</v>
      </c>
      <c r="I3582" t="str">
        <f>_xlfn.LET(_xlpm.v, IFERROR(VLOOKUP($A3582, manifest!$A:$E, 5, FALSE), ""), IF(OR(_xlpm.v=0, _xlpm.v=""), "", _xlpm.v))</f>
        <v>female</v>
      </c>
    </row>
    <row r="3583" spans="1:9" x14ac:dyDescent="0.6">
      <c r="A3583">
        <v>759</v>
      </c>
      <c r="B3583" t="s">
        <v>14</v>
      </c>
      <c r="C3583" t="s">
        <v>11</v>
      </c>
      <c r="D3583">
        <v>199.38</v>
      </c>
      <c r="E3583">
        <v>246</v>
      </c>
      <c r="F3583">
        <v>22510</v>
      </c>
      <c r="H3583">
        <f>_xlfn.LET(_xlpm.v, IFERROR(VLOOKUP($A3583, manifest!$A:$E, 3, FALSE), ""), IF(OR(_xlpm.v=0, _xlpm.v=""), "", _xlpm.v))</f>
        <v>53</v>
      </c>
      <c r="I3583" t="str">
        <f>_xlfn.LET(_xlpm.v, IFERROR(VLOOKUP($A3583, manifest!$A:$E, 5, FALSE), ""), IF(OR(_xlpm.v=0, _xlpm.v=""), "", _xlpm.v))</f>
        <v>female</v>
      </c>
    </row>
    <row r="3584" spans="1:9" x14ac:dyDescent="0.6">
      <c r="A3584">
        <v>759</v>
      </c>
      <c r="B3584" t="s">
        <v>14</v>
      </c>
      <c r="C3584" t="s">
        <v>12</v>
      </c>
      <c r="D3584">
        <v>186.59</v>
      </c>
      <c r="E3584">
        <v>221.34</v>
      </c>
      <c r="F3584">
        <v>31287</v>
      </c>
      <c r="H3584">
        <f>_xlfn.LET(_xlpm.v, IFERROR(VLOOKUP($A3584, manifest!$A:$E, 3, FALSE), ""), IF(OR(_xlpm.v=0, _xlpm.v=""), "", _xlpm.v))</f>
        <v>53</v>
      </c>
      <c r="I3584" t="str">
        <f>_xlfn.LET(_xlpm.v, IFERROR(VLOOKUP($A3584, manifest!$A:$E, 5, FALSE), ""), IF(OR(_xlpm.v=0, _xlpm.v=""), "", _xlpm.v))</f>
        <v>female</v>
      </c>
    </row>
    <row r="3585" spans="1:9" x14ac:dyDescent="0.6">
      <c r="A3585">
        <v>759</v>
      </c>
      <c r="B3585" t="s">
        <v>14</v>
      </c>
      <c r="C3585" t="s">
        <v>13</v>
      </c>
      <c r="D3585">
        <v>194.47</v>
      </c>
      <c r="E3585">
        <v>210.19</v>
      </c>
      <c r="F3585">
        <v>31294</v>
      </c>
      <c r="H3585">
        <f>_xlfn.LET(_xlpm.v, IFERROR(VLOOKUP($A3585, manifest!$A:$E, 3, FALSE), ""), IF(OR(_xlpm.v=0, _xlpm.v=""), "", _xlpm.v))</f>
        <v>53</v>
      </c>
      <c r="I3585" t="str">
        <f>_xlfn.LET(_xlpm.v, IFERROR(VLOOKUP($A3585, manifest!$A:$E, 5, FALSE), ""), IF(OR(_xlpm.v=0, _xlpm.v=""), "", _xlpm.v))</f>
        <v>female</v>
      </c>
    </row>
    <row r="3586" spans="1:9" x14ac:dyDescent="0.6">
      <c r="A3586">
        <v>742</v>
      </c>
      <c r="B3586" t="s">
        <v>7</v>
      </c>
      <c r="C3586" t="s">
        <v>8</v>
      </c>
      <c r="D3586">
        <v>191.2</v>
      </c>
      <c r="E3586">
        <v>125.12</v>
      </c>
      <c r="F3586">
        <v>38761</v>
      </c>
      <c r="G3586" t="s">
        <v>9</v>
      </c>
      <c r="H3586" t="str">
        <f>_xlfn.LET(_xlpm.v, IFERROR(VLOOKUP($A3586, manifest!$A:$E, 3, FALSE), ""), IF(OR(_xlpm.v=0, _xlpm.v=""), "", _xlpm.v))</f>
        <v/>
      </c>
      <c r="I3586" t="str">
        <f>_xlfn.LET(_xlpm.v, IFERROR(VLOOKUP($A3586, manifest!$A:$E, 5, FALSE), ""), IF(OR(_xlpm.v=0, _xlpm.v=""), "", _xlpm.v))</f>
        <v>male</v>
      </c>
    </row>
    <row r="3587" spans="1:9" x14ac:dyDescent="0.6">
      <c r="A3587">
        <v>742</v>
      </c>
      <c r="B3587" t="s">
        <v>7</v>
      </c>
      <c r="C3587" t="s">
        <v>10</v>
      </c>
      <c r="D3587">
        <v>194.96</v>
      </c>
      <c r="E3587">
        <v>147.81</v>
      </c>
      <c r="F3587">
        <v>45760</v>
      </c>
      <c r="H3587" t="str">
        <f>_xlfn.LET(_xlpm.v, IFERROR(VLOOKUP($A3587, manifest!$A:$E, 3, FALSE), ""), IF(OR(_xlpm.v=0, _xlpm.v=""), "", _xlpm.v))</f>
        <v/>
      </c>
      <c r="I3587" t="str">
        <f>_xlfn.LET(_xlpm.v, IFERROR(VLOOKUP($A3587, manifest!$A:$E, 5, FALSE), ""), IF(OR(_xlpm.v=0, _xlpm.v=""), "", _xlpm.v))</f>
        <v>male</v>
      </c>
    </row>
    <row r="3588" spans="1:9" x14ac:dyDescent="0.6">
      <c r="A3588">
        <v>742</v>
      </c>
      <c r="B3588" t="s">
        <v>7</v>
      </c>
      <c r="C3588" t="s">
        <v>11</v>
      </c>
      <c r="D3588">
        <v>193.67</v>
      </c>
      <c r="E3588">
        <v>163.68</v>
      </c>
      <c r="F3588">
        <v>57800</v>
      </c>
      <c r="H3588" t="str">
        <f>_xlfn.LET(_xlpm.v, IFERROR(VLOOKUP($A3588, manifest!$A:$E, 3, FALSE), ""), IF(OR(_xlpm.v=0, _xlpm.v=""), "", _xlpm.v))</f>
        <v/>
      </c>
      <c r="I3588" t="str">
        <f>_xlfn.LET(_xlpm.v, IFERROR(VLOOKUP($A3588, manifest!$A:$E, 5, FALSE), ""), IF(OR(_xlpm.v=0, _xlpm.v=""), "", _xlpm.v))</f>
        <v>male</v>
      </c>
    </row>
    <row r="3589" spans="1:9" x14ac:dyDescent="0.6">
      <c r="A3589">
        <v>742</v>
      </c>
      <c r="B3589" t="s">
        <v>7</v>
      </c>
      <c r="C3589" t="s">
        <v>12</v>
      </c>
      <c r="D3589">
        <v>193.85</v>
      </c>
      <c r="E3589">
        <v>174.79</v>
      </c>
      <c r="F3589">
        <v>57577</v>
      </c>
      <c r="H3589" t="str">
        <f>_xlfn.LET(_xlpm.v, IFERROR(VLOOKUP($A3589, manifest!$A:$E, 3, FALSE), ""), IF(OR(_xlpm.v=0, _xlpm.v=""), "", _xlpm.v))</f>
        <v/>
      </c>
      <c r="I3589" t="str">
        <f>_xlfn.LET(_xlpm.v, IFERROR(VLOOKUP($A3589, manifest!$A:$E, 5, FALSE), ""), IF(OR(_xlpm.v=0, _xlpm.v=""), "", _xlpm.v))</f>
        <v>male</v>
      </c>
    </row>
    <row r="3590" spans="1:9" x14ac:dyDescent="0.6">
      <c r="A3590">
        <v>742</v>
      </c>
      <c r="B3590" t="s">
        <v>7</v>
      </c>
      <c r="C3590" t="s">
        <v>13</v>
      </c>
      <c r="D3590">
        <v>191.59</v>
      </c>
      <c r="E3590">
        <v>165.8</v>
      </c>
      <c r="F3590">
        <v>57690</v>
      </c>
      <c r="H3590" t="str">
        <f>_xlfn.LET(_xlpm.v, IFERROR(VLOOKUP($A3590, manifest!$A:$E, 3, FALSE), ""), IF(OR(_xlpm.v=0, _xlpm.v=""), "", _xlpm.v))</f>
        <v/>
      </c>
      <c r="I3590" t="str">
        <f>_xlfn.LET(_xlpm.v, IFERROR(VLOOKUP($A3590, manifest!$A:$E, 5, FALSE), ""), IF(OR(_xlpm.v=0, _xlpm.v=""), "", _xlpm.v))</f>
        <v>male</v>
      </c>
    </row>
    <row r="3591" spans="1:9" x14ac:dyDescent="0.6">
      <c r="A3591">
        <v>760</v>
      </c>
      <c r="B3591" t="s">
        <v>14</v>
      </c>
      <c r="C3591" t="s">
        <v>8</v>
      </c>
      <c r="D3591">
        <v>276.27</v>
      </c>
      <c r="E3591">
        <v>168.7</v>
      </c>
      <c r="F3591">
        <v>39623</v>
      </c>
      <c r="G3591" t="s">
        <v>9</v>
      </c>
      <c r="H3591">
        <f>_xlfn.LET(_xlpm.v, IFERROR(VLOOKUP($A3591, manifest!$A:$E, 3, FALSE), ""), IF(OR(_xlpm.v=0, _xlpm.v=""), "", _xlpm.v))</f>
        <v>52</v>
      </c>
      <c r="I3591" t="str">
        <f>_xlfn.LET(_xlpm.v, IFERROR(VLOOKUP($A3591, manifest!$A:$E, 5, FALSE), ""), IF(OR(_xlpm.v=0, _xlpm.v=""), "", _xlpm.v))</f>
        <v>male</v>
      </c>
    </row>
    <row r="3592" spans="1:9" x14ac:dyDescent="0.6">
      <c r="A3592">
        <v>760</v>
      </c>
      <c r="B3592" t="s">
        <v>14</v>
      </c>
      <c r="C3592" t="s">
        <v>10</v>
      </c>
      <c r="D3592">
        <v>285.79000000000002</v>
      </c>
      <c r="E3592">
        <v>185.22</v>
      </c>
      <c r="F3592">
        <v>44391</v>
      </c>
      <c r="H3592">
        <f>_xlfn.LET(_xlpm.v, IFERROR(VLOOKUP($A3592, manifest!$A:$E, 3, FALSE), ""), IF(OR(_xlpm.v=0, _xlpm.v=""), "", _xlpm.v))</f>
        <v>52</v>
      </c>
      <c r="I3592" t="str">
        <f>_xlfn.LET(_xlpm.v, IFERROR(VLOOKUP($A3592, manifest!$A:$E, 5, FALSE), ""), IF(OR(_xlpm.v=0, _xlpm.v=""), "", _xlpm.v))</f>
        <v>male</v>
      </c>
    </row>
    <row r="3593" spans="1:9" x14ac:dyDescent="0.6">
      <c r="A3593">
        <v>760</v>
      </c>
      <c r="B3593" t="s">
        <v>14</v>
      </c>
      <c r="C3593" t="s">
        <v>11</v>
      </c>
      <c r="D3593">
        <v>281.49</v>
      </c>
      <c r="E3593">
        <v>197.74</v>
      </c>
      <c r="F3593">
        <v>52922</v>
      </c>
      <c r="H3593">
        <f>_xlfn.LET(_xlpm.v, IFERROR(VLOOKUP($A3593, manifest!$A:$E, 3, FALSE), ""), IF(OR(_xlpm.v=0, _xlpm.v=""), "", _xlpm.v))</f>
        <v>52</v>
      </c>
      <c r="I3593" t="str">
        <f>_xlfn.LET(_xlpm.v, IFERROR(VLOOKUP($A3593, manifest!$A:$E, 5, FALSE), ""), IF(OR(_xlpm.v=0, _xlpm.v=""), "", _xlpm.v))</f>
        <v>male</v>
      </c>
    </row>
    <row r="3594" spans="1:9" x14ac:dyDescent="0.6">
      <c r="A3594">
        <v>760</v>
      </c>
      <c r="B3594" t="s">
        <v>14</v>
      </c>
      <c r="C3594" t="s">
        <v>12</v>
      </c>
      <c r="D3594">
        <v>268.49</v>
      </c>
      <c r="E3594">
        <v>183.4</v>
      </c>
      <c r="F3594">
        <v>66582</v>
      </c>
      <c r="H3594">
        <f>_xlfn.LET(_xlpm.v, IFERROR(VLOOKUP($A3594, manifest!$A:$E, 3, FALSE), ""), IF(OR(_xlpm.v=0, _xlpm.v=""), "", _xlpm.v))</f>
        <v>52</v>
      </c>
      <c r="I3594" t="str">
        <f>_xlfn.LET(_xlpm.v, IFERROR(VLOOKUP($A3594, manifest!$A:$E, 5, FALSE), ""), IF(OR(_xlpm.v=0, _xlpm.v=""), "", _xlpm.v))</f>
        <v>male</v>
      </c>
    </row>
    <row r="3595" spans="1:9" x14ac:dyDescent="0.6">
      <c r="A3595">
        <v>760</v>
      </c>
      <c r="B3595" t="s">
        <v>14</v>
      </c>
      <c r="C3595" t="s">
        <v>13</v>
      </c>
      <c r="D3595">
        <v>277.64999999999998</v>
      </c>
      <c r="E3595">
        <v>187.2</v>
      </c>
      <c r="F3595">
        <v>73506</v>
      </c>
      <c r="H3595">
        <f>_xlfn.LET(_xlpm.v, IFERROR(VLOOKUP($A3595, manifest!$A:$E, 3, FALSE), ""), IF(OR(_xlpm.v=0, _xlpm.v=""), "", _xlpm.v))</f>
        <v>52</v>
      </c>
      <c r="I3595" t="str">
        <f>_xlfn.LET(_xlpm.v, IFERROR(VLOOKUP($A3595, manifest!$A:$E, 5, FALSE), ""), IF(OR(_xlpm.v=0, _xlpm.v=""), "", _xlpm.v))</f>
        <v>male</v>
      </c>
    </row>
    <row r="3596" spans="1:9" x14ac:dyDescent="0.6">
      <c r="A3596">
        <v>758</v>
      </c>
      <c r="B3596" t="s">
        <v>7</v>
      </c>
      <c r="C3596" t="s">
        <v>8</v>
      </c>
      <c r="D3596">
        <v>284.83999999999997</v>
      </c>
      <c r="E3596">
        <v>195.51</v>
      </c>
      <c r="F3596">
        <v>30088</v>
      </c>
      <c r="G3596" t="s">
        <v>9</v>
      </c>
      <c r="H3596">
        <f>_xlfn.LET(_xlpm.v, IFERROR(VLOOKUP($A3596, manifest!$A:$E, 3, FALSE), ""), IF(OR(_xlpm.v=0, _xlpm.v=""), "", _xlpm.v))</f>
        <v>56</v>
      </c>
      <c r="I3596" t="str">
        <f>_xlfn.LET(_xlpm.v, IFERROR(VLOOKUP($A3596, manifest!$A:$E, 5, FALSE), ""), IF(OR(_xlpm.v=0, _xlpm.v=""), "", _xlpm.v))</f>
        <v>male</v>
      </c>
    </row>
    <row r="3597" spans="1:9" x14ac:dyDescent="0.6">
      <c r="A3597">
        <v>758</v>
      </c>
      <c r="B3597" t="s">
        <v>7</v>
      </c>
      <c r="C3597" t="s">
        <v>10</v>
      </c>
      <c r="D3597">
        <v>293.66000000000003</v>
      </c>
      <c r="E3597">
        <v>199.23</v>
      </c>
      <c r="F3597">
        <v>31850</v>
      </c>
      <c r="H3597">
        <f>_xlfn.LET(_xlpm.v, IFERROR(VLOOKUP($A3597, manifest!$A:$E, 3, FALSE), ""), IF(OR(_xlpm.v=0, _xlpm.v=""), "", _xlpm.v))</f>
        <v>56</v>
      </c>
      <c r="I3597" t="str">
        <f>_xlfn.LET(_xlpm.v, IFERROR(VLOOKUP($A3597, manifest!$A:$E, 5, FALSE), ""), IF(OR(_xlpm.v=0, _xlpm.v=""), "", _xlpm.v))</f>
        <v>male</v>
      </c>
    </row>
    <row r="3598" spans="1:9" x14ac:dyDescent="0.6">
      <c r="A3598">
        <v>758</v>
      </c>
      <c r="B3598" t="s">
        <v>7</v>
      </c>
      <c r="C3598" t="s">
        <v>11</v>
      </c>
      <c r="D3598">
        <v>320.25</v>
      </c>
      <c r="E3598">
        <v>206.07</v>
      </c>
      <c r="F3598">
        <v>36541</v>
      </c>
      <c r="H3598">
        <f>_xlfn.LET(_xlpm.v, IFERROR(VLOOKUP($A3598, manifest!$A:$E, 3, FALSE), ""), IF(OR(_xlpm.v=0, _xlpm.v=""), "", _xlpm.v))</f>
        <v>56</v>
      </c>
      <c r="I3598" t="str">
        <f>_xlfn.LET(_xlpm.v, IFERROR(VLOOKUP($A3598, manifest!$A:$E, 5, FALSE), ""), IF(OR(_xlpm.v=0, _xlpm.v=""), "", _xlpm.v))</f>
        <v>male</v>
      </c>
    </row>
    <row r="3599" spans="1:9" x14ac:dyDescent="0.6">
      <c r="A3599">
        <v>758</v>
      </c>
      <c r="B3599" t="s">
        <v>7</v>
      </c>
      <c r="C3599" t="s">
        <v>12</v>
      </c>
      <c r="D3599">
        <v>350.17</v>
      </c>
      <c r="E3599">
        <v>228.84</v>
      </c>
      <c r="F3599">
        <v>33047</v>
      </c>
      <c r="H3599">
        <f>_xlfn.LET(_xlpm.v, IFERROR(VLOOKUP($A3599, manifest!$A:$E, 3, FALSE), ""), IF(OR(_xlpm.v=0, _xlpm.v=""), "", _xlpm.v))</f>
        <v>56</v>
      </c>
      <c r="I3599" t="str">
        <f>_xlfn.LET(_xlpm.v, IFERROR(VLOOKUP($A3599, manifest!$A:$E, 5, FALSE), ""), IF(OR(_xlpm.v=0, _xlpm.v=""), "", _xlpm.v))</f>
        <v>male</v>
      </c>
    </row>
    <row r="3600" spans="1:9" x14ac:dyDescent="0.6">
      <c r="A3600">
        <v>758</v>
      </c>
      <c r="B3600" t="s">
        <v>7</v>
      </c>
      <c r="C3600" t="s">
        <v>13</v>
      </c>
      <c r="D3600">
        <v>357.95</v>
      </c>
      <c r="E3600">
        <v>228.1</v>
      </c>
      <c r="F3600">
        <v>35957</v>
      </c>
      <c r="H3600">
        <f>_xlfn.LET(_xlpm.v, IFERROR(VLOOKUP($A3600, manifest!$A:$E, 3, FALSE), ""), IF(OR(_xlpm.v=0, _xlpm.v=""), "", _xlpm.v))</f>
        <v>56</v>
      </c>
      <c r="I3600" t="str">
        <f>_xlfn.LET(_xlpm.v, IFERROR(VLOOKUP($A3600, manifest!$A:$E, 5, FALSE), ""), IF(OR(_xlpm.v=0, _xlpm.v=""), "", _xlpm.v))</f>
        <v>male</v>
      </c>
    </row>
    <row r="3601" spans="1:9" x14ac:dyDescent="0.6">
      <c r="A3601">
        <v>766</v>
      </c>
      <c r="B3601" t="s">
        <v>14</v>
      </c>
      <c r="C3601" t="s">
        <v>8</v>
      </c>
      <c r="D3601">
        <v>195.97</v>
      </c>
      <c r="E3601">
        <v>175.38</v>
      </c>
      <c r="F3601">
        <v>39923</v>
      </c>
      <c r="G3601" t="s">
        <v>9</v>
      </c>
      <c r="H3601">
        <f>_xlfn.LET(_xlpm.v, IFERROR(VLOOKUP($A3601, manifest!$A:$E, 3, FALSE), ""), IF(OR(_xlpm.v=0, _xlpm.v=""), "", _xlpm.v))</f>
        <v>58</v>
      </c>
      <c r="I3601" t="str">
        <f>_xlfn.LET(_xlpm.v, IFERROR(VLOOKUP($A3601, manifest!$A:$E, 5, FALSE), ""), IF(OR(_xlpm.v=0, _xlpm.v=""), "", _xlpm.v))</f>
        <v>male</v>
      </c>
    </row>
    <row r="3602" spans="1:9" x14ac:dyDescent="0.6">
      <c r="A3602">
        <v>766</v>
      </c>
      <c r="B3602" t="s">
        <v>14</v>
      </c>
      <c r="C3602" t="s">
        <v>10</v>
      </c>
      <c r="D3602">
        <v>186.03</v>
      </c>
      <c r="E3602">
        <v>183.41</v>
      </c>
      <c r="F3602">
        <v>42549</v>
      </c>
      <c r="H3602">
        <f>_xlfn.LET(_xlpm.v, IFERROR(VLOOKUP($A3602, manifest!$A:$E, 3, FALSE), ""), IF(OR(_xlpm.v=0, _xlpm.v=""), "", _xlpm.v))</f>
        <v>58</v>
      </c>
      <c r="I3602" t="str">
        <f>_xlfn.LET(_xlpm.v, IFERROR(VLOOKUP($A3602, manifest!$A:$E, 5, FALSE), ""), IF(OR(_xlpm.v=0, _xlpm.v=""), "", _xlpm.v))</f>
        <v>male</v>
      </c>
    </row>
    <row r="3603" spans="1:9" x14ac:dyDescent="0.6">
      <c r="A3603">
        <v>766</v>
      </c>
      <c r="B3603" t="s">
        <v>14</v>
      </c>
      <c r="C3603" t="s">
        <v>11</v>
      </c>
      <c r="D3603">
        <v>169.46</v>
      </c>
      <c r="E3603">
        <v>187.52</v>
      </c>
      <c r="F3603">
        <v>42072</v>
      </c>
      <c r="H3603">
        <f>_xlfn.LET(_xlpm.v, IFERROR(VLOOKUP($A3603, manifest!$A:$E, 3, FALSE), ""), IF(OR(_xlpm.v=0, _xlpm.v=""), "", _xlpm.v))</f>
        <v>58</v>
      </c>
      <c r="I3603" t="str">
        <f>_xlfn.LET(_xlpm.v, IFERROR(VLOOKUP($A3603, manifest!$A:$E, 5, FALSE), ""), IF(OR(_xlpm.v=0, _xlpm.v=""), "", _xlpm.v))</f>
        <v>male</v>
      </c>
    </row>
    <row r="3604" spans="1:9" x14ac:dyDescent="0.6">
      <c r="A3604">
        <v>766</v>
      </c>
      <c r="B3604" t="s">
        <v>14</v>
      </c>
      <c r="C3604" t="s">
        <v>12</v>
      </c>
      <c r="D3604">
        <v>208.84</v>
      </c>
      <c r="E3604">
        <v>228.46</v>
      </c>
      <c r="F3604">
        <v>44493</v>
      </c>
      <c r="H3604">
        <f>_xlfn.LET(_xlpm.v, IFERROR(VLOOKUP($A3604, manifest!$A:$E, 3, FALSE), ""), IF(OR(_xlpm.v=0, _xlpm.v=""), "", _xlpm.v))</f>
        <v>58</v>
      </c>
      <c r="I3604" t="str">
        <f>_xlfn.LET(_xlpm.v, IFERROR(VLOOKUP($A3604, manifest!$A:$E, 5, FALSE), ""), IF(OR(_xlpm.v=0, _xlpm.v=""), "", _xlpm.v))</f>
        <v>male</v>
      </c>
    </row>
    <row r="3605" spans="1:9" x14ac:dyDescent="0.6">
      <c r="A3605">
        <v>766</v>
      </c>
      <c r="B3605" t="s">
        <v>14</v>
      </c>
      <c r="C3605" t="s">
        <v>13</v>
      </c>
      <c r="D3605">
        <v>200.25</v>
      </c>
      <c r="E3605">
        <v>231.54</v>
      </c>
      <c r="F3605">
        <v>52399</v>
      </c>
      <c r="H3605">
        <f>_xlfn.LET(_xlpm.v, IFERROR(VLOOKUP($A3605, manifest!$A:$E, 3, FALSE), ""), IF(OR(_xlpm.v=0, _xlpm.v=""), "", _xlpm.v))</f>
        <v>58</v>
      </c>
      <c r="I3605" t="str">
        <f>_xlfn.LET(_xlpm.v, IFERROR(VLOOKUP($A3605, manifest!$A:$E, 5, FALSE), ""), IF(OR(_xlpm.v=0, _xlpm.v=""), "", _xlpm.v))</f>
        <v>male</v>
      </c>
    </row>
    <row r="3606" spans="1:9" x14ac:dyDescent="0.6">
      <c r="A3606">
        <v>754</v>
      </c>
      <c r="B3606" t="s">
        <v>14</v>
      </c>
      <c r="C3606" t="s">
        <v>8</v>
      </c>
      <c r="D3606">
        <v>298.27</v>
      </c>
      <c r="E3606">
        <v>117.94</v>
      </c>
      <c r="F3606">
        <v>30767</v>
      </c>
      <c r="G3606" t="s">
        <v>9</v>
      </c>
      <c r="H3606">
        <f>_xlfn.LET(_xlpm.v, IFERROR(VLOOKUP($A3606, manifest!$A:$E, 3, FALSE), ""), IF(OR(_xlpm.v=0, _xlpm.v=""), "", _xlpm.v))</f>
        <v>89</v>
      </c>
      <c r="I3606" t="str">
        <f>_xlfn.LET(_xlpm.v, IFERROR(VLOOKUP($A3606, manifest!$A:$E, 5, FALSE), ""), IF(OR(_xlpm.v=0, _xlpm.v=""), "", _xlpm.v))</f>
        <v>other</v>
      </c>
    </row>
    <row r="3607" spans="1:9" x14ac:dyDescent="0.6">
      <c r="A3607">
        <v>754</v>
      </c>
      <c r="B3607" t="s">
        <v>14</v>
      </c>
      <c r="C3607" t="s">
        <v>10</v>
      </c>
      <c r="D3607">
        <v>320.39</v>
      </c>
      <c r="E3607">
        <v>140.66</v>
      </c>
      <c r="F3607">
        <v>31430</v>
      </c>
      <c r="H3607">
        <f>_xlfn.LET(_xlpm.v, IFERROR(VLOOKUP($A3607, manifest!$A:$E, 3, FALSE), ""), IF(OR(_xlpm.v=0, _xlpm.v=""), "", _xlpm.v))</f>
        <v>89</v>
      </c>
      <c r="I3607" t="str">
        <f>_xlfn.LET(_xlpm.v, IFERROR(VLOOKUP($A3607, manifest!$A:$E, 5, FALSE), ""), IF(OR(_xlpm.v=0, _xlpm.v=""), "", _xlpm.v))</f>
        <v>other</v>
      </c>
    </row>
    <row r="3608" spans="1:9" x14ac:dyDescent="0.6">
      <c r="A3608">
        <v>754</v>
      </c>
      <c r="B3608" t="s">
        <v>14</v>
      </c>
      <c r="C3608" t="s">
        <v>11</v>
      </c>
      <c r="D3608">
        <v>322.43</v>
      </c>
      <c r="E3608">
        <v>145.52000000000001</v>
      </c>
      <c r="F3608">
        <v>34726</v>
      </c>
      <c r="H3608">
        <f>_xlfn.LET(_xlpm.v, IFERROR(VLOOKUP($A3608, manifest!$A:$E, 3, FALSE), ""), IF(OR(_xlpm.v=0, _xlpm.v=""), "", _xlpm.v))</f>
        <v>89</v>
      </c>
      <c r="I3608" t="str">
        <f>_xlfn.LET(_xlpm.v, IFERROR(VLOOKUP($A3608, manifest!$A:$E, 5, FALSE), ""), IF(OR(_xlpm.v=0, _xlpm.v=""), "", _xlpm.v))</f>
        <v>other</v>
      </c>
    </row>
    <row r="3609" spans="1:9" x14ac:dyDescent="0.6">
      <c r="A3609">
        <v>754</v>
      </c>
      <c r="B3609" t="s">
        <v>14</v>
      </c>
      <c r="C3609" t="s">
        <v>12</v>
      </c>
      <c r="D3609">
        <v>323.39999999999998</v>
      </c>
      <c r="E3609">
        <v>135.27000000000001</v>
      </c>
      <c r="F3609">
        <v>34945</v>
      </c>
      <c r="H3609">
        <f>_xlfn.LET(_xlpm.v, IFERROR(VLOOKUP($A3609, manifest!$A:$E, 3, FALSE), ""), IF(OR(_xlpm.v=0, _xlpm.v=""), "", _xlpm.v))</f>
        <v>89</v>
      </c>
      <c r="I3609" t="str">
        <f>_xlfn.LET(_xlpm.v, IFERROR(VLOOKUP($A3609, manifest!$A:$E, 5, FALSE), ""), IF(OR(_xlpm.v=0, _xlpm.v=""), "", _xlpm.v))</f>
        <v>other</v>
      </c>
    </row>
    <row r="3610" spans="1:9" x14ac:dyDescent="0.6">
      <c r="A3610">
        <v>754</v>
      </c>
      <c r="B3610" t="s">
        <v>14</v>
      </c>
      <c r="C3610" t="s">
        <v>13</v>
      </c>
      <c r="D3610">
        <v>304.27999999999997</v>
      </c>
      <c r="E3610">
        <v>125.99</v>
      </c>
      <c r="F3610">
        <v>42142</v>
      </c>
      <c r="H3610">
        <f>_xlfn.LET(_xlpm.v, IFERROR(VLOOKUP($A3610, manifest!$A:$E, 3, FALSE), ""), IF(OR(_xlpm.v=0, _xlpm.v=""), "", _xlpm.v))</f>
        <v>89</v>
      </c>
      <c r="I3610" t="str">
        <f>_xlfn.LET(_xlpm.v, IFERROR(VLOOKUP($A3610, manifest!$A:$E, 5, FALSE), ""), IF(OR(_xlpm.v=0, _xlpm.v=""), "", _xlpm.v))</f>
        <v>other</v>
      </c>
    </row>
    <row r="3611" spans="1:9" x14ac:dyDescent="0.6">
      <c r="A3611">
        <v>757</v>
      </c>
      <c r="B3611" t="s">
        <v>7</v>
      </c>
      <c r="C3611" t="s">
        <v>8</v>
      </c>
      <c r="D3611">
        <v>234.44</v>
      </c>
      <c r="E3611">
        <v>141.66</v>
      </c>
      <c r="F3611">
        <v>16767</v>
      </c>
      <c r="G3611" t="s">
        <v>9</v>
      </c>
      <c r="H3611">
        <f>_xlfn.LET(_xlpm.v, IFERROR(VLOOKUP($A3611, manifest!$A:$E, 3, FALSE), ""), IF(OR(_xlpm.v=0, _xlpm.v=""), "", _xlpm.v))</f>
        <v>65</v>
      </c>
      <c r="I3611" t="str">
        <f>_xlfn.LET(_xlpm.v, IFERROR(VLOOKUP($A3611, manifest!$A:$E, 5, FALSE), ""), IF(OR(_xlpm.v=0, _xlpm.v=""), "", _xlpm.v))</f>
        <v>female</v>
      </c>
    </row>
    <row r="3612" spans="1:9" x14ac:dyDescent="0.6">
      <c r="A3612">
        <v>757</v>
      </c>
      <c r="B3612" t="s">
        <v>7</v>
      </c>
      <c r="C3612" t="s">
        <v>10</v>
      </c>
      <c r="D3612">
        <v>319.01</v>
      </c>
      <c r="E3612">
        <v>196.04</v>
      </c>
      <c r="F3612">
        <v>17102</v>
      </c>
      <c r="H3612">
        <f>_xlfn.LET(_xlpm.v, IFERROR(VLOOKUP($A3612, manifest!$A:$E, 3, FALSE), ""), IF(OR(_xlpm.v=0, _xlpm.v=""), "", _xlpm.v))</f>
        <v>65</v>
      </c>
      <c r="I3612" t="str">
        <f>_xlfn.LET(_xlpm.v, IFERROR(VLOOKUP($A3612, manifest!$A:$E, 5, FALSE), ""), IF(OR(_xlpm.v=0, _xlpm.v=""), "", _xlpm.v))</f>
        <v>female</v>
      </c>
    </row>
    <row r="3613" spans="1:9" x14ac:dyDescent="0.6">
      <c r="A3613">
        <v>757</v>
      </c>
      <c r="B3613" t="s">
        <v>7</v>
      </c>
      <c r="C3613" t="s">
        <v>11</v>
      </c>
      <c r="D3613">
        <v>277.79000000000002</v>
      </c>
      <c r="E3613">
        <v>190.77</v>
      </c>
      <c r="F3613">
        <v>18629</v>
      </c>
      <c r="H3613">
        <f>_xlfn.LET(_xlpm.v, IFERROR(VLOOKUP($A3613, manifest!$A:$E, 3, FALSE), ""), IF(OR(_xlpm.v=0, _xlpm.v=""), "", _xlpm.v))</f>
        <v>65</v>
      </c>
      <c r="I3613" t="str">
        <f>_xlfn.LET(_xlpm.v, IFERROR(VLOOKUP($A3613, manifest!$A:$E, 5, FALSE), ""), IF(OR(_xlpm.v=0, _xlpm.v=""), "", _xlpm.v))</f>
        <v>female</v>
      </c>
    </row>
    <row r="3614" spans="1:9" x14ac:dyDescent="0.6">
      <c r="A3614">
        <v>757</v>
      </c>
      <c r="B3614" t="s">
        <v>7</v>
      </c>
      <c r="C3614" t="s">
        <v>12</v>
      </c>
      <c r="D3614">
        <v>253.42</v>
      </c>
      <c r="E3614">
        <v>182.53</v>
      </c>
      <c r="F3614">
        <v>20605</v>
      </c>
      <c r="H3614">
        <f>_xlfn.LET(_xlpm.v, IFERROR(VLOOKUP($A3614, manifest!$A:$E, 3, FALSE), ""), IF(OR(_xlpm.v=0, _xlpm.v=""), "", _xlpm.v))</f>
        <v>65</v>
      </c>
      <c r="I3614" t="str">
        <f>_xlfn.LET(_xlpm.v, IFERROR(VLOOKUP($A3614, manifest!$A:$E, 5, FALSE), ""), IF(OR(_xlpm.v=0, _xlpm.v=""), "", _xlpm.v))</f>
        <v>female</v>
      </c>
    </row>
    <row r="3615" spans="1:9" x14ac:dyDescent="0.6">
      <c r="A3615">
        <v>757</v>
      </c>
      <c r="B3615" t="s">
        <v>7</v>
      </c>
      <c r="C3615" t="s">
        <v>13</v>
      </c>
      <c r="D3615">
        <v>256.58999999999997</v>
      </c>
      <c r="E3615">
        <v>197.58</v>
      </c>
      <c r="F3615">
        <v>28504</v>
      </c>
      <c r="H3615">
        <f>_xlfn.LET(_xlpm.v, IFERROR(VLOOKUP($A3615, manifest!$A:$E, 3, FALSE), ""), IF(OR(_xlpm.v=0, _xlpm.v=""), "", _xlpm.v))</f>
        <v>65</v>
      </c>
      <c r="I3615" t="str">
        <f>_xlfn.LET(_xlpm.v, IFERROR(VLOOKUP($A3615, manifest!$A:$E, 5, FALSE), ""), IF(OR(_xlpm.v=0, _xlpm.v=""), "", _xlpm.v))</f>
        <v>female</v>
      </c>
    </row>
    <row r="3616" spans="1:9" x14ac:dyDescent="0.6">
      <c r="A3616">
        <v>765</v>
      </c>
      <c r="B3616" t="s">
        <v>7</v>
      </c>
      <c r="C3616" t="s">
        <v>8</v>
      </c>
      <c r="D3616">
        <v>185.92</v>
      </c>
      <c r="E3616">
        <v>116.07</v>
      </c>
      <c r="F3616">
        <v>22287</v>
      </c>
      <c r="G3616" t="s">
        <v>9</v>
      </c>
      <c r="H3616">
        <f>_xlfn.LET(_xlpm.v, IFERROR(VLOOKUP($A3616, manifest!$A:$E, 3, FALSE), ""), IF(OR(_xlpm.v=0, _xlpm.v=""), "", _xlpm.v))</f>
        <v>59</v>
      </c>
      <c r="I3616" t="str">
        <f>_xlfn.LET(_xlpm.v, IFERROR(VLOOKUP($A3616, manifest!$A:$E, 5, FALSE), ""), IF(OR(_xlpm.v=0, _xlpm.v=""), "", _xlpm.v))</f>
        <v>male</v>
      </c>
    </row>
    <row r="3617" spans="1:9" x14ac:dyDescent="0.6">
      <c r="A3617">
        <v>765</v>
      </c>
      <c r="B3617" t="s">
        <v>7</v>
      </c>
      <c r="C3617" t="s">
        <v>10</v>
      </c>
      <c r="D3617">
        <v>185.35</v>
      </c>
      <c r="E3617">
        <v>124.77</v>
      </c>
      <c r="F3617">
        <v>21886</v>
      </c>
      <c r="H3617">
        <f>_xlfn.LET(_xlpm.v, IFERROR(VLOOKUP($A3617, manifest!$A:$E, 3, FALSE), ""), IF(OR(_xlpm.v=0, _xlpm.v=""), "", _xlpm.v))</f>
        <v>59</v>
      </c>
      <c r="I3617" t="str">
        <f>_xlfn.LET(_xlpm.v, IFERROR(VLOOKUP($A3617, manifest!$A:$E, 5, FALSE), ""), IF(OR(_xlpm.v=0, _xlpm.v=""), "", _xlpm.v))</f>
        <v>male</v>
      </c>
    </row>
    <row r="3618" spans="1:9" x14ac:dyDescent="0.6">
      <c r="A3618">
        <v>765</v>
      </c>
      <c r="B3618" t="s">
        <v>7</v>
      </c>
      <c r="C3618" t="s">
        <v>11</v>
      </c>
      <c r="D3618">
        <v>192.74</v>
      </c>
      <c r="E3618">
        <v>142.94</v>
      </c>
      <c r="F3618">
        <v>24979</v>
      </c>
      <c r="H3618">
        <f>_xlfn.LET(_xlpm.v, IFERROR(VLOOKUP($A3618, manifest!$A:$E, 3, FALSE), ""), IF(OR(_xlpm.v=0, _xlpm.v=""), "", _xlpm.v))</f>
        <v>59</v>
      </c>
      <c r="I3618" t="str">
        <f>_xlfn.LET(_xlpm.v, IFERROR(VLOOKUP($A3618, manifest!$A:$E, 5, FALSE), ""), IF(OR(_xlpm.v=0, _xlpm.v=""), "", _xlpm.v))</f>
        <v>male</v>
      </c>
    </row>
    <row r="3619" spans="1:9" x14ac:dyDescent="0.6">
      <c r="A3619">
        <v>765</v>
      </c>
      <c r="B3619" t="s">
        <v>7</v>
      </c>
      <c r="C3619" t="s">
        <v>12</v>
      </c>
      <c r="D3619">
        <v>198.87</v>
      </c>
      <c r="E3619">
        <v>165.49</v>
      </c>
      <c r="F3619">
        <v>28562</v>
      </c>
      <c r="H3619">
        <f>_xlfn.LET(_xlpm.v, IFERROR(VLOOKUP($A3619, manifest!$A:$E, 3, FALSE), ""), IF(OR(_xlpm.v=0, _xlpm.v=""), "", _xlpm.v))</f>
        <v>59</v>
      </c>
      <c r="I3619" t="str">
        <f>_xlfn.LET(_xlpm.v, IFERROR(VLOOKUP($A3619, manifest!$A:$E, 5, FALSE), ""), IF(OR(_xlpm.v=0, _xlpm.v=""), "", _xlpm.v))</f>
        <v>male</v>
      </c>
    </row>
    <row r="3620" spans="1:9" x14ac:dyDescent="0.6">
      <c r="A3620">
        <v>765</v>
      </c>
      <c r="B3620" t="s">
        <v>7</v>
      </c>
      <c r="C3620" t="s">
        <v>13</v>
      </c>
      <c r="D3620">
        <v>178.46</v>
      </c>
      <c r="E3620">
        <v>143.59</v>
      </c>
      <c r="F3620">
        <v>35332</v>
      </c>
      <c r="H3620">
        <f>_xlfn.LET(_xlpm.v, IFERROR(VLOOKUP($A3620, manifest!$A:$E, 3, FALSE), ""), IF(OR(_xlpm.v=0, _xlpm.v=""), "", _xlpm.v))</f>
        <v>59</v>
      </c>
      <c r="I3620" t="str">
        <f>_xlfn.LET(_xlpm.v, IFERROR(VLOOKUP($A3620, manifest!$A:$E, 5, FALSE), ""), IF(OR(_xlpm.v=0, _xlpm.v=""), "", _xlpm.v))</f>
        <v>male</v>
      </c>
    </row>
    <row r="3621" spans="1:9" x14ac:dyDescent="0.6">
      <c r="A3621">
        <v>761</v>
      </c>
      <c r="B3621" t="s">
        <v>7</v>
      </c>
      <c r="C3621" t="s">
        <v>8</v>
      </c>
      <c r="D3621">
        <v>159.33000000000001</v>
      </c>
      <c r="E3621">
        <v>139.03</v>
      </c>
      <c r="F3621">
        <v>46460</v>
      </c>
      <c r="G3621" t="s">
        <v>15</v>
      </c>
      <c r="H3621">
        <f>_xlfn.LET(_xlpm.v, IFERROR(VLOOKUP($A3621, manifest!$A:$E, 3, FALSE), ""), IF(OR(_xlpm.v=0, _xlpm.v=""), "", _xlpm.v))</f>
        <v>77</v>
      </c>
      <c r="I3621" t="str">
        <f>_xlfn.LET(_xlpm.v, IFERROR(VLOOKUP($A3621, manifest!$A:$E, 5, FALSE), ""), IF(OR(_xlpm.v=0, _xlpm.v=""), "", _xlpm.v))</f>
        <v>female</v>
      </c>
    </row>
    <row r="3622" spans="1:9" x14ac:dyDescent="0.6">
      <c r="A3622">
        <v>761</v>
      </c>
      <c r="B3622" t="s">
        <v>7</v>
      </c>
      <c r="C3622" t="s">
        <v>10</v>
      </c>
      <c r="D3622">
        <v>172.86</v>
      </c>
      <c r="E3622">
        <v>171.19</v>
      </c>
      <c r="F3622">
        <v>48123</v>
      </c>
      <c r="H3622">
        <f>_xlfn.LET(_xlpm.v, IFERROR(VLOOKUP($A3622, manifest!$A:$E, 3, FALSE), ""), IF(OR(_xlpm.v=0, _xlpm.v=""), "", _xlpm.v))</f>
        <v>77</v>
      </c>
      <c r="I3622" t="str">
        <f>_xlfn.LET(_xlpm.v, IFERROR(VLOOKUP($A3622, manifest!$A:$E, 5, FALSE), ""), IF(OR(_xlpm.v=0, _xlpm.v=""), "", _xlpm.v))</f>
        <v>female</v>
      </c>
    </row>
    <row r="3623" spans="1:9" x14ac:dyDescent="0.6">
      <c r="A3623">
        <v>761</v>
      </c>
      <c r="B3623" t="s">
        <v>7</v>
      </c>
      <c r="C3623" t="s">
        <v>11</v>
      </c>
      <c r="D3623">
        <v>157.18</v>
      </c>
      <c r="E3623">
        <v>188.51</v>
      </c>
      <c r="F3623">
        <v>60716</v>
      </c>
      <c r="H3623">
        <f>_xlfn.LET(_xlpm.v, IFERROR(VLOOKUP($A3623, manifest!$A:$E, 3, FALSE), ""), IF(OR(_xlpm.v=0, _xlpm.v=""), "", _xlpm.v))</f>
        <v>77</v>
      </c>
      <c r="I3623" t="str">
        <f>_xlfn.LET(_xlpm.v, IFERROR(VLOOKUP($A3623, manifest!$A:$E, 5, FALSE), ""), IF(OR(_xlpm.v=0, _xlpm.v=""), "", _xlpm.v))</f>
        <v>female</v>
      </c>
    </row>
    <row r="3624" spans="1:9" x14ac:dyDescent="0.6">
      <c r="A3624">
        <v>761</v>
      </c>
      <c r="B3624" t="s">
        <v>7</v>
      </c>
      <c r="C3624" t="s">
        <v>12</v>
      </c>
      <c r="D3624">
        <v>130.41999999999999</v>
      </c>
      <c r="E3624">
        <v>161.06</v>
      </c>
      <c r="F3624">
        <v>83121</v>
      </c>
      <c r="H3624">
        <f>_xlfn.LET(_xlpm.v, IFERROR(VLOOKUP($A3624, manifest!$A:$E, 3, FALSE), ""), IF(OR(_xlpm.v=0, _xlpm.v=""), "", _xlpm.v))</f>
        <v>77</v>
      </c>
      <c r="I3624" t="str">
        <f>_xlfn.LET(_xlpm.v, IFERROR(VLOOKUP($A3624, manifest!$A:$E, 5, FALSE), ""), IF(OR(_xlpm.v=0, _xlpm.v=""), "", _xlpm.v))</f>
        <v>female</v>
      </c>
    </row>
    <row r="3625" spans="1:9" x14ac:dyDescent="0.6">
      <c r="A3625">
        <v>761</v>
      </c>
      <c r="B3625" t="s">
        <v>7</v>
      </c>
      <c r="C3625" t="s">
        <v>13</v>
      </c>
      <c r="D3625">
        <v>166.66</v>
      </c>
      <c r="E3625">
        <v>180.02</v>
      </c>
      <c r="F3625">
        <v>76371</v>
      </c>
      <c r="H3625">
        <f>_xlfn.LET(_xlpm.v, IFERROR(VLOOKUP($A3625, manifest!$A:$E, 3, FALSE), ""), IF(OR(_xlpm.v=0, _xlpm.v=""), "", _xlpm.v))</f>
        <v>77</v>
      </c>
      <c r="I3625" t="str">
        <f>_xlfn.LET(_xlpm.v, IFERROR(VLOOKUP($A3625, manifest!$A:$E, 5, FALSE), ""), IF(OR(_xlpm.v=0, _xlpm.v=""), "", _xlpm.v))</f>
        <v>female</v>
      </c>
    </row>
    <row r="3626" spans="1:9" x14ac:dyDescent="0.6">
      <c r="A3626">
        <v>755</v>
      </c>
      <c r="B3626" t="s">
        <v>14</v>
      </c>
      <c r="C3626" t="s">
        <v>8</v>
      </c>
      <c r="D3626">
        <v>274.41000000000003</v>
      </c>
      <c r="E3626">
        <v>221.87</v>
      </c>
      <c r="F3626">
        <v>29662</v>
      </c>
      <c r="G3626" t="s">
        <v>9</v>
      </c>
      <c r="H3626">
        <f>_xlfn.LET(_xlpm.v, IFERROR(VLOOKUP($A3626, manifest!$A:$E, 3, FALSE), ""), IF(OR(_xlpm.v=0, _xlpm.v=""), "", _xlpm.v))</f>
        <v>56</v>
      </c>
      <c r="I3626" t="str">
        <f>_xlfn.LET(_xlpm.v, IFERROR(VLOOKUP($A3626, manifest!$A:$E, 5, FALSE), ""), IF(OR(_xlpm.v=0, _xlpm.v=""), "", _xlpm.v))</f>
        <v>female</v>
      </c>
    </row>
    <row r="3627" spans="1:9" x14ac:dyDescent="0.6">
      <c r="A3627">
        <v>755</v>
      </c>
      <c r="B3627" t="s">
        <v>14</v>
      </c>
      <c r="C3627" t="s">
        <v>10</v>
      </c>
      <c r="D3627">
        <v>294.17</v>
      </c>
      <c r="E3627">
        <v>255.16</v>
      </c>
      <c r="F3627">
        <v>32576</v>
      </c>
      <c r="H3627">
        <f>_xlfn.LET(_xlpm.v, IFERROR(VLOOKUP($A3627, manifest!$A:$E, 3, FALSE), ""), IF(OR(_xlpm.v=0, _xlpm.v=""), "", _xlpm.v))</f>
        <v>56</v>
      </c>
      <c r="I3627" t="str">
        <f>_xlfn.LET(_xlpm.v, IFERROR(VLOOKUP($A3627, manifest!$A:$E, 5, FALSE), ""), IF(OR(_xlpm.v=0, _xlpm.v=""), "", _xlpm.v))</f>
        <v>female</v>
      </c>
    </row>
    <row r="3628" spans="1:9" x14ac:dyDescent="0.6">
      <c r="A3628">
        <v>755</v>
      </c>
      <c r="B3628" t="s">
        <v>14</v>
      </c>
      <c r="C3628" t="s">
        <v>11</v>
      </c>
      <c r="D3628">
        <v>272.27999999999997</v>
      </c>
      <c r="E3628">
        <v>272.33999999999997</v>
      </c>
      <c r="F3628">
        <v>36981</v>
      </c>
      <c r="H3628">
        <f>_xlfn.LET(_xlpm.v, IFERROR(VLOOKUP($A3628, manifest!$A:$E, 3, FALSE), ""), IF(OR(_xlpm.v=0, _xlpm.v=""), "", _xlpm.v))</f>
        <v>56</v>
      </c>
      <c r="I3628" t="str">
        <f>_xlfn.LET(_xlpm.v, IFERROR(VLOOKUP($A3628, manifest!$A:$E, 5, FALSE), ""), IF(OR(_xlpm.v=0, _xlpm.v=""), "", _xlpm.v))</f>
        <v>female</v>
      </c>
    </row>
    <row r="3629" spans="1:9" x14ac:dyDescent="0.6">
      <c r="A3629">
        <v>755</v>
      </c>
      <c r="B3629" t="s">
        <v>14</v>
      </c>
      <c r="C3629" t="s">
        <v>12</v>
      </c>
      <c r="D3629">
        <v>278.45</v>
      </c>
      <c r="E3629">
        <v>291.18</v>
      </c>
      <c r="F3629">
        <v>36228</v>
      </c>
      <c r="H3629">
        <f>_xlfn.LET(_xlpm.v, IFERROR(VLOOKUP($A3629, manifest!$A:$E, 3, FALSE), ""), IF(OR(_xlpm.v=0, _xlpm.v=""), "", _xlpm.v))</f>
        <v>56</v>
      </c>
      <c r="I3629" t="str">
        <f>_xlfn.LET(_xlpm.v, IFERROR(VLOOKUP($A3629, manifest!$A:$E, 5, FALSE), ""), IF(OR(_xlpm.v=0, _xlpm.v=""), "", _xlpm.v))</f>
        <v>female</v>
      </c>
    </row>
    <row r="3630" spans="1:9" x14ac:dyDescent="0.6">
      <c r="A3630">
        <v>755</v>
      </c>
      <c r="B3630" t="s">
        <v>14</v>
      </c>
      <c r="C3630" t="s">
        <v>13</v>
      </c>
      <c r="D3630">
        <v>277.77</v>
      </c>
      <c r="E3630">
        <v>264.2</v>
      </c>
      <c r="F3630">
        <v>42566</v>
      </c>
      <c r="H3630">
        <f>_xlfn.LET(_xlpm.v, IFERROR(VLOOKUP($A3630, manifest!$A:$E, 3, FALSE), ""), IF(OR(_xlpm.v=0, _xlpm.v=""), "", _xlpm.v))</f>
        <v>56</v>
      </c>
      <c r="I3630" t="str">
        <f>_xlfn.LET(_xlpm.v, IFERROR(VLOOKUP($A3630, manifest!$A:$E, 5, FALSE), ""), IF(OR(_xlpm.v=0, _xlpm.v=""), "", _xlpm.v))</f>
        <v>female</v>
      </c>
    </row>
    <row r="3631" spans="1:9" x14ac:dyDescent="0.6">
      <c r="A3631">
        <v>772</v>
      </c>
      <c r="B3631" t="s">
        <v>7</v>
      </c>
      <c r="C3631" t="s">
        <v>8</v>
      </c>
      <c r="D3631">
        <v>181.2</v>
      </c>
      <c r="E3631">
        <v>118.91</v>
      </c>
      <c r="F3631">
        <v>25306</v>
      </c>
      <c r="G3631" t="s">
        <v>9</v>
      </c>
      <c r="H3631">
        <f>_xlfn.LET(_xlpm.v, IFERROR(VLOOKUP($A3631, manifest!$A:$E, 3, FALSE), ""), IF(OR(_xlpm.v=0, _xlpm.v=""), "", _xlpm.v))</f>
        <v>67</v>
      </c>
      <c r="I3631" t="str">
        <f>_xlfn.LET(_xlpm.v, IFERROR(VLOOKUP($A3631, manifest!$A:$E, 5, FALSE), ""), IF(OR(_xlpm.v=0, _xlpm.v=""), "", _xlpm.v))</f>
        <v>male</v>
      </c>
    </row>
    <row r="3632" spans="1:9" x14ac:dyDescent="0.6">
      <c r="A3632">
        <v>772</v>
      </c>
      <c r="B3632" t="s">
        <v>7</v>
      </c>
      <c r="C3632" t="s">
        <v>10</v>
      </c>
      <c r="D3632">
        <v>209.7</v>
      </c>
      <c r="E3632">
        <v>167.7</v>
      </c>
      <c r="F3632">
        <v>34454</v>
      </c>
      <c r="H3632">
        <f>_xlfn.LET(_xlpm.v, IFERROR(VLOOKUP($A3632, manifest!$A:$E, 3, FALSE), ""), IF(OR(_xlpm.v=0, _xlpm.v=""), "", _xlpm.v))</f>
        <v>67</v>
      </c>
      <c r="I3632" t="str">
        <f>_xlfn.LET(_xlpm.v, IFERROR(VLOOKUP($A3632, manifest!$A:$E, 5, FALSE), ""), IF(OR(_xlpm.v=0, _xlpm.v=""), "", _xlpm.v))</f>
        <v>male</v>
      </c>
    </row>
    <row r="3633" spans="1:9" x14ac:dyDescent="0.6">
      <c r="A3633">
        <v>772</v>
      </c>
      <c r="B3633" t="s">
        <v>7</v>
      </c>
      <c r="C3633" t="s">
        <v>11</v>
      </c>
      <c r="D3633">
        <v>183.13</v>
      </c>
      <c r="E3633">
        <v>146.6</v>
      </c>
      <c r="F3633">
        <v>39130</v>
      </c>
      <c r="H3633">
        <f>_xlfn.LET(_xlpm.v, IFERROR(VLOOKUP($A3633, manifest!$A:$E, 3, FALSE), ""), IF(OR(_xlpm.v=0, _xlpm.v=""), "", _xlpm.v))</f>
        <v>67</v>
      </c>
      <c r="I3633" t="str">
        <f>_xlfn.LET(_xlpm.v, IFERROR(VLOOKUP($A3633, manifest!$A:$E, 5, FALSE), ""), IF(OR(_xlpm.v=0, _xlpm.v=""), "", _xlpm.v))</f>
        <v>male</v>
      </c>
    </row>
    <row r="3634" spans="1:9" x14ac:dyDescent="0.6">
      <c r="A3634">
        <v>772</v>
      </c>
      <c r="B3634" t="s">
        <v>7</v>
      </c>
      <c r="C3634" t="s">
        <v>12</v>
      </c>
      <c r="D3634">
        <v>181.87</v>
      </c>
      <c r="E3634">
        <v>141.15</v>
      </c>
      <c r="F3634">
        <v>36769</v>
      </c>
      <c r="H3634">
        <f>_xlfn.LET(_xlpm.v, IFERROR(VLOOKUP($A3634, manifest!$A:$E, 3, FALSE), ""), IF(OR(_xlpm.v=0, _xlpm.v=""), "", _xlpm.v))</f>
        <v>67</v>
      </c>
      <c r="I3634" t="str">
        <f>_xlfn.LET(_xlpm.v, IFERROR(VLOOKUP($A3634, manifest!$A:$E, 5, FALSE), ""), IF(OR(_xlpm.v=0, _xlpm.v=""), "", _xlpm.v))</f>
        <v>male</v>
      </c>
    </row>
    <row r="3635" spans="1:9" x14ac:dyDescent="0.6">
      <c r="A3635">
        <v>772</v>
      </c>
      <c r="B3635" t="s">
        <v>7</v>
      </c>
      <c r="C3635" t="s">
        <v>13</v>
      </c>
      <c r="D3635">
        <v>228.17</v>
      </c>
      <c r="E3635">
        <v>177.7</v>
      </c>
      <c r="F3635">
        <v>38764</v>
      </c>
      <c r="H3635">
        <f>_xlfn.LET(_xlpm.v, IFERROR(VLOOKUP($A3635, manifest!$A:$E, 3, FALSE), ""), IF(OR(_xlpm.v=0, _xlpm.v=""), "", _xlpm.v))</f>
        <v>67</v>
      </c>
      <c r="I3635" t="str">
        <f>_xlfn.LET(_xlpm.v, IFERROR(VLOOKUP($A3635, manifest!$A:$E, 5, FALSE), ""), IF(OR(_xlpm.v=0, _xlpm.v=""), "", _xlpm.v))</f>
        <v>male</v>
      </c>
    </row>
    <row r="3636" spans="1:9" x14ac:dyDescent="0.6">
      <c r="A3636">
        <v>770</v>
      </c>
      <c r="B3636" t="s">
        <v>14</v>
      </c>
      <c r="C3636" t="s">
        <v>8</v>
      </c>
      <c r="D3636">
        <v>206.98</v>
      </c>
      <c r="E3636">
        <v>145.99</v>
      </c>
      <c r="F3636">
        <v>34013</v>
      </c>
      <c r="G3636" t="s">
        <v>9</v>
      </c>
      <c r="H3636">
        <f>_xlfn.LET(_xlpm.v, IFERROR(VLOOKUP($A3636, manifest!$A:$E, 3, FALSE), ""), IF(OR(_xlpm.v=0, _xlpm.v=""), "", _xlpm.v))</f>
        <v>52</v>
      </c>
      <c r="I3636" t="str">
        <f>_xlfn.LET(_xlpm.v, IFERROR(VLOOKUP($A3636, manifest!$A:$E, 5, FALSE), ""), IF(OR(_xlpm.v=0, _xlpm.v=""), "", _xlpm.v))</f>
        <v>male</v>
      </c>
    </row>
    <row r="3637" spans="1:9" x14ac:dyDescent="0.6">
      <c r="A3637">
        <v>770</v>
      </c>
      <c r="B3637" t="s">
        <v>14</v>
      </c>
      <c r="C3637" t="s">
        <v>10</v>
      </c>
      <c r="D3637">
        <v>224.37</v>
      </c>
      <c r="E3637">
        <v>174.94</v>
      </c>
      <c r="F3637">
        <v>34632</v>
      </c>
      <c r="H3637">
        <f>_xlfn.LET(_xlpm.v, IFERROR(VLOOKUP($A3637, manifest!$A:$E, 3, FALSE), ""), IF(OR(_xlpm.v=0, _xlpm.v=""), "", _xlpm.v))</f>
        <v>52</v>
      </c>
      <c r="I3637" t="str">
        <f>_xlfn.LET(_xlpm.v, IFERROR(VLOOKUP($A3637, manifest!$A:$E, 5, FALSE), ""), IF(OR(_xlpm.v=0, _xlpm.v=""), "", _xlpm.v))</f>
        <v>male</v>
      </c>
    </row>
    <row r="3638" spans="1:9" x14ac:dyDescent="0.6">
      <c r="A3638">
        <v>770</v>
      </c>
      <c r="B3638" t="s">
        <v>14</v>
      </c>
      <c r="C3638" t="s">
        <v>11</v>
      </c>
      <c r="D3638">
        <v>224.13</v>
      </c>
      <c r="E3638">
        <v>198.66</v>
      </c>
      <c r="F3638">
        <v>35371</v>
      </c>
      <c r="H3638">
        <f>_xlfn.LET(_xlpm.v, IFERROR(VLOOKUP($A3638, manifest!$A:$E, 3, FALSE), ""), IF(OR(_xlpm.v=0, _xlpm.v=""), "", _xlpm.v))</f>
        <v>52</v>
      </c>
      <c r="I3638" t="str">
        <f>_xlfn.LET(_xlpm.v, IFERROR(VLOOKUP($A3638, manifest!$A:$E, 5, FALSE), ""), IF(OR(_xlpm.v=0, _xlpm.v=""), "", _xlpm.v))</f>
        <v>male</v>
      </c>
    </row>
    <row r="3639" spans="1:9" x14ac:dyDescent="0.6">
      <c r="A3639">
        <v>770</v>
      </c>
      <c r="B3639" t="s">
        <v>14</v>
      </c>
      <c r="C3639" t="s">
        <v>12</v>
      </c>
      <c r="D3639">
        <v>219.63</v>
      </c>
      <c r="E3639">
        <v>187.86</v>
      </c>
      <c r="F3639">
        <v>47646</v>
      </c>
      <c r="H3639">
        <f>_xlfn.LET(_xlpm.v, IFERROR(VLOOKUP($A3639, manifest!$A:$E, 3, FALSE), ""), IF(OR(_xlpm.v=0, _xlpm.v=""), "", _xlpm.v))</f>
        <v>52</v>
      </c>
      <c r="I3639" t="str">
        <f>_xlfn.LET(_xlpm.v, IFERROR(VLOOKUP($A3639, manifest!$A:$E, 5, FALSE), ""), IF(OR(_xlpm.v=0, _xlpm.v=""), "", _xlpm.v))</f>
        <v>male</v>
      </c>
    </row>
    <row r="3640" spans="1:9" x14ac:dyDescent="0.6">
      <c r="A3640">
        <v>770</v>
      </c>
      <c r="B3640" t="s">
        <v>14</v>
      </c>
      <c r="C3640" t="s">
        <v>13</v>
      </c>
      <c r="D3640">
        <v>192.46</v>
      </c>
      <c r="E3640">
        <v>125.76</v>
      </c>
      <c r="F3640">
        <v>45378</v>
      </c>
      <c r="H3640">
        <f>_xlfn.LET(_xlpm.v, IFERROR(VLOOKUP($A3640, manifest!$A:$E, 3, FALSE), ""), IF(OR(_xlpm.v=0, _xlpm.v=""), "", _xlpm.v))</f>
        <v>52</v>
      </c>
      <c r="I3640" t="str">
        <f>_xlfn.LET(_xlpm.v, IFERROR(VLOOKUP($A3640, manifest!$A:$E, 5, FALSE), ""), IF(OR(_xlpm.v=0, _xlpm.v=""), "", _xlpm.v))</f>
        <v>male</v>
      </c>
    </row>
    <row r="3641" spans="1:9" x14ac:dyDescent="0.6">
      <c r="A3641">
        <v>771</v>
      </c>
      <c r="B3641" t="s">
        <v>14</v>
      </c>
      <c r="C3641" t="s">
        <v>8</v>
      </c>
      <c r="D3641">
        <v>312.47000000000003</v>
      </c>
      <c r="E3641">
        <v>176.08</v>
      </c>
      <c r="F3641">
        <v>22321</v>
      </c>
      <c r="G3641" t="s">
        <v>9</v>
      </c>
      <c r="H3641">
        <f>_xlfn.LET(_xlpm.v, IFERROR(VLOOKUP($A3641, manifest!$A:$E, 3, FALSE), ""), IF(OR(_xlpm.v=0, _xlpm.v=""), "", _xlpm.v))</f>
        <v>51</v>
      </c>
      <c r="I3641" t="str">
        <f>_xlfn.LET(_xlpm.v, IFERROR(VLOOKUP($A3641, manifest!$A:$E, 5, FALSE), ""), IF(OR(_xlpm.v=0, _xlpm.v=""), "", _xlpm.v))</f>
        <v>female</v>
      </c>
    </row>
    <row r="3642" spans="1:9" x14ac:dyDescent="0.6">
      <c r="A3642">
        <v>771</v>
      </c>
      <c r="B3642" t="s">
        <v>14</v>
      </c>
      <c r="C3642" t="s">
        <v>10</v>
      </c>
      <c r="D3642">
        <v>305.33999999999997</v>
      </c>
      <c r="E3642">
        <v>192.26</v>
      </c>
      <c r="F3642">
        <v>26986</v>
      </c>
      <c r="H3642">
        <f>_xlfn.LET(_xlpm.v, IFERROR(VLOOKUP($A3642, manifest!$A:$E, 3, FALSE), ""), IF(OR(_xlpm.v=0, _xlpm.v=""), "", _xlpm.v))</f>
        <v>51</v>
      </c>
      <c r="I3642" t="str">
        <f>_xlfn.LET(_xlpm.v, IFERROR(VLOOKUP($A3642, manifest!$A:$E, 5, FALSE), ""), IF(OR(_xlpm.v=0, _xlpm.v=""), "", _xlpm.v))</f>
        <v>female</v>
      </c>
    </row>
    <row r="3643" spans="1:9" x14ac:dyDescent="0.6">
      <c r="A3643">
        <v>771</v>
      </c>
      <c r="B3643" t="s">
        <v>14</v>
      </c>
      <c r="C3643" t="s">
        <v>11</v>
      </c>
      <c r="D3643">
        <v>309.63</v>
      </c>
      <c r="E3643">
        <v>187.23</v>
      </c>
      <c r="F3643">
        <v>31052</v>
      </c>
      <c r="H3643">
        <f>_xlfn.LET(_xlpm.v, IFERROR(VLOOKUP($A3643, manifest!$A:$E, 3, FALSE), ""), IF(OR(_xlpm.v=0, _xlpm.v=""), "", _xlpm.v))</f>
        <v>51</v>
      </c>
      <c r="I3643" t="str">
        <f>_xlfn.LET(_xlpm.v, IFERROR(VLOOKUP($A3643, manifest!$A:$E, 5, FALSE), ""), IF(OR(_xlpm.v=0, _xlpm.v=""), "", _xlpm.v))</f>
        <v>female</v>
      </c>
    </row>
    <row r="3644" spans="1:9" x14ac:dyDescent="0.6">
      <c r="A3644">
        <v>771</v>
      </c>
      <c r="B3644" t="s">
        <v>14</v>
      </c>
      <c r="C3644" t="s">
        <v>12</v>
      </c>
      <c r="D3644">
        <v>320.52</v>
      </c>
      <c r="E3644">
        <v>194.19</v>
      </c>
      <c r="F3644">
        <v>28903</v>
      </c>
      <c r="H3644">
        <f>_xlfn.LET(_xlpm.v, IFERROR(VLOOKUP($A3644, manifest!$A:$E, 3, FALSE), ""), IF(OR(_xlpm.v=0, _xlpm.v=""), "", _xlpm.v))</f>
        <v>51</v>
      </c>
      <c r="I3644" t="str">
        <f>_xlfn.LET(_xlpm.v, IFERROR(VLOOKUP($A3644, manifest!$A:$E, 5, FALSE), ""), IF(OR(_xlpm.v=0, _xlpm.v=""), "", _xlpm.v))</f>
        <v>female</v>
      </c>
    </row>
    <row r="3645" spans="1:9" x14ac:dyDescent="0.6">
      <c r="A3645">
        <v>771</v>
      </c>
      <c r="B3645" t="s">
        <v>14</v>
      </c>
      <c r="C3645" t="s">
        <v>13</v>
      </c>
      <c r="D3645">
        <v>345.59</v>
      </c>
      <c r="E3645">
        <v>191.44</v>
      </c>
      <c r="F3645">
        <v>33873</v>
      </c>
      <c r="H3645">
        <f>_xlfn.LET(_xlpm.v, IFERROR(VLOOKUP($A3645, manifest!$A:$E, 3, FALSE), ""), IF(OR(_xlpm.v=0, _xlpm.v=""), "", _xlpm.v))</f>
        <v>51</v>
      </c>
      <c r="I3645" t="str">
        <f>_xlfn.LET(_xlpm.v, IFERROR(VLOOKUP($A3645, manifest!$A:$E, 5, FALSE), ""), IF(OR(_xlpm.v=0, _xlpm.v=""), "", _xlpm.v))</f>
        <v>female</v>
      </c>
    </row>
    <row r="3646" spans="1:9" x14ac:dyDescent="0.6">
      <c r="A3646">
        <v>764</v>
      </c>
      <c r="B3646" t="s">
        <v>7</v>
      </c>
      <c r="C3646" t="s">
        <v>8</v>
      </c>
      <c r="D3646">
        <v>217.87</v>
      </c>
      <c r="E3646">
        <v>155.82</v>
      </c>
      <c r="F3646">
        <v>31286</v>
      </c>
      <c r="G3646" t="s">
        <v>9</v>
      </c>
      <c r="H3646">
        <f>_xlfn.LET(_xlpm.v, IFERROR(VLOOKUP($A3646, manifest!$A:$E, 3, FALSE), ""), IF(OR(_xlpm.v=0, _xlpm.v=""), "", _xlpm.v))</f>
        <v>60</v>
      </c>
      <c r="I3646" t="str">
        <f>_xlfn.LET(_xlpm.v, IFERROR(VLOOKUP($A3646, manifest!$A:$E, 5, FALSE), ""), IF(OR(_xlpm.v=0, _xlpm.v=""), "", _xlpm.v))</f>
        <v>female</v>
      </c>
    </row>
    <row r="3647" spans="1:9" x14ac:dyDescent="0.6">
      <c r="A3647">
        <v>764</v>
      </c>
      <c r="B3647" t="s">
        <v>7</v>
      </c>
      <c r="C3647" t="s">
        <v>10</v>
      </c>
      <c r="D3647">
        <v>257.31</v>
      </c>
      <c r="E3647">
        <v>200.34</v>
      </c>
      <c r="F3647">
        <v>35416</v>
      </c>
      <c r="H3647">
        <f>_xlfn.LET(_xlpm.v, IFERROR(VLOOKUP($A3647, manifest!$A:$E, 3, FALSE), ""), IF(OR(_xlpm.v=0, _xlpm.v=""), "", _xlpm.v))</f>
        <v>60</v>
      </c>
      <c r="I3647" t="str">
        <f>_xlfn.LET(_xlpm.v, IFERROR(VLOOKUP($A3647, manifest!$A:$E, 5, FALSE), ""), IF(OR(_xlpm.v=0, _xlpm.v=""), "", _xlpm.v))</f>
        <v>female</v>
      </c>
    </row>
    <row r="3648" spans="1:9" x14ac:dyDescent="0.6">
      <c r="A3648">
        <v>764</v>
      </c>
      <c r="B3648" t="s">
        <v>7</v>
      </c>
      <c r="C3648" t="s">
        <v>11</v>
      </c>
      <c r="D3648">
        <v>248.27</v>
      </c>
      <c r="E3648">
        <v>239.1</v>
      </c>
      <c r="F3648">
        <v>36807</v>
      </c>
      <c r="H3648">
        <f>_xlfn.LET(_xlpm.v, IFERROR(VLOOKUP($A3648, manifest!$A:$E, 3, FALSE), ""), IF(OR(_xlpm.v=0, _xlpm.v=""), "", _xlpm.v))</f>
        <v>60</v>
      </c>
      <c r="I3648" t="str">
        <f>_xlfn.LET(_xlpm.v, IFERROR(VLOOKUP($A3648, manifest!$A:$E, 5, FALSE), ""), IF(OR(_xlpm.v=0, _xlpm.v=""), "", _xlpm.v))</f>
        <v>female</v>
      </c>
    </row>
    <row r="3649" spans="1:9" x14ac:dyDescent="0.6">
      <c r="A3649">
        <v>764</v>
      </c>
      <c r="B3649" t="s">
        <v>7</v>
      </c>
      <c r="C3649" t="s">
        <v>12</v>
      </c>
      <c r="D3649">
        <v>235.32</v>
      </c>
      <c r="E3649">
        <v>236.62</v>
      </c>
      <c r="F3649">
        <v>54005</v>
      </c>
      <c r="H3649">
        <f>_xlfn.LET(_xlpm.v, IFERROR(VLOOKUP($A3649, manifest!$A:$E, 3, FALSE), ""), IF(OR(_xlpm.v=0, _xlpm.v=""), "", _xlpm.v))</f>
        <v>60</v>
      </c>
      <c r="I3649" t="str">
        <f>_xlfn.LET(_xlpm.v, IFERROR(VLOOKUP($A3649, manifest!$A:$E, 5, FALSE), ""), IF(OR(_xlpm.v=0, _xlpm.v=""), "", _xlpm.v))</f>
        <v>female</v>
      </c>
    </row>
    <row r="3650" spans="1:9" x14ac:dyDescent="0.6">
      <c r="A3650">
        <v>764</v>
      </c>
      <c r="B3650" t="s">
        <v>7</v>
      </c>
      <c r="C3650" t="s">
        <v>13</v>
      </c>
      <c r="D3650">
        <v>245.7</v>
      </c>
      <c r="E3650">
        <v>238.86</v>
      </c>
      <c r="F3650">
        <v>50715</v>
      </c>
      <c r="H3650">
        <f>_xlfn.LET(_xlpm.v, IFERROR(VLOOKUP($A3650, manifest!$A:$E, 3, FALSE), ""), IF(OR(_xlpm.v=0, _xlpm.v=""), "", _xlpm.v))</f>
        <v>60</v>
      </c>
      <c r="I3650" t="str">
        <f>_xlfn.LET(_xlpm.v, IFERROR(VLOOKUP($A3650, manifest!$A:$E, 5, FALSE), ""), IF(OR(_xlpm.v=0, _xlpm.v=""), "", _xlpm.v))</f>
        <v>female</v>
      </c>
    </row>
    <row r="3651" spans="1:9" x14ac:dyDescent="0.6">
      <c r="A3651">
        <v>756</v>
      </c>
      <c r="B3651" t="s">
        <v>7</v>
      </c>
      <c r="C3651" t="s">
        <v>8</v>
      </c>
      <c r="D3651">
        <v>300.08999999999997</v>
      </c>
      <c r="E3651">
        <v>191.49</v>
      </c>
      <c r="F3651">
        <v>31091</v>
      </c>
      <c r="G3651" t="s">
        <v>9</v>
      </c>
      <c r="H3651">
        <f>_xlfn.LET(_xlpm.v, IFERROR(VLOOKUP($A3651, manifest!$A:$E, 3, FALSE), ""), IF(OR(_xlpm.v=0, _xlpm.v=""), "", _xlpm.v))</f>
        <v>50</v>
      </c>
      <c r="I3651" t="str">
        <f>_xlfn.LET(_xlpm.v, IFERROR(VLOOKUP($A3651, manifest!$A:$E, 5, FALSE), ""), IF(OR(_xlpm.v=0, _xlpm.v=""), "", _xlpm.v))</f>
        <v>male</v>
      </c>
    </row>
    <row r="3652" spans="1:9" x14ac:dyDescent="0.6">
      <c r="A3652">
        <v>756</v>
      </c>
      <c r="B3652" t="s">
        <v>7</v>
      </c>
      <c r="C3652" t="s">
        <v>10</v>
      </c>
      <c r="D3652">
        <v>285.60000000000002</v>
      </c>
      <c r="E3652">
        <v>200.71</v>
      </c>
      <c r="F3652">
        <v>32825</v>
      </c>
      <c r="H3652">
        <f>_xlfn.LET(_xlpm.v, IFERROR(VLOOKUP($A3652, manifest!$A:$E, 3, FALSE), ""), IF(OR(_xlpm.v=0, _xlpm.v=""), "", _xlpm.v))</f>
        <v>50</v>
      </c>
      <c r="I3652" t="str">
        <f>_xlfn.LET(_xlpm.v, IFERROR(VLOOKUP($A3652, manifest!$A:$E, 5, FALSE), ""), IF(OR(_xlpm.v=0, _xlpm.v=""), "", _xlpm.v))</f>
        <v>male</v>
      </c>
    </row>
    <row r="3653" spans="1:9" x14ac:dyDescent="0.6">
      <c r="A3653">
        <v>756</v>
      </c>
      <c r="B3653" t="s">
        <v>7</v>
      </c>
      <c r="C3653" t="s">
        <v>11</v>
      </c>
      <c r="D3653">
        <v>273.95</v>
      </c>
      <c r="E3653">
        <v>175.69</v>
      </c>
      <c r="F3653">
        <v>38846</v>
      </c>
      <c r="H3653">
        <f>_xlfn.LET(_xlpm.v, IFERROR(VLOOKUP($A3653, manifest!$A:$E, 3, FALSE), ""), IF(OR(_xlpm.v=0, _xlpm.v=""), "", _xlpm.v))</f>
        <v>50</v>
      </c>
      <c r="I3653" t="str">
        <f>_xlfn.LET(_xlpm.v, IFERROR(VLOOKUP($A3653, manifest!$A:$E, 5, FALSE), ""), IF(OR(_xlpm.v=0, _xlpm.v=""), "", _xlpm.v))</f>
        <v>male</v>
      </c>
    </row>
    <row r="3654" spans="1:9" x14ac:dyDescent="0.6">
      <c r="A3654">
        <v>756</v>
      </c>
      <c r="B3654" t="s">
        <v>7</v>
      </c>
      <c r="C3654" t="s">
        <v>12</v>
      </c>
      <c r="D3654">
        <v>256.52</v>
      </c>
      <c r="E3654">
        <v>155.53</v>
      </c>
      <c r="F3654">
        <v>51719</v>
      </c>
      <c r="H3654">
        <f>_xlfn.LET(_xlpm.v, IFERROR(VLOOKUP($A3654, manifest!$A:$E, 3, FALSE), ""), IF(OR(_xlpm.v=0, _xlpm.v=""), "", _xlpm.v))</f>
        <v>50</v>
      </c>
      <c r="I3654" t="str">
        <f>_xlfn.LET(_xlpm.v, IFERROR(VLOOKUP($A3654, manifest!$A:$E, 5, FALSE), ""), IF(OR(_xlpm.v=0, _xlpm.v=""), "", _xlpm.v))</f>
        <v>male</v>
      </c>
    </row>
    <row r="3655" spans="1:9" x14ac:dyDescent="0.6">
      <c r="A3655">
        <v>756</v>
      </c>
      <c r="B3655" t="s">
        <v>7</v>
      </c>
      <c r="C3655" t="s">
        <v>13</v>
      </c>
      <c r="D3655">
        <v>270.68</v>
      </c>
      <c r="E3655">
        <v>174.35</v>
      </c>
      <c r="F3655">
        <v>57072</v>
      </c>
      <c r="H3655">
        <f>_xlfn.LET(_xlpm.v, IFERROR(VLOOKUP($A3655, manifest!$A:$E, 3, FALSE), ""), IF(OR(_xlpm.v=0, _xlpm.v=""), "", _xlpm.v))</f>
        <v>50</v>
      </c>
      <c r="I3655" t="str">
        <f>_xlfn.LET(_xlpm.v, IFERROR(VLOOKUP($A3655, manifest!$A:$E, 5, FALSE), ""), IF(OR(_xlpm.v=0, _xlpm.v=""), "", _xlpm.v))</f>
        <v>male</v>
      </c>
    </row>
    <row r="3656" spans="1:9" x14ac:dyDescent="0.6">
      <c r="A3656">
        <v>769</v>
      </c>
      <c r="B3656" t="s">
        <v>14</v>
      </c>
      <c r="C3656" t="s">
        <v>8</v>
      </c>
      <c r="D3656">
        <v>178.64</v>
      </c>
      <c r="E3656">
        <v>183.6</v>
      </c>
      <c r="F3656">
        <v>20559</v>
      </c>
      <c r="G3656" t="s">
        <v>9</v>
      </c>
      <c r="H3656">
        <f>_xlfn.LET(_xlpm.v, IFERROR(VLOOKUP($A3656, manifest!$A:$E, 3, FALSE), ""), IF(OR(_xlpm.v=0, _xlpm.v=""), "", _xlpm.v))</f>
        <v>71</v>
      </c>
      <c r="I3656" t="str">
        <f>_xlfn.LET(_xlpm.v, IFERROR(VLOOKUP($A3656, manifest!$A:$E, 5, FALSE), ""), IF(OR(_xlpm.v=0, _xlpm.v=""), "", _xlpm.v))</f>
        <v>female</v>
      </c>
    </row>
    <row r="3657" spans="1:9" x14ac:dyDescent="0.6">
      <c r="A3657">
        <v>769</v>
      </c>
      <c r="B3657" t="s">
        <v>14</v>
      </c>
      <c r="C3657" t="s">
        <v>10</v>
      </c>
      <c r="D3657">
        <v>261.97000000000003</v>
      </c>
      <c r="E3657">
        <v>206.15</v>
      </c>
      <c r="F3657">
        <v>29979</v>
      </c>
      <c r="H3657">
        <f>_xlfn.LET(_xlpm.v, IFERROR(VLOOKUP($A3657, manifest!$A:$E, 3, FALSE), ""), IF(OR(_xlpm.v=0, _xlpm.v=""), "", _xlpm.v))</f>
        <v>71</v>
      </c>
      <c r="I3657" t="str">
        <f>_xlfn.LET(_xlpm.v, IFERROR(VLOOKUP($A3657, manifest!$A:$E, 5, FALSE), ""), IF(OR(_xlpm.v=0, _xlpm.v=""), "", _xlpm.v))</f>
        <v>female</v>
      </c>
    </row>
    <row r="3658" spans="1:9" x14ac:dyDescent="0.6">
      <c r="A3658">
        <v>769</v>
      </c>
      <c r="B3658" t="s">
        <v>14</v>
      </c>
      <c r="C3658" t="s">
        <v>11</v>
      </c>
      <c r="D3658">
        <v>157.22</v>
      </c>
      <c r="E3658">
        <v>168.36</v>
      </c>
      <c r="F3658">
        <v>29566</v>
      </c>
      <c r="H3658">
        <f>_xlfn.LET(_xlpm.v, IFERROR(VLOOKUP($A3658, manifest!$A:$E, 3, FALSE), ""), IF(OR(_xlpm.v=0, _xlpm.v=""), "", _xlpm.v))</f>
        <v>71</v>
      </c>
      <c r="I3658" t="str">
        <f>_xlfn.LET(_xlpm.v, IFERROR(VLOOKUP($A3658, manifest!$A:$E, 5, FALSE), ""), IF(OR(_xlpm.v=0, _xlpm.v=""), "", _xlpm.v))</f>
        <v>female</v>
      </c>
    </row>
    <row r="3659" spans="1:9" x14ac:dyDescent="0.6">
      <c r="A3659">
        <v>769</v>
      </c>
      <c r="B3659" t="s">
        <v>14</v>
      </c>
      <c r="C3659" t="s">
        <v>12</v>
      </c>
      <c r="D3659">
        <v>135.53</v>
      </c>
      <c r="E3659">
        <v>161.37</v>
      </c>
      <c r="F3659">
        <v>36026</v>
      </c>
      <c r="H3659">
        <f>_xlfn.LET(_xlpm.v, IFERROR(VLOOKUP($A3659, manifest!$A:$E, 3, FALSE), ""), IF(OR(_xlpm.v=0, _xlpm.v=""), "", _xlpm.v))</f>
        <v>71</v>
      </c>
      <c r="I3659" t="str">
        <f>_xlfn.LET(_xlpm.v, IFERROR(VLOOKUP($A3659, manifest!$A:$E, 5, FALSE), ""), IF(OR(_xlpm.v=0, _xlpm.v=""), "", _xlpm.v))</f>
        <v>female</v>
      </c>
    </row>
    <row r="3660" spans="1:9" x14ac:dyDescent="0.6">
      <c r="A3660">
        <v>769</v>
      </c>
      <c r="B3660" t="s">
        <v>14</v>
      </c>
      <c r="C3660" t="s">
        <v>13</v>
      </c>
      <c r="D3660">
        <v>192.36</v>
      </c>
      <c r="E3660">
        <v>193.32</v>
      </c>
      <c r="F3660">
        <v>30959</v>
      </c>
      <c r="H3660">
        <f>_xlfn.LET(_xlpm.v, IFERROR(VLOOKUP($A3660, manifest!$A:$E, 3, FALSE), ""), IF(OR(_xlpm.v=0, _xlpm.v=""), "", _xlpm.v))</f>
        <v>71</v>
      </c>
      <c r="I3660" t="str">
        <f>_xlfn.LET(_xlpm.v, IFERROR(VLOOKUP($A3660, manifest!$A:$E, 5, FALSE), ""), IF(OR(_xlpm.v=0, _xlpm.v=""), "", _xlpm.v))</f>
        <v>female</v>
      </c>
    </row>
    <row r="3661" spans="1:9" x14ac:dyDescent="0.6">
      <c r="A3661">
        <v>781</v>
      </c>
      <c r="B3661" t="s">
        <v>14</v>
      </c>
      <c r="C3661" t="s">
        <v>8</v>
      </c>
      <c r="D3661">
        <v>148.94</v>
      </c>
      <c r="E3661">
        <v>129.86000000000001</v>
      </c>
      <c r="F3661">
        <v>40467</v>
      </c>
      <c r="G3661" t="s">
        <v>15</v>
      </c>
      <c r="H3661">
        <f>_xlfn.LET(_xlpm.v, IFERROR(VLOOKUP($A3661, manifest!$A:$E, 3, FALSE), ""), IF(OR(_xlpm.v=0, _xlpm.v=""), "", _xlpm.v))</f>
        <v>68</v>
      </c>
      <c r="I3661" t="str">
        <f>_xlfn.LET(_xlpm.v, IFERROR(VLOOKUP($A3661, manifest!$A:$E, 5, FALSE), ""), IF(OR(_xlpm.v=0, _xlpm.v=""), "", _xlpm.v))</f>
        <v>female</v>
      </c>
    </row>
    <row r="3662" spans="1:9" x14ac:dyDescent="0.6">
      <c r="A3662">
        <v>781</v>
      </c>
      <c r="B3662" t="s">
        <v>14</v>
      </c>
      <c r="C3662" t="s">
        <v>10</v>
      </c>
      <c r="D3662">
        <v>173.49</v>
      </c>
      <c r="E3662">
        <v>150.38999999999999</v>
      </c>
      <c r="F3662">
        <v>42767</v>
      </c>
      <c r="H3662">
        <f>_xlfn.LET(_xlpm.v, IFERROR(VLOOKUP($A3662, manifest!$A:$E, 3, FALSE), ""), IF(OR(_xlpm.v=0, _xlpm.v=""), "", _xlpm.v))</f>
        <v>68</v>
      </c>
      <c r="I3662" t="str">
        <f>_xlfn.LET(_xlpm.v, IFERROR(VLOOKUP($A3662, manifest!$A:$E, 5, FALSE), ""), IF(OR(_xlpm.v=0, _xlpm.v=""), "", _xlpm.v))</f>
        <v>female</v>
      </c>
    </row>
    <row r="3663" spans="1:9" x14ac:dyDescent="0.6">
      <c r="A3663">
        <v>781</v>
      </c>
      <c r="B3663" t="s">
        <v>14</v>
      </c>
      <c r="C3663" t="s">
        <v>11</v>
      </c>
      <c r="D3663">
        <v>166.58</v>
      </c>
      <c r="E3663">
        <v>156.85</v>
      </c>
      <c r="F3663">
        <v>48906</v>
      </c>
      <c r="H3663">
        <f>_xlfn.LET(_xlpm.v, IFERROR(VLOOKUP($A3663, manifest!$A:$E, 3, FALSE), ""), IF(OR(_xlpm.v=0, _xlpm.v=""), "", _xlpm.v))</f>
        <v>68</v>
      </c>
      <c r="I3663" t="str">
        <f>_xlfn.LET(_xlpm.v, IFERROR(VLOOKUP($A3663, manifest!$A:$E, 5, FALSE), ""), IF(OR(_xlpm.v=0, _xlpm.v=""), "", _xlpm.v))</f>
        <v>female</v>
      </c>
    </row>
    <row r="3664" spans="1:9" x14ac:dyDescent="0.6">
      <c r="A3664">
        <v>781</v>
      </c>
      <c r="B3664" t="s">
        <v>14</v>
      </c>
      <c r="C3664" t="s">
        <v>12</v>
      </c>
      <c r="D3664">
        <v>180.98</v>
      </c>
      <c r="E3664">
        <v>165.19</v>
      </c>
      <c r="F3664">
        <v>53083</v>
      </c>
      <c r="H3664">
        <f>_xlfn.LET(_xlpm.v, IFERROR(VLOOKUP($A3664, manifest!$A:$E, 3, FALSE), ""), IF(OR(_xlpm.v=0, _xlpm.v=""), "", _xlpm.v))</f>
        <v>68</v>
      </c>
      <c r="I3664" t="str">
        <f>_xlfn.LET(_xlpm.v, IFERROR(VLOOKUP($A3664, manifest!$A:$E, 5, FALSE), ""), IF(OR(_xlpm.v=0, _xlpm.v=""), "", _xlpm.v))</f>
        <v>female</v>
      </c>
    </row>
    <row r="3665" spans="1:9" x14ac:dyDescent="0.6">
      <c r="A3665">
        <v>781</v>
      </c>
      <c r="B3665" t="s">
        <v>14</v>
      </c>
      <c r="C3665" t="s">
        <v>13</v>
      </c>
      <c r="D3665">
        <v>170.41</v>
      </c>
      <c r="E3665">
        <v>147.35</v>
      </c>
      <c r="F3665">
        <v>70023</v>
      </c>
      <c r="H3665">
        <f>_xlfn.LET(_xlpm.v, IFERROR(VLOOKUP($A3665, manifest!$A:$E, 3, FALSE), ""), IF(OR(_xlpm.v=0, _xlpm.v=""), "", _xlpm.v))</f>
        <v>68</v>
      </c>
      <c r="I3665" t="str">
        <f>_xlfn.LET(_xlpm.v, IFERROR(VLOOKUP($A3665, manifest!$A:$E, 5, FALSE), ""), IF(OR(_xlpm.v=0, _xlpm.v=""), "", _xlpm.v))</f>
        <v>female</v>
      </c>
    </row>
    <row r="3666" spans="1:9" x14ac:dyDescent="0.6">
      <c r="A3666">
        <v>768</v>
      </c>
      <c r="B3666" t="s">
        <v>7</v>
      </c>
      <c r="C3666" t="s">
        <v>8</v>
      </c>
      <c r="D3666">
        <v>180.43</v>
      </c>
      <c r="E3666">
        <v>140.08000000000001</v>
      </c>
      <c r="F3666">
        <v>44704</v>
      </c>
      <c r="G3666" t="s">
        <v>9</v>
      </c>
      <c r="H3666" t="str">
        <f>_xlfn.LET(_xlpm.v, IFERROR(VLOOKUP($A3666, manifest!$A:$E, 3, FALSE), ""), IF(OR(_xlpm.v=0, _xlpm.v=""), "", _xlpm.v))</f>
        <v/>
      </c>
      <c r="I3666" t="str">
        <f>_xlfn.LET(_xlpm.v, IFERROR(VLOOKUP($A3666, manifest!$A:$E, 5, FALSE), ""), IF(OR(_xlpm.v=0, _xlpm.v=""), "", _xlpm.v))</f>
        <v>male</v>
      </c>
    </row>
    <row r="3667" spans="1:9" x14ac:dyDescent="0.6">
      <c r="A3667">
        <v>768</v>
      </c>
      <c r="B3667" t="s">
        <v>7</v>
      </c>
      <c r="C3667" t="s">
        <v>10</v>
      </c>
      <c r="D3667">
        <v>204.84</v>
      </c>
      <c r="E3667">
        <v>194.34</v>
      </c>
      <c r="F3667">
        <v>44572</v>
      </c>
      <c r="H3667" t="str">
        <f>_xlfn.LET(_xlpm.v, IFERROR(VLOOKUP($A3667, manifest!$A:$E, 3, FALSE), ""), IF(OR(_xlpm.v=0, _xlpm.v=""), "", _xlpm.v))</f>
        <v/>
      </c>
      <c r="I3667" t="str">
        <f>_xlfn.LET(_xlpm.v, IFERROR(VLOOKUP($A3667, manifest!$A:$E, 5, FALSE), ""), IF(OR(_xlpm.v=0, _xlpm.v=""), "", _xlpm.v))</f>
        <v>male</v>
      </c>
    </row>
    <row r="3668" spans="1:9" x14ac:dyDescent="0.6">
      <c r="A3668">
        <v>768</v>
      </c>
      <c r="B3668" t="s">
        <v>7</v>
      </c>
      <c r="C3668" t="s">
        <v>11</v>
      </c>
      <c r="D3668">
        <v>201.85</v>
      </c>
      <c r="E3668">
        <v>187.59</v>
      </c>
      <c r="F3668">
        <v>51970</v>
      </c>
      <c r="H3668" t="str">
        <f>_xlfn.LET(_xlpm.v, IFERROR(VLOOKUP($A3668, manifest!$A:$E, 3, FALSE), ""), IF(OR(_xlpm.v=0, _xlpm.v=""), "", _xlpm.v))</f>
        <v/>
      </c>
      <c r="I3668" t="str">
        <f>_xlfn.LET(_xlpm.v, IFERROR(VLOOKUP($A3668, manifest!$A:$E, 5, FALSE), ""), IF(OR(_xlpm.v=0, _xlpm.v=""), "", _xlpm.v))</f>
        <v>male</v>
      </c>
    </row>
    <row r="3669" spans="1:9" x14ac:dyDescent="0.6">
      <c r="A3669">
        <v>768</v>
      </c>
      <c r="B3669" t="s">
        <v>7</v>
      </c>
      <c r="C3669" t="s">
        <v>12</v>
      </c>
      <c r="D3669">
        <v>197.54</v>
      </c>
      <c r="E3669">
        <v>183.64</v>
      </c>
      <c r="F3669">
        <v>55803</v>
      </c>
      <c r="H3669" t="str">
        <f>_xlfn.LET(_xlpm.v, IFERROR(VLOOKUP($A3669, manifest!$A:$E, 3, FALSE), ""), IF(OR(_xlpm.v=0, _xlpm.v=""), "", _xlpm.v))</f>
        <v/>
      </c>
      <c r="I3669" t="str">
        <f>_xlfn.LET(_xlpm.v, IFERROR(VLOOKUP($A3669, manifest!$A:$E, 5, FALSE), ""), IF(OR(_xlpm.v=0, _xlpm.v=""), "", _xlpm.v))</f>
        <v>male</v>
      </c>
    </row>
    <row r="3670" spans="1:9" x14ac:dyDescent="0.6">
      <c r="A3670">
        <v>768</v>
      </c>
      <c r="B3670" t="s">
        <v>7</v>
      </c>
      <c r="C3670" t="s">
        <v>13</v>
      </c>
      <c r="D3670">
        <v>177.21</v>
      </c>
      <c r="E3670">
        <v>154.03</v>
      </c>
      <c r="F3670">
        <v>70745</v>
      </c>
      <c r="H3670" t="str">
        <f>_xlfn.LET(_xlpm.v, IFERROR(VLOOKUP($A3670, manifest!$A:$E, 3, FALSE), ""), IF(OR(_xlpm.v=0, _xlpm.v=""), "", _xlpm.v))</f>
        <v/>
      </c>
      <c r="I3670" t="str">
        <f>_xlfn.LET(_xlpm.v, IFERROR(VLOOKUP($A3670, manifest!$A:$E, 5, FALSE), ""), IF(OR(_xlpm.v=0, _xlpm.v=""), "", _xlpm.v))</f>
        <v>male</v>
      </c>
    </row>
    <row r="3671" spans="1:9" x14ac:dyDescent="0.6">
      <c r="A3671">
        <v>767</v>
      </c>
      <c r="B3671" t="s">
        <v>7</v>
      </c>
      <c r="C3671" t="s">
        <v>8</v>
      </c>
      <c r="D3671">
        <v>139.44999999999999</v>
      </c>
      <c r="E3671">
        <v>123.41</v>
      </c>
      <c r="F3671">
        <v>50932</v>
      </c>
      <c r="G3671" t="s">
        <v>15</v>
      </c>
      <c r="H3671">
        <f>_xlfn.LET(_xlpm.v, IFERROR(VLOOKUP($A3671, manifest!$A:$E, 3, FALSE), ""), IF(OR(_xlpm.v=0, _xlpm.v=""), "", _xlpm.v))</f>
        <v>89</v>
      </c>
      <c r="I3671" t="str">
        <f>_xlfn.LET(_xlpm.v, IFERROR(VLOOKUP($A3671, manifest!$A:$E, 5, FALSE), ""), IF(OR(_xlpm.v=0, _xlpm.v=""), "", _xlpm.v))</f>
        <v>other</v>
      </c>
    </row>
    <row r="3672" spans="1:9" x14ac:dyDescent="0.6">
      <c r="A3672">
        <v>767</v>
      </c>
      <c r="B3672" t="s">
        <v>7</v>
      </c>
      <c r="C3672" t="s">
        <v>10</v>
      </c>
      <c r="D3672">
        <v>143.55000000000001</v>
      </c>
      <c r="E3672">
        <v>129.08000000000001</v>
      </c>
      <c r="F3672">
        <v>49965</v>
      </c>
      <c r="H3672">
        <f>_xlfn.LET(_xlpm.v, IFERROR(VLOOKUP($A3672, manifest!$A:$E, 3, FALSE), ""), IF(OR(_xlpm.v=0, _xlpm.v=""), "", _xlpm.v))</f>
        <v>89</v>
      </c>
      <c r="I3672" t="str">
        <f>_xlfn.LET(_xlpm.v, IFERROR(VLOOKUP($A3672, manifest!$A:$E, 5, FALSE), ""), IF(OR(_xlpm.v=0, _xlpm.v=""), "", _xlpm.v))</f>
        <v>other</v>
      </c>
    </row>
    <row r="3673" spans="1:9" x14ac:dyDescent="0.6">
      <c r="A3673">
        <v>767</v>
      </c>
      <c r="B3673" t="s">
        <v>7</v>
      </c>
      <c r="C3673" t="s">
        <v>11</v>
      </c>
      <c r="D3673">
        <v>155.05000000000001</v>
      </c>
      <c r="E3673">
        <v>152.47999999999999</v>
      </c>
      <c r="F3673">
        <v>53755</v>
      </c>
      <c r="H3673">
        <f>_xlfn.LET(_xlpm.v, IFERROR(VLOOKUP($A3673, manifest!$A:$E, 3, FALSE), ""), IF(OR(_xlpm.v=0, _xlpm.v=""), "", _xlpm.v))</f>
        <v>89</v>
      </c>
      <c r="I3673" t="str">
        <f>_xlfn.LET(_xlpm.v, IFERROR(VLOOKUP($A3673, manifest!$A:$E, 5, FALSE), ""), IF(OR(_xlpm.v=0, _xlpm.v=""), "", _xlpm.v))</f>
        <v>other</v>
      </c>
    </row>
    <row r="3674" spans="1:9" x14ac:dyDescent="0.6">
      <c r="A3674">
        <v>767</v>
      </c>
      <c r="B3674" t="s">
        <v>7</v>
      </c>
      <c r="C3674" t="s">
        <v>12</v>
      </c>
      <c r="D3674">
        <v>292.08999999999997</v>
      </c>
      <c r="E3674">
        <v>202.45</v>
      </c>
      <c r="F3674">
        <v>65354</v>
      </c>
      <c r="H3674">
        <f>_xlfn.LET(_xlpm.v, IFERROR(VLOOKUP($A3674, manifest!$A:$E, 3, FALSE), ""), IF(OR(_xlpm.v=0, _xlpm.v=""), "", _xlpm.v))</f>
        <v>89</v>
      </c>
      <c r="I3674" t="str">
        <f>_xlfn.LET(_xlpm.v, IFERROR(VLOOKUP($A3674, manifest!$A:$E, 5, FALSE), ""), IF(OR(_xlpm.v=0, _xlpm.v=""), "", _xlpm.v))</f>
        <v>other</v>
      </c>
    </row>
    <row r="3675" spans="1:9" x14ac:dyDescent="0.6">
      <c r="A3675">
        <v>767</v>
      </c>
      <c r="B3675" t="s">
        <v>7</v>
      </c>
      <c r="C3675" t="s">
        <v>13</v>
      </c>
      <c r="D3675">
        <v>271.99</v>
      </c>
      <c r="E3675">
        <v>178.9</v>
      </c>
      <c r="F3675">
        <v>76800</v>
      </c>
      <c r="H3675">
        <f>_xlfn.LET(_xlpm.v, IFERROR(VLOOKUP($A3675, manifest!$A:$E, 3, FALSE), ""), IF(OR(_xlpm.v=0, _xlpm.v=""), "", _xlpm.v))</f>
        <v>89</v>
      </c>
      <c r="I3675" t="str">
        <f>_xlfn.LET(_xlpm.v, IFERROR(VLOOKUP($A3675, manifest!$A:$E, 5, FALSE), ""), IF(OR(_xlpm.v=0, _xlpm.v=""), "", _xlpm.v))</f>
        <v>other</v>
      </c>
    </row>
    <row r="3676" spans="1:9" x14ac:dyDescent="0.6">
      <c r="A3676">
        <v>753</v>
      </c>
      <c r="B3676" t="s">
        <v>7</v>
      </c>
      <c r="C3676" t="s">
        <v>8</v>
      </c>
      <c r="D3676">
        <v>186.49</v>
      </c>
      <c r="E3676">
        <v>147.6</v>
      </c>
      <c r="F3676">
        <v>29113</v>
      </c>
      <c r="G3676" t="s">
        <v>9</v>
      </c>
      <c r="H3676">
        <f>_xlfn.LET(_xlpm.v, IFERROR(VLOOKUP($A3676, manifest!$A:$E, 3, FALSE), ""), IF(OR(_xlpm.v=0, _xlpm.v=""), "", _xlpm.v))</f>
        <v>64</v>
      </c>
      <c r="I3676" t="str">
        <f>_xlfn.LET(_xlpm.v, IFERROR(VLOOKUP($A3676, manifest!$A:$E, 5, FALSE), ""), IF(OR(_xlpm.v=0, _xlpm.v=""), "", _xlpm.v))</f>
        <v>male</v>
      </c>
    </row>
    <row r="3677" spans="1:9" x14ac:dyDescent="0.6">
      <c r="A3677">
        <v>753</v>
      </c>
      <c r="B3677" t="s">
        <v>7</v>
      </c>
      <c r="C3677" t="s">
        <v>10</v>
      </c>
      <c r="D3677">
        <v>219.14</v>
      </c>
      <c r="E3677">
        <v>174.97</v>
      </c>
      <c r="F3677">
        <v>27387</v>
      </c>
      <c r="H3677">
        <f>_xlfn.LET(_xlpm.v, IFERROR(VLOOKUP($A3677, manifest!$A:$E, 3, FALSE), ""), IF(OR(_xlpm.v=0, _xlpm.v=""), "", _xlpm.v))</f>
        <v>64</v>
      </c>
      <c r="I3677" t="str">
        <f>_xlfn.LET(_xlpm.v, IFERROR(VLOOKUP($A3677, manifest!$A:$E, 5, FALSE), ""), IF(OR(_xlpm.v=0, _xlpm.v=""), "", _xlpm.v))</f>
        <v>male</v>
      </c>
    </row>
    <row r="3678" spans="1:9" x14ac:dyDescent="0.6">
      <c r="A3678">
        <v>753</v>
      </c>
      <c r="B3678" t="s">
        <v>7</v>
      </c>
      <c r="C3678" t="s">
        <v>11</v>
      </c>
      <c r="D3678">
        <v>213.64</v>
      </c>
      <c r="E3678">
        <v>184.24</v>
      </c>
      <c r="F3678">
        <v>31160</v>
      </c>
      <c r="H3678">
        <f>_xlfn.LET(_xlpm.v, IFERROR(VLOOKUP($A3678, manifest!$A:$E, 3, FALSE), ""), IF(OR(_xlpm.v=0, _xlpm.v=""), "", _xlpm.v))</f>
        <v>64</v>
      </c>
      <c r="I3678" t="str">
        <f>_xlfn.LET(_xlpm.v, IFERROR(VLOOKUP($A3678, manifest!$A:$E, 5, FALSE), ""), IF(OR(_xlpm.v=0, _xlpm.v=""), "", _xlpm.v))</f>
        <v>male</v>
      </c>
    </row>
    <row r="3679" spans="1:9" x14ac:dyDescent="0.6">
      <c r="A3679">
        <v>753</v>
      </c>
      <c r="B3679" t="s">
        <v>7</v>
      </c>
      <c r="C3679" t="s">
        <v>12</v>
      </c>
      <c r="D3679">
        <v>197.81</v>
      </c>
      <c r="E3679">
        <v>171.03</v>
      </c>
      <c r="F3679">
        <v>44857</v>
      </c>
      <c r="H3679">
        <f>_xlfn.LET(_xlpm.v, IFERROR(VLOOKUP($A3679, manifest!$A:$E, 3, FALSE), ""), IF(OR(_xlpm.v=0, _xlpm.v=""), "", _xlpm.v))</f>
        <v>64</v>
      </c>
      <c r="I3679" t="str">
        <f>_xlfn.LET(_xlpm.v, IFERROR(VLOOKUP($A3679, manifest!$A:$E, 5, FALSE), ""), IF(OR(_xlpm.v=0, _xlpm.v=""), "", _xlpm.v))</f>
        <v>male</v>
      </c>
    </row>
    <row r="3680" spans="1:9" x14ac:dyDescent="0.6">
      <c r="A3680">
        <v>753</v>
      </c>
      <c r="B3680" t="s">
        <v>7</v>
      </c>
      <c r="C3680" t="s">
        <v>13</v>
      </c>
      <c r="D3680">
        <v>227.43</v>
      </c>
      <c r="E3680">
        <v>181.8</v>
      </c>
      <c r="F3680">
        <v>45053</v>
      </c>
      <c r="H3680">
        <f>_xlfn.LET(_xlpm.v, IFERROR(VLOOKUP($A3680, manifest!$A:$E, 3, FALSE), ""), IF(OR(_xlpm.v=0, _xlpm.v=""), "", _xlpm.v))</f>
        <v>64</v>
      </c>
      <c r="I3680" t="str">
        <f>_xlfn.LET(_xlpm.v, IFERROR(VLOOKUP($A3680, manifest!$A:$E, 5, FALSE), ""), IF(OR(_xlpm.v=0, _xlpm.v=""), "", _xlpm.v))</f>
        <v>male</v>
      </c>
    </row>
    <row r="3681" spans="1:9" x14ac:dyDescent="0.6">
      <c r="A3681">
        <v>780</v>
      </c>
      <c r="B3681" t="s">
        <v>7</v>
      </c>
      <c r="C3681" t="s">
        <v>8</v>
      </c>
      <c r="D3681">
        <v>366.72</v>
      </c>
      <c r="E3681">
        <v>175.92</v>
      </c>
      <c r="F3681">
        <v>29144</v>
      </c>
      <c r="G3681" t="s">
        <v>9</v>
      </c>
      <c r="H3681">
        <f>_xlfn.LET(_xlpm.v, IFERROR(VLOOKUP($A3681, manifest!$A:$E, 3, FALSE), ""), IF(OR(_xlpm.v=0, _xlpm.v=""), "", _xlpm.v))</f>
        <v>75</v>
      </c>
      <c r="I3681" t="str">
        <f>_xlfn.LET(_xlpm.v, IFERROR(VLOOKUP($A3681, manifest!$A:$E, 5, FALSE), ""), IF(OR(_xlpm.v=0, _xlpm.v=""), "", _xlpm.v))</f>
        <v>female</v>
      </c>
    </row>
    <row r="3682" spans="1:9" x14ac:dyDescent="0.6">
      <c r="A3682">
        <v>780</v>
      </c>
      <c r="B3682" t="s">
        <v>7</v>
      </c>
      <c r="C3682" t="s">
        <v>10</v>
      </c>
      <c r="D3682">
        <v>388.86</v>
      </c>
      <c r="E3682">
        <v>213.15</v>
      </c>
      <c r="F3682">
        <v>33243</v>
      </c>
      <c r="H3682">
        <f>_xlfn.LET(_xlpm.v, IFERROR(VLOOKUP($A3682, manifest!$A:$E, 3, FALSE), ""), IF(OR(_xlpm.v=0, _xlpm.v=""), "", _xlpm.v))</f>
        <v>75</v>
      </c>
      <c r="I3682" t="str">
        <f>_xlfn.LET(_xlpm.v, IFERROR(VLOOKUP($A3682, manifest!$A:$E, 5, FALSE), ""), IF(OR(_xlpm.v=0, _xlpm.v=""), "", _xlpm.v))</f>
        <v>female</v>
      </c>
    </row>
    <row r="3683" spans="1:9" x14ac:dyDescent="0.6">
      <c r="A3683">
        <v>780</v>
      </c>
      <c r="B3683" t="s">
        <v>7</v>
      </c>
      <c r="C3683" t="s">
        <v>11</v>
      </c>
      <c r="D3683">
        <v>386.85</v>
      </c>
      <c r="E3683">
        <v>235.26</v>
      </c>
      <c r="F3683">
        <v>42591</v>
      </c>
      <c r="H3683">
        <f>_xlfn.LET(_xlpm.v, IFERROR(VLOOKUP($A3683, manifest!$A:$E, 3, FALSE), ""), IF(OR(_xlpm.v=0, _xlpm.v=""), "", _xlpm.v))</f>
        <v>75</v>
      </c>
      <c r="I3683" t="str">
        <f>_xlfn.LET(_xlpm.v, IFERROR(VLOOKUP($A3683, manifest!$A:$E, 5, FALSE), ""), IF(OR(_xlpm.v=0, _xlpm.v=""), "", _xlpm.v))</f>
        <v>female</v>
      </c>
    </row>
    <row r="3684" spans="1:9" x14ac:dyDescent="0.6">
      <c r="A3684">
        <v>780</v>
      </c>
      <c r="B3684" t="s">
        <v>7</v>
      </c>
      <c r="C3684" t="s">
        <v>12</v>
      </c>
      <c r="D3684">
        <v>365.96</v>
      </c>
      <c r="E3684">
        <v>229.37</v>
      </c>
      <c r="F3684">
        <v>56974</v>
      </c>
      <c r="H3684">
        <f>_xlfn.LET(_xlpm.v, IFERROR(VLOOKUP($A3684, manifest!$A:$E, 3, FALSE), ""), IF(OR(_xlpm.v=0, _xlpm.v=""), "", _xlpm.v))</f>
        <v>75</v>
      </c>
      <c r="I3684" t="str">
        <f>_xlfn.LET(_xlpm.v, IFERROR(VLOOKUP($A3684, manifest!$A:$E, 5, FALSE), ""), IF(OR(_xlpm.v=0, _xlpm.v=""), "", _xlpm.v))</f>
        <v>female</v>
      </c>
    </row>
    <row r="3685" spans="1:9" x14ac:dyDescent="0.6">
      <c r="A3685">
        <v>780</v>
      </c>
      <c r="B3685" t="s">
        <v>7</v>
      </c>
      <c r="C3685" t="s">
        <v>13</v>
      </c>
      <c r="D3685">
        <v>356.17</v>
      </c>
      <c r="E3685">
        <v>234.08</v>
      </c>
      <c r="F3685">
        <v>58308</v>
      </c>
      <c r="H3685">
        <f>_xlfn.LET(_xlpm.v, IFERROR(VLOOKUP($A3685, manifest!$A:$E, 3, FALSE), ""), IF(OR(_xlpm.v=0, _xlpm.v=""), "", _xlpm.v))</f>
        <v>75</v>
      </c>
      <c r="I3685" t="str">
        <f>_xlfn.LET(_xlpm.v, IFERROR(VLOOKUP($A3685, manifest!$A:$E, 5, FALSE), ""), IF(OR(_xlpm.v=0, _xlpm.v=""), "", _xlpm.v))</f>
        <v>female</v>
      </c>
    </row>
    <row r="3686" spans="1:9" x14ac:dyDescent="0.6">
      <c r="A3686">
        <v>763</v>
      </c>
      <c r="B3686" t="s">
        <v>7</v>
      </c>
      <c r="C3686" t="s">
        <v>8</v>
      </c>
      <c r="D3686">
        <v>193.91</v>
      </c>
      <c r="E3686">
        <v>142.44</v>
      </c>
      <c r="F3686">
        <v>21459</v>
      </c>
      <c r="G3686" t="s">
        <v>9</v>
      </c>
      <c r="H3686">
        <f>_xlfn.LET(_xlpm.v, IFERROR(VLOOKUP($A3686, manifest!$A:$E, 3, FALSE), ""), IF(OR(_xlpm.v=0, _xlpm.v=""), "", _xlpm.v))</f>
        <v>68</v>
      </c>
      <c r="I3686" t="str">
        <f>_xlfn.LET(_xlpm.v, IFERROR(VLOOKUP($A3686, manifest!$A:$E, 5, FALSE), ""), IF(OR(_xlpm.v=0, _xlpm.v=""), "", _xlpm.v))</f>
        <v>female</v>
      </c>
    </row>
    <row r="3687" spans="1:9" x14ac:dyDescent="0.6">
      <c r="A3687">
        <v>763</v>
      </c>
      <c r="B3687" t="s">
        <v>7</v>
      </c>
      <c r="C3687" t="s">
        <v>10</v>
      </c>
      <c r="D3687">
        <v>237.94</v>
      </c>
      <c r="E3687">
        <v>183.89</v>
      </c>
      <c r="F3687">
        <v>25444</v>
      </c>
      <c r="H3687">
        <f>_xlfn.LET(_xlpm.v, IFERROR(VLOOKUP($A3687, manifest!$A:$E, 3, FALSE), ""), IF(OR(_xlpm.v=0, _xlpm.v=""), "", _xlpm.v))</f>
        <v>68</v>
      </c>
      <c r="I3687" t="str">
        <f>_xlfn.LET(_xlpm.v, IFERROR(VLOOKUP($A3687, manifest!$A:$E, 5, FALSE), ""), IF(OR(_xlpm.v=0, _xlpm.v=""), "", _xlpm.v))</f>
        <v>female</v>
      </c>
    </row>
    <row r="3688" spans="1:9" x14ac:dyDescent="0.6">
      <c r="A3688">
        <v>763</v>
      </c>
      <c r="B3688" t="s">
        <v>7</v>
      </c>
      <c r="C3688" t="s">
        <v>11</v>
      </c>
      <c r="D3688">
        <v>215.6</v>
      </c>
      <c r="E3688">
        <v>175.3</v>
      </c>
      <c r="F3688">
        <v>32038</v>
      </c>
      <c r="H3688">
        <f>_xlfn.LET(_xlpm.v, IFERROR(VLOOKUP($A3688, manifest!$A:$E, 3, FALSE), ""), IF(OR(_xlpm.v=0, _xlpm.v=""), "", _xlpm.v))</f>
        <v>68</v>
      </c>
      <c r="I3688" t="str">
        <f>_xlfn.LET(_xlpm.v, IFERROR(VLOOKUP($A3688, manifest!$A:$E, 5, FALSE), ""), IF(OR(_xlpm.v=0, _xlpm.v=""), "", _xlpm.v))</f>
        <v>female</v>
      </c>
    </row>
    <row r="3689" spans="1:9" x14ac:dyDescent="0.6">
      <c r="A3689">
        <v>763</v>
      </c>
      <c r="B3689" t="s">
        <v>7</v>
      </c>
      <c r="C3689" t="s">
        <v>12</v>
      </c>
      <c r="D3689">
        <v>207.76</v>
      </c>
      <c r="E3689">
        <v>190.34</v>
      </c>
      <c r="F3689">
        <v>31693</v>
      </c>
      <c r="H3689">
        <f>_xlfn.LET(_xlpm.v, IFERROR(VLOOKUP($A3689, manifest!$A:$E, 3, FALSE), ""), IF(OR(_xlpm.v=0, _xlpm.v=""), "", _xlpm.v))</f>
        <v>68</v>
      </c>
      <c r="I3689" t="str">
        <f>_xlfn.LET(_xlpm.v, IFERROR(VLOOKUP($A3689, manifest!$A:$E, 5, FALSE), ""), IF(OR(_xlpm.v=0, _xlpm.v=""), "", _xlpm.v))</f>
        <v>female</v>
      </c>
    </row>
    <row r="3690" spans="1:9" x14ac:dyDescent="0.6">
      <c r="A3690">
        <v>763</v>
      </c>
      <c r="B3690" t="s">
        <v>7</v>
      </c>
      <c r="C3690" t="s">
        <v>13</v>
      </c>
      <c r="D3690">
        <v>205.65</v>
      </c>
      <c r="E3690">
        <v>212.08</v>
      </c>
      <c r="F3690">
        <v>39298</v>
      </c>
      <c r="H3690">
        <f>_xlfn.LET(_xlpm.v, IFERROR(VLOOKUP($A3690, manifest!$A:$E, 3, FALSE), ""), IF(OR(_xlpm.v=0, _xlpm.v=""), "", _xlpm.v))</f>
        <v>68</v>
      </c>
      <c r="I3690" t="str">
        <f>_xlfn.LET(_xlpm.v, IFERROR(VLOOKUP($A3690, manifest!$A:$E, 5, FALSE), ""), IF(OR(_xlpm.v=0, _xlpm.v=""), "", _xlpm.v))</f>
        <v>female</v>
      </c>
    </row>
    <row r="3691" spans="1:9" x14ac:dyDescent="0.6">
      <c r="A3691">
        <v>786</v>
      </c>
      <c r="B3691" t="s">
        <v>7</v>
      </c>
      <c r="C3691" t="s">
        <v>8</v>
      </c>
      <c r="D3691">
        <v>114.68</v>
      </c>
      <c r="E3691">
        <v>121.47</v>
      </c>
      <c r="F3691">
        <v>45628</v>
      </c>
      <c r="G3691" t="s">
        <v>15</v>
      </c>
      <c r="H3691">
        <f>_xlfn.LET(_xlpm.v, IFERROR(VLOOKUP($A3691, manifest!$A:$E, 3, FALSE), ""), IF(OR(_xlpm.v=0, _xlpm.v=""), "", _xlpm.v))</f>
        <v>59</v>
      </c>
      <c r="I3691" t="str">
        <f>_xlfn.LET(_xlpm.v, IFERROR(VLOOKUP($A3691, manifest!$A:$E, 5, FALSE), ""), IF(OR(_xlpm.v=0, _xlpm.v=""), "", _xlpm.v))</f>
        <v>male</v>
      </c>
    </row>
    <row r="3692" spans="1:9" x14ac:dyDescent="0.6">
      <c r="A3692">
        <v>786</v>
      </c>
      <c r="B3692" t="s">
        <v>7</v>
      </c>
      <c r="C3692" t="s">
        <v>10</v>
      </c>
      <c r="D3692">
        <v>111.92</v>
      </c>
      <c r="E3692">
        <v>126.03</v>
      </c>
      <c r="F3692">
        <v>55986</v>
      </c>
      <c r="H3692">
        <f>_xlfn.LET(_xlpm.v, IFERROR(VLOOKUP($A3692, manifest!$A:$E, 3, FALSE), ""), IF(OR(_xlpm.v=0, _xlpm.v=""), "", _xlpm.v))</f>
        <v>59</v>
      </c>
      <c r="I3692" t="str">
        <f>_xlfn.LET(_xlpm.v, IFERROR(VLOOKUP($A3692, manifest!$A:$E, 5, FALSE), ""), IF(OR(_xlpm.v=0, _xlpm.v=""), "", _xlpm.v))</f>
        <v>male</v>
      </c>
    </row>
    <row r="3693" spans="1:9" x14ac:dyDescent="0.6">
      <c r="A3693">
        <v>786</v>
      </c>
      <c r="B3693" t="s">
        <v>7</v>
      </c>
      <c r="C3693" t="s">
        <v>11</v>
      </c>
      <c r="D3693">
        <v>101.53</v>
      </c>
      <c r="E3693">
        <v>113.89</v>
      </c>
      <c r="F3693">
        <v>61242</v>
      </c>
      <c r="H3693">
        <f>_xlfn.LET(_xlpm.v, IFERROR(VLOOKUP($A3693, manifest!$A:$E, 3, FALSE), ""), IF(OR(_xlpm.v=0, _xlpm.v=""), "", _xlpm.v))</f>
        <v>59</v>
      </c>
      <c r="I3693" t="str">
        <f>_xlfn.LET(_xlpm.v, IFERROR(VLOOKUP($A3693, manifest!$A:$E, 5, FALSE), ""), IF(OR(_xlpm.v=0, _xlpm.v=""), "", _xlpm.v))</f>
        <v>male</v>
      </c>
    </row>
    <row r="3694" spans="1:9" x14ac:dyDescent="0.6">
      <c r="A3694">
        <v>786</v>
      </c>
      <c r="B3694" t="s">
        <v>7</v>
      </c>
      <c r="C3694" t="s">
        <v>12</v>
      </c>
      <c r="D3694">
        <v>121.6</v>
      </c>
      <c r="E3694">
        <v>132.29</v>
      </c>
      <c r="F3694">
        <v>56582</v>
      </c>
      <c r="H3694">
        <f>_xlfn.LET(_xlpm.v, IFERROR(VLOOKUP($A3694, manifest!$A:$E, 3, FALSE), ""), IF(OR(_xlpm.v=0, _xlpm.v=""), "", _xlpm.v))</f>
        <v>59</v>
      </c>
      <c r="I3694" t="str">
        <f>_xlfn.LET(_xlpm.v, IFERROR(VLOOKUP($A3694, manifest!$A:$E, 5, FALSE), ""), IF(OR(_xlpm.v=0, _xlpm.v=""), "", _xlpm.v))</f>
        <v>male</v>
      </c>
    </row>
    <row r="3695" spans="1:9" x14ac:dyDescent="0.6">
      <c r="A3695">
        <v>786</v>
      </c>
      <c r="B3695" t="s">
        <v>7</v>
      </c>
      <c r="C3695" t="s">
        <v>13</v>
      </c>
      <c r="D3695">
        <v>125.3</v>
      </c>
      <c r="E3695">
        <v>129.06</v>
      </c>
      <c r="F3695">
        <v>65440</v>
      </c>
      <c r="H3695">
        <f>_xlfn.LET(_xlpm.v, IFERROR(VLOOKUP($A3695, manifest!$A:$E, 3, FALSE), ""), IF(OR(_xlpm.v=0, _xlpm.v=""), "", _xlpm.v))</f>
        <v>59</v>
      </c>
      <c r="I3695" t="str">
        <f>_xlfn.LET(_xlpm.v, IFERROR(VLOOKUP($A3695, manifest!$A:$E, 5, FALSE), ""), IF(OR(_xlpm.v=0, _xlpm.v=""), "", _xlpm.v))</f>
        <v>male</v>
      </c>
    </row>
    <row r="3696" spans="1:9" x14ac:dyDescent="0.6">
      <c r="A3696">
        <v>773</v>
      </c>
      <c r="B3696" t="s">
        <v>14</v>
      </c>
      <c r="C3696" t="s">
        <v>8</v>
      </c>
      <c r="D3696">
        <v>196.4</v>
      </c>
      <c r="E3696">
        <v>187.58</v>
      </c>
      <c r="F3696">
        <v>41169</v>
      </c>
      <c r="G3696" t="s">
        <v>9</v>
      </c>
      <c r="H3696">
        <f>_xlfn.LET(_xlpm.v, IFERROR(VLOOKUP($A3696, manifest!$A:$E, 3, FALSE), ""), IF(OR(_xlpm.v=0, _xlpm.v=""), "", _xlpm.v))</f>
        <v>75</v>
      </c>
      <c r="I3696" t="str">
        <f>_xlfn.LET(_xlpm.v, IFERROR(VLOOKUP($A3696, manifest!$A:$E, 5, FALSE), ""), IF(OR(_xlpm.v=0, _xlpm.v=""), "", _xlpm.v))</f>
        <v>male</v>
      </c>
    </row>
    <row r="3697" spans="1:9" x14ac:dyDescent="0.6">
      <c r="A3697">
        <v>773</v>
      </c>
      <c r="B3697" t="s">
        <v>14</v>
      </c>
      <c r="C3697" t="s">
        <v>10</v>
      </c>
      <c r="D3697">
        <v>194.9</v>
      </c>
      <c r="E3697">
        <v>198.34</v>
      </c>
      <c r="F3697">
        <v>42108</v>
      </c>
      <c r="H3697">
        <f>_xlfn.LET(_xlpm.v, IFERROR(VLOOKUP($A3697, manifest!$A:$E, 3, FALSE), ""), IF(OR(_xlpm.v=0, _xlpm.v=""), "", _xlpm.v))</f>
        <v>75</v>
      </c>
      <c r="I3697" t="str">
        <f>_xlfn.LET(_xlpm.v, IFERROR(VLOOKUP($A3697, manifest!$A:$E, 5, FALSE), ""), IF(OR(_xlpm.v=0, _xlpm.v=""), "", _xlpm.v))</f>
        <v>male</v>
      </c>
    </row>
    <row r="3698" spans="1:9" x14ac:dyDescent="0.6">
      <c r="A3698">
        <v>773</v>
      </c>
      <c r="B3698" t="s">
        <v>14</v>
      </c>
      <c r="C3698" t="s">
        <v>11</v>
      </c>
      <c r="D3698">
        <v>197.72</v>
      </c>
      <c r="E3698">
        <v>188.59</v>
      </c>
      <c r="F3698">
        <v>51528</v>
      </c>
      <c r="H3698">
        <f>_xlfn.LET(_xlpm.v, IFERROR(VLOOKUP($A3698, manifest!$A:$E, 3, FALSE), ""), IF(OR(_xlpm.v=0, _xlpm.v=""), "", _xlpm.v))</f>
        <v>75</v>
      </c>
      <c r="I3698" t="str">
        <f>_xlfn.LET(_xlpm.v, IFERROR(VLOOKUP($A3698, manifest!$A:$E, 5, FALSE), ""), IF(OR(_xlpm.v=0, _xlpm.v=""), "", _xlpm.v))</f>
        <v>male</v>
      </c>
    </row>
    <row r="3699" spans="1:9" x14ac:dyDescent="0.6">
      <c r="A3699">
        <v>773</v>
      </c>
      <c r="B3699" t="s">
        <v>14</v>
      </c>
      <c r="C3699" t="s">
        <v>12</v>
      </c>
      <c r="D3699">
        <v>205.42</v>
      </c>
      <c r="E3699">
        <v>206.47</v>
      </c>
      <c r="F3699">
        <v>64992</v>
      </c>
      <c r="H3699">
        <f>_xlfn.LET(_xlpm.v, IFERROR(VLOOKUP($A3699, manifest!$A:$E, 3, FALSE), ""), IF(OR(_xlpm.v=0, _xlpm.v=""), "", _xlpm.v))</f>
        <v>75</v>
      </c>
      <c r="I3699" t="str">
        <f>_xlfn.LET(_xlpm.v, IFERROR(VLOOKUP($A3699, manifest!$A:$E, 5, FALSE), ""), IF(OR(_xlpm.v=0, _xlpm.v=""), "", _xlpm.v))</f>
        <v>male</v>
      </c>
    </row>
    <row r="3700" spans="1:9" x14ac:dyDescent="0.6">
      <c r="A3700">
        <v>773</v>
      </c>
      <c r="B3700" t="s">
        <v>14</v>
      </c>
      <c r="C3700" t="s">
        <v>13</v>
      </c>
      <c r="D3700">
        <v>216.69</v>
      </c>
      <c r="E3700">
        <v>207.28</v>
      </c>
      <c r="F3700">
        <v>59492</v>
      </c>
      <c r="H3700">
        <f>_xlfn.LET(_xlpm.v, IFERROR(VLOOKUP($A3700, manifest!$A:$E, 3, FALSE), ""), IF(OR(_xlpm.v=0, _xlpm.v=""), "", _xlpm.v))</f>
        <v>75</v>
      </c>
      <c r="I3700" t="str">
        <f>_xlfn.LET(_xlpm.v, IFERROR(VLOOKUP($A3700, manifest!$A:$E, 5, FALSE), ""), IF(OR(_xlpm.v=0, _xlpm.v=""), "", _xlpm.v))</f>
        <v>male</v>
      </c>
    </row>
    <row r="3701" spans="1:9" x14ac:dyDescent="0.6">
      <c r="A3701">
        <v>777</v>
      </c>
      <c r="B3701" t="s">
        <v>7</v>
      </c>
      <c r="C3701" t="s">
        <v>8</v>
      </c>
      <c r="D3701">
        <v>176.02</v>
      </c>
      <c r="E3701">
        <v>110.68</v>
      </c>
      <c r="F3701">
        <v>27169</v>
      </c>
      <c r="G3701" t="s">
        <v>9</v>
      </c>
      <c r="H3701">
        <f>_xlfn.LET(_xlpm.v, IFERROR(VLOOKUP($A3701, manifest!$A:$E, 3, FALSE), ""), IF(OR(_xlpm.v=0, _xlpm.v=""), "", _xlpm.v))</f>
        <v>57</v>
      </c>
      <c r="I3701" t="str">
        <f>_xlfn.LET(_xlpm.v, IFERROR(VLOOKUP($A3701, manifest!$A:$E, 5, FALSE), ""), IF(OR(_xlpm.v=0, _xlpm.v=""), "", _xlpm.v))</f>
        <v>female</v>
      </c>
    </row>
    <row r="3702" spans="1:9" x14ac:dyDescent="0.6">
      <c r="A3702">
        <v>777</v>
      </c>
      <c r="B3702" t="s">
        <v>7</v>
      </c>
      <c r="C3702" t="s">
        <v>10</v>
      </c>
      <c r="D3702">
        <v>174.72</v>
      </c>
      <c r="E3702">
        <v>115.75</v>
      </c>
      <c r="F3702">
        <v>30291</v>
      </c>
      <c r="H3702">
        <f>_xlfn.LET(_xlpm.v, IFERROR(VLOOKUP($A3702, manifest!$A:$E, 3, FALSE), ""), IF(OR(_xlpm.v=0, _xlpm.v=""), "", _xlpm.v))</f>
        <v>57</v>
      </c>
      <c r="I3702" t="str">
        <f>_xlfn.LET(_xlpm.v, IFERROR(VLOOKUP($A3702, manifest!$A:$E, 5, FALSE), ""), IF(OR(_xlpm.v=0, _xlpm.v=""), "", _xlpm.v))</f>
        <v>female</v>
      </c>
    </row>
    <row r="3703" spans="1:9" x14ac:dyDescent="0.6">
      <c r="A3703">
        <v>777</v>
      </c>
      <c r="B3703" t="s">
        <v>7</v>
      </c>
      <c r="C3703" t="s">
        <v>11</v>
      </c>
      <c r="D3703">
        <v>190.4</v>
      </c>
      <c r="E3703">
        <v>131.35</v>
      </c>
      <c r="F3703">
        <v>32877</v>
      </c>
      <c r="H3703">
        <f>_xlfn.LET(_xlpm.v, IFERROR(VLOOKUP($A3703, manifest!$A:$E, 3, FALSE), ""), IF(OR(_xlpm.v=0, _xlpm.v=""), "", _xlpm.v))</f>
        <v>57</v>
      </c>
      <c r="I3703" t="str">
        <f>_xlfn.LET(_xlpm.v, IFERROR(VLOOKUP($A3703, manifest!$A:$E, 5, FALSE), ""), IF(OR(_xlpm.v=0, _xlpm.v=""), "", _xlpm.v))</f>
        <v>female</v>
      </c>
    </row>
    <row r="3704" spans="1:9" x14ac:dyDescent="0.6">
      <c r="A3704">
        <v>777</v>
      </c>
      <c r="B3704" t="s">
        <v>7</v>
      </c>
      <c r="C3704" t="s">
        <v>12</v>
      </c>
      <c r="D3704">
        <v>176.24</v>
      </c>
      <c r="E3704">
        <v>126.76</v>
      </c>
      <c r="F3704">
        <v>38129</v>
      </c>
      <c r="H3704">
        <f>_xlfn.LET(_xlpm.v, IFERROR(VLOOKUP($A3704, manifest!$A:$E, 3, FALSE), ""), IF(OR(_xlpm.v=0, _xlpm.v=""), "", _xlpm.v))</f>
        <v>57</v>
      </c>
      <c r="I3704" t="str">
        <f>_xlfn.LET(_xlpm.v, IFERROR(VLOOKUP($A3704, manifest!$A:$E, 5, FALSE), ""), IF(OR(_xlpm.v=0, _xlpm.v=""), "", _xlpm.v))</f>
        <v>female</v>
      </c>
    </row>
    <row r="3705" spans="1:9" x14ac:dyDescent="0.6">
      <c r="A3705">
        <v>777</v>
      </c>
      <c r="B3705" t="s">
        <v>7</v>
      </c>
      <c r="C3705" t="s">
        <v>13</v>
      </c>
      <c r="D3705">
        <v>195.02</v>
      </c>
      <c r="E3705">
        <v>145.06</v>
      </c>
      <c r="F3705">
        <v>50945</v>
      </c>
      <c r="H3705">
        <f>_xlfn.LET(_xlpm.v, IFERROR(VLOOKUP($A3705, manifest!$A:$E, 3, FALSE), ""), IF(OR(_xlpm.v=0, _xlpm.v=""), "", _xlpm.v))</f>
        <v>57</v>
      </c>
      <c r="I3705" t="str">
        <f>_xlfn.LET(_xlpm.v, IFERROR(VLOOKUP($A3705, manifest!$A:$E, 5, FALSE), ""), IF(OR(_xlpm.v=0, _xlpm.v=""), "", _xlpm.v))</f>
        <v>female</v>
      </c>
    </row>
    <row r="3706" spans="1:9" x14ac:dyDescent="0.6">
      <c r="A3706">
        <v>775</v>
      </c>
      <c r="B3706" t="s">
        <v>14</v>
      </c>
      <c r="C3706" t="s">
        <v>8</v>
      </c>
      <c r="D3706">
        <v>196.58</v>
      </c>
      <c r="E3706">
        <v>195.93</v>
      </c>
      <c r="F3706">
        <v>41869</v>
      </c>
      <c r="G3706" t="s">
        <v>9</v>
      </c>
      <c r="H3706">
        <f>_xlfn.LET(_xlpm.v, IFERROR(VLOOKUP($A3706, manifest!$A:$E, 3, FALSE), ""), IF(OR(_xlpm.v=0, _xlpm.v=""), "", _xlpm.v))</f>
        <v>62</v>
      </c>
      <c r="I3706" t="str">
        <f>_xlfn.LET(_xlpm.v, IFERROR(VLOOKUP($A3706, manifest!$A:$E, 5, FALSE), ""), IF(OR(_xlpm.v=0, _xlpm.v=""), "", _xlpm.v))</f>
        <v>male</v>
      </c>
    </row>
    <row r="3707" spans="1:9" x14ac:dyDescent="0.6">
      <c r="A3707">
        <v>775</v>
      </c>
      <c r="B3707" t="s">
        <v>14</v>
      </c>
      <c r="C3707" t="s">
        <v>10</v>
      </c>
      <c r="D3707">
        <v>207.68</v>
      </c>
      <c r="E3707">
        <v>186.33</v>
      </c>
      <c r="F3707">
        <v>44541</v>
      </c>
      <c r="H3707">
        <f>_xlfn.LET(_xlpm.v, IFERROR(VLOOKUP($A3707, manifest!$A:$E, 3, FALSE), ""), IF(OR(_xlpm.v=0, _xlpm.v=""), "", _xlpm.v))</f>
        <v>62</v>
      </c>
      <c r="I3707" t="str">
        <f>_xlfn.LET(_xlpm.v, IFERROR(VLOOKUP($A3707, manifest!$A:$E, 5, FALSE), ""), IF(OR(_xlpm.v=0, _xlpm.v=""), "", _xlpm.v))</f>
        <v>male</v>
      </c>
    </row>
    <row r="3708" spans="1:9" x14ac:dyDescent="0.6">
      <c r="A3708">
        <v>775</v>
      </c>
      <c r="B3708" t="s">
        <v>14</v>
      </c>
      <c r="C3708" t="s">
        <v>11</v>
      </c>
      <c r="D3708">
        <v>294.70999999999998</v>
      </c>
      <c r="E3708">
        <v>252.66</v>
      </c>
      <c r="F3708">
        <v>59603</v>
      </c>
      <c r="H3708">
        <f>_xlfn.LET(_xlpm.v, IFERROR(VLOOKUP($A3708, manifest!$A:$E, 3, FALSE), ""), IF(OR(_xlpm.v=0, _xlpm.v=""), "", _xlpm.v))</f>
        <v>62</v>
      </c>
      <c r="I3708" t="str">
        <f>_xlfn.LET(_xlpm.v, IFERROR(VLOOKUP($A3708, manifest!$A:$E, 5, FALSE), ""), IF(OR(_xlpm.v=0, _xlpm.v=""), "", _xlpm.v))</f>
        <v>male</v>
      </c>
    </row>
    <row r="3709" spans="1:9" x14ac:dyDescent="0.6">
      <c r="A3709">
        <v>775</v>
      </c>
      <c r="B3709" t="s">
        <v>14</v>
      </c>
      <c r="C3709" t="s">
        <v>12</v>
      </c>
      <c r="D3709">
        <v>257.81</v>
      </c>
      <c r="E3709">
        <v>206.98</v>
      </c>
      <c r="F3709">
        <v>61920</v>
      </c>
      <c r="H3709">
        <f>_xlfn.LET(_xlpm.v, IFERROR(VLOOKUP($A3709, manifest!$A:$E, 3, FALSE), ""), IF(OR(_xlpm.v=0, _xlpm.v=""), "", _xlpm.v))</f>
        <v>62</v>
      </c>
      <c r="I3709" t="str">
        <f>_xlfn.LET(_xlpm.v, IFERROR(VLOOKUP($A3709, manifest!$A:$E, 5, FALSE), ""), IF(OR(_xlpm.v=0, _xlpm.v=""), "", _xlpm.v))</f>
        <v>male</v>
      </c>
    </row>
    <row r="3710" spans="1:9" x14ac:dyDescent="0.6">
      <c r="A3710">
        <v>775</v>
      </c>
      <c r="B3710" t="s">
        <v>14</v>
      </c>
      <c r="C3710" t="s">
        <v>13</v>
      </c>
      <c r="D3710">
        <v>229.67</v>
      </c>
      <c r="E3710">
        <v>192.29</v>
      </c>
      <c r="F3710">
        <v>67300</v>
      </c>
      <c r="H3710">
        <f>_xlfn.LET(_xlpm.v, IFERROR(VLOOKUP($A3710, manifest!$A:$E, 3, FALSE), ""), IF(OR(_xlpm.v=0, _xlpm.v=""), "", _xlpm.v))</f>
        <v>62</v>
      </c>
      <c r="I3710" t="str">
        <f>_xlfn.LET(_xlpm.v, IFERROR(VLOOKUP($A3710, manifest!$A:$E, 5, FALSE), ""), IF(OR(_xlpm.v=0, _xlpm.v=""), "", _xlpm.v))</f>
        <v>male</v>
      </c>
    </row>
    <row r="3711" spans="1:9" x14ac:dyDescent="0.6">
      <c r="A3711" t="s">
        <v>19</v>
      </c>
      <c r="B3711" t="s">
        <v>14</v>
      </c>
      <c r="C3711" t="s">
        <v>8</v>
      </c>
      <c r="D3711">
        <v>176.19</v>
      </c>
      <c r="E3711">
        <v>156.58000000000001</v>
      </c>
      <c r="F3711">
        <v>43183</v>
      </c>
      <c r="G3711" t="s">
        <v>9</v>
      </c>
      <c r="H3711" t="str">
        <f>_xlfn.LET(_xlpm.v, IFERROR(VLOOKUP($A3711, manifest!$A:$E, 3, FALSE), ""), IF(OR(_xlpm.v=0, _xlpm.v=""), "", _xlpm.v))</f>
        <v/>
      </c>
      <c r="I3711" t="str">
        <f>_xlfn.LET(_xlpm.v, IFERROR(VLOOKUP($A3711, manifest!$A:$E, 5, FALSE), ""), IF(OR(_xlpm.v=0, _xlpm.v=""), "", _xlpm.v))</f>
        <v/>
      </c>
    </row>
    <row r="3712" spans="1:9" x14ac:dyDescent="0.6">
      <c r="A3712" t="s">
        <v>19</v>
      </c>
      <c r="B3712" t="s">
        <v>14</v>
      </c>
      <c r="C3712" t="s">
        <v>10</v>
      </c>
      <c r="D3712">
        <v>292.13</v>
      </c>
      <c r="E3712">
        <v>217.34</v>
      </c>
      <c r="F3712">
        <v>38972</v>
      </c>
      <c r="H3712" t="str">
        <f>_xlfn.LET(_xlpm.v, IFERROR(VLOOKUP($A3712, manifest!$A:$E, 3, FALSE), ""), IF(OR(_xlpm.v=0, _xlpm.v=""), "", _xlpm.v))</f>
        <v/>
      </c>
      <c r="I3712" t="str">
        <f>_xlfn.LET(_xlpm.v, IFERROR(VLOOKUP($A3712, manifest!$A:$E, 5, FALSE), ""), IF(OR(_xlpm.v=0, _xlpm.v=""), "", _xlpm.v))</f>
        <v/>
      </c>
    </row>
    <row r="3713" spans="1:9" x14ac:dyDescent="0.6">
      <c r="A3713" t="s">
        <v>19</v>
      </c>
      <c r="B3713" t="s">
        <v>14</v>
      </c>
      <c r="C3713" t="s">
        <v>11</v>
      </c>
      <c r="D3713">
        <v>218.24</v>
      </c>
      <c r="E3713">
        <v>215.32</v>
      </c>
      <c r="F3713">
        <v>49263</v>
      </c>
      <c r="H3713" t="str">
        <f>_xlfn.LET(_xlpm.v, IFERROR(VLOOKUP($A3713, manifest!$A:$E, 3, FALSE), ""), IF(OR(_xlpm.v=0, _xlpm.v=""), "", _xlpm.v))</f>
        <v/>
      </c>
      <c r="I3713" t="str">
        <f>_xlfn.LET(_xlpm.v, IFERROR(VLOOKUP($A3713, manifest!$A:$E, 5, FALSE), ""), IF(OR(_xlpm.v=0, _xlpm.v=""), "", _xlpm.v))</f>
        <v/>
      </c>
    </row>
    <row r="3714" spans="1:9" x14ac:dyDescent="0.6">
      <c r="A3714" t="s">
        <v>19</v>
      </c>
      <c r="B3714" t="s">
        <v>14</v>
      </c>
      <c r="C3714" t="s">
        <v>12</v>
      </c>
      <c r="D3714">
        <v>194.83</v>
      </c>
      <c r="E3714">
        <v>196.03</v>
      </c>
      <c r="F3714">
        <v>64036</v>
      </c>
      <c r="H3714" t="str">
        <f>_xlfn.LET(_xlpm.v, IFERROR(VLOOKUP($A3714, manifest!$A:$E, 3, FALSE), ""), IF(OR(_xlpm.v=0, _xlpm.v=""), "", _xlpm.v))</f>
        <v/>
      </c>
      <c r="I3714" t="str">
        <f>_xlfn.LET(_xlpm.v, IFERROR(VLOOKUP($A3714, manifest!$A:$E, 5, FALSE), ""), IF(OR(_xlpm.v=0, _xlpm.v=""), "", _xlpm.v))</f>
        <v/>
      </c>
    </row>
    <row r="3715" spans="1:9" x14ac:dyDescent="0.6">
      <c r="A3715" t="s">
        <v>19</v>
      </c>
      <c r="B3715" t="s">
        <v>14</v>
      </c>
      <c r="C3715" t="s">
        <v>13</v>
      </c>
      <c r="D3715">
        <v>241</v>
      </c>
      <c r="E3715">
        <v>206.69</v>
      </c>
      <c r="F3715">
        <v>61631</v>
      </c>
      <c r="H3715" t="str">
        <f>_xlfn.LET(_xlpm.v, IFERROR(VLOOKUP($A3715, manifest!$A:$E, 3, FALSE), ""), IF(OR(_xlpm.v=0, _xlpm.v=""), "", _xlpm.v))</f>
        <v/>
      </c>
      <c r="I3715" t="str">
        <f>_xlfn.LET(_xlpm.v, IFERROR(VLOOKUP($A3715, manifest!$A:$E, 5, FALSE), ""), IF(OR(_xlpm.v=0, _xlpm.v=""), "", _xlpm.v))</f>
        <v/>
      </c>
    </row>
    <row r="3716" spans="1:9" x14ac:dyDescent="0.6">
      <c r="A3716">
        <v>783</v>
      </c>
      <c r="B3716" t="s">
        <v>14</v>
      </c>
      <c r="C3716" t="s">
        <v>8</v>
      </c>
      <c r="D3716">
        <v>218.23</v>
      </c>
      <c r="E3716">
        <v>153.30000000000001</v>
      </c>
      <c r="F3716">
        <v>31238</v>
      </c>
      <c r="G3716" t="s">
        <v>9</v>
      </c>
      <c r="H3716">
        <f>_xlfn.LET(_xlpm.v, IFERROR(VLOOKUP($A3716, manifest!$A:$E, 3, FALSE), ""), IF(OR(_xlpm.v=0, _xlpm.v=""), "", _xlpm.v))</f>
        <v>60</v>
      </c>
      <c r="I3716" t="str">
        <f>_xlfn.LET(_xlpm.v, IFERROR(VLOOKUP($A3716, manifest!$A:$E, 5, FALSE), ""), IF(OR(_xlpm.v=0, _xlpm.v=""), "", _xlpm.v))</f>
        <v>male</v>
      </c>
    </row>
    <row r="3717" spans="1:9" x14ac:dyDescent="0.6">
      <c r="A3717">
        <v>783</v>
      </c>
      <c r="B3717" t="s">
        <v>14</v>
      </c>
      <c r="C3717" t="s">
        <v>10</v>
      </c>
      <c r="D3717">
        <v>253.63</v>
      </c>
      <c r="E3717">
        <v>212.49</v>
      </c>
      <c r="F3717">
        <v>33214</v>
      </c>
      <c r="H3717">
        <f>_xlfn.LET(_xlpm.v, IFERROR(VLOOKUP($A3717, manifest!$A:$E, 3, FALSE), ""), IF(OR(_xlpm.v=0, _xlpm.v=""), "", _xlpm.v))</f>
        <v>60</v>
      </c>
      <c r="I3717" t="str">
        <f>_xlfn.LET(_xlpm.v, IFERROR(VLOOKUP($A3717, manifest!$A:$E, 5, FALSE), ""), IF(OR(_xlpm.v=0, _xlpm.v=""), "", _xlpm.v))</f>
        <v>male</v>
      </c>
    </row>
    <row r="3718" spans="1:9" x14ac:dyDescent="0.6">
      <c r="A3718">
        <v>783</v>
      </c>
      <c r="B3718" t="s">
        <v>14</v>
      </c>
      <c r="C3718" t="s">
        <v>11</v>
      </c>
      <c r="D3718">
        <v>263.93</v>
      </c>
      <c r="E3718">
        <v>225.73</v>
      </c>
      <c r="F3718">
        <v>38602</v>
      </c>
      <c r="H3718">
        <f>_xlfn.LET(_xlpm.v, IFERROR(VLOOKUP($A3718, manifest!$A:$E, 3, FALSE), ""), IF(OR(_xlpm.v=0, _xlpm.v=""), "", _xlpm.v))</f>
        <v>60</v>
      </c>
      <c r="I3718" t="str">
        <f>_xlfn.LET(_xlpm.v, IFERROR(VLOOKUP($A3718, manifest!$A:$E, 5, FALSE), ""), IF(OR(_xlpm.v=0, _xlpm.v=""), "", _xlpm.v))</f>
        <v>male</v>
      </c>
    </row>
    <row r="3719" spans="1:9" x14ac:dyDescent="0.6">
      <c r="A3719">
        <v>783</v>
      </c>
      <c r="B3719" t="s">
        <v>14</v>
      </c>
      <c r="C3719" t="s">
        <v>12</v>
      </c>
      <c r="D3719">
        <v>241.65</v>
      </c>
      <c r="E3719">
        <v>226.95</v>
      </c>
      <c r="F3719">
        <v>39879</v>
      </c>
      <c r="H3719">
        <f>_xlfn.LET(_xlpm.v, IFERROR(VLOOKUP($A3719, manifest!$A:$E, 3, FALSE), ""), IF(OR(_xlpm.v=0, _xlpm.v=""), "", _xlpm.v))</f>
        <v>60</v>
      </c>
      <c r="I3719" t="str">
        <f>_xlfn.LET(_xlpm.v, IFERROR(VLOOKUP($A3719, manifest!$A:$E, 5, FALSE), ""), IF(OR(_xlpm.v=0, _xlpm.v=""), "", _xlpm.v))</f>
        <v>male</v>
      </c>
    </row>
    <row r="3720" spans="1:9" x14ac:dyDescent="0.6">
      <c r="A3720">
        <v>783</v>
      </c>
      <c r="B3720" t="s">
        <v>14</v>
      </c>
      <c r="C3720" t="s">
        <v>13</v>
      </c>
      <c r="D3720">
        <v>253.35</v>
      </c>
      <c r="E3720">
        <v>212.76</v>
      </c>
      <c r="F3720">
        <v>43259</v>
      </c>
      <c r="H3720">
        <f>_xlfn.LET(_xlpm.v, IFERROR(VLOOKUP($A3720, manifest!$A:$E, 3, FALSE), ""), IF(OR(_xlpm.v=0, _xlpm.v=""), "", _xlpm.v))</f>
        <v>60</v>
      </c>
      <c r="I3720" t="str">
        <f>_xlfn.LET(_xlpm.v, IFERROR(VLOOKUP($A3720, manifest!$A:$E, 5, FALSE), ""), IF(OR(_xlpm.v=0, _xlpm.v=""), "", _xlpm.v))</f>
        <v>male</v>
      </c>
    </row>
    <row r="3721" spans="1:9" x14ac:dyDescent="0.6">
      <c r="A3721">
        <v>776</v>
      </c>
      <c r="B3721" t="s">
        <v>7</v>
      </c>
      <c r="C3721" t="s">
        <v>8</v>
      </c>
      <c r="D3721">
        <v>405.75</v>
      </c>
      <c r="E3721">
        <v>176.44</v>
      </c>
      <c r="F3721">
        <v>3147</v>
      </c>
      <c r="G3721" t="s">
        <v>9</v>
      </c>
      <c r="H3721">
        <f>_xlfn.LET(_xlpm.v, IFERROR(VLOOKUP($A3721, manifest!$A:$E, 3, FALSE), ""), IF(OR(_xlpm.v=0, _xlpm.v=""), "", _xlpm.v))</f>
        <v>60</v>
      </c>
      <c r="I3721" t="str">
        <f>_xlfn.LET(_xlpm.v, IFERROR(VLOOKUP($A3721, manifest!$A:$E, 5, FALSE), ""), IF(OR(_xlpm.v=0, _xlpm.v=""), "", _xlpm.v))</f>
        <v>female</v>
      </c>
    </row>
    <row r="3722" spans="1:9" x14ac:dyDescent="0.6">
      <c r="A3722">
        <v>776</v>
      </c>
      <c r="B3722" t="s">
        <v>7</v>
      </c>
      <c r="C3722" t="s">
        <v>10</v>
      </c>
      <c r="D3722">
        <v>311.93</v>
      </c>
      <c r="E3722">
        <v>160.80000000000001</v>
      </c>
      <c r="F3722">
        <v>27045</v>
      </c>
      <c r="H3722">
        <f>_xlfn.LET(_xlpm.v, IFERROR(VLOOKUP($A3722, manifest!$A:$E, 3, FALSE), ""), IF(OR(_xlpm.v=0, _xlpm.v=""), "", _xlpm.v))</f>
        <v>60</v>
      </c>
      <c r="I3722" t="str">
        <f>_xlfn.LET(_xlpm.v, IFERROR(VLOOKUP($A3722, manifest!$A:$E, 5, FALSE), ""), IF(OR(_xlpm.v=0, _xlpm.v=""), "", _xlpm.v))</f>
        <v>female</v>
      </c>
    </row>
    <row r="3723" spans="1:9" x14ac:dyDescent="0.6">
      <c r="A3723">
        <v>776</v>
      </c>
      <c r="B3723" t="s">
        <v>7</v>
      </c>
      <c r="C3723" t="s">
        <v>11</v>
      </c>
      <c r="D3723">
        <v>310.18</v>
      </c>
      <c r="E3723">
        <v>143.12</v>
      </c>
      <c r="F3723">
        <v>30842</v>
      </c>
      <c r="H3723">
        <f>_xlfn.LET(_xlpm.v, IFERROR(VLOOKUP($A3723, manifest!$A:$E, 3, FALSE), ""), IF(OR(_xlpm.v=0, _xlpm.v=""), "", _xlpm.v))</f>
        <v>60</v>
      </c>
      <c r="I3723" t="str">
        <f>_xlfn.LET(_xlpm.v, IFERROR(VLOOKUP($A3723, manifest!$A:$E, 5, FALSE), ""), IF(OR(_xlpm.v=0, _xlpm.v=""), "", _xlpm.v))</f>
        <v>female</v>
      </c>
    </row>
    <row r="3724" spans="1:9" x14ac:dyDescent="0.6">
      <c r="A3724">
        <v>776</v>
      </c>
      <c r="B3724" t="s">
        <v>7</v>
      </c>
      <c r="C3724" t="s">
        <v>12</v>
      </c>
      <c r="D3724">
        <v>285.05</v>
      </c>
      <c r="E3724">
        <v>130.79</v>
      </c>
      <c r="F3724">
        <v>43898</v>
      </c>
      <c r="H3724">
        <f>_xlfn.LET(_xlpm.v, IFERROR(VLOOKUP($A3724, manifest!$A:$E, 3, FALSE), ""), IF(OR(_xlpm.v=0, _xlpm.v=""), "", _xlpm.v))</f>
        <v>60</v>
      </c>
      <c r="I3724" t="str">
        <f>_xlfn.LET(_xlpm.v, IFERROR(VLOOKUP($A3724, manifest!$A:$E, 5, FALSE), ""), IF(OR(_xlpm.v=0, _xlpm.v=""), "", _xlpm.v))</f>
        <v>female</v>
      </c>
    </row>
    <row r="3725" spans="1:9" x14ac:dyDescent="0.6">
      <c r="A3725">
        <v>776</v>
      </c>
      <c r="B3725" t="s">
        <v>7</v>
      </c>
      <c r="C3725" t="s">
        <v>13</v>
      </c>
      <c r="D3725">
        <v>307.12</v>
      </c>
      <c r="E3725">
        <v>141.22999999999999</v>
      </c>
      <c r="F3725">
        <v>40578</v>
      </c>
      <c r="H3725">
        <f>_xlfn.LET(_xlpm.v, IFERROR(VLOOKUP($A3725, manifest!$A:$E, 3, FALSE), ""), IF(OR(_xlpm.v=0, _xlpm.v=""), "", _xlpm.v))</f>
        <v>60</v>
      </c>
      <c r="I3725" t="str">
        <f>_xlfn.LET(_xlpm.v, IFERROR(VLOOKUP($A3725, manifest!$A:$E, 5, FALSE), ""), IF(OR(_xlpm.v=0, _xlpm.v=""), "", _xlpm.v))</f>
        <v>female</v>
      </c>
    </row>
    <row r="3726" spans="1:9" x14ac:dyDescent="0.6">
      <c r="A3726" t="s">
        <v>20</v>
      </c>
      <c r="B3726" t="s">
        <v>14</v>
      </c>
      <c r="C3726" t="s">
        <v>8</v>
      </c>
      <c r="D3726">
        <v>192.36</v>
      </c>
      <c r="E3726">
        <v>138.5</v>
      </c>
      <c r="F3726">
        <v>50078</v>
      </c>
      <c r="G3726" t="s">
        <v>9</v>
      </c>
      <c r="H3726" t="str">
        <f>_xlfn.LET(_xlpm.v, IFERROR(VLOOKUP($A3726, manifest!$A:$E, 3, FALSE), ""), IF(OR(_xlpm.v=0, _xlpm.v=""), "", _xlpm.v))</f>
        <v/>
      </c>
      <c r="I3726" t="str">
        <f>_xlfn.LET(_xlpm.v, IFERROR(VLOOKUP($A3726, manifest!$A:$E, 5, FALSE), ""), IF(OR(_xlpm.v=0, _xlpm.v=""), "", _xlpm.v))</f>
        <v/>
      </c>
    </row>
    <row r="3727" spans="1:9" x14ac:dyDescent="0.6">
      <c r="A3727" t="s">
        <v>20</v>
      </c>
      <c r="B3727" t="s">
        <v>14</v>
      </c>
      <c r="C3727" t="s">
        <v>10</v>
      </c>
      <c r="D3727">
        <v>202.41</v>
      </c>
      <c r="E3727">
        <v>159.19</v>
      </c>
      <c r="F3727">
        <v>61566</v>
      </c>
      <c r="H3727" t="str">
        <f>_xlfn.LET(_xlpm.v, IFERROR(VLOOKUP($A3727, manifest!$A:$E, 3, FALSE), ""), IF(OR(_xlpm.v=0, _xlpm.v=""), "", _xlpm.v))</f>
        <v/>
      </c>
      <c r="I3727" t="str">
        <f>_xlfn.LET(_xlpm.v, IFERROR(VLOOKUP($A3727, manifest!$A:$E, 5, FALSE), ""), IF(OR(_xlpm.v=0, _xlpm.v=""), "", _xlpm.v))</f>
        <v/>
      </c>
    </row>
    <row r="3728" spans="1:9" x14ac:dyDescent="0.6">
      <c r="A3728" t="s">
        <v>20</v>
      </c>
      <c r="B3728" t="s">
        <v>14</v>
      </c>
      <c r="C3728" t="s">
        <v>11</v>
      </c>
      <c r="D3728">
        <v>191.78</v>
      </c>
      <c r="E3728">
        <v>145.87</v>
      </c>
      <c r="F3728">
        <v>66443</v>
      </c>
      <c r="H3728" t="str">
        <f>_xlfn.LET(_xlpm.v, IFERROR(VLOOKUP($A3728, manifest!$A:$E, 3, FALSE), ""), IF(OR(_xlpm.v=0, _xlpm.v=""), "", _xlpm.v))</f>
        <v/>
      </c>
      <c r="I3728" t="str">
        <f>_xlfn.LET(_xlpm.v, IFERROR(VLOOKUP($A3728, manifest!$A:$E, 5, FALSE), ""), IF(OR(_xlpm.v=0, _xlpm.v=""), "", _xlpm.v))</f>
        <v/>
      </c>
    </row>
    <row r="3729" spans="1:9" x14ac:dyDescent="0.6">
      <c r="A3729" t="s">
        <v>20</v>
      </c>
      <c r="B3729" t="s">
        <v>14</v>
      </c>
      <c r="C3729" t="s">
        <v>12</v>
      </c>
      <c r="D3729">
        <v>184.67</v>
      </c>
      <c r="E3729">
        <v>135.99</v>
      </c>
      <c r="F3729">
        <v>77046</v>
      </c>
      <c r="H3729" t="str">
        <f>_xlfn.LET(_xlpm.v, IFERROR(VLOOKUP($A3729, manifest!$A:$E, 3, FALSE), ""), IF(OR(_xlpm.v=0, _xlpm.v=""), "", _xlpm.v))</f>
        <v/>
      </c>
      <c r="I3729" t="str">
        <f>_xlfn.LET(_xlpm.v, IFERROR(VLOOKUP($A3729, manifest!$A:$E, 5, FALSE), ""), IF(OR(_xlpm.v=0, _xlpm.v=""), "", _xlpm.v))</f>
        <v/>
      </c>
    </row>
    <row r="3730" spans="1:9" x14ac:dyDescent="0.6">
      <c r="A3730" t="s">
        <v>20</v>
      </c>
      <c r="B3730" t="s">
        <v>14</v>
      </c>
      <c r="C3730" t="s">
        <v>13</v>
      </c>
      <c r="D3730">
        <v>175.69</v>
      </c>
      <c r="E3730">
        <v>131.78</v>
      </c>
      <c r="F3730">
        <v>82085</v>
      </c>
      <c r="H3730" t="str">
        <f>_xlfn.LET(_xlpm.v, IFERROR(VLOOKUP($A3730, manifest!$A:$E, 3, FALSE), ""), IF(OR(_xlpm.v=0, _xlpm.v=""), "", _xlpm.v))</f>
        <v/>
      </c>
      <c r="I3730" t="str">
        <f>_xlfn.LET(_xlpm.v, IFERROR(VLOOKUP($A3730, manifest!$A:$E, 5, FALSE), ""), IF(OR(_xlpm.v=0, _xlpm.v=""), "", _xlpm.v))</f>
        <v/>
      </c>
    </row>
    <row r="3731" spans="1:9" x14ac:dyDescent="0.6">
      <c r="A3731">
        <v>778</v>
      </c>
      <c r="B3731" t="s">
        <v>14</v>
      </c>
      <c r="C3731" t="s">
        <v>8</v>
      </c>
      <c r="D3731">
        <v>232.88</v>
      </c>
      <c r="E3731">
        <v>221.17</v>
      </c>
      <c r="F3731">
        <v>40485</v>
      </c>
      <c r="G3731" t="s">
        <v>9</v>
      </c>
      <c r="H3731">
        <f>_xlfn.LET(_xlpm.v, IFERROR(VLOOKUP($A3731, manifest!$A:$E, 3, FALSE), ""), IF(OR(_xlpm.v=0, _xlpm.v=""), "", _xlpm.v))</f>
        <v>62</v>
      </c>
      <c r="I3731" t="str">
        <f>_xlfn.LET(_xlpm.v, IFERROR(VLOOKUP($A3731, manifest!$A:$E, 5, FALSE), ""), IF(OR(_xlpm.v=0, _xlpm.v=""), "", _xlpm.v))</f>
        <v>male</v>
      </c>
    </row>
    <row r="3732" spans="1:9" x14ac:dyDescent="0.6">
      <c r="A3732">
        <v>778</v>
      </c>
      <c r="B3732" t="s">
        <v>14</v>
      </c>
      <c r="C3732" t="s">
        <v>10</v>
      </c>
      <c r="D3732">
        <v>278.18</v>
      </c>
      <c r="E3732">
        <v>254</v>
      </c>
      <c r="F3732">
        <v>43231</v>
      </c>
      <c r="H3732">
        <f>_xlfn.LET(_xlpm.v, IFERROR(VLOOKUP($A3732, manifest!$A:$E, 3, FALSE), ""), IF(OR(_xlpm.v=0, _xlpm.v=""), "", _xlpm.v))</f>
        <v>62</v>
      </c>
      <c r="I3732" t="str">
        <f>_xlfn.LET(_xlpm.v, IFERROR(VLOOKUP($A3732, manifest!$A:$E, 5, FALSE), ""), IF(OR(_xlpm.v=0, _xlpm.v=""), "", _xlpm.v))</f>
        <v>male</v>
      </c>
    </row>
    <row r="3733" spans="1:9" x14ac:dyDescent="0.6">
      <c r="A3733">
        <v>778</v>
      </c>
      <c r="B3733" t="s">
        <v>14</v>
      </c>
      <c r="C3733" t="s">
        <v>11</v>
      </c>
      <c r="D3733">
        <v>309.35000000000002</v>
      </c>
      <c r="E3733">
        <v>295.02</v>
      </c>
      <c r="F3733">
        <v>51624</v>
      </c>
      <c r="H3733">
        <f>_xlfn.LET(_xlpm.v, IFERROR(VLOOKUP($A3733, manifest!$A:$E, 3, FALSE), ""), IF(OR(_xlpm.v=0, _xlpm.v=""), "", _xlpm.v))</f>
        <v>62</v>
      </c>
      <c r="I3733" t="str">
        <f>_xlfn.LET(_xlpm.v, IFERROR(VLOOKUP($A3733, manifest!$A:$E, 5, FALSE), ""), IF(OR(_xlpm.v=0, _xlpm.v=""), "", _xlpm.v))</f>
        <v>male</v>
      </c>
    </row>
    <row r="3734" spans="1:9" x14ac:dyDescent="0.6">
      <c r="A3734">
        <v>778</v>
      </c>
      <c r="B3734" t="s">
        <v>14</v>
      </c>
      <c r="C3734" t="s">
        <v>12</v>
      </c>
      <c r="D3734">
        <v>290.24</v>
      </c>
      <c r="E3734">
        <v>252.55</v>
      </c>
      <c r="F3734">
        <v>57527</v>
      </c>
      <c r="H3734">
        <f>_xlfn.LET(_xlpm.v, IFERROR(VLOOKUP($A3734, manifest!$A:$E, 3, FALSE), ""), IF(OR(_xlpm.v=0, _xlpm.v=""), "", _xlpm.v))</f>
        <v>62</v>
      </c>
      <c r="I3734" t="str">
        <f>_xlfn.LET(_xlpm.v, IFERROR(VLOOKUP($A3734, manifest!$A:$E, 5, FALSE), ""), IF(OR(_xlpm.v=0, _xlpm.v=""), "", _xlpm.v))</f>
        <v>male</v>
      </c>
    </row>
    <row r="3735" spans="1:9" x14ac:dyDescent="0.6">
      <c r="A3735">
        <v>778</v>
      </c>
      <c r="B3735" t="s">
        <v>14</v>
      </c>
      <c r="C3735" t="s">
        <v>13</v>
      </c>
      <c r="D3735">
        <v>309.77</v>
      </c>
      <c r="E3735">
        <v>257.20999999999998</v>
      </c>
      <c r="F3735">
        <v>53117</v>
      </c>
      <c r="H3735">
        <f>_xlfn.LET(_xlpm.v, IFERROR(VLOOKUP($A3735, manifest!$A:$E, 3, FALSE), ""), IF(OR(_xlpm.v=0, _xlpm.v=""), "", _xlpm.v))</f>
        <v>62</v>
      </c>
      <c r="I3735" t="str">
        <f>_xlfn.LET(_xlpm.v, IFERROR(VLOOKUP($A3735, manifest!$A:$E, 5, FALSE), ""), IF(OR(_xlpm.v=0, _xlpm.v=""), "", _xlpm.v))</f>
        <v>male</v>
      </c>
    </row>
    <row r="3736" spans="1:9" x14ac:dyDescent="0.6">
      <c r="A3736">
        <v>785</v>
      </c>
      <c r="B3736" t="s">
        <v>7</v>
      </c>
      <c r="C3736" t="s">
        <v>8</v>
      </c>
      <c r="D3736">
        <v>230.32</v>
      </c>
      <c r="E3736">
        <v>124.65</v>
      </c>
      <c r="F3736">
        <v>17684</v>
      </c>
      <c r="G3736" t="s">
        <v>9</v>
      </c>
      <c r="H3736">
        <f>_xlfn.LET(_xlpm.v, IFERROR(VLOOKUP($A3736, manifest!$A:$E, 3, FALSE), ""), IF(OR(_xlpm.v=0, _xlpm.v=""), "", _xlpm.v))</f>
        <v>50</v>
      </c>
      <c r="I3736" t="str">
        <f>_xlfn.LET(_xlpm.v, IFERROR(VLOOKUP($A3736, manifest!$A:$E, 5, FALSE), ""), IF(OR(_xlpm.v=0, _xlpm.v=""), "", _xlpm.v))</f>
        <v>female</v>
      </c>
    </row>
    <row r="3737" spans="1:9" x14ac:dyDescent="0.6">
      <c r="A3737">
        <v>785</v>
      </c>
      <c r="B3737" t="s">
        <v>7</v>
      </c>
      <c r="C3737" t="s">
        <v>10</v>
      </c>
      <c r="D3737">
        <v>265.38</v>
      </c>
      <c r="E3737">
        <v>206.49</v>
      </c>
      <c r="F3737">
        <v>19438</v>
      </c>
      <c r="H3737">
        <f>_xlfn.LET(_xlpm.v, IFERROR(VLOOKUP($A3737, manifest!$A:$E, 3, FALSE), ""), IF(OR(_xlpm.v=0, _xlpm.v=""), "", _xlpm.v))</f>
        <v>50</v>
      </c>
      <c r="I3737" t="str">
        <f>_xlfn.LET(_xlpm.v, IFERROR(VLOOKUP($A3737, manifest!$A:$E, 5, FALSE), ""), IF(OR(_xlpm.v=0, _xlpm.v=""), "", _xlpm.v))</f>
        <v>female</v>
      </c>
    </row>
    <row r="3738" spans="1:9" x14ac:dyDescent="0.6">
      <c r="A3738">
        <v>785</v>
      </c>
      <c r="B3738" t="s">
        <v>7</v>
      </c>
      <c r="C3738" t="s">
        <v>11</v>
      </c>
      <c r="D3738">
        <v>236.12</v>
      </c>
      <c r="E3738">
        <v>183.91</v>
      </c>
      <c r="F3738">
        <v>26071</v>
      </c>
      <c r="H3738">
        <f>_xlfn.LET(_xlpm.v, IFERROR(VLOOKUP($A3738, manifest!$A:$E, 3, FALSE), ""), IF(OR(_xlpm.v=0, _xlpm.v=""), "", _xlpm.v))</f>
        <v>50</v>
      </c>
      <c r="I3738" t="str">
        <f>_xlfn.LET(_xlpm.v, IFERROR(VLOOKUP($A3738, manifest!$A:$E, 5, FALSE), ""), IF(OR(_xlpm.v=0, _xlpm.v=""), "", _xlpm.v))</f>
        <v>female</v>
      </c>
    </row>
    <row r="3739" spans="1:9" x14ac:dyDescent="0.6">
      <c r="A3739">
        <v>785</v>
      </c>
      <c r="B3739" t="s">
        <v>7</v>
      </c>
      <c r="C3739" t="s">
        <v>12</v>
      </c>
      <c r="D3739">
        <v>228</v>
      </c>
      <c r="E3739">
        <v>171.74</v>
      </c>
      <c r="F3739">
        <v>31769</v>
      </c>
      <c r="H3739">
        <f>_xlfn.LET(_xlpm.v, IFERROR(VLOOKUP($A3739, manifest!$A:$E, 3, FALSE), ""), IF(OR(_xlpm.v=0, _xlpm.v=""), "", _xlpm.v))</f>
        <v>50</v>
      </c>
      <c r="I3739" t="str">
        <f>_xlfn.LET(_xlpm.v, IFERROR(VLOOKUP($A3739, manifest!$A:$E, 5, FALSE), ""), IF(OR(_xlpm.v=0, _xlpm.v=""), "", _xlpm.v))</f>
        <v>female</v>
      </c>
    </row>
    <row r="3740" spans="1:9" x14ac:dyDescent="0.6">
      <c r="A3740">
        <v>785</v>
      </c>
      <c r="B3740" t="s">
        <v>7</v>
      </c>
      <c r="C3740" t="s">
        <v>13</v>
      </c>
      <c r="D3740">
        <v>300.83</v>
      </c>
      <c r="E3740">
        <v>215.51</v>
      </c>
      <c r="F3740">
        <v>31277</v>
      </c>
      <c r="H3740">
        <f>_xlfn.LET(_xlpm.v, IFERROR(VLOOKUP($A3740, manifest!$A:$E, 3, FALSE), ""), IF(OR(_xlpm.v=0, _xlpm.v=""), "", _xlpm.v))</f>
        <v>50</v>
      </c>
      <c r="I3740" t="str">
        <f>_xlfn.LET(_xlpm.v, IFERROR(VLOOKUP($A3740, manifest!$A:$E, 5, FALSE), ""), IF(OR(_xlpm.v=0, _xlpm.v=""), "", _xlpm.v))</f>
        <v>female</v>
      </c>
    </row>
    <row r="3741" spans="1:9" x14ac:dyDescent="0.6">
      <c r="A3741">
        <v>784</v>
      </c>
      <c r="B3741" t="s">
        <v>14</v>
      </c>
      <c r="C3741" t="s">
        <v>8</v>
      </c>
      <c r="D3741">
        <v>232.54</v>
      </c>
      <c r="E3741">
        <v>208.16</v>
      </c>
      <c r="F3741">
        <v>28618</v>
      </c>
      <c r="G3741" t="s">
        <v>9</v>
      </c>
      <c r="H3741">
        <f>_xlfn.LET(_xlpm.v, IFERROR(VLOOKUP($A3741, manifest!$A:$E, 3, FALSE), ""), IF(OR(_xlpm.v=0, _xlpm.v=""), "", _xlpm.v))</f>
        <v>50</v>
      </c>
      <c r="I3741" t="str">
        <f>_xlfn.LET(_xlpm.v, IFERROR(VLOOKUP($A3741, manifest!$A:$E, 5, FALSE), ""), IF(OR(_xlpm.v=0, _xlpm.v=""), "", _xlpm.v))</f>
        <v>female</v>
      </c>
    </row>
    <row r="3742" spans="1:9" x14ac:dyDescent="0.6">
      <c r="A3742">
        <v>784</v>
      </c>
      <c r="B3742" t="s">
        <v>14</v>
      </c>
      <c r="C3742" t="s">
        <v>10</v>
      </c>
      <c r="D3742">
        <v>256.44</v>
      </c>
      <c r="E3742">
        <v>252.47</v>
      </c>
      <c r="F3742">
        <v>30474</v>
      </c>
      <c r="H3742">
        <f>_xlfn.LET(_xlpm.v, IFERROR(VLOOKUP($A3742, manifest!$A:$E, 3, FALSE), ""), IF(OR(_xlpm.v=0, _xlpm.v=""), "", _xlpm.v))</f>
        <v>50</v>
      </c>
      <c r="I3742" t="str">
        <f>_xlfn.LET(_xlpm.v, IFERROR(VLOOKUP($A3742, manifest!$A:$E, 5, FALSE), ""), IF(OR(_xlpm.v=0, _xlpm.v=""), "", _xlpm.v))</f>
        <v>female</v>
      </c>
    </row>
    <row r="3743" spans="1:9" x14ac:dyDescent="0.6">
      <c r="A3743">
        <v>784</v>
      </c>
      <c r="B3743" t="s">
        <v>14</v>
      </c>
      <c r="C3743" t="s">
        <v>11</v>
      </c>
      <c r="D3743">
        <v>251.56</v>
      </c>
      <c r="E3743">
        <v>240.9</v>
      </c>
      <c r="F3743">
        <v>36394</v>
      </c>
      <c r="H3743">
        <f>_xlfn.LET(_xlpm.v, IFERROR(VLOOKUP($A3743, manifest!$A:$E, 3, FALSE), ""), IF(OR(_xlpm.v=0, _xlpm.v=""), "", _xlpm.v))</f>
        <v>50</v>
      </c>
      <c r="I3743" t="str">
        <f>_xlfn.LET(_xlpm.v, IFERROR(VLOOKUP($A3743, manifest!$A:$E, 5, FALSE), ""), IF(OR(_xlpm.v=0, _xlpm.v=""), "", _xlpm.v))</f>
        <v>female</v>
      </c>
    </row>
    <row r="3744" spans="1:9" x14ac:dyDescent="0.6">
      <c r="A3744">
        <v>784</v>
      </c>
      <c r="B3744" t="s">
        <v>14</v>
      </c>
      <c r="C3744" t="s">
        <v>12</v>
      </c>
      <c r="D3744">
        <v>225.43</v>
      </c>
      <c r="E3744">
        <v>218.32</v>
      </c>
      <c r="F3744">
        <v>50144</v>
      </c>
      <c r="H3744">
        <f>_xlfn.LET(_xlpm.v, IFERROR(VLOOKUP($A3744, manifest!$A:$E, 3, FALSE), ""), IF(OR(_xlpm.v=0, _xlpm.v=""), "", _xlpm.v))</f>
        <v>50</v>
      </c>
      <c r="I3744" t="str">
        <f>_xlfn.LET(_xlpm.v, IFERROR(VLOOKUP($A3744, manifest!$A:$E, 5, FALSE), ""), IF(OR(_xlpm.v=0, _xlpm.v=""), "", _xlpm.v))</f>
        <v>female</v>
      </c>
    </row>
    <row r="3745" spans="1:9" x14ac:dyDescent="0.6">
      <c r="A3745">
        <v>784</v>
      </c>
      <c r="B3745" t="s">
        <v>14</v>
      </c>
      <c r="C3745" t="s">
        <v>13</v>
      </c>
      <c r="D3745">
        <v>218.92</v>
      </c>
      <c r="E3745">
        <v>181.82</v>
      </c>
      <c r="F3745">
        <v>53428</v>
      </c>
      <c r="H3745">
        <f>_xlfn.LET(_xlpm.v, IFERROR(VLOOKUP($A3745, manifest!$A:$E, 3, FALSE), ""), IF(OR(_xlpm.v=0, _xlpm.v=""), "", _xlpm.v))</f>
        <v>50</v>
      </c>
      <c r="I3745" t="str">
        <f>_xlfn.LET(_xlpm.v, IFERROR(VLOOKUP($A3745, manifest!$A:$E, 5, FALSE), ""), IF(OR(_xlpm.v=0, _xlpm.v=""), "", _xlpm.v))</f>
        <v>female</v>
      </c>
    </row>
    <row r="3746" spans="1:9" x14ac:dyDescent="0.6">
      <c r="A3746" t="s">
        <v>21</v>
      </c>
      <c r="B3746" t="s">
        <v>14</v>
      </c>
      <c r="C3746" t="s">
        <v>8</v>
      </c>
      <c r="D3746">
        <v>203.68</v>
      </c>
      <c r="E3746">
        <v>132.02000000000001</v>
      </c>
      <c r="F3746">
        <v>45148</v>
      </c>
      <c r="G3746" t="s">
        <v>9</v>
      </c>
      <c r="H3746" t="str">
        <f>_xlfn.LET(_xlpm.v, IFERROR(VLOOKUP($A3746, manifest!$A:$E, 3, FALSE), ""), IF(OR(_xlpm.v=0, _xlpm.v=""), "", _xlpm.v))</f>
        <v/>
      </c>
      <c r="I3746" t="str">
        <f>_xlfn.LET(_xlpm.v, IFERROR(VLOOKUP($A3746, manifest!$A:$E, 5, FALSE), ""), IF(OR(_xlpm.v=0, _xlpm.v=""), "", _xlpm.v))</f>
        <v/>
      </c>
    </row>
    <row r="3747" spans="1:9" x14ac:dyDescent="0.6">
      <c r="A3747" t="s">
        <v>21</v>
      </c>
      <c r="B3747" t="s">
        <v>14</v>
      </c>
      <c r="C3747" t="s">
        <v>10</v>
      </c>
      <c r="D3747">
        <v>187.78</v>
      </c>
      <c r="E3747">
        <v>125.09</v>
      </c>
      <c r="F3747">
        <v>50400</v>
      </c>
      <c r="H3747" t="str">
        <f>_xlfn.LET(_xlpm.v, IFERROR(VLOOKUP($A3747, manifest!$A:$E, 3, FALSE), ""), IF(OR(_xlpm.v=0, _xlpm.v=""), "", _xlpm.v))</f>
        <v/>
      </c>
      <c r="I3747" t="str">
        <f>_xlfn.LET(_xlpm.v, IFERROR(VLOOKUP($A3747, manifest!$A:$E, 5, FALSE), ""), IF(OR(_xlpm.v=0, _xlpm.v=""), "", _xlpm.v))</f>
        <v/>
      </c>
    </row>
    <row r="3748" spans="1:9" x14ac:dyDescent="0.6">
      <c r="A3748" t="s">
        <v>21</v>
      </c>
      <c r="B3748" t="s">
        <v>14</v>
      </c>
      <c r="C3748" t="s">
        <v>11</v>
      </c>
      <c r="D3748">
        <v>171.69</v>
      </c>
      <c r="E3748">
        <v>131.25</v>
      </c>
      <c r="F3748">
        <v>61107</v>
      </c>
      <c r="H3748" t="str">
        <f>_xlfn.LET(_xlpm.v, IFERROR(VLOOKUP($A3748, manifest!$A:$E, 3, FALSE), ""), IF(OR(_xlpm.v=0, _xlpm.v=""), "", _xlpm.v))</f>
        <v/>
      </c>
      <c r="I3748" t="str">
        <f>_xlfn.LET(_xlpm.v, IFERROR(VLOOKUP($A3748, manifest!$A:$E, 5, FALSE), ""), IF(OR(_xlpm.v=0, _xlpm.v=""), "", _xlpm.v))</f>
        <v/>
      </c>
    </row>
    <row r="3749" spans="1:9" x14ac:dyDescent="0.6">
      <c r="A3749" t="s">
        <v>21</v>
      </c>
      <c r="B3749" t="s">
        <v>14</v>
      </c>
      <c r="C3749" t="s">
        <v>12</v>
      </c>
      <c r="D3749">
        <v>212.79</v>
      </c>
      <c r="E3749">
        <v>170.59</v>
      </c>
      <c r="F3749">
        <v>51991</v>
      </c>
      <c r="H3749" t="str">
        <f>_xlfn.LET(_xlpm.v, IFERROR(VLOOKUP($A3749, manifest!$A:$E, 3, FALSE), ""), IF(OR(_xlpm.v=0, _xlpm.v=""), "", _xlpm.v))</f>
        <v/>
      </c>
      <c r="I3749" t="str">
        <f>_xlfn.LET(_xlpm.v, IFERROR(VLOOKUP($A3749, manifest!$A:$E, 5, FALSE), ""), IF(OR(_xlpm.v=0, _xlpm.v=""), "", _xlpm.v))</f>
        <v/>
      </c>
    </row>
    <row r="3750" spans="1:9" x14ac:dyDescent="0.6">
      <c r="A3750" t="s">
        <v>21</v>
      </c>
      <c r="B3750" t="s">
        <v>14</v>
      </c>
      <c r="C3750" t="s">
        <v>13</v>
      </c>
      <c r="D3750">
        <v>207.9</v>
      </c>
      <c r="E3750">
        <v>173.51</v>
      </c>
      <c r="F3750">
        <v>76689</v>
      </c>
      <c r="H3750" t="str">
        <f>_xlfn.LET(_xlpm.v, IFERROR(VLOOKUP($A3750, manifest!$A:$E, 3, FALSE), ""), IF(OR(_xlpm.v=0, _xlpm.v=""), "", _xlpm.v))</f>
        <v/>
      </c>
      <c r="I3750" t="str">
        <f>_xlfn.LET(_xlpm.v, IFERROR(VLOOKUP($A3750, manifest!$A:$E, 5, FALSE), ""), IF(OR(_xlpm.v=0, _xlpm.v=""), "", _xlpm.v))</f>
        <v/>
      </c>
    </row>
    <row r="3751" spans="1:9" x14ac:dyDescent="0.6">
      <c r="A3751" t="s">
        <v>22</v>
      </c>
      <c r="B3751" t="s">
        <v>14</v>
      </c>
      <c r="C3751" t="s">
        <v>8</v>
      </c>
      <c r="D3751">
        <v>203.68</v>
      </c>
      <c r="E3751">
        <v>132.02000000000001</v>
      </c>
      <c r="F3751">
        <v>45148</v>
      </c>
      <c r="G3751" t="s">
        <v>9</v>
      </c>
      <c r="H3751" t="str">
        <f>_xlfn.LET(_xlpm.v, IFERROR(VLOOKUP($A3751, manifest!$A:$E, 3, FALSE), ""), IF(OR(_xlpm.v=0, _xlpm.v=""), "", _xlpm.v))</f>
        <v/>
      </c>
      <c r="I3751" t="str">
        <f>_xlfn.LET(_xlpm.v, IFERROR(VLOOKUP($A3751, manifest!$A:$E, 5, FALSE), ""), IF(OR(_xlpm.v=0, _xlpm.v=""), "", _xlpm.v))</f>
        <v/>
      </c>
    </row>
    <row r="3752" spans="1:9" x14ac:dyDescent="0.6">
      <c r="A3752" t="s">
        <v>22</v>
      </c>
      <c r="B3752" t="s">
        <v>14</v>
      </c>
      <c r="C3752" t="s">
        <v>10</v>
      </c>
      <c r="D3752">
        <v>187.78</v>
      </c>
      <c r="E3752">
        <v>125.09</v>
      </c>
      <c r="F3752">
        <v>50400</v>
      </c>
      <c r="H3752" t="str">
        <f>_xlfn.LET(_xlpm.v, IFERROR(VLOOKUP($A3752, manifest!$A:$E, 3, FALSE), ""), IF(OR(_xlpm.v=0, _xlpm.v=""), "", _xlpm.v))</f>
        <v/>
      </c>
      <c r="I3752" t="str">
        <f>_xlfn.LET(_xlpm.v, IFERROR(VLOOKUP($A3752, manifest!$A:$E, 5, FALSE), ""), IF(OR(_xlpm.v=0, _xlpm.v=""), "", _xlpm.v))</f>
        <v/>
      </c>
    </row>
    <row r="3753" spans="1:9" x14ac:dyDescent="0.6">
      <c r="A3753" t="s">
        <v>22</v>
      </c>
      <c r="B3753" t="s">
        <v>14</v>
      </c>
      <c r="C3753" t="s">
        <v>11</v>
      </c>
      <c r="D3753">
        <v>171.69</v>
      </c>
      <c r="E3753">
        <v>131.25</v>
      </c>
      <c r="F3753">
        <v>61107</v>
      </c>
      <c r="H3753" t="str">
        <f>_xlfn.LET(_xlpm.v, IFERROR(VLOOKUP($A3753, manifest!$A:$E, 3, FALSE), ""), IF(OR(_xlpm.v=0, _xlpm.v=""), "", _xlpm.v))</f>
        <v/>
      </c>
      <c r="I3753" t="str">
        <f>_xlfn.LET(_xlpm.v, IFERROR(VLOOKUP($A3753, manifest!$A:$E, 5, FALSE), ""), IF(OR(_xlpm.v=0, _xlpm.v=""), "", _xlpm.v))</f>
        <v/>
      </c>
    </row>
    <row r="3754" spans="1:9" x14ac:dyDescent="0.6">
      <c r="A3754" t="s">
        <v>22</v>
      </c>
      <c r="B3754" t="s">
        <v>14</v>
      </c>
      <c r="C3754" t="s">
        <v>12</v>
      </c>
      <c r="D3754">
        <v>212.79</v>
      </c>
      <c r="E3754">
        <v>170.59</v>
      </c>
      <c r="F3754">
        <v>51991</v>
      </c>
      <c r="H3754" t="str">
        <f>_xlfn.LET(_xlpm.v, IFERROR(VLOOKUP($A3754, manifest!$A:$E, 3, FALSE), ""), IF(OR(_xlpm.v=0, _xlpm.v=""), "", _xlpm.v))</f>
        <v/>
      </c>
      <c r="I3754" t="str">
        <f>_xlfn.LET(_xlpm.v, IFERROR(VLOOKUP($A3754, manifest!$A:$E, 5, FALSE), ""), IF(OR(_xlpm.v=0, _xlpm.v=""), "", _xlpm.v))</f>
        <v/>
      </c>
    </row>
    <row r="3755" spans="1:9" x14ac:dyDescent="0.6">
      <c r="A3755" t="s">
        <v>22</v>
      </c>
      <c r="B3755" t="s">
        <v>14</v>
      </c>
      <c r="C3755" t="s">
        <v>13</v>
      </c>
      <c r="D3755">
        <v>207.9</v>
      </c>
      <c r="E3755">
        <v>173.51</v>
      </c>
      <c r="F3755">
        <v>76689</v>
      </c>
      <c r="H3755" t="str">
        <f>_xlfn.LET(_xlpm.v, IFERROR(VLOOKUP($A3755, manifest!$A:$E, 3, FALSE), ""), IF(OR(_xlpm.v=0, _xlpm.v=""), "", _xlpm.v))</f>
        <v/>
      </c>
      <c r="I3755" t="str">
        <f>_xlfn.LET(_xlpm.v, IFERROR(VLOOKUP($A3755, manifest!$A:$E, 5, FALSE), ""), IF(OR(_xlpm.v=0, _xlpm.v=""), "", _xlpm.v))</f>
        <v/>
      </c>
    </row>
    <row r="3756" spans="1:9" x14ac:dyDescent="0.6">
      <c r="A3756">
        <v>774</v>
      </c>
      <c r="B3756" t="s">
        <v>7</v>
      </c>
      <c r="C3756" t="s">
        <v>8</v>
      </c>
      <c r="D3756">
        <v>170.76</v>
      </c>
      <c r="E3756">
        <v>94.13</v>
      </c>
      <c r="F3756">
        <v>31447</v>
      </c>
      <c r="G3756" t="s">
        <v>9</v>
      </c>
      <c r="H3756">
        <f>_xlfn.LET(_xlpm.v, IFERROR(VLOOKUP($A3756, manifest!$A:$E, 3, FALSE), ""), IF(OR(_xlpm.v=0, _xlpm.v=""), "", _xlpm.v))</f>
        <v>60</v>
      </c>
      <c r="I3756" t="str">
        <f>_xlfn.LET(_xlpm.v, IFERROR(VLOOKUP($A3756, manifest!$A:$E, 5, FALSE), ""), IF(OR(_xlpm.v=0, _xlpm.v=""), "", _xlpm.v))</f>
        <v>male</v>
      </c>
    </row>
    <row r="3757" spans="1:9" x14ac:dyDescent="0.6">
      <c r="A3757">
        <v>774</v>
      </c>
      <c r="B3757" t="s">
        <v>7</v>
      </c>
      <c r="C3757" t="s">
        <v>10</v>
      </c>
      <c r="D3757">
        <v>175.2</v>
      </c>
      <c r="E3757">
        <v>97.83</v>
      </c>
      <c r="F3757">
        <v>33523</v>
      </c>
      <c r="H3757">
        <f>_xlfn.LET(_xlpm.v, IFERROR(VLOOKUP($A3757, manifest!$A:$E, 3, FALSE), ""), IF(OR(_xlpm.v=0, _xlpm.v=""), "", _xlpm.v))</f>
        <v>60</v>
      </c>
      <c r="I3757" t="str">
        <f>_xlfn.LET(_xlpm.v, IFERROR(VLOOKUP($A3757, manifest!$A:$E, 5, FALSE), ""), IF(OR(_xlpm.v=0, _xlpm.v=""), "", _xlpm.v))</f>
        <v>male</v>
      </c>
    </row>
    <row r="3758" spans="1:9" x14ac:dyDescent="0.6">
      <c r="A3758">
        <v>774</v>
      </c>
      <c r="B3758" t="s">
        <v>7</v>
      </c>
      <c r="C3758" t="s">
        <v>11</v>
      </c>
      <c r="D3758">
        <v>184.86</v>
      </c>
      <c r="E3758">
        <v>123.12</v>
      </c>
      <c r="F3758">
        <v>32737</v>
      </c>
      <c r="H3758">
        <f>_xlfn.LET(_xlpm.v, IFERROR(VLOOKUP($A3758, manifest!$A:$E, 3, FALSE), ""), IF(OR(_xlpm.v=0, _xlpm.v=""), "", _xlpm.v))</f>
        <v>60</v>
      </c>
      <c r="I3758" t="str">
        <f>_xlfn.LET(_xlpm.v, IFERROR(VLOOKUP($A3758, manifest!$A:$E, 5, FALSE), ""), IF(OR(_xlpm.v=0, _xlpm.v=""), "", _xlpm.v))</f>
        <v>male</v>
      </c>
    </row>
    <row r="3759" spans="1:9" x14ac:dyDescent="0.6">
      <c r="A3759">
        <v>774</v>
      </c>
      <c r="B3759" t="s">
        <v>7</v>
      </c>
      <c r="C3759" t="s">
        <v>12</v>
      </c>
      <c r="D3759">
        <v>165.58</v>
      </c>
      <c r="E3759">
        <v>121.61</v>
      </c>
      <c r="F3759">
        <v>33700</v>
      </c>
      <c r="H3759">
        <f>_xlfn.LET(_xlpm.v, IFERROR(VLOOKUP($A3759, manifest!$A:$E, 3, FALSE), ""), IF(OR(_xlpm.v=0, _xlpm.v=""), "", _xlpm.v))</f>
        <v>60</v>
      </c>
      <c r="I3759" t="str">
        <f>_xlfn.LET(_xlpm.v, IFERROR(VLOOKUP($A3759, manifest!$A:$E, 5, FALSE), ""), IF(OR(_xlpm.v=0, _xlpm.v=""), "", _xlpm.v))</f>
        <v>male</v>
      </c>
    </row>
    <row r="3760" spans="1:9" x14ac:dyDescent="0.6">
      <c r="A3760">
        <v>774</v>
      </c>
      <c r="B3760" t="s">
        <v>7</v>
      </c>
      <c r="C3760" t="s">
        <v>13</v>
      </c>
      <c r="D3760">
        <v>168.75</v>
      </c>
      <c r="E3760">
        <v>124.2</v>
      </c>
      <c r="F3760">
        <v>37233</v>
      </c>
      <c r="H3760">
        <f>_xlfn.LET(_xlpm.v, IFERROR(VLOOKUP($A3760, manifest!$A:$E, 3, FALSE), ""), IF(OR(_xlpm.v=0, _xlpm.v=""), "", _xlpm.v))</f>
        <v>60</v>
      </c>
      <c r="I3760" t="str">
        <f>_xlfn.LET(_xlpm.v, IFERROR(VLOOKUP($A3760, manifest!$A:$E, 5, FALSE), ""), IF(OR(_xlpm.v=0, _xlpm.v=""), "", _xlpm.v))</f>
        <v>male</v>
      </c>
    </row>
    <row r="3761" spans="1:9" x14ac:dyDescent="0.6">
      <c r="A3761" t="s">
        <v>23</v>
      </c>
      <c r="B3761" t="s">
        <v>14</v>
      </c>
      <c r="C3761" t="s">
        <v>8</v>
      </c>
      <c r="D3761">
        <v>213.38</v>
      </c>
      <c r="E3761">
        <v>152.04</v>
      </c>
      <c r="F3761">
        <v>36120</v>
      </c>
      <c r="G3761" t="s">
        <v>9</v>
      </c>
      <c r="H3761" t="str">
        <f>_xlfn.LET(_xlpm.v, IFERROR(VLOOKUP($A3761, manifest!$A:$E, 3, FALSE), ""), IF(OR(_xlpm.v=0, _xlpm.v=""), "", _xlpm.v))</f>
        <v/>
      </c>
      <c r="I3761" t="str">
        <f>_xlfn.LET(_xlpm.v, IFERROR(VLOOKUP($A3761, manifest!$A:$E, 5, FALSE), ""), IF(OR(_xlpm.v=0, _xlpm.v=""), "", _xlpm.v))</f>
        <v/>
      </c>
    </row>
    <row r="3762" spans="1:9" x14ac:dyDescent="0.6">
      <c r="A3762" t="s">
        <v>23</v>
      </c>
      <c r="B3762" t="s">
        <v>14</v>
      </c>
      <c r="C3762" t="s">
        <v>10</v>
      </c>
      <c r="D3762">
        <v>200.48</v>
      </c>
      <c r="E3762">
        <v>159.15</v>
      </c>
      <c r="F3762">
        <v>40018</v>
      </c>
      <c r="H3762" t="str">
        <f>_xlfn.LET(_xlpm.v, IFERROR(VLOOKUP($A3762, manifest!$A:$E, 3, FALSE), ""), IF(OR(_xlpm.v=0, _xlpm.v=""), "", _xlpm.v))</f>
        <v/>
      </c>
      <c r="I3762" t="str">
        <f>_xlfn.LET(_xlpm.v, IFERROR(VLOOKUP($A3762, manifest!$A:$E, 5, FALSE), ""), IF(OR(_xlpm.v=0, _xlpm.v=""), "", _xlpm.v))</f>
        <v/>
      </c>
    </row>
    <row r="3763" spans="1:9" x14ac:dyDescent="0.6">
      <c r="A3763" t="s">
        <v>23</v>
      </c>
      <c r="B3763" t="s">
        <v>14</v>
      </c>
      <c r="C3763" t="s">
        <v>11</v>
      </c>
      <c r="D3763">
        <v>218.08</v>
      </c>
      <c r="E3763">
        <v>192.46</v>
      </c>
      <c r="F3763">
        <v>43740</v>
      </c>
      <c r="H3763" t="str">
        <f>_xlfn.LET(_xlpm.v, IFERROR(VLOOKUP($A3763, manifest!$A:$E, 3, FALSE), ""), IF(OR(_xlpm.v=0, _xlpm.v=""), "", _xlpm.v))</f>
        <v/>
      </c>
      <c r="I3763" t="str">
        <f>_xlfn.LET(_xlpm.v, IFERROR(VLOOKUP($A3763, manifest!$A:$E, 5, FALSE), ""), IF(OR(_xlpm.v=0, _xlpm.v=""), "", _xlpm.v))</f>
        <v/>
      </c>
    </row>
    <row r="3764" spans="1:9" x14ac:dyDescent="0.6">
      <c r="A3764" t="s">
        <v>23</v>
      </c>
      <c r="B3764" t="s">
        <v>14</v>
      </c>
      <c r="C3764" t="s">
        <v>12</v>
      </c>
      <c r="D3764">
        <v>227.08</v>
      </c>
      <c r="E3764">
        <v>187.76</v>
      </c>
      <c r="F3764">
        <v>51780</v>
      </c>
      <c r="H3764" t="str">
        <f>_xlfn.LET(_xlpm.v, IFERROR(VLOOKUP($A3764, manifest!$A:$E, 3, FALSE), ""), IF(OR(_xlpm.v=0, _xlpm.v=""), "", _xlpm.v))</f>
        <v/>
      </c>
      <c r="I3764" t="str">
        <f>_xlfn.LET(_xlpm.v, IFERROR(VLOOKUP($A3764, manifest!$A:$E, 5, FALSE), ""), IF(OR(_xlpm.v=0, _xlpm.v=""), "", _xlpm.v))</f>
        <v/>
      </c>
    </row>
    <row r="3765" spans="1:9" x14ac:dyDescent="0.6">
      <c r="A3765" t="s">
        <v>23</v>
      </c>
      <c r="B3765" t="s">
        <v>14</v>
      </c>
      <c r="C3765" t="s">
        <v>13</v>
      </c>
      <c r="D3765">
        <v>225.76</v>
      </c>
      <c r="E3765">
        <v>170.92</v>
      </c>
      <c r="F3765">
        <v>56965</v>
      </c>
      <c r="H3765" t="str">
        <f>_xlfn.LET(_xlpm.v, IFERROR(VLOOKUP($A3765, manifest!$A:$E, 3, FALSE), ""), IF(OR(_xlpm.v=0, _xlpm.v=""), "", _xlpm.v))</f>
        <v/>
      </c>
      <c r="I3765" t="str">
        <f>_xlfn.LET(_xlpm.v, IFERROR(VLOOKUP($A3765, manifest!$A:$E, 5, FALSE), ""), IF(OR(_xlpm.v=0, _xlpm.v=""), "", _xlpm.v))</f>
        <v/>
      </c>
    </row>
    <row r="3766" spans="1:9" x14ac:dyDescent="0.6">
      <c r="A3766" t="s">
        <v>24</v>
      </c>
      <c r="B3766" t="s">
        <v>14</v>
      </c>
      <c r="C3766" t="s">
        <v>8</v>
      </c>
      <c r="D3766">
        <v>147.06</v>
      </c>
      <c r="E3766">
        <v>107.94</v>
      </c>
      <c r="F3766">
        <v>27223</v>
      </c>
      <c r="G3766" t="s">
        <v>15</v>
      </c>
      <c r="H3766" t="str">
        <f>_xlfn.LET(_xlpm.v, IFERROR(VLOOKUP($A3766, manifest!$A:$E, 3, FALSE), ""), IF(OR(_xlpm.v=0, _xlpm.v=""), "", _xlpm.v))</f>
        <v/>
      </c>
      <c r="I3766" t="str">
        <f>_xlfn.LET(_xlpm.v, IFERROR(VLOOKUP($A3766, manifest!$A:$E, 5, FALSE), ""), IF(OR(_xlpm.v=0, _xlpm.v=""), "", _xlpm.v))</f>
        <v/>
      </c>
    </row>
    <row r="3767" spans="1:9" x14ac:dyDescent="0.6">
      <c r="A3767" t="s">
        <v>24</v>
      </c>
      <c r="B3767" t="s">
        <v>14</v>
      </c>
      <c r="C3767" t="s">
        <v>10</v>
      </c>
      <c r="D3767">
        <v>165.75</v>
      </c>
      <c r="E3767">
        <v>137.91999999999999</v>
      </c>
      <c r="F3767">
        <v>28518</v>
      </c>
      <c r="H3767" t="str">
        <f>_xlfn.LET(_xlpm.v, IFERROR(VLOOKUP($A3767, manifest!$A:$E, 3, FALSE), ""), IF(OR(_xlpm.v=0, _xlpm.v=""), "", _xlpm.v))</f>
        <v/>
      </c>
      <c r="I3767" t="str">
        <f>_xlfn.LET(_xlpm.v, IFERROR(VLOOKUP($A3767, manifest!$A:$E, 5, FALSE), ""), IF(OR(_xlpm.v=0, _xlpm.v=""), "", _xlpm.v))</f>
        <v/>
      </c>
    </row>
    <row r="3768" spans="1:9" x14ac:dyDescent="0.6">
      <c r="A3768" t="s">
        <v>24</v>
      </c>
      <c r="B3768" t="s">
        <v>14</v>
      </c>
      <c r="C3768" t="s">
        <v>11</v>
      </c>
      <c r="D3768">
        <v>178.73</v>
      </c>
      <c r="E3768">
        <v>164.25</v>
      </c>
      <c r="F3768">
        <v>31558</v>
      </c>
      <c r="H3768" t="str">
        <f>_xlfn.LET(_xlpm.v, IFERROR(VLOOKUP($A3768, manifest!$A:$E, 3, FALSE), ""), IF(OR(_xlpm.v=0, _xlpm.v=""), "", _xlpm.v))</f>
        <v/>
      </c>
      <c r="I3768" t="str">
        <f>_xlfn.LET(_xlpm.v, IFERROR(VLOOKUP($A3768, manifest!$A:$E, 5, FALSE), ""), IF(OR(_xlpm.v=0, _xlpm.v=""), "", _xlpm.v))</f>
        <v/>
      </c>
    </row>
    <row r="3769" spans="1:9" x14ac:dyDescent="0.6">
      <c r="A3769" t="s">
        <v>24</v>
      </c>
      <c r="B3769" t="s">
        <v>14</v>
      </c>
      <c r="C3769" t="s">
        <v>12</v>
      </c>
      <c r="D3769">
        <v>187.24</v>
      </c>
      <c r="E3769">
        <v>169.82</v>
      </c>
      <c r="F3769">
        <v>38001</v>
      </c>
      <c r="H3769" t="str">
        <f>_xlfn.LET(_xlpm.v, IFERROR(VLOOKUP($A3769, manifest!$A:$E, 3, FALSE), ""), IF(OR(_xlpm.v=0, _xlpm.v=""), "", _xlpm.v))</f>
        <v/>
      </c>
      <c r="I3769" t="str">
        <f>_xlfn.LET(_xlpm.v, IFERROR(VLOOKUP($A3769, manifest!$A:$E, 5, FALSE), ""), IF(OR(_xlpm.v=0, _xlpm.v=""), "", _xlpm.v))</f>
        <v/>
      </c>
    </row>
    <row r="3770" spans="1:9" x14ac:dyDescent="0.6">
      <c r="A3770" t="s">
        <v>24</v>
      </c>
      <c r="B3770" t="s">
        <v>14</v>
      </c>
      <c r="C3770" t="s">
        <v>13</v>
      </c>
      <c r="D3770">
        <v>224.67</v>
      </c>
      <c r="E3770">
        <v>189.73</v>
      </c>
      <c r="F3770">
        <v>37967</v>
      </c>
      <c r="H3770" t="str">
        <f>_xlfn.LET(_xlpm.v, IFERROR(VLOOKUP($A3770, manifest!$A:$E, 3, FALSE), ""), IF(OR(_xlpm.v=0, _xlpm.v=""), "", _xlpm.v))</f>
        <v/>
      </c>
      <c r="I3770" t="str">
        <f>_xlfn.LET(_xlpm.v, IFERROR(VLOOKUP($A3770, manifest!$A:$E, 5, FALSE), ""), IF(OR(_xlpm.v=0, _xlpm.v=""), "", _xlpm.v))</f>
        <v/>
      </c>
    </row>
    <row r="3771" spans="1:9" x14ac:dyDescent="0.6">
      <c r="A3771" t="s">
        <v>25</v>
      </c>
      <c r="B3771" t="s">
        <v>14</v>
      </c>
      <c r="C3771" t="s">
        <v>8</v>
      </c>
      <c r="D3771">
        <v>253.61</v>
      </c>
      <c r="E3771">
        <v>161.22</v>
      </c>
      <c r="F3771">
        <v>24402</v>
      </c>
      <c r="G3771" t="s">
        <v>9</v>
      </c>
      <c r="H3771" t="str">
        <f>_xlfn.LET(_xlpm.v, IFERROR(VLOOKUP($A3771, manifest!$A:$E, 3, FALSE), ""), IF(OR(_xlpm.v=0, _xlpm.v=""), "", _xlpm.v))</f>
        <v/>
      </c>
      <c r="I3771" t="str">
        <f>_xlfn.LET(_xlpm.v, IFERROR(VLOOKUP($A3771, manifest!$A:$E, 5, FALSE), ""), IF(OR(_xlpm.v=0, _xlpm.v=""), "", _xlpm.v))</f>
        <v/>
      </c>
    </row>
    <row r="3772" spans="1:9" x14ac:dyDescent="0.6">
      <c r="A3772" t="s">
        <v>25</v>
      </c>
      <c r="B3772" t="s">
        <v>14</v>
      </c>
      <c r="C3772" t="s">
        <v>10</v>
      </c>
      <c r="D3772">
        <v>245.66</v>
      </c>
      <c r="E3772">
        <v>171.03</v>
      </c>
      <c r="F3772">
        <v>25460</v>
      </c>
      <c r="H3772" t="str">
        <f>_xlfn.LET(_xlpm.v, IFERROR(VLOOKUP($A3772, manifest!$A:$E, 3, FALSE), ""), IF(OR(_xlpm.v=0, _xlpm.v=""), "", _xlpm.v))</f>
        <v/>
      </c>
      <c r="I3772" t="str">
        <f>_xlfn.LET(_xlpm.v, IFERROR(VLOOKUP($A3772, manifest!$A:$E, 5, FALSE), ""), IF(OR(_xlpm.v=0, _xlpm.v=""), "", _xlpm.v))</f>
        <v/>
      </c>
    </row>
    <row r="3773" spans="1:9" x14ac:dyDescent="0.6">
      <c r="A3773" t="s">
        <v>25</v>
      </c>
      <c r="B3773" t="s">
        <v>14</v>
      </c>
      <c r="C3773" t="s">
        <v>11</v>
      </c>
      <c r="D3773">
        <v>231.04</v>
      </c>
      <c r="E3773">
        <v>183.97</v>
      </c>
      <c r="F3773">
        <v>28770</v>
      </c>
      <c r="H3773" t="str">
        <f>_xlfn.LET(_xlpm.v, IFERROR(VLOOKUP($A3773, manifest!$A:$E, 3, FALSE), ""), IF(OR(_xlpm.v=0, _xlpm.v=""), "", _xlpm.v))</f>
        <v/>
      </c>
      <c r="I3773" t="str">
        <f>_xlfn.LET(_xlpm.v, IFERROR(VLOOKUP($A3773, manifest!$A:$E, 5, FALSE), ""), IF(OR(_xlpm.v=0, _xlpm.v=""), "", _xlpm.v))</f>
        <v/>
      </c>
    </row>
    <row r="3774" spans="1:9" x14ac:dyDescent="0.6">
      <c r="A3774" t="s">
        <v>25</v>
      </c>
      <c r="B3774" t="s">
        <v>14</v>
      </c>
      <c r="C3774" t="s">
        <v>12</v>
      </c>
      <c r="D3774">
        <v>227.13</v>
      </c>
      <c r="E3774">
        <v>185.14</v>
      </c>
      <c r="F3774">
        <v>38628</v>
      </c>
      <c r="H3774" t="str">
        <f>_xlfn.LET(_xlpm.v, IFERROR(VLOOKUP($A3774, manifest!$A:$E, 3, FALSE), ""), IF(OR(_xlpm.v=0, _xlpm.v=""), "", _xlpm.v))</f>
        <v/>
      </c>
      <c r="I3774" t="str">
        <f>_xlfn.LET(_xlpm.v, IFERROR(VLOOKUP($A3774, manifest!$A:$E, 5, FALSE), ""), IF(OR(_xlpm.v=0, _xlpm.v=""), "", _xlpm.v))</f>
        <v/>
      </c>
    </row>
    <row r="3775" spans="1:9" x14ac:dyDescent="0.6">
      <c r="A3775" t="s">
        <v>25</v>
      </c>
      <c r="B3775" t="s">
        <v>14</v>
      </c>
      <c r="C3775" t="s">
        <v>13</v>
      </c>
      <c r="D3775">
        <v>247.67</v>
      </c>
      <c r="E3775">
        <v>198.08</v>
      </c>
      <c r="F3775">
        <v>41011</v>
      </c>
      <c r="H3775" t="str">
        <f>_xlfn.LET(_xlpm.v, IFERROR(VLOOKUP($A3775, manifest!$A:$E, 3, FALSE), ""), IF(OR(_xlpm.v=0, _xlpm.v=""), "", _xlpm.v))</f>
        <v/>
      </c>
      <c r="I3775" t="str">
        <f>_xlfn.LET(_xlpm.v, IFERROR(VLOOKUP($A3775, manifest!$A:$E, 5, FALSE), ""), IF(OR(_xlpm.v=0, _xlpm.v=""), "", _xlpm.v))</f>
        <v/>
      </c>
    </row>
    <row r="3776" spans="1:9" x14ac:dyDescent="0.6">
      <c r="A3776">
        <v>787</v>
      </c>
      <c r="B3776" t="s">
        <v>7</v>
      </c>
      <c r="C3776" t="s">
        <v>8</v>
      </c>
      <c r="D3776">
        <v>223.36</v>
      </c>
      <c r="E3776">
        <v>181.89</v>
      </c>
      <c r="F3776">
        <v>55914</v>
      </c>
      <c r="G3776" t="s">
        <v>9</v>
      </c>
      <c r="H3776" t="str">
        <f>_xlfn.LET(_xlpm.v, IFERROR(VLOOKUP($A3776, manifest!$A:$E, 3, FALSE), ""), IF(OR(_xlpm.v=0, _xlpm.v=""), "", _xlpm.v))</f>
        <v/>
      </c>
      <c r="I3776" t="str">
        <f>_xlfn.LET(_xlpm.v, IFERROR(VLOOKUP($A3776, manifest!$A:$E, 5, FALSE), ""), IF(OR(_xlpm.v=0, _xlpm.v=""), "", _xlpm.v))</f>
        <v>male</v>
      </c>
    </row>
    <row r="3777" spans="1:9" x14ac:dyDescent="0.6">
      <c r="A3777">
        <v>787</v>
      </c>
      <c r="B3777" t="s">
        <v>7</v>
      </c>
      <c r="C3777" t="s">
        <v>10</v>
      </c>
      <c r="D3777">
        <v>277.14</v>
      </c>
      <c r="E3777">
        <v>242.4</v>
      </c>
      <c r="F3777">
        <v>54567</v>
      </c>
      <c r="H3777" t="str">
        <f>_xlfn.LET(_xlpm.v, IFERROR(VLOOKUP($A3777, manifest!$A:$E, 3, FALSE), ""), IF(OR(_xlpm.v=0, _xlpm.v=""), "", _xlpm.v))</f>
        <v/>
      </c>
      <c r="I3777" t="str">
        <f>_xlfn.LET(_xlpm.v, IFERROR(VLOOKUP($A3777, manifest!$A:$E, 5, FALSE), ""), IF(OR(_xlpm.v=0, _xlpm.v=""), "", _xlpm.v))</f>
        <v>male</v>
      </c>
    </row>
    <row r="3778" spans="1:9" x14ac:dyDescent="0.6">
      <c r="A3778">
        <v>787</v>
      </c>
      <c r="B3778" t="s">
        <v>7</v>
      </c>
      <c r="C3778" t="s">
        <v>11</v>
      </c>
      <c r="D3778">
        <v>303.7</v>
      </c>
      <c r="E3778">
        <v>276.05</v>
      </c>
      <c r="F3778">
        <v>59151</v>
      </c>
      <c r="H3778" t="str">
        <f>_xlfn.LET(_xlpm.v, IFERROR(VLOOKUP($A3778, manifest!$A:$E, 3, FALSE), ""), IF(OR(_xlpm.v=0, _xlpm.v=""), "", _xlpm.v))</f>
        <v/>
      </c>
      <c r="I3778" t="str">
        <f>_xlfn.LET(_xlpm.v, IFERROR(VLOOKUP($A3778, manifest!$A:$E, 5, FALSE), ""), IF(OR(_xlpm.v=0, _xlpm.v=""), "", _xlpm.v))</f>
        <v>male</v>
      </c>
    </row>
    <row r="3779" spans="1:9" x14ac:dyDescent="0.6">
      <c r="A3779">
        <v>787</v>
      </c>
      <c r="B3779" t="s">
        <v>7</v>
      </c>
      <c r="C3779" t="s">
        <v>12</v>
      </c>
      <c r="D3779">
        <v>248.55</v>
      </c>
      <c r="E3779">
        <v>262.48</v>
      </c>
      <c r="F3779">
        <v>77848</v>
      </c>
      <c r="H3779" t="str">
        <f>_xlfn.LET(_xlpm.v, IFERROR(VLOOKUP($A3779, manifest!$A:$E, 3, FALSE), ""), IF(OR(_xlpm.v=0, _xlpm.v=""), "", _xlpm.v))</f>
        <v/>
      </c>
      <c r="I3779" t="str">
        <f>_xlfn.LET(_xlpm.v, IFERROR(VLOOKUP($A3779, manifest!$A:$E, 5, FALSE), ""), IF(OR(_xlpm.v=0, _xlpm.v=""), "", _xlpm.v))</f>
        <v>male</v>
      </c>
    </row>
    <row r="3780" spans="1:9" x14ac:dyDescent="0.6">
      <c r="A3780">
        <v>787</v>
      </c>
      <c r="B3780" t="s">
        <v>7</v>
      </c>
      <c r="C3780" t="s">
        <v>13</v>
      </c>
      <c r="D3780">
        <v>225.35</v>
      </c>
      <c r="E3780">
        <v>220.41</v>
      </c>
      <c r="F3780">
        <v>76930</v>
      </c>
      <c r="H3780" t="str">
        <f>_xlfn.LET(_xlpm.v, IFERROR(VLOOKUP($A3780, manifest!$A:$E, 3, FALSE), ""), IF(OR(_xlpm.v=0, _xlpm.v=""), "", _xlpm.v))</f>
        <v/>
      </c>
      <c r="I3780" t="str">
        <f>_xlfn.LET(_xlpm.v, IFERROR(VLOOKUP($A3780, manifest!$A:$E, 5, FALSE), ""), IF(OR(_xlpm.v=0, _xlpm.v=""), "", _xlpm.v))</f>
        <v>male</v>
      </c>
    </row>
    <row r="3781" spans="1:9" x14ac:dyDescent="0.6">
      <c r="A3781" t="s">
        <v>26</v>
      </c>
      <c r="B3781" t="s">
        <v>14</v>
      </c>
      <c r="C3781" t="s">
        <v>8</v>
      </c>
      <c r="D3781">
        <v>212.03</v>
      </c>
      <c r="E3781">
        <v>139.29</v>
      </c>
      <c r="F3781">
        <v>41016</v>
      </c>
      <c r="G3781" t="s">
        <v>9</v>
      </c>
      <c r="H3781" t="str">
        <f>_xlfn.LET(_xlpm.v, IFERROR(VLOOKUP($A3781, manifest!$A:$E, 3, FALSE), ""), IF(OR(_xlpm.v=0, _xlpm.v=""), "", _xlpm.v))</f>
        <v/>
      </c>
      <c r="I3781" t="str">
        <f>_xlfn.LET(_xlpm.v, IFERROR(VLOOKUP($A3781, manifest!$A:$E, 5, FALSE), ""), IF(OR(_xlpm.v=0, _xlpm.v=""), "", _xlpm.v))</f>
        <v/>
      </c>
    </row>
    <row r="3782" spans="1:9" x14ac:dyDescent="0.6">
      <c r="A3782" t="s">
        <v>26</v>
      </c>
      <c r="B3782" t="s">
        <v>14</v>
      </c>
      <c r="C3782" t="s">
        <v>10</v>
      </c>
      <c r="D3782">
        <v>223.04</v>
      </c>
      <c r="E3782">
        <v>160.91999999999999</v>
      </c>
      <c r="F3782">
        <v>41268</v>
      </c>
      <c r="H3782" t="str">
        <f>_xlfn.LET(_xlpm.v, IFERROR(VLOOKUP($A3782, manifest!$A:$E, 3, FALSE), ""), IF(OR(_xlpm.v=0, _xlpm.v=""), "", _xlpm.v))</f>
        <v/>
      </c>
      <c r="I3782" t="str">
        <f>_xlfn.LET(_xlpm.v, IFERROR(VLOOKUP($A3782, manifest!$A:$E, 5, FALSE), ""), IF(OR(_xlpm.v=0, _xlpm.v=""), "", _xlpm.v))</f>
        <v/>
      </c>
    </row>
    <row r="3783" spans="1:9" x14ac:dyDescent="0.6">
      <c r="A3783" t="s">
        <v>26</v>
      </c>
      <c r="B3783" t="s">
        <v>14</v>
      </c>
      <c r="C3783" t="s">
        <v>11</v>
      </c>
      <c r="D3783">
        <v>220.48</v>
      </c>
      <c r="E3783">
        <v>166.08</v>
      </c>
      <c r="F3783">
        <v>42243</v>
      </c>
      <c r="H3783" t="str">
        <f>_xlfn.LET(_xlpm.v, IFERROR(VLOOKUP($A3783, manifest!$A:$E, 3, FALSE), ""), IF(OR(_xlpm.v=0, _xlpm.v=""), "", _xlpm.v))</f>
        <v/>
      </c>
      <c r="I3783" t="str">
        <f>_xlfn.LET(_xlpm.v, IFERROR(VLOOKUP($A3783, manifest!$A:$E, 5, FALSE), ""), IF(OR(_xlpm.v=0, _xlpm.v=""), "", _xlpm.v))</f>
        <v/>
      </c>
    </row>
    <row r="3784" spans="1:9" x14ac:dyDescent="0.6">
      <c r="A3784" t="s">
        <v>26</v>
      </c>
      <c r="B3784" t="s">
        <v>14</v>
      </c>
      <c r="C3784" t="s">
        <v>12</v>
      </c>
      <c r="D3784">
        <v>222.1</v>
      </c>
      <c r="E3784">
        <v>169.02</v>
      </c>
      <c r="F3784">
        <v>44611</v>
      </c>
      <c r="H3784" t="str">
        <f>_xlfn.LET(_xlpm.v, IFERROR(VLOOKUP($A3784, manifest!$A:$E, 3, FALSE), ""), IF(OR(_xlpm.v=0, _xlpm.v=""), "", _xlpm.v))</f>
        <v/>
      </c>
      <c r="I3784" t="str">
        <f>_xlfn.LET(_xlpm.v, IFERROR(VLOOKUP($A3784, manifest!$A:$E, 5, FALSE), ""), IF(OR(_xlpm.v=0, _xlpm.v=""), "", _xlpm.v))</f>
        <v/>
      </c>
    </row>
    <row r="3785" spans="1:9" x14ac:dyDescent="0.6">
      <c r="A3785" t="s">
        <v>26</v>
      </c>
      <c r="B3785" t="s">
        <v>14</v>
      </c>
      <c r="C3785" t="s">
        <v>13</v>
      </c>
      <c r="D3785">
        <v>238.91</v>
      </c>
      <c r="E3785">
        <v>194.63</v>
      </c>
      <c r="F3785">
        <v>54192</v>
      </c>
      <c r="H3785" t="str">
        <f>_xlfn.LET(_xlpm.v, IFERROR(VLOOKUP($A3785, manifest!$A:$E, 3, FALSE), ""), IF(OR(_xlpm.v=0, _xlpm.v=""), "", _xlpm.v))</f>
        <v/>
      </c>
      <c r="I3785" t="str">
        <f>_xlfn.LET(_xlpm.v, IFERROR(VLOOKUP($A3785, manifest!$A:$E, 5, FALSE), ""), IF(OR(_xlpm.v=0, _xlpm.v=""), "", _xlpm.v))</f>
        <v/>
      </c>
    </row>
    <row r="3786" spans="1:9" x14ac:dyDescent="0.6">
      <c r="A3786" t="s">
        <v>27</v>
      </c>
      <c r="B3786" t="s">
        <v>14</v>
      </c>
      <c r="C3786" t="s">
        <v>8</v>
      </c>
      <c r="D3786">
        <v>228.89</v>
      </c>
      <c r="E3786">
        <v>211.63</v>
      </c>
      <c r="F3786">
        <v>46342</v>
      </c>
      <c r="G3786" t="s">
        <v>9</v>
      </c>
      <c r="H3786" t="str">
        <f>_xlfn.LET(_xlpm.v, IFERROR(VLOOKUP($A3786, manifest!$A:$E, 3, FALSE), ""), IF(OR(_xlpm.v=0, _xlpm.v=""), "", _xlpm.v))</f>
        <v/>
      </c>
      <c r="I3786" t="str">
        <f>_xlfn.LET(_xlpm.v, IFERROR(VLOOKUP($A3786, manifest!$A:$E, 5, FALSE), ""), IF(OR(_xlpm.v=0, _xlpm.v=""), "", _xlpm.v))</f>
        <v/>
      </c>
    </row>
    <row r="3787" spans="1:9" x14ac:dyDescent="0.6">
      <c r="A3787" t="s">
        <v>27</v>
      </c>
      <c r="B3787" t="s">
        <v>14</v>
      </c>
      <c r="C3787" t="s">
        <v>10</v>
      </c>
      <c r="D3787">
        <v>203.25</v>
      </c>
      <c r="E3787">
        <v>201.03</v>
      </c>
      <c r="F3787">
        <v>41927</v>
      </c>
      <c r="H3787" t="str">
        <f>_xlfn.LET(_xlpm.v, IFERROR(VLOOKUP($A3787, manifest!$A:$E, 3, FALSE), ""), IF(OR(_xlpm.v=0, _xlpm.v=""), "", _xlpm.v))</f>
        <v/>
      </c>
      <c r="I3787" t="str">
        <f>_xlfn.LET(_xlpm.v, IFERROR(VLOOKUP($A3787, manifest!$A:$E, 5, FALSE), ""), IF(OR(_xlpm.v=0, _xlpm.v=""), "", _xlpm.v))</f>
        <v/>
      </c>
    </row>
    <row r="3788" spans="1:9" x14ac:dyDescent="0.6">
      <c r="A3788" t="s">
        <v>27</v>
      </c>
      <c r="B3788" t="s">
        <v>14</v>
      </c>
      <c r="C3788" t="s">
        <v>11</v>
      </c>
      <c r="D3788">
        <v>168.11</v>
      </c>
      <c r="E3788">
        <v>159.29</v>
      </c>
      <c r="F3788">
        <v>53624</v>
      </c>
      <c r="H3788" t="str">
        <f>_xlfn.LET(_xlpm.v, IFERROR(VLOOKUP($A3788, manifest!$A:$E, 3, FALSE), ""), IF(OR(_xlpm.v=0, _xlpm.v=""), "", _xlpm.v))</f>
        <v/>
      </c>
      <c r="I3788" t="str">
        <f>_xlfn.LET(_xlpm.v, IFERROR(VLOOKUP($A3788, manifest!$A:$E, 5, FALSE), ""), IF(OR(_xlpm.v=0, _xlpm.v=""), "", _xlpm.v))</f>
        <v/>
      </c>
    </row>
    <row r="3789" spans="1:9" x14ac:dyDescent="0.6">
      <c r="A3789" t="s">
        <v>27</v>
      </c>
      <c r="B3789" t="s">
        <v>14</v>
      </c>
      <c r="C3789" t="s">
        <v>12</v>
      </c>
      <c r="D3789">
        <v>169.33</v>
      </c>
      <c r="E3789">
        <v>175.65</v>
      </c>
      <c r="F3789">
        <v>53912</v>
      </c>
      <c r="H3789" t="str">
        <f>_xlfn.LET(_xlpm.v, IFERROR(VLOOKUP($A3789, manifest!$A:$E, 3, FALSE), ""), IF(OR(_xlpm.v=0, _xlpm.v=""), "", _xlpm.v))</f>
        <v/>
      </c>
      <c r="I3789" t="str">
        <f>_xlfn.LET(_xlpm.v, IFERROR(VLOOKUP($A3789, manifest!$A:$E, 5, FALSE), ""), IF(OR(_xlpm.v=0, _xlpm.v=""), "", _xlpm.v))</f>
        <v/>
      </c>
    </row>
    <row r="3790" spans="1:9" x14ac:dyDescent="0.6">
      <c r="A3790" t="s">
        <v>27</v>
      </c>
      <c r="B3790" t="s">
        <v>14</v>
      </c>
      <c r="C3790" t="s">
        <v>13</v>
      </c>
      <c r="D3790">
        <v>224.35</v>
      </c>
      <c r="E3790">
        <v>168.43</v>
      </c>
      <c r="F3790">
        <v>66761</v>
      </c>
      <c r="H3790" t="str">
        <f>_xlfn.LET(_xlpm.v, IFERROR(VLOOKUP($A3790, manifest!$A:$E, 3, FALSE), ""), IF(OR(_xlpm.v=0, _xlpm.v=""), "", _xlpm.v))</f>
        <v/>
      </c>
      <c r="I3790" t="str">
        <f>_xlfn.LET(_xlpm.v, IFERROR(VLOOKUP($A3790, manifest!$A:$E, 5, FALSE), ""), IF(OR(_xlpm.v=0, _xlpm.v=""), "", _xlpm.v))</f>
        <v/>
      </c>
    </row>
    <row r="3791" spans="1:9" x14ac:dyDescent="0.6">
      <c r="A3791" t="s">
        <v>28</v>
      </c>
      <c r="B3791" t="s">
        <v>14</v>
      </c>
      <c r="C3791" t="s">
        <v>8</v>
      </c>
      <c r="D3791">
        <v>207.58</v>
      </c>
      <c r="E3791">
        <v>174.99</v>
      </c>
      <c r="F3791">
        <v>42866</v>
      </c>
      <c r="G3791" t="s">
        <v>9</v>
      </c>
      <c r="H3791" t="str">
        <f>_xlfn.LET(_xlpm.v, IFERROR(VLOOKUP($A3791, manifest!$A:$E, 3, FALSE), ""), IF(OR(_xlpm.v=0, _xlpm.v=""), "", _xlpm.v))</f>
        <v/>
      </c>
      <c r="I3791" t="str">
        <f>_xlfn.LET(_xlpm.v, IFERROR(VLOOKUP($A3791, manifest!$A:$E, 5, FALSE), ""), IF(OR(_xlpm.v=0, _xlpm.v=""), "", _xlpm.v))</f>
        <v/>
      </c>
    </row>
    <row r="3792" spans="1:9" x14ac:dyDescent="0.6">
      <c r="A3792" t="s">
        <v>28</v>
      </c>
      <c r="B3792" t="s">
        <v>14</v>
      </c>
      <c r="C3792" t="s">
        <v>10</v>
      </c>
      <c r="D3792">
        <v>212.47</v>
      </c>
      <c r="E3792">
        <v>183.06</v>
      </c>
      <c r="F3792">
        <v>58085</v>
      </c>
      <c r="H3792" t="str">
        <f>_xlfn.LET(_xlpm.v, IFERROR(VLOOKUP($A3792, manifest!$A:$E, 3, FALSE), ""), IF(OR(_xlpm.v=0, _xlpm.v=""), "", _xlpm.v))</f>
        <v/>
      </c>
      <c r="I3792" t="str">
        <f>_xlfn.LET(_xlpm.v, IFERROR(VLOOKUP($A3792, manifest!$A:$E, 5, FALSE), ""), IF(OR(_xlpm.v=0, _xlpm.v=""), "", _xlpm.v))</f>
        <v/>
      </c>
    </row>
    <row r="3793" spans="1:9" x14ac:dyDescent="0.6">
      <c r="A3793" t="s">
        <v>28</v>
      </c>
      <c r="B3793" t="s">
        <v>14</v>
      </c>
      <c r="C3793" t="s">
        <v>11</v>
      </c>
      <c r="D3793">
        <v>206</v>
      </c>
      <c r="E3793">
        <v>190.57</v>
      </c>
      <c r="F3793">
        <v>59477</v>
      </c>
      <c r="H3793" t="str">
        <f>_xlfn.LET(_xlpm.v, IFERROR(VLOOKUP($A3793, manifest!$A:$E, 3, FALSE), ""), IF(OR(_xlpm.v=0, _xlpm.v=""), "", _xlpm.v))</f>
        <v/>
      </c>
      <c r="I3793" t="str">
        <f>_xlfn.LET(_xlpm.v, IFERROR(VLOOKUP($A3793, manifest!$A:$E, 5, FALSE), ""), IF(OR(_xlpm.v=0, _xlpm.v=""), "", _xlpm.v))</f>
        <v/>
      </c>
    </row>
    <row r="3794" spans="1:9" x14ac:dyDescent="0.6">
      <c r="A3794" t="s">
        <v>28</v>
      </c>
      <c r="B3794" t="s">
        <v>14</v>
      </c>
      <c r="C3794" t="s">
        <v>12</v>
      </c>
      <c r="D3794">
        <v>218.48</v>
      </c>
      <c r="E3794">
        <v>196.35</v>
      </c>
      <c r="F3794">
        <v>54933</v>
      </c>
      <c r="H3794" t="str">
        <f>_xlfn.LET(_xlpm.v, IFERROR(VLOOKUP($A3794, manifest!$A:$E, 3, FALSE), ""), IF(OR(_xlpm.v=0, _xlpm.v=""), "", _xlpm.v))</f>
        <v/>
      </c>
      <c r="I3794" t="str">
        <f>_xlfn.LET(_xlpm.v, IFERROR(VLOOKUP($A3794, manifest!$A:$E, 5, FALSE), ""), IF(OR(_xlpm.v=0, _xlpm.v=""), "", _xlpm.v))</f>
        <v/>
      </c>
    </row>
    <row r="3795" spans="1:9" x14ac:dyDescent="0.6">
      <c r="A3795" t="s">
        <v>29</v>
      </c>
      <c r="B3795" t="s">
        <v>14</v>
      </c>
      <c r="C3795" t="s">
        <v>8</v>
      </c>
      <c r="D3795">
        <v>171.77</v>
      </c>
      <c r="E3795">
        <v>152.34</v>
      </c>
      <c r="F3795">
        <v>37018</v>
      </c>
      <c r="G3795" t="s">
        <v>9</v>
      </c>
      <c r="H3795" t="str">
        <f>_xlfn.LET(_xlpm.v, IFERROR(VLOOKUP($A3795, manifest!$A:$E, 3, FALSE), ""), IF(OR(_xlpm.v=0, _xlpm.v=""), "", _xlpm.v))</f>
        <v/>
      </c>
      <c r="I3795" t="str">
        <f>_xlfn.LET(_xlpm.v, IFERROR(VLOOKUP($A3795, manifest!$A:$E, 5, FALSE), ""), IF(OR(_xlpm.v=0, _xlpm.v=""), "", _xlpm.v))</f>
        <v/>
      </c>
    </row>
    <row r="3796" spans="1:9" x14ac:dyDescent="0.6">
      <c r="A3796" t="s">
        <v>29</v>
      </c>
      <c r="B3796" t="s">
        <v>14</v>
      </c>
      <c r="C3796" t="s">
        <v>10</v>
      </c>
      <c r="D3796">
        <v>214.93</v>
      </c>
      <c r="E3796">
        <v>242.05</v>
      </c>
      <c r="F3796">
        <v>34592</v>
      </c>
      <c r="H3796" t="str">
        <f>_xlfn.LET(_xlpm.v, IFERROR(VLOOKUP($A3796, manifest!$A:$E, 3, FALSE), ""), IF(OR(_xlpm.v=0, _xlpm.v=""), "", _xlpm.v))</f>
        <v/>
      </c>
      <c r="I3796" t="str">
        <f>_xlfn.LET(_xlpm.v, IFERROR(VLOOKUP($A3796, manifest!$A:$E, 5, FALSE), ""), IF(OR(_xlpm.v=0, _xlpm.v=""), "", _xlpm.v))</f>
        <v/>
      </c>
    </row>
    <row r="3797" spans="1:9" x14ac:dyDescent="0.6">
      <c r="A3797" t="s">
        <v>29</v>
      </c>
      <c r="B3797" t="s">
        <v>14</v>
      </c>
      <c r="C3797" t="s">
        <v>11</v>
      </c>
      <c r="D3797">
        <v>211.66</v>
      </c>
      <c r="E3797">
        <v>233.37</v>
      </c>
      <c r="F3797">
        <v>38732</v>
      </c>
      <c r="H3797" t="str">
        <f>_xlfn.LET(_xlpm.v, IFERROR(VLOOKUP($A3797, manifest!$A:$E, 3, FALSE), ""), IF(OR(_xlpm.v=0, _xlpm.v=""), "", _xlpm.v))</f>
        <v/>
      </c>
      <c r="I3797" t="str">
        <f>_xlfn.LET(_xlpm.v, IFERROR(VLOOKUP($A3797, manifest!$A:$E, 5, FALSE), ""), IF(OR(_xlpm.v=0, _xlpm.v=""), "", _xlpm.v))</f>
        <v/>
      </c>
    </row>
    <row r="3798" spans="1:9" x14ac:dyDescent="0.6">
      <c r="A3798" t="s">
        <v>29</v>
      </c>
      <c r="B3798" t="s">
        <v>14</v>
      </c>
      <c r="C3798" t="s">
        <v>12</v>
      </c>
      <c r="D3798">
        <v>197.56</v>
      </c>
      <c r="E3798">
        <v>191.18</v>
      </c>
      <c r="F3798">
        <v>46707</v>
      </c>
      <c r="H3798" t="str">
        <f>_xlfn.LET(_xlpm.v, IFERROR(VLOOKUP($A3798, manifest!$A:$E, 3, FALSE), ""), IF(OR(_xlpm.v=0, _xlpm.v=""), "", _xlpm.v))</f>
        <v/>
      </c>
      <c r="I3798" t="str">
        <f>_xlfn.LET(_xlpm.v, IFERROR(VLOOKUP($A3798, manifest!$A:$E, 5, FALSE), ""), IF(OR(_xlpm.v=0, _xlpm.v=""), "", _xlpm.v))</f>
        <v/>
      </c>
    </row>
    <row r="3799" spans="1:9" x14ac:dyDescent="0.6">
      <c r="A3799" t="s">
        <v>29</v>
      </c>
      <c r="B3799" t="s">
        <v>14</v>
      </c>
      <c r="C3799" t="s">
        <v>13</v>
      </c>
      <c r="D3799">
        <v>189.28</v>
      </c>
      <c r="E3799">
        <v>163.65</v>
      </c>
      <c r="F3799">
        <v>52648</v>
      </c>
      <c r="H3799" t="str">
        <f>_xlfn.LET(_xlpm.v, IFERROR(VLOOKUP($A3799, manifest!$A:$E, 3, FALSE), ""), IF(OR(_xlpm.v=0, _xlpm.v=""), "", _xlpm.v))</f>
        <v/>
      </c>
      <c r="I3799" t="str">
        <f>_xlfn.LET(_xlpm.v, IFERROR(VLOOKUP($A3799, manifest!$A:$E, 5, FALSE), ""), IF(OR(_xlpm.v=0, _xlpm.v=""), "", _xlpm.v))</f>
        <v/>
      </c>
    </row>
    <row r="3800" spans="1:9" x14ac:dyDescent="0.6">
      <c r="A3800" t="s">
        <v>30</v>
      </c>
      <c r="B3800" t="s">
        <v>14</v>
      </c>
      <c r="C3800" t="s">
        <v>8</v>
      </c>
      <c r="D3800">
        <v>250.97</v>
      </c>
      <c r="E3800">
        <v>135.46</v>
      </c>
      <c r="F3800">
        <v>21800</v>
      </c>
      <c r="G3800" t="s">
        <v>9</v>
      </c>
      <c r="H3800" t="str">
        <f>_xlfn.LET(_xlpm.v, IFERROR(VLOOKUP($A3800, manifest!$A:$E, 3, FALSE), ""), IF(OR(_xlpm.v=0, _xlpm.v=""), "", _xlpm.v))</f>
        <v/>
      </c>
      <c r="I3800" t="str">
        <f>_xlfn.LET(_xlpm.v, IFERROR(VLOOKUP($A3800, manifest!$A:$E, 5, FALSE), ""), IF(OR(_xlpm.v=0, _xlpm.v=""), "", _xlpm.v))</f>
        <v/>
      </c>
    </row>
    <row r="3801" spans="1:9" x14ac:dyDescent="0.6">
      <c r="A3801" t="s">
        <v>30</v>
      </c>
      <c r="B3801" t="s">
        <v>14</v>
      </c>
      <c r="C3801" t="s">
        <v>10</v>
      </c>
      <c r="D3801">
        <v>276.77</v>
      </c>
      <c r="E3801">
        <v>166.59</v>
      </c>
      <c r="F3801">
        <v>21714</v>
      </c>
      <c r="H3801" t="str">
        <f>_xlfn.LET(_xlpm.v, IFERROR(VLOOKUP($A3801, manifest!$A:$E, 3, FALSE), ""), IF(OR(_xlpm.v=0, _xlpm.v=""), "", _xlpm.v))</f>
        <v/>
      </c>
      <c r="I3801" t="str">
        <f>_xlfn.LET(_xlpm.v, IFERROR(VLOOKUP($A3801, manifest!$A:$E, 5, FALSE), ""), IF(OR(_xlpm.v=0, _xlpm.v=""), "", _xlpm.v))</f>
        <v/>
      </c>
    </row>
    <row r="3802" spans="1:9" x14ac:dyDescent="0.6">
      <c r="A3802" t="s">
        <v>30</v>
      </c>
      <c r="B3802" t="s">
        <v>14</v>
      </c>
      <c r="C3802" t="s">
        <v>11</v>
      </c>
      <c r="D3802">
        <v>277.45</v>
      </c>
      <c r="E3802">
        <v>179.37</v>
      </c>
      <c r="F3802">
        <v>25668</v>
      </c>
      <c r="H3802" t="str">
        <f>_xlfn.LET(_xlpm.v, IFERROR(VLOOKUP($A3802, manifest!$A:$E, 3, FALSE), ""), IF(OR(_xlpm.v=0, _xlpm.v=""), "", _xlpm.v))</f>
        <v/>
      </c>
      <c r="I3802" t="str">
        <f>_xlfn.LET(_xlpm.v, IFERROR(VLOOKUP($A3802, manifest!$A:$E, 5, FALSE), ""), IF(OR(_xlpm.v=0, _xlpm.v=""), "", _xlpm.v))</f>
        <v/>
      </c>
    </row>
    <row r="3803" spans="1:9" x14ac:dyDescent="0.6">
      <c r="A3803" t="s">
        <v>30</v>
      </c>
      <c r="B3803" t="s">
        <v>14</v>
      </c>
      <c r="C3803" t="s">
        <v>12</v>
      </c>
      <c r="D3803">
        <v>315.54000000000002</v>
      </c>
      <c r="E3803">
        <v>236.21</v>
      </c>
      <c r="F3803">
        <v>25430</v>
      </c>
      <c r="H3803" t="str">
        <f>_xlfn.LET(_xlpm.v, IFERROR(VLOOKUP($A3803, manifest!$A:$E, 3, FALSE), ""), IF(OR(_xlpm.v=0, _xlpm.v=""), "", _xlpm.v))</f>
        <v/>
      </c>
      <c r="I3803" t="str">
        <f>_xlfn.LET(_xlpm.v, IFERROR(VLOOKUP($A3803, manifest!$A:$E, 5, FALSE), ""), IF(OR(_xlpm.v=0, _xlpm.v=""), "", _xlpm.v))</f>
        <v/>
      </c>
    </row>
    <row r="3804" spans="1:9" x14ac:dyDescent="0.6">
      <c r="A3804" t="s">
        <v>30</v>
      </c>
      <c r="B3804" t="s">
        <v>14</v>
      </c>
      <c r="C3804" t="s">
        <v>13</v>
      </c>
      <c r="D3804">
        <v>320.02</v>
      </c>
      <c r="E3804">
        <v>225.93</v>
      </c>
      <c r="F3804">
        <v>36602</v>
      </c>
      <c r="H3804" t="str">
        <f>_xlfn.LET(_xlpm.v, IFERROR(VLOOKUP($A3804, manifest!$A:$E, 3, FALSE), ""), IF(OR(_xlpm.v=0, _xlpm.v=""), "", _xlpm.v))</f>
        <v/>
      </c>
      <c r="I3804" t="str">
        <f>_xlfn.LET(_xlpm.v, IFERROR(VLOOKUP($A3804, manifest!$A:$E, 5, FALSE), ""), IF(OR(_xlpm.v=0, _xlpm.v=""), "", _xlpm.v))</f>
        <v/>
      </c>
    </row>
    <row r="3805" spans="1:9" x14ac:dyDescent="0.6">
      <c r="A3805" t="s">
        <v>31</v>
      </c>
      <c r="B3805" t="s">
        <v>14</v>
      </c>
      <c r="C3805" t="s">
        <v>8</v>
      </c>
      <c r="D3805">
        <v>150.94999999999999</v>
      </c>
      <c r="E3805">
        <v>228.66</v>
      </c>
      <c r="F3805">
        <v>32764</v>
      </c>
      <c r="G3805" t="s">
        <v>15</v>
      </c>
      <c r="H3805" t="str">
        <f>_xlfn.LET(_xlpm.v, IFERROR(VLOOKUP($A3805, manifest!$A:$E, 3, FALSE), ""), IF(OR(_xlpm.v=0, _xlpm.v=""), "", _xlpm.v))</f>
        <v/>
      </c>
      <c r="I3805" t="str">
        <f>_xlfn.LET(_xlpm.v, IFERROR(VLOOKUP($A3805, manifest!$A:$E, 5, FALSE), ""), IF(OR(_xlpm.v=0, _xlpm.v=""), "", _xlpm.v))</f>
        <v/>
      </c>
    </row>
    <row r="3806" spans="1:9" x14ac:dyDescent="0.6">
      <c r="A3806" t="s">
        <v>31</v>
      </c>
      <c r="B3806" t="s">
        <v>14</v>
      </c>
      <c r="C3806" t="s">
        <v>10</v>
      </c>
      <c r="D3806">
        <v>150.16999999999999</v>
      </c>
      <c r="E3806">
        <v>233.32</v>
      </c>
      <c r="F3806">
        <v>37441</v>
      </c>
      <c r="H3806" t="str">
        <f>_xlfn.LET(_xlpm.v, IFERROR(VLOOKUP($A3806, manifest!$A:$E, 3, FALSE), ""), IF(OR(_xlpm.v=0, _xlpm.v=""), "", _xlpm.v))</f>
        <v/>
      </c>
      <c r="I3806" t="str">
        <f>_xlfn.LET(_xlpm.v, IFERROR(VLOOKUP($A3806, manifest!$A:$E, 5, FALSE), ""), IF(OR(_xlpm.v=0, _xlpm.v=""), "", _xlpm.v))</f>
        <v/>
      </c>
    </row>
    <row r="3807" spans="1:9" x14ac:dyDescent="0.6">
      <c r="A3807" t="s">
        <v>31</v>
      </c>
      <c r="B3807" t="s">
        <v>14</v>
      </c>
      <c r="C3807" t="s">
        <v>11</v>
      </c>
      <c r="D3807">
        <v>145.86000000000001</v>
      </c>
      <c r="E3807">
        <v>220.43</v>
      </c>
      <c r="F3807">
        <v>43811</v>
      </c>
      <c r="H3807" t="str">
        <f>_xlfn.LET(_xlpm.v, IFERROR(VLOOKUP($A3807, manifest!$A:$E, 3, FALSE), ""), IF(OR(_xlpm.v=0, _xlpm.v=""), "", _xlpm.v))</f>
        <v/>
      </c>
      <c r="I3807" t="str">
        <f>_xlfn.LET(_xlpm.v, IFERROR(VLOOKUP($A3807, manifest!$A:$E, 5, FALSE), ""), IF(OR(_xlpm.v=0, _xlpm.v=""), "", _xlpm.v))</f>
        <v/>
      </c>
    </row>
    <row r="3808" spans="1:9" x14ac:dyDescent="0.6">
      <c r="A3808" t="s">
        <v>31</v>
      </c>
      <c r="B3808" t="s">
        <v>14</v>
      </c>
      <c r="C3808" t="s">
        <v>12</v>
      </c>
      <c r="D3808">
        <v>159.55000000000001</v>
      </c>
      <c r="E3808">
        <v>241.19</v>
      </c>
      <c r="F3808">
        <v>41721</v>
      </c>
      <c r="H3808" t="str">
        <f>_xlfn.LET(_xlpm.v, IFERROR(VLOOKUP($A3808, manifest!$A:$E, 3, FALSE), ""), IF(OR(_xlpm.v=0, _xlpm.v=""), "", _xlpm.v))</f>
        <v/>
      </c>
      <c r="I3808" t="str">
        <f>_xlfn.LET(_xlpm.v, IFERROR(VLOOKUP($A3808, manifest!$A:$E, 5, FALSE), ""), IF(OR(_xlpm.v=0, _xlpm.v=""), "", _xlpm.v))</f>
        <v/>
      </c>
    </row>
    <row r="3809" spans="1:9" x14ac:dyDescent="0.6">
      <c r="A3809" t="s">
        <v>31</v>
      </c>
      <c r="B3809" t="s">
        <v>14</v>
      </c>
      <c r="C3809" t="s">
        <v>13</v>
      </c>
      <c r="D3809">
        <v>165.28</v>
      </c>
      <c r="E3809">
        <v>243.03</v>
      </c>
      <c r="F3809">
        <v>42957</v>
      </c>
      <c r="H3809" t="str">
        <f>_xlfn.LET(_xlpm.v, IFERROR(VLOOKUP($A3809, manifest!$A:$E, 3, FALSE), ""), IF(OR(_xlpm.v=0, _xlpm.v=""), "", _xlpm.v))</f>
        <v/>
      </c>
      <c r="I3809" t="str">
        <f>_xlfn.LET(_xlpm.v, IFERROR(VLOOKUP($A3809, manifest!$A:$E, 5, FALSE), ""), IF(OR(_xlpm.v=0, _xlpm.v=""), "", _xlpm.v))</f>
        <v/>
      </c>
    </row>
    <row r="3810" spans="1:9" x14ac:dyDescent="0.6">
      <c r="A3810">
        <v>782</v>
      </c>
      <c r="B3810" t="s">
        <v>7</v>
      </c>
      <c r="C3810" t="s">
        <v>8</v>
      </c>
      <c r="D3810">
        <v>173.27</v>
      </c>
      <c r="E3810">
        <v>145.24</v>
      </c>
      <c r="F3810">
        <v>21568</v>
      </c>
      <c r="G3810" t="s">
        <v>9</v>
      </c>
      <c r="H3810">
        <f>_xlfn.LET(_xlpm.v, IFERROR(VLOOKUP($A3810, manifest!$A:$E, 3, FALSE), ""), IF(OR(_xlpm.v=0, _xlpm.v=""), "", _xlpm.v))</f>
        <v>50</v>
      </c>
      <c r="I3810" t="str">
        <f>_xlfn.LET(_xlpm.v, IFERROR(VLOOKUP($A3810, manifest!$A:$E, 5, FALSE), ""), IF(OR(_xlpm.v=0, _xlpm.v=""), "", _xlpm.v))</f>
        <v>male</v>
      </c>
    </row>
    <row r="3811" spans="1:9" x14ac:dyDescent="0.6">
      <c r="A3811">
        <v>782</v>
      </c>
      <c r="B3811" t="s">
        <v>7</v>
      </c>
      <c r="C3811" t="s">
        <v>10</v>
      </c>
      <c r="D3811">
        <v>181.08</v>
      </c>
      <c r="E3811">
        <v>164.09</v>
      </c>
      <c r="F3811">
        <v>22696</v>
      </c>
      <c r="H3811">
        <f>_xlfn.LET(_xlpm.v, IFERROR(VLOOKUP($A3811, manifest!$A:$E, 3, FALSE), ""), IF(OR(_xlpm.v=0, _xlpm.v=""), "", _xlpm.v))</f>
        <v>50</v>
      </c>
      <c r="I3811" t="str">
        <f>_xlfn.LET(_xlpm.v, IFERROR(VLOOKUP($A3811, manifest!$A:$E, 5, FALSE), ""), IF(OR(_xlpm.v=0, _xlpm.v=""), "", _xlpm.v))</f>
        <v>male</v>
      </c>
    </row>
    <row r="3812" spans="1:9" x14ac:dyDescent="0.6">
      <c r="A3812">
        <v>782</v>
      </c>
      <c r="B3812" t="s">
        <v>7</v>
      </c>
      <c r="C3812" t="s">
        <v>11</v>
      </c>
      <c r="D3812">
        <v>182.03</v>
      </c>
      <c r="E3812">
        <v>174.18</v>
      </c>
      <c r="F3812">
        <v>32693</v>
      </c>
      <c r="H3812">
        <f>_xlfn.LET(_xlpm.v, IFERROR(VLOOKUP($A3812, manifest!$A:$E, 3, FALSE), ""), IF(OR(_xlpm.v=0, _xlpm.v=""), "", _xlpm.v))</f>
        <v>50</v>
      </c>
      <c r="I3812" t="str">
        <f>_xlfn.LET(_xlpm.v, IFERROR(VLOOKUP($A3812, manifest!$A:$E, 5, FALSE), ""), IF(OR(_xlpm.v=0, _xlpm.v=""), "", _xlpm.v))</f>
        <v>male</v>
      </c>
    </row>
    <row r="3813" spans="1:9" x14ac:dyDescent="0.6">
      <c r="A3813">
        <v>782</v>
      </c>
      <c r="B3813" t="s">
        <v>7</v>
      </c>
      <c r="C3813" t="s">
        <v>12</v>
      </c>
      <c r="D3813">
        <v>167.81</v>
      </c>
      <c r="E3813">
        <v>164.69</v>
      </c>
      <c r="F3813">
        <v>38648</v>
      </c>
      <c r="H3813">
        <f>_xlfn.LET(_xlpm.v, IFERROR(VLOOKUP($A3813, manifest!$A:$E, 3, FALSE), ""), IF(OR(_xlpm.v=0, _xlpm.v=""), "", _xlpm.v))</f>
        <v>50</v>
      </c>
      <c r="I3813" t="str">
        <f>_xlfn.LET(_xlpm.v, IFERROR(VLOOKUP($A3813, manifest!$A:$E, 5, FALSE), ""), IF(OR(_xlpm.v=0, _xlpm.v=""), "", _xlpm.v))</f>
        <v>male</v>
      </c>
    </row>
    <row r="3814" spans="1:9" x14ac:dyDescent="0.6">
      <c r="A3814">
        <v>782</v>
      </c>
      <c r="B3814" t="s">
        <v>7</v>
      </c>
      <c r="C3814" t="s">
        <v>13</v>
      </c>
      <c r="D3814">
        <v>177.12</v>
      </c>
      <c r="E3814">
        <v>167.14</v>
      </c>
      <c r="F3814">
        <v>43945</v>
      </c>
      <c r="H3814">
        <f>_xlfn.LET(_xlpm.v, IFERROR(VLOOKUP($A3814, manifest!$A:$E, 3, FALSE), ""), IF(OR(_xlpm.v=0, _xlpm.v=""), "", _xlpm.v))</f>
        <v>50</v>
      </c>
      <c r="I3814" t="str">
        <f>_xlfn.LET(_xlpm.v, IFERROR(VLOOKUP($A3814, manifest!$A:$E, 5, FALSE), ""), IF(OR(_xlpm.v=0, _xlpm.v=""), "", _xlpm.v))</f>
        <v>male</v>
      </c>
    </row>
    <row r="3815" spans="1:9" x14ac:dyDescent="0.6">
      <c r="A3815" t="s">
        <v>32</v>
      </c>
      <c r="B3815" t="s">
        <v>14</v>
      </c>
      <c r="C3815" t="s">
        <v>8</v>
      </c>
      <c r="D3815">
        <v>355.04</v>
      </c>
      <c r="E3815">
        <v>233.77</v>
      </c>
      <c r="F3815">
        <v>18212</v>
      </c>
      <c r="G3815" t="s">
        <v>9</v>
      </c>
      <c r="H3815" t="str">
        <f>_xlfn.LET(_xlpm.v, IFERROR(VLOOKUP($A3815, manifest!$A:$E, 3, FALSE), ""), IF(OR(_xlpm.v=0, _xlpm.v=""), "", _xlpm.v))</f>
        <v/>
      </c>
      <c r="I3815" t="str">
        <f>_xlfn.LET(_xlpm.v, IFERROR(VLOOKUP($A3815, manifest!$A:$E, 5, FALSE), ""), IF(OR(_xlpm.v=0, _xlpm.v=""), "", _xlpm.v))</f>
        <v/>
      </c>
    </row>
    <row r="3816" spans="1:9" x14ac:dyDescent="0.6">
      <c r="A3816" t="s">
        <v>32</v>
      </c>
      <c r="B3816" t="s">
        <v>14</v>
      </c>
      <c r="C3816" t="s">
        <v>10</v>
      </c>
      <c r="D3816">
        <v>362.49</v>
      </c>
      <c r="E3816">
        <v>236.9</v>
      </c>
      <c r="F3816">
        <v>20542</v>
      </c>
      <c r="H3816" t="str">
        <f>_xlfn.LET(_xlpm.v, IFERROR(VLOOKUP($A3816, manifest!$A:$E, 3, FALSE), ""), IF(OR(_xlpm.v=0, _xlpm.v=""), "", _xlpm.v))</f>
        <v/>
      </c>
      <c r="I3816" t="str">
        <f>_xlfn.LET(_xlpm.v, IFERROR(VLOOKUP($A3816, manifest!$A:$E, 5, FALSE), ""), IF(OR(_xlpm.v=0, _xlpm.v=""), "", _xlpm.v))</f>
        <v/>
      </c>
    </row>
    <row r="3817" spans="1:9" x14ac:dyDescent="0.6">
      <c r="A3817" t="s">
        <v>32</v>
      </c>
      <c r="B3817" t="s">
        <v>14</v>
      </c>
      <c r="C3817" t="s">
        <v>11</v>
      </c>
      <c r="D3817">
        <v>336.13</v>
      </c>
      <c r="E3817">
        <v>222.46</v>
      </c>
      <c r="F3817">
        <v>25221</v>
      </c>
      <c r="H3817" t="str">
        <f>_xlfn.LET(_xlpm.v, IFERROR(VLOOKUP($A3817, manifest!$A:$E, 3, FALSE), ""), IF(OR(_xlpm.v=0, _xlpm.v=""), "", _xlpm.v))</f>
        <v/>
      </c>
      <c r="I3817" t="str">
        <f>_xlfn.LET(_xlpm.v, IFERROR(VLOOKUP($A3817, manifest!$A:$E, 5, FALSE), ""), IF(OR(_xlpm.v=0, _xlpm.v=""), "", _xlpm.v))</f>
        <v/>
      </c>
    </row>
    <row r="3818" spans="1:9" x14ac:dyDescent="0.6">
      <c r="A3818" t="s">
        <v>32</v>
      </c>
      <c r="B3818" t="s">
        <v>14</v>
      </c>
      <c r="C3818" t="s">
        <v>12</v>
      </c>
      <c r="D3818">
        <v>359.86</v>
      </c>
      <c r="E3818">
        <v>251.84</v>
      </c>
      <c r="F3818">
        <v>30020</v>
      </c>
      <c r="H3818" t="str">
        <f>_xlfn.LET(_xlpm.v, IFERROR(VLOOKUP($A3818, manifest!$A:$E, 3, FALSE), ""), IF(OR(_xlpm.v=0, _xlpm.v=""), "", _xlpm.v))</f>
        <v/>
      </c>
      <c r="I3818" t="str">
        <f>_xlfn.LET(_xlpm.v, IFERROR(VLOOKUP($A3818, manifest!$A:$E, 5, FALSE), ""), IF(OR(_xlpm.v=0, _xlpm.v=""), "", _xlpm.v))</f>
        <v/>
      </c>
    </row>
    <row r="3819" spans="1:9" x14ac:dyDescent="0.6">
      <c r="A3819" t="s">
        <v>32</v>
      </c>
      <c r="B3819" t="s">
        <v>14</v>
      </c>
      <c r="C3819" t="s">
        <v>13</v>
      </c>
      <c r="D3819">
        <v>365.61</v>
      </c>
      <c r="E3819">
        <v>256.31</v>
      </c>
      <c r="F3819">
        <v>38294</v>
      </c>
      <c r="H3819" t="str">
        <f>_xlfn.LET(_xlpm.v, IFERROR(VLOOKUP($A3819, manifest!$A:$E, 3, FALSE), ""), IF(OR(_xlpm.v=0, _xlpm.v=""), "", _xlpm.v))</f>
        <v/>
      </c>
      <c r="I3819" t="str">
        <f>_xlfn.LET(_xlpm.v, IFERROR(VLOOKUP($A3819, manifest!$A:$E, 5, FALSE), ""), IF(OR(_xlpm.v=0, _xlpm.v=""), "", _xlpm.v))</f>
        <v/>
      </c>
    </row>
    <row r="3820" spans="1:9" x14ac:dyDescent="0.6">
      <c r="A3820" t="s">
        <v>33</v>
      </c>
      <c r="B3820" t="s">
        <v>14</v>
      </c>
      <c r="C3820" t="s">
        <v>8</v>
      </c>
      <c r="D3820">
        <v>287.33</v>
      </c>
      <c r="E3820">
        <v>183.01</v>
      </c>
      <c r="F3820">
        <v>34814</v>
      </c>
      <c r="G3820" t="s">
        <v>9</v>
      </c>
      <c r="H3820" t="str">
        <f>_xlfn.LET(_xlpm.v, IFERROR(VLOOKUP($A3820, manifest!$A:$E, 3, FALSE), ""), IF(OR(_xlpm.v=0, _xlpm.v=""), "", _xlpm.v))</f>
        <v/>
      </c>
      <c r="I3820" t="str">
        <f>_xlfn.LET(_xlpm.v, IFERROR(VLOOKUP($A3820, manifest!$A:$E, 5, FALSE), ""), IF(OR(_xlpm.v=0, _xlpm.v=""), "", _xlpm.v))</f>
        <v/>
      </c>
    </row>
    <row r="3821" spans="1:9" x14ac:dyDescent="0.6">
      <c r="A3821" t="s">
        <v>33</v>
      </c>
      <c r="B3821" t="s">
        <v>14</v>
      </c>
      <c r="C3821" t="s">
        <v>10</v>
      </c>
      <c r="D3821">
        <v>312.5</v>
      </c>
      <c r="E3821">
        <v>226.9</v>
      </c>
      <c r="F3821">
        <v>40505</v>
      </c>
      <c r="H3821" t="str">
        <f>_xlfn.LET(_xlpm.v, IFERROR(VLOOKUP($A3821, manifest!$A:$E, 3, FALSE), ""), IF(OR(_xlpm.v=0, _xlpm.v=""), "", _xlpm.v))</f>
        <v/>
      </c>
      <c r="I3821" t="str">
        <f>_xlfn.LET(_xlpm.v, IFERROR(VLOOKUP($A3821, manifest!$A:$E, 5, FALSE), ""), IF(OR(_xlpm.v=0, _xlpm.v=""), "", _xlpm.v))</f>
        <v/>
      </c>
    </row>
    <row r="3822" spans="1:9" x14ac:dyDescent="0.6">
      <c r="A3822" t="s">
        <v>33</v>
      </c>
      <c r="B3822" t="s">
        <v>14</v>
      </c>
      <c r="C3822" t="s">
        <v>11</v>
      </c>
      <c r="D3822">
        <v>266.35000000000002</v>
      </c>
      <c r="E3822">
        <v>187.89</v>
      </c>
      <c r="F3822">
        <v>54423</v>
      </c>
      <c r="H3822" t="str">
        <f>_xlfn.LET(_xlpm.v, IFERROR(VLOOKUP($A3822, manifest!$A:$E, 3, FALSE), ""), IF(OR(_xlpm.v=0, _xlpm.v=""), "", _xlpm.v))</f>
        <v/>
      </c>
      <c r="I3822" t="str">
        <f>_xlfn.LET(_xlpm.v, IFERROR(VLOOKUP($A3822, manifest!$A:$E, 5, FALSE), ""), IF(OR(_xlpm.v=0, _xlpm.v=""), "", _xlpm.v))</f>
        <v/>
      </c>
    </row>
    <row r="3823" spans="1:9" x14ac:dyDescent="0.6">
      <c r="A3823" t="s">
        <v>33</v>
      </c>
      <c r="B3823" t="s">
        <v>14</v>
      </c>
      <c r="C3823" t="s">
        <v>12</v>
      </c>
      <c r="D3823">
        <v>297.88</v>
      </c>
      <c r="E3823">
        <v>221.47</v>
      </c>
      <c r="F3823">
        <v>49798</v>
      </c>
      <c r="H3823" t="str">
        <f>_xlfn.LET(_xlpm.v, IFERROR(VLOOKUP($A3823, manifest!$A:$E, 3, FALSE), ""), IF(OR(_xlpm.v=0, _xlpm.v=""), "", _xlpm.v))</f>
        <v/>
      </c>
      <c r="I3823" t="str">
        <f>_xlfn.LET(_xlpm.v, IFERROR(VLOOKUP($A3823, manifest!$A:$E, 5, FALSE), ""), IF(OR(_xlpm.v=0, _xlpm.v=""), "", _xlpm.v))</f>
        <v/>
      </c>
    </row>
    <row r="3824" spans="1:9" x14ac:dyDescent="0.6">
      <c r="A3824" t="s">
        <v>33</v>
      </c>
      <c r="B3824" t="s">
        <v>14</v>
      </c>
      <c r="C3824" t="s">
        <v>13</v>
      </c>
      <c r="D3824">
        <v>295.85000000000002</v>
      </c>
      <c r="E3824">
        <v>204.31</v>
      </c>
      <c r="F3824">
        <v>56394</v>
      </c>
      <c r="H3824" t="str">
        <f>_xlfn.LET(_xlpm.v, IFERROR(VLOOKUP($A3824, manifest!$A:$E, 3, FALSE), ""), IF(OR(_xlpm.v=0, _xlpm.v=""), "", _xlpm.v))</f>
        <v/>
      </c>
      <c r="I3824" t="str">
        <f>_xlfn.LET(_xlpm.v, IFERROR(VLOOKUP($A3824, manifest!$A:$E, 5, FALSE), ""), IF(OR(_xlpm.v=0, _xlpm.v=""), "", _xlpm.v))</f>
        <v/>
      </c>
    </row>
    <row r="3825" spans="1:9" x14ac:dyDescent="0.6">
      <c r="A3825" t="s">
        <v>34</v>
      </c>
      <c r="B3825" t="s">
        <v>14</v>
      </c>
      <c r="C3825" t="s">
        <v>8</v>
      </c>
      <c r="D3825">
        <v>132.26</v>
      </c>
      <c r="E3825">
        <v>170.97</v>
      </c>
      <c r="F3825">
        <v>26471</v>
      </c>
      <c r="G3825" t="s">
        <v>15</v>
      </c>
      <c r="H3825" t="str">
        <f>_xlfn.LET(_xlpm.v, IFERROR(VLOOKUP($A3825, manifest!$A:$E, 3, FALSE), ""), IF(OR(_xlpm.v=0, _xlpm.v=""), "", _xlpm.v))</f>
        <v/>
      </c>
      <c r="I3825" t="str">
        <f>_xlfn.LET(_xlpm.v, IFERROR(VLOOKUP($A3825, manifest!$A:$E, 5, FALSE), ""), IF(OR(_xlpm.v=0, _xlpm.v=""), "", _xlpm.v))</f>
        <v/>
      </c>
    </row>
    <row r="3826" spans="1:9" x14ac:dyDescent="0.6">
      <c r="A3826" t="s">
        <v>34</v>
      </c>
      <c r="B3826" t="s">
        <v>14</v>
      </c>
      <c r="C3826" t="s">
        <v>10</v>
      </c>
      <c r="D3826">
        <v>141.52000000000001</v>
      </c>
      <c r="E3826">
        <v>193.87</v>
      </c>
      <c r="F3826">
        <v>28270</v>
      </c>
      <c r="H3826" t="str">
        <f>_xlfn.LET(_xlpm.v, IFERROR(VLOOKUP($A3826, manifest!$A:$E, 3, FALSE), ""), IF(OR(_xlpm.v=0, _xlpm.v=""), "", _xlpm.v))</f>
        <v/>
      </c>
      <c r="I3826" t="str">
        <f>_xlfn.LET(_xlpm.v, IFERROR(VLOOKUP($A3826, manifest!$A:$E, 5, FALSE), ""), IF(OR(_xlpm.v=0, _xlpm.v=""), "", _xlpm.v))</f>
        <v/>
      </c>
    </row>
    <row r="3827" spans="1:9" x14ac:dyDescent="0.6">
      <c r="A3827" t="s">
        <v>34</v>
      </c>
      <c r="B3827" t="s">
        <v>14</v>
      </c>
      <c r="C3827" t="s">
        <v>11</v>
      </c>
      <c r="D3827">
        <v>159.94</v>
      </c>
      <c r="E3827">
        <v>227.21</v>
      </c>
      <c r="F3827">
        <v>31051</v>
      </c>
      <c r="H3827" t="str">
        <f>_xlfn.LET(_xlpm.v, IFERROR(VLOOKUP($A3827, manifest!$A:$E, 3, FALSE), ""), IF(OR(_xlpm.v=0, _xlpm.v=""), "", _xlpm.v))</f>
        <v/>
      </c>
      <c r="I3827" t="str">
        <f>_xlfn.LET(_xlpm.v, IFERROR(VLOOKUP($A3827, manifest!$A:$E, 5, FALSE), ""), IF(OR(_xlpm.v=0, _xlpm.v=""), "", _xlpm.v))</f>
        <v/>
      </c>
    </row>
    <row r="3828" spans="1:9" x14ac:dyDescent="0.6">
      <c r="A3828" t="s">
        <v>34</v>
      </c>
      <c r="B3828" t="s">
        <v>14</v>
      </c>
      <c r="C3828" t="s">
        <v>12</v>
      </c>
      <c r="D3828">
        <v>178.78</v>
      </c>
      <c r="E3828">
        <v>199.9</v>
      </c>
      <c r="F3828">
        <v>45949</v>
      </c>
      <c r="H3828" t="str">
        <f>_xlfn.LET(_xlpm.v, IFERROR(VLOOKUP($A3828, manifest!$A:$E, 3, FALSE), ""), IF(OR(_xlpm.v=0, _xlpm.v=""), "", _xlpm.v))</f>
        <v/>
      </c>
      <c r="I3828" t="str">
        <f>_xlfn.LET(_xlpm.v, IFERROR(VLOOKUP($A3828, manifest!$A:$E, 5, FALSE), ""), IF(OR(_xlpm.v=0, _xlpm.v=""), "", _xlpm.v))</f>
        <v/>
      </c>
    </row>
    <row r="3829" spans="1:9" x14ac:dyDescent="0.6">
      <c r="A3829" t="s">
        <v>34</v>
      </c>
      <c r="B3829" t="s">
        <v>14</v>
      </c>
      <c r="C3829" t="s">
        <v>13</v>
      </c>
      <c r="D3829">
        <v>206.09</v>
      </c>
      <c r="E3829">
        <v>240.4</v>
      </c>
      <c r="F3829">
        <v>47388</v>
      </c>
      <c r="H3829" t="str">
        <f>_xlfn.LET(_xlpm.v, IFERROR(VLOOKUP($A3829, manifest!$A:$E, 3, FALSE), ""), IF(OR(_xlpm.v=0, _xlpm.v=""), "", _xlpm.v))</f>
        <v/>
      </c>
      <c r="I3829" t="str">
        <f>_xlfn.LET(_xlpm.v, IFERROR(VLOOKUP($A3829, manifest!$A:$E, 5, FALSE), ""), IF(OR(_xlpm.v=0, _xlpm.v=""), "", _xlpm.v))</f>
        <v/>
      </c>
    </row>
    <row r="3830" spans="1:9" x14ac:dyDescent="0.6">
      <c r="A3830" t="s">
        <v>35</v>
      </c>
      <c r="B3830" t="s">
        <v>14</v>
      </c>
      <c r="C3830" t="s">
        <v>8</v>
      </c>
      <c r="D3830">
        <v>165.67</v>
      </c>
      <c r="E3830">
        <v>123.74</v>
      </c>
      <c r="F3830">
        <v>33960</v>
      </c>
      <c r="G3830" t="s">
        <v>9</v>
      </c>
      <c r="H3830" t="str">
        <f>_xlfn.LET(_xlpm.v, IFERROR(VLOOKUP($A3830, manifest!$A:$E, 3, FALSE), ""), IF(OR(_xlpm.v=0, _xlpm.v=""), "", _xlpm.v))</f>
        <v/>
      </c>
      <c r="I3830" t="str">
        <f>_xlfn.LET(_xlpm.v, IFERROR(VLOOKUP($A3830, manifest!$A:$E, 5, FALSE), ""), IF(OR(_xlpm.v=0, _xlpm.v=""), "", _xlpm.v))</f>
        <v/>
      </c>
    </row>
    <row r="3831" spans="1:9" x14ac:dyDescent="0.6">
      <c r="A3831" t="s">
        <v>35</v>
      </c>
      <c r="B3831" t="s">
        <v>14</v>
      </c>
      <c r="C3831" t="s">
        <v>10</v>
      </c>
      <c r="D3831">
        <v>174.99</v>
      </c>
      <c r="E3831">
        <v>149.91999999999999</v>
      </c>
      <c r="F3831">
        <v>42529</v>
      </c>
      <c r="H3831" t="str">
        <f>_xlfn.LET(_xlpm.v, IFERROR(VLOOKUP($A3831, manifest!$A:$E, 3, FALSE), ""), IF(OR(_xlpm.v=0, _xlpm.v=""), "", _xlpm.v))</f>
        <v/>
      </c>
      <c r="I3831" t="str">
        <f>_xlfn.LET(_xlpm.v, IFERROR(VLOOKUP($A3831, manifest!$A:$E, 5, FALSE), ""), IF(OR(_xlpm.v=0, _xlpm.v=""), "", _xlpm.v))</f>
        <v/>
      </c>
    </row>
    <row r="3832" spans="1:9" x14ac:dyDescent="0.6">
      <c r="A3832" t="s">
        <v>35</v>
      </c>
      <c r="B3832" t="s">
        <v>14</v>
      </c>
      <c r="C3832" t="s">
        <v>11</v>
      </c>
      <c r="D3832">
        <v>164.02</v>
      </c>
      <c r="E3832">
        <v>146.99</v>
      </c>
      <c r="F3832">
        <v>48434</v>
      </c>
      <c r="H3832" t="str">
        <f>_xlfn.LET(_xlpm.v, IFERROR(VLOOKUP($A3832, manifest!$A:$E, 3, FALSE), ""), IF(OR(_xlpm.v=0, _xlpm.v=""), "", _xlpm.v))</f>
        <v/>
      </c>
      <c r="I3832" t="str">
        <f>_xlfn.LET(_xlpm.v, IFERROR(VLOOKUP($A3832, manifest!$A:$E, 5, FALSE), ""), IF(OR(_xlpm.v=0, _xlpm.v=""), "", _xlpm.v))</f>
        <v/>
      </c>
    </row>
    <row r="3833" spans="1:9" x14ac:dyDescent="0.6">
      <c r="A3833" t="s">
        <v>35</v>
      </c>
      <c r="B3833" t="s">
        <v>14</v>
      </c>
      <c r="C3833" t="s">
        <v>12</v>
      </c>
      <c r="D3833">
        <v>185.19</v>
      </c>
      <c r="E3833">
        <v>166.83</v>
      </c>
      <c r="F3833">
        <v>59444</v>
      </c>
      <c r="H3833" t="str">
        <f>_xlfn.LET(_xlpm.v, IFERROR(VLOOKUP($A3833, manifest!$A:$E, 3, FALSE), ""), IF(OR(_xlpm.v=0, _xlpm.v=""), "", _xlpm.v))</f>
        <v/>
      </c>
      <c r="I3833" t="str">
        <f>_xlfn.LET(_xlpm.v, IFERROR(VLOOKUP($A3833, manifest!$A:$E, 5, FALSE), ""), IF(OR(_xlpm.v=0, _xlpm.v=""), "", _xlpm.v))</f>
        <v/>
      </c>
    </row>
    <row r="3834" spans="1:9" x14ac:dyDescent="0.6">
      <c r="A3834" t="s">
        <v>35</v>
      </c>
      <c r="B3834" t="s">
        <v>14</v>
      </c>
      <c r="C3834" t="s">
        <v>13</v>
      </c>
      <c r="D3834">
        <v>174.01</v>
      </c>
      <c r="E3834">
        <v>142.37</v>
      </c>
      <c r="F3834">
        <v>56195</v>
      </c>
      <c r="H3834" t="str">
        <f>_xlfn.LET(_xlpm.v, IFERROR(VLOOKUP($A3834, manifest!$A:$E, 3, FALSE), ""), IF(OR(_xlpm.v=0, _xlpm.v=""), "", _xlpm.v))</f>
        <v/>
      </c>
      <c r="I3834" t="str">
        <f>_xlfn.LET(_xlpm.v, IFERROR(VLOOKUP($A3834, manifest!$A:$E, 5, FALSE), ""), IF(OR(_xlpm.v=0, _xlpm.v=""), "", _xlpm.v))</f>
        <v/>
      </c>
    </row>
    <row r="3835" spans="1:9" x14ac:dyDescent="0.6">
      <c r="A3835" t="s">
        <v>36</v>
      </c>
      <c r="B3835" t="s">
        <v>14</v>
      </c>
      <c r="C3835" t="s">
        <v>8</v>
      </c>
      <c r="D3835">
        <v>211.61</v>
      </c>
      <c r="E3835">
        <v>220.47</v>
      </c>
      <c r="F3835">
        <v>51968</v>
      </c>
      <c r="G3835" t="s">
        <v>9</v>
      </c>
      <c r="H3835" t="str">
        <f>_xlfn.LET(_xlpm.v, IFERROR(VLOOKUP($A3835, manifest!$A:$E, 3, FALSE), ""), IF(OR(_xlpm.v=0, _xlpm.v=""), "", _xlpm.v))</f>
        <v/>
      </c>
      <c r="I3835" t="str">
        <f>_xlfn.LET(_xlpm.v, IFERROR(VLOOKUP($A3835, manifest!$A:$E, 5, FALSE), ""), IF(OR(_xlpm.v=0, _xlpm.v=""), "", _xlpm.v))</f>
        <v/>
      </c>
    </row>
    <row r="3836" spans="1:9" x14ac:dyDescent="0.6">
      <c r="A3836" t="s">
        <v>36</v>
      </c>
      <c r="B3836" t="s">
        <v>14</v>
      </c>
      <c r="C3836" t="s">
        <v>10</v>
      </c>
      <c r="D3836">
        <v>219.16</v>
      </c>
      <c r="E3836">
        <v>233.71</v>
      </c>
      <c r="F3836">
        <v>59138</v>
      </c>
      <c r="H3836" t="str">
        <f>_xlfn.LET(_xlpm.v, IFERROR(VLOOKUP($A3836, manifest!$A:$E, 3, FALSE), ""), IF(OR(_xlpm.v=0, _xlpm.v=""), "", _xlpm.v))</f>
        <v/>
      </c>
      <c r="I3836" t="str">
        <f>_xlfn.LET(_xlpm.v, IFERROR(VLOOKUP($A3836, manifest!$A:$E, 5, FALSE), ""), IF(OR(_xlpm.v=0, _xlpm.v=""), "", _xlpm.v))</f>
        <v/>
      </c>
    </row>
    <row r="3837" spans="1:9" x14ac:dyDescent="0.6">
      <c r="A3837" t="s">
        <v>36</v>
      </c>
      <c r="B3837" t="s">
        <v>14</v>
      </c>
      <c r="C3837" t="s">
        <v>11</v>
      </c>
      <c r="D3837">
        <v>211.89</v>
      </c>
      <c r="E3837">
        <v>230.16</v>
      </c>
      <c r="F3837">
        <v>72648</v>
      </c>
      <c r="H3837" t="str">
        <f>_xlfn.LET(_xlpm.v, IFERROR(VLOOKUP($A3837, manifest!$A:$E, 3, FALSE), ""), IF(OR(_xlpm.v=0, _xlpm.v=""), "", _xlpm.v))</f>
        <v/>
      </c>
      <c r="I3837" t="str">
        <f>_xlfn.LET(_xlpm.v, IFERROR(VLOOKUP($A3837, manifest!$A:$E, 5, FALSE), ""), IF(OR(_xlpm.v=0, _xlpm.v=""), "", _xlpm.v))</f>
        <v/>
      </c>
    </row>
    <row r="3838" spans="1:9" x14ac:dyDescent="0.6">
      <c r="A3838" t="s">
        <v>36</v>
      </c>
      <c r="B3838" t="s">
        <v>14</v>
      </c>
      <c r="C3838" t="s">
        <v>12</v>
      </c>
      <c r="D3838">
        <v>200.4</v>
      </c>
      <c r="E3838">
        <v>199.04</v>
      </c>
      <c r="F3838">
        <v>91435</v>
      </c>
      <c r="H3838" t="str">
        <f>_xlfn.LET(_xlpm.v, IFERROR(VLOOKUP($A3838, manifest!$A:$E, 3, FALSE), ""), IF(OR(_xlpm.v=0, _xlpm.v=""), "", _xlpm.v))</f>
        <v/>
      </c>
      <c r="I3838" t="str">
        <f>_xlfn.LET(_xlpm.v, IFERROR(VLOOKUP($A3838, manifest!$A:$E, 5, FALSE), ""), IF(OR(_xlpm.v=0, _xlpm.v=""), "", _xlpm.v))</f>
        <v/>
      </c>
    </row>
    <row r="3839" spans="1:9" x14ac:dyDescent="0.6">
      <c r="A3839" t="s">
        <v>36</v>
      </c>
      <c r="B3839" t="s">
        <v>14</v>
      </c>
      <c r="C3839" t="s">
        <v>13</v>
      </c>
      <c r="D3839">
        <v>265.32</v>
      </c>
      <c r="E3839">
        <v>231.8</v>
      </c>
      <c r="F3839">
        <v>89059</v>
      </c>
      <c r="H3839" t="str">
        <f>_xlfn.LET(_xlpm.v, IFERROR(VLOOKUP($A3839, manifest!$A:$E, 3, FALSE), ""), IF(OR(_xlpm.v=0, _xlpm.v=""), "", _xlpm.v))</f>
        <v/>
      </c>
      <c r="I3839" t="str">
        <f>_xlfn.LET(_xlpm.v, IFERROR(VLOOKUP($A3839, manifest!$A:$E, 5, FALSE), ""), IF(OR(_xlpm.v=0, _xlpm.v=""), "", _xlpm.v))</f>
        <v/>
      </c>
    </row>
    <row r="3840" spans="1:9" x14ac:dyDescent="0.6">
      <c r="A3840" t="s">
        <v>37</v>
      </c>
      <c r="B3840" t="s">
        <v>14</v>
      </c>
      <c r="C3840" t="s">
        <v>8</v>
      </c>
      <c r="D3840">
        <v>156</v>
      </c>
      <c r="E3840">
        <v>126.79</v>
      </c>
      <c r="F3840">
        <v>31528</v>
      </c>
      <c r="G3840" t="s">
        <v>15</v>
      </c>
      <c r="H3840" t="str">
        <f>_xlfn.LET(_xlpm.v, IFERROR(VLOOKUP($A3840, manifest!$A:$E, 3, FALSE), ""), IF(OR(_xlpm.v=0, _xlpm.v=""), "", _xlpm.v))</f>
        <v/>
      </c>
      <c r="I3840" t="str">
        <f>_xlfn.LET(_xlpm.v, IFERROR(VLOOKUP($A3840, manifest!$A:$E, 5, FALSE), ""), IF(OR(_xlpm.v=0, _xlpm.v=""), "", _xlpm.v))</f>
        <v/>
      </c>
    </row>
    <row r="3841" spans="1:9" x14ac:dyDescent="0.6">
      <c r="A3841" t="s">
        <v>37</v>
      </c>
      <c r="B3841" t="s">
        <v>14</v>
      </c>
      <c r="C3841" t="s">
        <v>10</v>
      </c>
      <c r="D3841">
        <v>191.44</v>
      </c>
      <c r="E3841">
        <v>179.28</v>
      </c>
      <c r="F3841">
        <v>35351</v>
      </c>
      <c r="H3841" t="str">
        <f>_xlfn.LET(_xlpm.v, IFERROR(VLOOKUP($A3841, manifest!$A:$E, 3, FALSE), ""), IF(OR(_xlpm.v=0, _xlpm.v=""), "", _xlpm.v))</f>
        <v/>
      </c>
      <c r="I3841" t="str">
        <f>_xlfn.LET(_xlpm.v, IFERROR(VLOOKUP($A3841, manifest!$A:$E, 5, FALSE), ""), IF(OR(_xlpm.v=0, _xlpm.v=""), "", _xlpm.v))</f>
        <v/>
      </c>
    </row>
    <row r="3842" spans="1:9" x14ac:dyDescent="0.6">
      <c r="A3842" t="s">
        <v>37</v>
      </c>
      <c r="B3842" t="s">
        <v>14</v>
      </c>
      <c r="C3842" t="s">
        <v>11</v>
      </c>
      <c r="D3842">
        <v>177.09</v>
      </c>
      <c r="E3842">
        <v>162.19999999999999</v>
      </c>
      <c r="F3842">
        <v>40665</v>
      </c>
      <c r="H3842" t="str">
        <f>_xlfn.LET(_xlpm.v, IFERROR(VLOOKUP($A3842, manifest!$A:$E, 3, FALSE), ""), IF(OR(_xlpm.v=0, _xlpm.v=""), "", _xlpm.v))</f>
        <v/>
      </c>
      <c r="I3842" t="str">
        <f>_xlfn.LET(_xlpm.v, IFERROR(VLOOKUP($A3842, manifest!$A:$E, 5, FALSE), ""), IF(OR(_xlpm.v=0, _xlpm.v=""), "", _xlpm.v))</f>
        <v/>
      </c>
    </row>
    <row r="3843" spans="1:9" x14ac:dyDescent="0.6">
      <c r="A3843" t="s">
        <v>37</v>
      </c>
      <c r="B3843" t="s">
        <v>14</v>
      </c>
      <c r="C3843" t="s">
        <v>12</v>
      </c>
      <c r="D3843">
        <v>181.19</v>
      </c>
      <c r="E3843">
        <v>180.77</v>
      </c>
      <c r="F3843">
        <v>42109</v>
      </c>
      <c r="H3843" t="str">
        <f>_xlfn.LET(_xlpm.v, IFERROR(VLOOKUP($A3843, manifest!$A:$E, 3, FALSE), ""), IF(OR(_xlpm.v=0, _xlpm.v=""), "", _xlpm.v))</f>
        <v/>
      </c>
      <c r="I3843" t="str">
        <f>_xlfn.LET(_xlpm.v, IFERROR(VLOOKUP($A3843, manifest!$A:$E, 5, FALSE), ""), IF(OR(_xlpm.v=0, _xlpm.v=""), "", _xlpm.v))</f>
        <v/>
      </c>
    </row>
    <row r="3844" spans="1:9" x14ac:dyDescent="0.6">
      <c r="A3844" t="s">
        <v>37</v>
      </c>
      <c r="B3844" t="s">
        <v>14</v>
      </c>
      <c r="C3844" t="s">
        <v>13</v>
      </c>
      <c r="D3844">
        <v>201.28</v>
      </c>
      <c r="E3844">
        <v>180.17</v>
      </c>
      <c r="F3844">
        <v>47030</v>
      </c>
      <c r="H3844" t="str">
        <f>_xlfn.LET(_xlpm.v, IFERROR(VLOOKUP($A3844, manifest!$A:$E, 3, FALSE), ""), IF(OR(_xlpm.v=0, _xlpm.v=""), "", _xlpm.v))</f>
        <v/>
      </c>
      <c r="I3844" t="str">
        <f>_xlfn.LET(_xlpm.v, IFERROR(VLOOKUP($A3844, manifest!$A:$E, 5, FALSE), ""), IF(OR(_xlpm.v=0, _xlpm.v=""), "", _xlpm.v))</f>
        <v/>
      </c>
    </row>
    <row r="3845" spans="1:9" x14ac:dyDescent="0.6">
      <c r="A3845" t="s">
        <v>38</v>
      </c>
      <c r="B3845" t="s">
        <v>14</v>
      </c>
      <c r="C3845" t="s">
        <v>8</v>
      </c>
      <c r="D3845">
        <v>221.11</v>
      </c>
      <c r="E3845">
        <v>154.12</v>
      </c>
      <c r="F3845">
        <v>53559</v>
      </c>
      <c r="G3845" t="s">
        <v>9</v>
      </c>
      <c r="H3845" t="str">
        <f>_xlfn.LET(_xlpm.v, IFERROR(VLOOKUP($A3845, manifest!$A:$E, 3, FALSE), ""), IF(OR(_xlpm.v=0, _xlpm.v=""), "", _xlpm.v))</f>
        <v/>
      </c>
      <c r="I3845" t="str">
        <f>_xlfn.LET(_xlpm.v, IFERROR(VLOOKUP($A3845, manifest!$A:$E, 5, FALSE), ""), IF(OR(_xlpm.v=0, _xlpm.v=""), "", _xlpm.v))</f>
        <v/>
      </c>
    </row>
    <row r="3846" spans="1:9" x14ac:dyDescent="0.6">
      <c r="A3846" t="s">
        <v>38</v>
      </c>
      <c r="B3846" t="s">
        <v>14</v>
      </c>
      <c r="C3846" t="s">
        <v>10</v>
      </c>
      <c r="D3846">
        <v>255.83</v>
      </c>
      <c r="E3846">
        <v>230.94</v>
      </c>
      <c r="F3846">
        <v>54561</v>
      </c>
      <c r="H3846" t="str">
        <f>_xlfn.LET(_xlpm.v, IFERROR(VLOOKUP($A3846, manifest!$A:$E, 3, FALSE), ""), IF(OR(_xlpm.v=0, _xlpm.v=""), "", _xlpm.v))</f>
        <v/>
      </c>
      <c r="I3846" t="str">
        <f>_xlfn.LET(_xlpm.v, IFERROR(VLOOKUP($A3846, manifest!$A:$E, 5, FALSE), ""), IF(OR(_xlpm.v=0, _xlpm.v=""), "", _xlpm.v))</f>
        <v/>
      </c>
    </row>
    <row r="3847" spans="1:9" x14ac:dyDescent="0.6">
      <c r="A3847" t="s">
        <v>38</v>
      </c>
      <c r="B3847" t="s">
        <v>14</v>
      </c>
      <c r="C3847" t="s">
        <v>11</v>
      </c>
      <c r="D3847">
        <v>266.97000000000003</v>
      </c>
      <c r="E3847">
        <v>221.8</v>
      </c>
      <c r="F3847">
        <v>63645</v>
      </c>
      <c r="H3847" t="str">
        <f>_xlfn.LET(_xlpm.v, IFERROR(VLOOKUP($A3847, manifest!$A:$E, 3, FALSE), ""), IF(OR(_xlpm.v=0, _xlpm.v=""), "", _xlpm.v))</f>
        <v/>
      </c>
      <c r="I3847" t="str">
        <f>_xlfn.LET(_xlpm.v, IFERROR(VLOOKUP($A3847, manifest!$A:$E, 5, FALSE), ""), IF(OR(_xlpm.v=0, _xlpm.v=""), "", _xlpm.v))</f>
        <v/>
      </c>
    </row>
    <row r="3848" spans="1:9" x14ac:dyDescent="0.6">
      <c r="A3848" t="s">
        <v>38</v>
      </c>
      <c r="B3848" t="s">
        <v>14</v>
      </c>
      <c r="C3848" t="s">
        <v>12</v>
      </c>
      <c r="D3848">
        <v>379.76</v>
      </c>
      <c r="E3848">
        <v>259.61</v>
      </c>
      <c r="F3848">
        <v>70526</v>
      </c>
      <c r="H3848" t="str">
        <f>_xlfn.LET(_xlpm.v, IFERROR(VLOOKUP($A3848, manifest!$A:$E, 3, FALSE), ""), IF(OR(_xlpm.v=0, _xlpm.v=""), "", _xlpm.v))</f>
        <v/>
      </c>
      <c r="I3848" t="str">
        <f>_xlfn.LET(_xlpm.v, IFERROR(VLOOKUP($A3848, manifest!$A:$E, 5, FALSE), ""), IF(OR(_xlpm.v=0, _xlpm.v=""), "", _xlpm.v))</f>
        <v/>
      </c>
    </row>
    <row r="3849" spans="1:9" x14ac:dyDescent="0.6">
      <c r="A3849" t="s">
        <v>38</v>
      </c>
      <c r="B3849" t="s">
        <v>14</v>
      </c>
      <c r="C3849" t="s">
        <v>13</v>
      </c>
      <c r="D3849">
        <v>405.53</v>
      </c>
      <c r="E3849">
        <v>249.72</v>
      </c>
      <c r="F3849">
        <v>93585</v>
      </c>
      <c r="H3849" t="str">
        <f>_xlfn.LET(_xlpm.v, IFERROR(VLOOKUP($A3849, manifest!$A:$E, 3, FALSE), ""), IF(OR(_xlpm.v=0, _xlpm.v=""), "", _xlpm.v))</f>
        <v/>
      </c>
      <c r="I3849" t="str">
        <f>_xlfn.LET(_xlpm.v, IFERROR(VLOOKUP($A3849, manifest!$A:$E, 5, FALSE), ""), IF(OR(_xlpm.v=0, _xlpm.v=""), "", _xlpm.v))</f>
        <v/>
      </c>
    </row>
    <row r="3850" spans="1:9" x14ac:dyDescent="0.6">
      <c r="A3850" t="s">
        <v>39</v>
      </c>
      <c r="B3850" t="s">
        <v>14</v>
      </c>
      <c r="C3850" t="s">
        <v>8</v>
      </c>
      <c r="D3850">
        <v>227.12</v>
      </c>
      <c r="E3850">
        <v>98.69</v>
      </c>
      <c r="F3850">
        <v>22818</v>
      </c>
      <c r="G3850" t="s">
        <v>9</v>
      </c>
      <c r="H3850" t="str">
        <f>_xlfn.LET(_xlpm.v, IFERROR(VLOOKUP($A3850, manifest!$A:$E, 3, FALSE), ""), IF(OR(_xlpm.v=0, _xlpm.v=""), "", _xlpm.v))</f>
        <v/>
      </c>
      <c r="I3850" t="str">
        <f>_xlfn.LET(_xlpm.v, IFERROR(VLOOKUP($A3850, manifest!$A:$E, 5, FALSE), ""), IF(OR(_xlpm.v=0, _xlpm.v=""), "", _xlpm.v))</f>
        <v/>
      </c>
    </row>
    <row r="3851" spans="1:9" x14ac:dyDescent="0.6">
      <c r="A3851" t="s">
        <v>39</v>
      </c>
      <c r="B3851" t="s">
        <v>14</v>
      </c>
      <c r="C3851" t="s">
        <v>10</v>
      </c>
      <c r="D3851">
        <v>289.52999999999997</v>
      </c>
      <c r="E3851">
        <v>181.71</v>
      </c>
      <c r="F3851">
        <v>30919</v>
      </c>
      <c r="H3851" t="str">
        <f>_xlfn.LET(_xlpm.v, IFERROR(VLOOKUP($A3851, manifest!$A:$E, 3, FALSE), ""), IF(OR(_xlpm.v=0, _xlpm.v=""), "", _xlpm.v))</f>
        <v/>
      </c>
      <c r="I3851" t="str">
        <f>_xlfn.LET(_xlpm.v, IFERROR(VLOOKUP($A3851, manifest!$A:$E, 5, FALSE), ""), IF(OR(_xlpm.v=0, _xlpm.v=""), "", _xlpm.v))</f>
        <v/>
      </c>
    </row>
    <row r="3852" spans="1:9" x14ac:dyDescent="0.6">
      <c r="A3852" t="s">
        <v>39</v>
      </c>
      <c r="B3852" t="s">
        <v>14</v>
      </c>
      <c r="C3852" t="s">
        <v>11</v>
      </c>
      <c r="D3852">
        <v>248.2</v>
      </c>
      <c r="E3852">
        <v>161.19</v>
      </c>
      <c r="F3852">
        <v>37580</v>
      </c>
      <c r="H3852" t="str">
        <f>_xlfn.LET(_xlpm.v, IFERROR(VLOOKUP($A3852, manifest!$A:$E, 3, FALSE), ""), IF(OR(_xlpm.v=0, _xlpm.v=""), "", _xlpm.v))</f>
        <v/>
      </c>
      <c r="I3852" t="str">
        <f>_xlfn.LET(_xlpm.v, IFERROR(VLOOKUP($A3852, manifest!$A:$E, 5, FALSE), ""), IF(OR(_xlpm.v=0, _xlpm.v=""), "", _xlpm.v))</f>
        <v/>
      </c>
    </row>
    <row r="3853" spans="1:9" x14ac:dyDescent="0.6">
      <c r="A3853" t="s">
        <v>39</v>
      </c>
      <c r="B3853" t="s">
        <v>14</v>
      </c>
      <c r="C3853" t="s">
        <v>12</v>
      </c>
      <c r="D3853">
        <v>260.31</v>
      </c>
      <c r="E3853">
        <v>192.21</v>
      </c>
      <c r="F3853">
        <v>40532</v>
      </c>
      <c r="H3853" t="str">
        <f>_xlfn.LET(_xlpm.v, IFERROR(VLOOKUP($A3853, manifest!$A:$E, 3, FALSE), ""), IF(OR(_xlpm.v=0, _xlpm.v=""), "", _xlpm.v))</f>
        <v/>
      </c>
      <c r="I3853" t="str">
        <f>_xlfn.LET(_xlpm.v, IFERROR(VLOOKUP($A3853, manifest!$A:$E, 5, FALSE), ""), IF(OR(_xlpm.v=0, _xlpm.v=""), "", _xlpm.v))</f>
        <v/>
      </c>
    </row>
    <row r="3854" spans="1:9" x14ac:dyDescent="0.6">
      <c r="A3854" t="s">
        <v>39</v>
      </c>
      <c r="B3854" t="s">
        <v>14</v>
      </c>
      <c r="C3854" t="s">
        <v>13</v>
      </c>
      <c r="D3854">
        <v>252.16</v>
      </c>
      <c r="E3854">
        <v>164.9</v>
      </c>
      <c r="F3854">
        <v>36977</v>
      </c>
      <c r="H3854" t="str">
        <f>_xlfn.LET(_xlpm.v, IFERROR(VLOOKUP($A3854, manifest!$A:$E, 3, FALSE), ""), IF(OR(_xlpm.v=0, _xlpm.v=""), "", _xlpm.v))</f>
        <v/>
      </c>
      <c r="I3854" t="str">
        <f>_xlfn.LET(_xlpm.v, IFERROR(VLOOKUP($A3854, manifest!$A:$E, 5, FALSE), ""), IF(OR(_xlpm.v=0, _xlpm.v=""), "", _xlpm.v))</f>
        <v/>
      </c>
    </row>
    <row r="3855" spans="1:9" x14ac:dyDescent="0.6">
      <c r="A3855" t="s">
        <v>40</v>
      </c>
      <c r="B3855" t="s">
        <v>14</v>
      </c>
      <c r="C3855" t="s">
        <v>8</v>
      </c>
      <c r="D3855">
        <v>200.28</v>
      </c>
      <c r="E3855">
        <v>165.47</v>
      </c>
      <c r="F3855">
        <v>42867</v>
      </c>
      <c r="G3855" t="s">
        <v>9</v>
      </c>
      <c r="H3855" t="str">
        <f>_xlfn.LET(_xlpm.v, IFERROR(VLOOKUP($A3855, manifest!$A:$E, 3, FALSE), ""), IF(OR(_xlpm.v=0, _xlpm.v=""), "", _xlpm.v))</f>
        <v/>
      </c>
      <c r="I3855" t="str">
        <f>_xlfn.LET(_xlpm.v, IFERROR(VLOOKUP($A3855, manifest!$A:$E, 5, FALSE), ""), IF(OR(_xlpm.v=0, _xlpm.v=""), "", _xlpm.v))</f>
        <v/>
      </c>
    </row>
    <row r="3856" spans="1:9" x14ac:dyDescent="0.6">
      <c r="A3856" t="s">
        <v>40</v>
      </c>
      <c r="B3856" t="s">
        <v>14</v>
      </c>
      <c r="C3856" t="s">
        <v>10</v>
      </c>
      <c r="D3856">
        <v>197.9</v>
      </c>
      <c r="E3856">
        <v>184.45</v>
      </c>
      <c r="F3856">
        <v>52623</v>
      </c>
      <c r="H3856" t="str">
        <f>_xlfn.LET(_xlpm.v, IFERROR(VLOOKUP($A3856, manifest!$A:$E, 3, FALSE), ""), IF(OR(_xlpm.v=0, _xlpm.v=""), "", _xlpm.v))</f>
        <v/>
      </c>
      <c r="I3856" t="str">
        <f>_xlfn.LET(_xlpm.v, IFERROR(VLOOKUP($A3856, manifest!$A:$E, 5, FALSE), ""), IF(OR(_xlpm.v=0, _xlpm.v=""), "", _xlpm.v))</f>
        <v/>
      </c>
    </row>
    <row r="3857" spans="1:9" x14ac:dyDescent="0.6">
      <c r="A3857" t="s">
        <v>40</v>
      </c>
      <c r="B3857" t="s">
        <v>14</v>
      </c>
      <c r="C3857" t="s">
        <v>11</v>
      </c>
      <c r="D3857">
        <v>241.85</v>
      </c>
      <c r="E3857">
        <v>187.23</v>
      </c>
      <c r="F3857">
        <v>64318</v>
      </c>
      <c r="H3857" t="str">
        <f>_xlfn.LET(_xlpm.v, IFERROR(VLOOKUP($A3857, manifest!$A:$E, 3, FALSE), ""), IF(OR(_xlpm.v=0, _xlpm.v=""), "", _xlpm.v))</f>
        <v/>
      </c>
      <c r="I3857" t="str">
        <f>_xlfn.LET(_xlpm.v, IFERROR(VLOOKUP($A3857, manifest!$A:$E, 5, FALSE), ""), IF(OR(_xlpm.v=0, _xlpm.v=""), "", _xlpm.v))</f>
        <v/>
      </c>
    </row>
    <row r="3858" spans="1:9" x14ac:dyDescent="0.6">
      <c r="A3858" t="s">
        <v>40</v>
      </c>
      <c r="B3858" t="s">
        <v>14</v>
      </c>
      <c r="C3858" t="s">
        <v>12</v>
      </c>
      <c r="D3858">
        <v>205.2</v>
      </c>
      <c r="E3858">
        <v>147.4</v>
      </c>
      <c r="F3858">
        <v>65557</v>
      </c>
      <c r="H3858" t="str">
        <f>_xlfn.LET(_xlpm.v, IFERROR(VLOOKUP($A3858, manifest!$A:$E, 3, FALSE), ""), IF(OR(_xlpm.v=0, _xlpm.v=""), "", _xlpm.v))</f>
        <v/>
      </c>
      <c r="I3858" t="str">
        <f>_xlfn.LET(_xlpm.v, IFERROR(VLOOKUP($A3858, manifest!$A:$E, 5, FALSE), ""), IF(OR(_xlpm.v=0, _xlpm.v=""), "", _xlpm.v))</f>
        <v/>
      </c>
    </row>
    <row r="3859" spans="1:9" x14ac:dyDescent="0.6">
      <c r="A3859" t="s">
        <v>40</v>
      </c>
      <c r="B3859" t="s">
        <v>14</v>
      </c>
      <c r="C3859" t="s">
        <v>13</v>
      </c>
      <c r="D3859">
        <v>242.91</v>
      </c>
      <c r="E3859">
        <v>167.26</v>
      </c>
      <c r="F3859">
        <v>55811</v>
      </c>
      <c r="H3859" t="str">
        <f>_xlfn.LET(_xlpm.v, IFERROR(VLOOKUP($A3859, manifest!$A:$E, 3, FALSE), ""), IF(OR(_xlpm.v=0, _xlpm.v=""), "", _xlpm.v))</f>
        <v/>
      </c>
      <c r="I3859" t="str">
        <f>_xlfn.LET(_xlpm.v, IFERROR(VLOOKUP($A3859, manifest!$A:$E, 5, FALSE), ""), IF(OR(_xlpm.v=0, _xlpm.v=""), "", _xlpm.v))</f>
        <v/>
      </c>
    </row>
    <row r="3860" spans="1:9" x14ac:dyDescent="0.6">
      <c r="A3860" t="s">
        <v>41</v>
      </c>
      <c r="B3860" t="s">
        <v>14</v>
      </c>
      <c r="C3860" t="s">
        <v>8</v>
      </c>
      <c r="D3860">
        <v>155.27000000000001</v>
      </c>
      <c r="E3860">
        <v>102.57</v>
      </c>
      <c r="F3860">
        <v>37789</v>
      </c>
      <c r="G3860" t="s">
        <v>15</v>
      </c>
      <c r="H3860" t="str">
        <f>_xlfn.LET(_xlpm.v, IFERROR(VLOOKUP($A3860, manifest!$A:$E, 3, FALSE), ""), IF(OR(_xlpm.v=0, _xlpm.v=""), "", _xlpm.v))</f>
        <v/>
      </c>
      <c r="I3860" t="str">
        <f>_xlfn.LET(_xlpm.v, IFERROR(VLOOKUP($A3860, manifest!$A:$E, 5, FALSE), ""), IF(OR(_xlpm.v=0, _xlpm.v=""), "", _xlpm.v))</f>
        <v/>
      </c>
    </row>
    <row r="3861" spans="1:9" x14ac:dyDescent="0.6">
      <c r="A3861" t="s">
        <v>41</v>
      </c>
      <c r="B3861" t="s">
        <v>14</v>
      </c>
      <c r="C3861" t="s">
        <v>10</v>
      </c>
      <c r="D3861">
        <v>173.87</v>
      </c>
      <c r="E3861">
        <v>127.15</v>
      </c>
      <c r="F3861">
        <v>41874</v>
      </c>
      <c r="H3861" t="str">
        <f>_xlfn.LET(_xlpm.v, IFERROR(VLOOKUP($A3861, manifest!$A:$E, 3, FALSE), ""), IF(OR(_xlpm.v=0, _xlpm.v=""), "", _xlpm.v))</f>
        <v/>
      </c>
      <c r="I3861" t="str">
        <f>_xlfn.LET(_xlpm.v, IFERROR(VLOOKUP($A3861, manifest!$A:$E, 5, FALSE), ""), IF(OR(_xlpm.v=0, _xlpm.v=""), "", _xlpm.v))</f>
        <v/>
      </c>
    </row>
    <row r="3862" spans="1:9" x14ac:dyDescent="0.6">
      <c r="A3862" t="s">
        <v>41</v>
      </c>
      <c r="B3862" t="s">
        <v>14</v>
      </c>
      <c r="C3862" t="s">
        <v>11</v>
      </c>
      <c r="D3862">
        <v>181.1</v>
      </c>
      <c r="E3862">
        <v>146.37</v>
      </c>
      <c r="F3862">
        <v>48670</v>
      </c>
      <c r="H3862" t="str">
        <f>_xlfn.LET(_xlpm.v, IFERROR(VLOOKUP($A3862, manifest!$A:$E, 3, FALSE), ""), IF(OR(_xlpm.v=0, _xlpm.v=""), "", _xlpm.v))</f>
        <v/>
      </c>
      <c r="I3862" t="str">
        <f>_xlfn.LET(_xlpm.v, IFERROR(VLOOKUP($A3862, manifest!$A:$E, 5, FALSE), ""), IF(OR(_xlpm.v=0, _xlpm.v=""), "", _xlpm.v))</f>
        <v/>
      </c>
    </row>
    <row r="3863" spans="1:9" x14ac:dyDescent="0.6">
      <c r="A3863" t="s">
        <v>41</v>
      </c>
      <c r="B3863" t="s">
        <v>14</v>
      </c>
      <c r="C3863" t="s">
        <v>12</v>
      </c>
      <c r="D3863">
        <v>176.74</v>
      </c>
      <c r="E3863">
        <v>130.54</v>
      </c>
      <c r="F3863">
        <v>45581</v>
      </c>
      <c r="H3863" t="str">
        <f>_xlfn.LET(_xlpm.v, IFERROR(VLOOKUP($A3863, manifest!$A:$E, 3, FALSE), ""), IF(OR(_xlpm.v=0, _xlpm.v=""), "", _xlpm.v))</f>
        <v/>
      </c>
      <c r="I3863" t="str">
        <f>_xlfn.LET(_xlpm.v, IFERROR(VLOOKUP($A3863, manifest!$A:$E, 5, FALSE), ""), IF(OR(_xlpm.v=0, _xlpm.v=""), "", _xlpm.v))</f>
        <v/>
      </c>
    </row>
    <row r="3864" spans="1:9" x14ac:dyDescent="0.6">
      <c r="A3864" t="s">
        <v>41</v>
      </c>
      <c r="B3864" t="s">
        <v>14</v>
      </c>
      <c r="C3864" t="s">
        <v>13</v>
      </c>
      <c r="D3864">
        <v>174.29</v>
      </c>
      <c r="E3864">
        <v>142.72</v>
      </c>
      <c r="F3864">
        <v>57886</v>
      </c>
      <c r="H3864" t="str">
        <f>_xlfn.LET(_xlpm.v, IFERROR(VLOOKUP($A3864, manifest!$A:$E, 3, FALSE), ""), IF(OR(_xlpm.v=0, _xlpm.v=""), "", _xlpm.v))</f>
        <v/>
      </c>
      <c r="I3864" t="str">
        <f>_xlfn.LET(_xlpm.v, IFERROR(VLOOKUP($A3864, manifest!$A:$E, 5, FALSE), ""), IF(OR(_xlpm.v=0, _xlpm.v=""), "", _xlpm.v))</f>
        <v/>
      </c>
    </row>
    <row r="3865" spans="1:9" x14ac:dyDescent="0.6">
      <c r="A3865" t="s">
        <v>42</v>
      </c>
      <c r="B3865" t="s">
        <v>14</v>
      </c>
      <c r="C3865" t="s">
        <v>8</v>
      </c>
      <c r="D3865">
        <v>209.23</v>
      </c>
      <c r="E3865">
        <v>178.69</v>
      </c>
      <c r="F3865">
        <v>43741</v>
      </c>
      <c r="G3865" t="s">
        <v>9</v>
      </c>
      <c r="H3865" t="str">
        <f>_xlfn.LET(_xlpm.v, IFERROR(VLOOKUP($A3865, manifest!$A:$E, 3, FALSE), ""), IF(OR(_xlpm.v=0, _xlpm.v=""), "", _xlpm.v))</f>
        <v/>
      </c>
      <c r="I3865" t="str">
        <f>_xlfn.LET(_xlpm.v, IFERROR(VLOOKUP($A3865, manifest!$A:$E, 5, FALSE), ""), IF(OR(_xlpm.v=0, _xlpm.v=""), "", _xlpm.v))</f>
        <v/>
      </c>
    </row>
    <row r="3866" spans="1:9" x14ac:dyDescent="0.6">
      <c r="A3866" t="s">
        <v>42</v>
      </c>
      <c r="B3866" t="s">
        <v>14</v>
      </c>
      <c r="C3866" t="s">
        <v>10</v>
      </c>
      <c r="D3866">
        <v>242.11</v>
      </c>
      <c r="E3866">
        <v>226.93</v>
      </c>
      <c r="F3866">
        <v>47017</v>
      </c>
      <c r="H3866" t="str">
        <f>_xlfn.LET(_xlpm.v, IFERROR(VLOOKUP($A3866, manifest!$A:$E, 3, FALSE), ""), IF(OR(_xlpm.v=0, _xlpm.v=""), "", _xlpm.v))</f>
        <v/>
      </c>
      <c r="I3866" t="str">
        <f>_xlfn.LET(_xlpm.v, IFERROR(VLOOKUP($A3866, manifest!$A:$E, 5, FALSE), ""), IF(OR(_xlpm.v=0, _xlpm.v=""), "", _xlpm.v))</f>
        <v/>
      </c>
    </row>
    <row r="3867" spans="1:9" x14ac:dyDescent="0.6">
      <c r="A3867" t="s">
        <v>42</v>
      </c>
      <c r="B3867" t="s">
        <v>14</v>
      </c>
      <c r="C3867" t="s">
        <v>11</v>
      </c>
      <c r="D3867">
        <v>280.99</v>
      </c>
      <c r="E3867">
        <v>238.56</v>
      </c>
      <c r="F3867">
        <v>50647</v>
      </c>
      <c r="H3867" t="str">
        <f>_xlfn.LET(_xlpm.v, IFERROR(VLOOKUP($A3867, manifest!$A:$E, 3, FALSE), ""), IF(OR(_xlpm.v=0, _xlpm.v=""), "", _xlpm.v))</f>
        <v/>
      </c>
      <c r="I3867" t="str">
        <f>_xlfn.LET(_xlpm.v, IFERROR(VLOOKUP($A3867, manifest!$A:$E, 5, FALSE), ""), IF(OR(_xlpm.v=0, _xlpm.v=""), "", _xlpm.v))</f>
        <v/>
      </c>
    </row>
    <row r="3868" spans="1:9" x14ac:dyDescent="0.6">
      <c r="A3868" t="s">
        <v>42</v>
      </c>
      <c r="B3868" t="s">
        <v>14</v>
      </c>
      <c r="C3868" t="s">
        <v>12</v>
      </c>
      <c r="D3868">
        <v>276.29000000000002</v>
      </c>
      <c r="E3868">
        <v>238.79</v>
      </c>
      <c r="F3868">
        <v>57842</v>
      </c>
      <c r="H3868" t="str">
        <f>_xlfn.LET(_xlpm.v, IFERROR(VLOOKUP($A3868, manifest!$A:$E, 3, FALSE), ""), IF(OR(_xlpm.v=0, _xlpm.v=""), "", _xlpm.v))</f>
        <v/>
      </c>
      <c r="I3868" t="str">
        <f>_xlfn.LET(_xlpm.v, IFERROR(VLOOKUP($A3868, manifest!$A:$E, 5, FALSE), ""), IF(OR(_xlpm.v=0, _xlpm.v=""), "", _xlpm.v))</f>
        <v/>
      </c>
    </row>
    <row r="3869" spans="1:9" x14ac:dyDescent="0.6">
      <c r="A3869" t="s">
        <v>42</v>
      </c>
      <c r="B3869" t="s">
        <v>14</v>
      </c>
      <c r="C3869" t="s">
        <v>13</v>
      </c>
      <c r="D3869">
        <v>258.36</v>
      </c>
      <c r="E3869">
        <v>224.36</v>
      </c>
      <c r="F3869">
        <v>64000</v>
      </c>
      <c r="H3869" t="str">
        <f>_xlfn.LET(_xlpm.v, IFERROR(VLOOKUP($A3869, manifest!$A:$E, 3, FALSE), ""), IF(OR(_xlpm.v=0, _xlpm.v=""), "", _xlpm.v))</f>
        <v/>
      </c>
      <c r="I3869" t="str">
        <f>_xlfn.LET(_xlpm.v, IFERROR(VLOOKUP($A3869, manifest!$A:$E, 5, FALSE), ""), IF(OR(_xlpm.v=0, _xlpm.v=""), "", _xlpm.v))</f>
        <v/>
      </c>
    </row>
    <row r="3870" spans="1:9" x14ac:dyDescent="0.6">
      <c r="A3870" t="s">
        <v>43</v>
      </c>
      <c r="B3870" t="s">
        <v>14</v>
      </c>
      <c r="C3870" t="s">
        <v>8</v>
      </c>
      <c r="D3870">
        <v>162.81</v>
      </c>
      <c r="E3870">
        <v>114.04</v>
      </c>
      <c r="F3870">
        <v>18992</v>
      </c>
      <c r="G3870" t="s">
        <v>9</v>
      </c>
      <c r="H3870" t="str">
        <f>_xlfn.LET(_xlpm.v, IFERROR(VLOOKUP($A3870, manifest!$A:$E, 3, FALSE), ""), IF(OR(_xlpm.v=0, _xlpm.v=""), "", _xlpm.v))</f>
        <v/>
      </c>
      <c r="I3870" t="str">
        <f>_xlfn.LET(_xlpm.v, IFERROR(VLOOKUP($A3870, manifest!$A:$E, 5, FALSE), ""), IF(OR(_xlpm.v=0, _xlpm.v=""), "", _xlpm.v))</f>
        <v/>
      </c>
    </row>
    <row r="3871" spans="1:9" x14ac:dyDescent="0.6">
      <c r="A3871" t="s">
        <v>43</v>
      </c>
      <c r="B3871" t="s">
        <v>14</v>
      </c>
      <c r="C3871" t="s">
        <v>10</v>
      </c>
      <c r="D3871">
        <v>187.27</v>
      </c>
      <c r="E3871">
        <v>143.22</v>
      </c>
      <c r="F3871">
        <v>23205</v>
      </c>
      <c r="H3871" t="str">
        <f>_xlfn.LET(_xlpm.v, IFERROR(VLOOKUP($A3871, manifest!$A:$E, 3, FALSE), ""), IF(OR(_xlpm.v=0, _xlpm.v=""), "", _xlpm.v))</f>
        <v/>
      </c>
      <c r="I3871" t="str">
        <f>_xlfn.LET(_xlpm.v, IFERROR(VLOOKUP($A3871, manifest!$A:$E, 5, FALSE), ""), IF(OR(_xlpm.v=0, _xlpm.v=""), "", _xlpm.v))</f>
        <v/>
      </c>
    </row>
    <row r="3872" spans="1:9" x14ac:dyDescent="0.6">
      <c r="A3872" t="s">
        <v>43</v>
      </c>
      <c r="B3872" t="s">
        <v>14</v>
      </c>
      <c r="C3872" t="s">
        <v>11</v>
      </c>
      <c r="D3872">
        <v>206.26</v>
      </c>
      <c r="E3872">
        <v>181.12</v>
      </c>
      <c r="F3872">
        <v>28379</v>
      </c>
      <c r="H3872" t="str">
        <f>_xlfn.LET(_xlpm.v, IFERROR(VLOOKUP($A3872, manifest!$A:$E, 3, FALSE), ""), IF(OR(_xlpm.v=0, _xlpm.v=""), "", _xlpm.v))</f>
        <v/>
      </c>
      <c r="I3872" t="str">
        <f>_xlfn.LET(_xlpm.v, IFERROR(VLOOKUP($A3872, manifest!$A:$E, 5, FALSE), ""), IF(OR(_xlpm.v=0, _xlpm.v=""), "", _xlpm.v))</f>
        <v/>
      </c>
    </row>
    <row r="3873" spans="1:9" x14ac:dyDescent="0.6">
      <c r="A3873" t="s">
        <v>43</v>
      </c>
      <c r="B3873" t="s">
        <v>14</v>
      </c>
      <c r="C3873" t="s">
        <v>12</v>
      </c>
      <c r="D3873">
        <v>206.56</v>
      </c>
      <c r="E3873">
        <v>202.09</v>
      </c>
      <c r="F3873">
        <v>37494</v>
      </c>
      <c r="H3873" t="str">
        <f>_xlfn.LET(_xlpm.v, IFERROR(VLOOKUP($A3873, manifest!$A:$E, 3, FALSE), ""), IF(OR(_xlpm.v=0, _xlpm.v=""), "", _xlpm.v))</f>
        <v/>
      </c>
      <c r="I3873" t="str">
        <f>_xlfn.LET(_xlpm.v, IFERROR(VLOOKUP($A3873, manifest!$A:$E, 5, FALSE), ""), IF(OR(_xlpm.v=0, _xlpm.v=""), "", _xlpm.v))</f>
        <v/>
      </c>
    </row>
    <row r="3874" spans="1:9" x14ac:dyDescent="0.6">
      <c r="A3874" t="s">
        <v>43</v>
      </c>
      <c r="B3874" t="s">
        <v>14</v>
      </c>
      <c r="C3874" t="s">
        <v>13</v>
      </c>
      <c r="D3874">
        <v>225</v>
      </c>
      <c r="E3874">
        <v>167.42</v>
      </c>
      <c r="F3874">
        <v>33344</v>
      </c>
      <c r="H3874" t="str">
        <f>_xlfn.LET(_xlpm.v, IFERROR(VLOOKUP($A3874, manifest!$A:$E, 3, FALSE), ""), IF(OR(_xlpm.v=0, _xlpm.v=""), "", _xlpm.v))</f>
        <v/>
      </c>
      <c r="I3874" t="str">
        <f>_xlfn.LET(_xlpm.v, IFERROR(VLOOKUP($A3874, manifest!$A:$E, 5, FALSE), ""), IF(OR(_xlpm.v=0, _xlpm.v=""), "", _xlpm.v))</f>
        <v/>
      </c>
    </row>
    <row r="3875" spans="1:9" x14ac:dyDescent="0.6">
      <c r="A3875" t="s">
        <v>44</v>
      </c>
      <c r="B3875" t="s">
        <v>14</v>
      </c>
      <c r="C3875" t="s">
        <v>8</v>
      </c>
      <c r="D3875">
        <v>185.27</v>
      </c>
      <c r="E3875">
        <v>154.69999999999999</v>
      </c>
      <c r="F3875">
        <v>56498</v>
      </c>
      <c r="G3875" t="s">
        <v>9</v>
      </c>
      <c r="H3875" t="str">
        <f>_xlfn.LET(_xlpm.v, IFERROR(VLOOKUP($A3875, manifest!$A:$E, 3, FALSE), ""), IF(OR(_xlpm.v=0, _xlpm.v=""), "", _xlpm.v))</f>
        <v/>
      </c>
      <c r="I3875" t="str">
        <f>_xlfn.LET(_xlpm.v, IFERROR(VLOOKUP($A3875, manifest!$A:$E, 5, FALSE), ""), IF(OR(_xlpm.v=0, _xlpm.v=""), "", _xlpm.v))</f>
        <v/>
      </c>
    </row>
    <row r="3876" spans="1:9" x14ac:dyDescent="0.6">
      <c r="A3876" t="s">
        <v>44</v>
      </c>
      <c r="B3876" t="s">
        <v>14</v>
      </c>
      <c r="C3876" t="s">
        <v>10</v>
      </c>
      <c r="D3876">
        <v>187.66</v>
      </c>
      <c r="E3876">
        <v>188.42</v>
      </c>
      <c r="F3876">
        <v>61735</v>
      </c>
      <c r="H3876" t="str">
        <f>_xlfn.LET(_xlpm.v, IFERROR(VLOOKUP($A3876, manifest!$A:$E, 3, FALSE), ""), IF(OR(_xlpm.v=0, _xlpm.v=""), "", _xlpm.v))</f>
        <v/>
      </c>
      <c r="I3876" t="str">
        <f>_xlfn.LET(_xlpm.v, IFERROR(VLOOKUP($A3876, manifest!$A:$E, 5, FALSE), ""), IF(OR(_xlpm.v=0, _xlpm.v=""), "", _xlpm.v))</f>
        <v/>
      </c>
    </row>
    <row r="3877" spans="1:9" x14ac:dyDescent="0.6">
      <c r="A3877" t="s">
        <v>44</v>
      </c>
      <c r="B3877" t="s">
        <v>14</v>
      </c>
      <c r="C3877" t="s">
        <v>11</v>
      </c>
      <c r="D3877">
        <v>172.66</v>
      </c>
      <c r="E3877">
        <v>187.38</v>
      </c>
      <c r="F3877">
        <v>70374</v>
      </c>
      <c r="H3877" t="str">
        <f>_xlfn.LET(_xlpm.v, IFERROR(VLOOKUP($A3877, manifest!$A:$E, 3, FALSE), ""), IF(OR(_xlpm.v=0, _xlpm.v=""), "", _xlpm.v))</f>
        <v/>
      </c>
      <c r="I3877" t="str">
        <f>_xlfn.LET(_xlpm.v, IFERROR(VLOOKUP($A3877, manifest!$A:$E, 5, FALSE), ""), IF(OR(_xlpm.v=0, _xlpm.v=""), "", _xlpm.v))</f>
        <v/>
      </c>
    </row>
    <row r="3878" spans="1:9" x14ac:dyDescent="0.6">
      <c r="A3878" t="s">
        <v>44</v>
      </c>
      <c r="B3878" t="s">
        <v>14</v>
      </c>
      <c r="C3878" t="s">
        <v>12</v>
      </c>
      <c r="D3878">
        <v>162.6</v>
      </c>
      <c r="E3878">
        <v>179.32</v>
      </c>
      <c r="F3878">
        <v>83068</v>
      </c>
      <c r="H3878" t="str">
        <f>_xlfn.LET(_xlpm.v, IFERROR(VLOOKUP($A3878, manifest!$A:$E, 3, FALSE), ""), IF(OR(_xlpm.v=0, _xlpm.v=""), "", _xlpm.v))</f>
        <v/>
      </c>
      <c r="I3878" t="str">
        <f>_xlfn.LET(_xlpm.v, IFERROR(VLOOKUP($A3878, manifest!$A:$E, 5, FALSE), ""), IF(OR(_xlpm.v=0, _xlpm.v=""), "", _xlpm.v))</f>
        <v/>
      </c>
    </row>
    <row r="3879" spans="1:9" x14ac:dyDescent="0.6">
      <c r="A3879" t="s">
        <v>44</v>
      </c>
      <c r="B3879" t="s">
        <v>14</v>
      </c>
      <c r="C3879" t="s">
        <v>13</v>
      </c>
      <c r="D3879">
        <v>167.25</v>
      </c>
      <c r="E3879">
        <v>171.54</v>
      </c>
      <c r="F3879">
        <v>86219</v>
      </c>
      <c r="H3879" t="str">
        <f>_xlfn.LET(_xlpm.v, IFERROR(VLOOKUP($A3879, manifest!$A:$E, 3, FALSE), ""), IF(OR(_xlpm.v=0, _xlpm.v=""), "", _xlpm.v))</f>
        <v/>
      </c>
      <c r="I3879" t="str">
        <f>_xlfn.LET(_xlpm.v, IFERROR(VLOOKUP($A3879, manifest!$A:$E, 5, FALSE), ""), IF(OR(_xlpm.v=0, _xlpm.v=""), "", _xlpm.v))</f>
        <v/>
      </c>
    </row>
    <row r="3880" spans="1:9" x14ac:dyDescent="0.6">
      <c r="A3880" t="s">
        <v>45</v>
      </c>
      <c r="B3880" t="s">
        <v>14</v>
      </c>
      <c r="C3880" t="s">
        <v>8</v>
      </c>
      <c r="D3880">
        <v>225.76</v>
      </c>
      <c r="E3880">
        <v>197.26</v>
      </c>
      <c r="F3880">
        <v>30687</v>
      </c>
      <c r="G3880" t="s">
        <v>9</v>
      </c>
      <c r="H3880" t="str">
        <f>_xlfn.LET(_xlpm.v, IFERROR(VLOOKUP($A3880, manifest!$A:$E, 3, FALSE), ""), IF(OR(_xlpm.v=0, _xlpm.v=""), "", _xlpm.v))</f>
        <v/>
      </c>
      <c r="I3880" t="str">
        <f>_xlfn.LET(_xlpm.v, IFERROR(VLOOKUP($A3880, manifest!$A:$E, 5, FALSE), ""), IF(OR(_xlpm.v=0, _xlpm.v=""), "", _xlpm.v))</f>
        <v/>
      </c>
    </row>
    <row r="3881" spans="1:9" x14ac:dyDescent="0.6">
      <c r="A3881" t="s">
        <v>45</v>
      </c>
      <c r="B3881" t="s">
        <v>14</v>
      </c>
      <c r="C3881" t="s">
        <v>10</v>
      </c>
      <c r="D3881">
        <v>209.32</v>
      </c>
      <c r="E3881">
        <v>210.21</v>
      </c>
      <c r="F3881">
        <v>33255</v>
      </c>
      <c r="H3881" t="str">
        <f>_xlfn.LET(_xlpm.v, IFERROR(VLOOKUP($A3881, manifest!$A:$E, 3, FALSE), ""), IF(OR(_xlpm.v=0, _xlpm.v=""), "", _xlpm.v))</f>
        <v/>
      </c>
      <c r="I3881" t="str">
        <f>_xlfn.LET(_xlpm.v, IFERROR(VLOOKUP($A3881, manifest!$A:$E, 5, FALSE), ""), IF(OR(_xlpm.v=0, _xlpm.v=""), "", _xlpm.v))</f>
        <v/>
      </c>
    </row>
    <row r="3882" spans="1:9" x14ac:dyDescent="0.6">
      <c r="A3882" t="s">
        <v>45</v>
      </c>
      <c r="B3882" t="s">
        <v>14</v>
      </c>
      <c r="C3882" t="s">
        <v>11</v>
      </c>
      <c r="D3882">
        <v>218.8</v>
      </c>
      <c r="E3882">
        <v>238.75</v>
      </c>
      <c r="F3882">
        <v>36427</v>
      </c>
      <c r="H3882" t="str">
        <f>_xlfn.LET(_xlpm.v, IFERROR(VLOOKUP($A3882, manifest!$A:$E, 3, FALSE), ""), IF(OR(_xlpm.v=0, _xlpm.v=""), "", _xlpm.v))</f>
        <v/>
      </c>
      <c r="I3882" t="str">
        <f>_xlfn.LET(_xlpm.v, IFERROR(VLOOKUP($A3882, manifest!$A:$E, 5, FALSE), ""), IF(OR(_xlpm.v=0, _xlpm.v=""), "", _xlpm.v))</f>
        <v/>
      </c>
    </row>
    <row r="3883" spans="1:9" x14ac:dyDescent="0.6">
      <c r="A3883" t="s">
        <v>45</v>
      </c>
      <c r="B3883" t="s">
        <v>14</v>
      </c>
      <c r="C3883" t="s">
        <v>12</v>
      </c>
      <c r="D3883">
        <v>236.46</v>
      </c>
      <c r="E3883">
        <v>226.26</v>
      </c>
      <c r="F3883">
        <v>54844</v>
      </c>
      <c r="H3883" t="str">
        <f>_xlfn.LET(_xlpm.v, IFERROR(VLOOKUP($A3883, manifest!$A:$E, 3, FALSE), ""), IF(OR(_xlpm.v=0, _xlpm.v=""), "", _xlpm.v))</f>
        <v/>
      </c>
      <c r="I3883" t="str">
        <f>_xlfn.LET(_xlpm.v, IFERROR(VLOOKUP($A3883, manifest!$A:$E, 5, FALSE), ""), IF(OR(_xlpm.v=0, _xlpm.v=""), "", _xlpm.v))</f>
        <v/>
      </c>
    </row>
    <row r="3884" spans="1:9" x14ac:dyDescent="0.6">
      <c r="A3884" t="s">
        <v>45</v>
      </c>
      <c r="B3884" t="s">
        <v>14</v>
      </c>
      <c r="C3884" t="s">
        <v>13</v>
      </c>
      <c r="D3884">
        <v>210.08</v>
      </c>
      <c r="E3884">
        <v>205.07</v>
      </c>
      <c r="F3884">
        <v>55789</v>
      </c>
      <c r="H3884" t="str">
        <f>_xlfn.LET(_xlpm.v, IFERROR(VLOOKUP($A3884, manifest!$A:$E, 3, FALSE), ""), IF(OR(_xlpm.v=0, _xlpm.v=""), "", _xlpm.v))</f>
        <v/>
      </c>
      <c r="I3884" t="str">
        <f>_xlfn.LET(_xlpm.v, IFERROR(VLOOKUP($A3884, manifest!$A:$E, 5, FALSE), ""), IF(OR(_xlpm.v=0, _xlpm.v=""), "", _xlpm.v))</f>
        <v/>
      </c>
    </row>
    <row r="3885" spans="1:9" x14ac:dyDescent="0.6">
      <c r="A3885" t="s">
        <v>46</v>
      </c>
      <c r="B3885" t="s">
        <v>14</v>
      </c>
      <c r="C3885" t="s">
        <v>8</v>
      </c>
      <c r="D3885">
        <v>314.48</v>
      </c>
      <c r="E3885">
        <v>211.39</v>
      </c>
      <c r="F3885">
        <v>33086</v>
      </c>
      <c r="G3885" t="s">
        <v>9</v>
      </c>
      <c r="H3885" t="str">
        <f>_xlfn.LET(_xlpm.v, IFERROR(VLOOKUP($A3885, manifest!$A:$E, 3, FALSE), ""), IF(OR(_xlpm.v=0, _xlpm.v=""), "", _xlpm.v))</f>
        <v/>
      </c>
      <c r="I3885" t="str">
        <f>_xlfn.LET(_xlpm.v, IFERROR(VLOOKUP($A3885, manifest!$A:$E, 5, FALSE), ""), IF(OR(_xlpm.v=0, _xlpm.v=""), "", _xlpm.v))</f>
        <v/>
      </c>
    </row>
    <row r="3886" spans="1:9" x14ac:dyDescent="0.6">
      <c r="A3886" t="s">
        <v>46</v>
      </c>
      <c r="B3886" t="s">
        <v>14</v>
      </c>
      <c r="C3886" t="s">
        <v>10</v>
      </c>
      <c r="D3886">
        <v>316.85000000000002</v>
      </c>
      <c r="E3886">
        <v>220.07</v>
      </c>
      <c r="F3886">
        <v>43233</v>
      </c>
      <c r="H3886" t="str">
        <f>_xlfn.LET(_xlpm.v, IFERROR(VLOOKUP($A3886, manifest!$A:$E, 3, FALSE), ""), IF(OR(_xlpm.v=0, _xlpm.v=""), "", _xlpm.v))</f>
        <v/>
      </c>
      <c r="I3886" t="str">
        <f>_xlfn.LET(_xlpm.v, IFERROR(VLOOKUP($A3886, manifest!$A:$E, 5, FALSE), ""), IF(OR(_xlpm.v=0, _xlpm.v=""), "", _xlpm.v))</f>
        <v/>
      </c>
    </row>
    <row r="3887" spans="1:9" x14ac:dyDescent="0.6">
      <c r="A3887" t="s">
        <v>46</v>
      </c>
      <c r="B3887" t="s">
        <v>14</v>
      </c>
      <c r="C3887" t="s">
        <v>11</v>
      </c>
      <c r="D3887">
        <v>309.52999999999997</v>
      </c>
      <c r="E3887">
        <v>210.16</v>
      </c>
      <c r="F3887">
        <v>43558</v>
      </c>
      <c r="H3887" t="str">
        <f>_xlfn.LET(_xlpm.v, IFERROR(VLOOKUP($A3887, manifest!$A:$E, 3, FALSE), ""), IF(OR(_xlpm.v=0, _xlpm.v=""), "", _xlpm.v))</f>
        <v/>
      </c>
      <c r="I3887" t="str">
        <f>_xlfn.LET(_xlpm.v, IFERROR(VLOOKUP($A3887, manifest!$A:$E, 5, FALSE), ""), IF(OR(_xlpm.v=0, _xlpm.v=""), "", _xlpm.v))</f>
        <v/>
      </c>
    </row>
    <row r="3888" spans="1:9" x14ac:dyDescent="0.6">
      <c r="A3888" t="s">
        <v>46</v>
      </c>
      <c r="B3888" t="s">
        <v>14</v>
      </c>
      <c r="C3888" t="s">
        <v>12</v>
      </c>
      <c r="D3888">
        <v>317.56</v>
      </c>
      <c r="E3888">
        <v>222.61</v>
      </c>
      <c r="F3888">
        <v>54529</v>
      </c>
      <c r="H3888" t="str">
        <f>_xlfn.LET(_xlpm.v, IFERROR(VLOOKUP($A3888, manifest!$A:$E, 3, FALSE), ""), IF(OR(_xlpm.v=0, _xlpm.v=""), "", _xlpm.v))</f>
        <v/>
      </c>
      <c r="I3888" t="str">
        <f>_xlfn.LET(_xlpm.v, IFERROR(VLOOKUP($A3888, manifest!$A:$E, 5, FALSE), ""), IF(OR(_xlpm.v=0, _xlpm.v=""), "", _xlpm.v))</f>
        <v/>
      </c>
    </row>
    <row r="3889" spans="1:9" x14ac:dyDescent="0.6">
      <c r="A3889" t="s">
        <v>46</v>
      </c>
      <c r="B3889" t="s">
        <v>14</v>
      </c>
      <c r="C3889" t="s">
        <v>13</v>
      </c>
      <c r="D3889">
        <v>301.02999999999997</v>
      </c>
      <c r="E3889">
        <v>188.75</v>
      </c>
      <c r="F3889">
        <v>49647</v>
      </c>
      <c r="H3889" t="str">
        <f>_xlfn.LET(_xlpm.v, IFERROR(VLOOKUP($A3889, manifest!$A:$E, 3, FALSE), ""), IF(OR(_xlpm.v=0, _xlpm.v=""), "", _xlpm.v))</f>
        <v/>
      </c>
      <c r="I3889" t="str">
        <f>_xlfn.LET(_xlpm.v, IFERROR(VLOOKUP($A3889, manifest!$A:$E, 5, FALSE), ""), IF(OR(_xlpm.v=0, _xlpm.v=""), "", _xlpm.v))</f>
        <v/>
      </c>
    </row>
    <row r="3890" spans="1:9" x14ac:dyDescent="0.6">
      <c r="A3890" t="s">
        <v>47</v>
      </c>
      <c r="B3890" t="s">
        <v>14</v>
      </c>
      <c r="C3890" t="s">
        <v>8</v>
      </c>
      <c r="D3890">
        <v>197.03</v>
      </c>
      <c r="E3890">
        <v>129.78</v>
      </c>
      <c r="F3890">
        <v>34769</v>
      </c>
      <c r="G3890" t="s">
        <v>9</v>
      </c>
      <c r="H3890" t="str">
        <f>_xlfn.LET(_xlpm.v, IFERROR(VLOOKUP($A3890, manifest!$A:$E, 3, FALSE), ""), IF(OR(_xlpm.v=0, _xlpm.v=""), "", _xlpm.v))</f>
        <v/>
      </c>
      <c r="I3890" t="str">
        <f>_xlfn.LET(_xlpm.v, IFERROR(VLOOKUP($A3890, manifest!$A:$E, 5, FALSE), ""), IF(OR(_xlpm.v=0, _xlpm.v=""), "", _xlpm.v))</f>
        <v/>
      </c>
    </row>
    <row r="3891" spans="1:9" x14ac:dyDescent="0.6">
      <c r="A3891" t="s">
        <v>47</v>
      </c>
      <c r="B3891" t="s">
        <v>14</v>
      </c>
      <c r="C3891" t="s">
        <v>10</v>
      </c>
      <c r="D3891">
        <v>211.82</v>
      </c>
      <c r="E3891">
        <v>184.2</v>
      </c>
      <c r="F3891">
        <v>36836</v>
      </c>
      <c r="H3891" t="str">
        <f>_xlfn.LET(_xlpm.v, IFERROR(VLOOKUP($A3891, manifest!$A:$E, 3, FALSE), ""), IF(OR(_xlpm.v=0, _xlpm.v=""), "", _xlpm.v))</f>
        <v/>
      </c>
      <c r="I3891" t="str">
        <f>_xlfn.LET(_xlpm.v, IFERROR(VLOOKUP($A3891, manifest!$A:$E, 5, FALSE), ""), IF(OR(_xlpm.v=0, _xlpm.v=""), "", _xlpm.v))</f>
        <v/>
      </c>
    </row>
    <row r="3892" spans="1:9" x14ac:dyDescent="0.6">
      <c r="A3892" t="s">
        <v>47</v>
      </c>
      <c r="B3892" t="s">
        <v>14</v>
      </c>
      <c r="C3892" t="s">
        <v>11</v>
      </c>
      <c r="D3892">
        <v>202.24</v>
      </c>
      <c r="E3892">
        <v>168.06</v>
      </c>
      <c r="F3892">
        <v>38385</v>
      </c>
      <c r="H3892" t="str">
        <f>_xlfn.LET(_xlpm.v, IFERROR(VLOOKUP($A3892, manifest!$A:$E, 3, FALSE), ""), IF(OR(_xlpm.v=0, _xlpm.v=""), "", _xlpm.v))</f>
        <v/>
      </c>
      <c r="I3892" t="str">
        <f>_xlfn.LET(_xlpm.v, IFERROR(VLOOKUP($A3892, manifest!$A:$E, 5, FALSE), ""), IF(OR(_xlpm.v=0, _xlpm.v=""), "", _xlpm.v))</f>
        <v/>
      </c>
    </row>
    <row r="3893" spans="1:9" x14ac:dyDescent="0.6">
      <c r="A3893" t="s">
        <v>47</v>
      </c>
      <c r="B3893" t="s">
        <v>14</v>
      </c>
      <c r="C3893" t="s">
        <v>12</v>
      </c>
      <c r="D3893">
        <v>197.06</v>
      </c>
      <c r="E3893">
        <v>169.5</v>
      </c>
      <c r="F3893">
        <v>59838</v>
      </c>
      <c r="H3893" t="str">
        <f>_xlfn.LET(_xlpm.v, IFERROR(VLOOKUP($A3893, manifest!$A:$E, 3, FALSE), ""), IF(OR(_xlpm.v=0, _xlpm.v=""), "", _xlpm.v))</f>
        <v/>
      </c>
      <c r="I3893" t="str">
        <f>_xlfn.LET(_xlpm.v, IFERROR(VLOOKUP($A3893, manifest!$A:$E, 5, FALSE), ""), IF(OR(_xlpm.v=0, _xlpm.v=""), "", _xlpm.v))</f>
        <v/>
      </c>
    </row>
    <row r="3894" spans="1:9" x14ac:dyDescent="0.6">
      <c r="A3894" t="s">
        <v>47</v>
      </c>
      <c r="B3894" t="s">
        <v>14</v>
      </c>
      <c r="C3894" t="s">
        <v>13</v>
      </c>
      <c r="D3894">
        <v>187.34</v>
      </c>
      <c r="E3894">
        <v>140.72</v>
      </c>
      <c r="F3894">
        <v>52869</v>
      </c>
      <c r="H3894" t="str">
        <f>_xlfn.LET(_xlpm.v, IFERROR(VLOOKUP($A3894, manifest!$A:$E, 3, FALSE), ""), IF(OR(_xlpm.v=0, _xlpm.v=""), "", _xlpm.v))</f>
        <v/>
      </c>
      <c r="I3894" t="str">
        <f>_xlfn.LET(_xlpm.v, IFERROR(VLOOKUP($A3894, manifest!$A:$E, 5, FALSE), ""), IF(OR(_xlpm.v=0, _xlpm.v=""), "", _xlpm.v))</f>
        <v/>
      </c>
    </row>
    <row r="3895" spans="1:9" x14ac:dyDescent="0.6">
      <c r="A3895" t="s">
        <v>48</v>
      </c>
      <c r="B3895" t="s">
        <v>14</v>
      </c>
      <c r="C3895" t="s">
        <v>8</v>
      </c>
      <c r="D3895">
        <v>226.53</v>
      </c>
      <c r="E3895">
        <v>116.5</v>
      </c>
      <c r="F3895">
        <v>35739</v>
      </c>
      <c r="G3895" t="s">
        <v>9</v>
      </c>
      <c r="H3895" t="str">
        <f>_xlfn.LET(_xlpm.v, IFERROR(VLOOKUP($A3895, manifest!$A:$E, 3, FALSE), ""), IF(OR(_xlpm.v=0, _xlpm.v=""), "", _xlpm.v))</f>
        <v/>
      </c>
      <c r="I3895" t="str">
        <f>_xlfn.LET(_xlpm.v, IFERROR(VLOOKUP($A3895, manifest!$A:$E, 5, FALSE), ""), IF(OR(_xlpm.v=0, _xlpm.v=""), "", _xlpm.v))</f>
        <v/>
      </c>
    </row>
    <row r="3896" spans="1:9" x14ac:dyDescent="0.6">
      <c r="A3896" t="s">
        <v>48</v>
      </c>
      <c r="B3896" t="s">
        <v>14</v>
      </c>
      <c r="C3896" t="s">
        <v>10</v>
      </c>
      <c r="D3896">
        <v>241.94</v>
      </c>
      <c r="E3896">
        <v>172.01</v>
      </c>
      <c r="F3896">
        <v>35605</v>
      </c>
      <c r="H3896" t="str">
        <f>_xlfn.LET(_xlpm.v, IFERROR(VLOOKUP($A3896, manifest!$A:$E, 3, FALSE), ""), IF(OR(_xlpm.v=0, _xlpm.v=""), "", _xlpm.v))</f>
        <v/>
      </c>
      <c r="I3896" t="str">
        <f>_xlfn.LET(_xlpm.v, IFERROR(VLOOKUP($A3896, manifest!$A:$E, 5, FALSE), ""), IF(OR(_xlpm.v=0, _xlpm.v=""), "", _xlpm.v))</f>
        <v/>
      </c>
    </row>
    <row r="3897" spans="1:9" x14ac:dyDescent="0.6">
      <c r="A3897" t="s">
        <v>48</v>
      </c>
      <c r="B3897" t="s">
        <v>14</v>
      </c>
      <c r="C3897" t="s">
        <v>11</v>
      </c>
      <c r="D3897">
        <v>235.2</v>
      </c>
      <c r="E3897">
        <v>169.12</v>
      </c>
      <c r="F3897">
        <v>41115</v>
      </c>
      <c r="H3897" t="str">
        <f>_xlfn.LET(_xlpm.v, IFERROR(VLOOKUP($A3897, manifest!$A:$E, 3, FALSE), ""), IF(OR(_xlpm.v=0, _xlpm.v=""), "", _xlpm.v))</f>
        <v/>
      </c>
      <c r="I3897" t="str">
        <f>_xlfn.LET(_xlpm.v, IFERROR(VLOOKUP($A3897, manifest!$A:$E, 5, FALSE), ""), IF(OR(_xlpm.v=0, _xlpm.v=""), "", _xlpm.v))</f>
        <v/>
      </c>
    </row>
    <row r="3898" spans="1:9" x14ac:dyDescent="0.6">
      <c r="A3898" t="s">
        <v>48</v>
      </c>
      <c r="B3898" t="s">
        <v>14</v>
      </c>
      <c r="C3898" t="s">
        <v>12</v>
      </c>
      <c r="D3898">
        <v>276.91000000000003</v>
      </c>
      <c r="E3898">
        <v>245.15</v>
      </c>
      <c r="F3898">
        <v>42767</v>
      </c>
      <c r="H3898" t="str">
        <f>_xlfn.LET(_xlpm.v, IFERROR(VLOOKUP($A3898, manifest!$A:$E, 3, FALSE), ""), IF(OR(_xlpm.v=0, _xlpm.v=""), "", _xlpm.v))</f>
        <v/>
      </c>
      <c r="I3898" t="str">
        <f>_xlfn.LET(_xlpm.v, IFERROR(VLOOKUP($A3898, manifest!$A:$E, 5, FALSE), ""), IF(OR(_xlpm.v=0, _xlpm.v=""), "", _xlpm.v))</f>
        <v/>
      </c>
    </row>
    <row r="3899" spans="1:9" x14ac:dyDescent="0.6">
      <c r="A3899" t="s">
        <v>48</v>
      </c>
      <c r="B3899" t="s">
        <v>14</v>
      </c>
      <c r="C3899" t="s">
        <v>13</v>
      </c>
      <c r="D3899">
        <v>235.83</v>
      </c>
      <c r="E3899">
        <v>212.88</v>
      </c>
      <c r="F3899">
        <v>59649</v>
      </c>
      <c r="H3899" t="str">
        <f>_xlfn.LET(_xlpm.v, IFERROR(VLOOKUP($A3899, manifest!$A:$E, 3, FALSE), ""), IF(OR(_xlpm.v=0, _xlpm.v=""), "", _xlpm.v))</f>
        <v/>
      </c>
      <c r="I3899" t="str">
        <f>_xlfn.LET(_xlpm.v, IFERROR(VLOOKUP($A3899, manifest!$A:$E, 5, FALSE), ""), IF(OR(_xlpm.v=0, _xlpm.v=""), "", _xlpm.v))</f>
        <v/>
      </c>
    </row>
    <row r="3900" spans="1:9" x14ac:dyDescent="0.6">
      <c r="A3900" t="s">
        <v>49</v>
      </c>
      <c r="B3900" t="s">
        <v>14</v>
      </c>
      <c r="C3900" t="s">
        <v>8</v>
      </c>
      <c r="D3900">
        <v>217.53</v>
      </c>
      <c r="E3900">
        <v>118.28</v>
      </c>
      <c r="F3900">
        <v>25082</v>
      </c>
      <c r="G3900" t="s">
        <v>9</v>
      </c>
      <c r="H3900" t="str">
        <f>_xlfn.LET(_xlpm.v, IFERROR(VLOOKUP($A3900, manifest!$A:$E, 3, FALSE), ""), IF(OR(_xlpm.v=0, _xlpm.v=""), "", _xlpm.v))</f>
        <v/>
      </c>
      <c r="I3900" t="str">
        <f>_xlfn.LET(_xlpm.v, IFERROR(VLOOKUP($A3900, manifest!$A:$E, 5, FALSE), ""), IF(OR(_xlpm.v=0, _xlpm.v=""), "", _xlpm.v))</f>
        <v/>
      </c>
    </row>
    <row r="3901" spans="1:9" x14ac:dyDescent="0.6">
      <c r="A3901" t="s">
        <v>49</v>
      </c>
      <c r="B3901" t="s">
        <v>14</v>
      </c>
      <c r="C3901" t="s">
        <v>10</v>
      </c>
      <c r="D3901">
        <v>220.09</v>
      </c>
      <c r="E3901">
        <v>120.63</v>
      </c>
      <c r="F3901">
        <v>26122</v>
      </c>
      <c r="H3901" t="str">
        <f>_xlfn.LET(_xlpm.v, IFERROR(VLOOKUP($A3901, manifest!$A:$E, 3, FALSE), ""), IF(OR(_xlpm.v=0, _xlpm.v=""), "", _xlpm.v))</f>
        <v/>
      </c>
      <c r="I3901" t="str">
        <f>_xlfn.LET(_xlpm.v, IFERROR(VLOOKUP($A3901, manifest!$A:$E, 5, FALSE), ""), IF(OR(_xlpm.v=0, _xlpm.v=""), "", _xlpm.v))</f>
        <v/>
      </c>
    </row>
    <row r="3902" spans="1:9" x14ac:dyDescent="0.6">
      <c r="A3902" t="s">
        <v>49</v>
      </c>
      <c r="B3902" t="s">
        <v>14</v>
      </c>
      <c r="C3902" t="s">
        <v>11</v>
      </c>
      <c r="D3902">
        <v>219.24</v>
      </c>
      <c r="E3902">
        <v>137.56</v>
      </c>
      <c r="F3902">
        <v>32397</v>
      </c>
      <c r="H3902" t="str">
        <f>_xlfn.LET(_xlpm.v, IFERROR(VLOOKUP($A3902, manifest!$A:$E, 3, FALSE), ""), IF(OR(_xlpm.v=0, _xlpm.v=""), "", _xlpm.v))</f>
        <v/>
      </c>
      <c r="I3902" t="str">
        <f>_xlfn.LET(_xlpm.v, IFERROR(VLOOKUP($A3902, manifest!$A:$E, 5, FALSE), ""), IF(OR(_xlpm.v=0, _xlpm.v=""), "", _xlpm.v))</f>
        <v/>
      </c>
    </row>
    <row r="3903" spans="1:9" x14ac:dyDescent="0.6">
      <c r="A3903" t="s">
        <v>49</v>
      </c>
      <c r="B3903" t="s">
        <v>14</v>
      </c>
      <c r="C3903" t="s">
        <v>12</v>
      </c>
      <c r="D3903">
        <v>221.14</v>
      </c>
      <c r="E3903">
        <v>153.72</v>
      </c>
      <c r="F3903">
        <v>39144</v>
      </c>
      <c r="H3903" t="str">
        <f>_xlfn.LET(_xlpm.v, IFERROR(VLOOKUP($A3903, manifest!$A:$E, 3, FALSE), ""), IF(OR(_xlpm.v=0, _xlpm.v=""), "", _xlpm.v))</f>
        <v/>
      </c>
      <c r="I3903" t="str">
        <f>_xlfn.LET(_xlpm.v, IFERROR(VLOOKUP($A3903, manifest!$A:$E, 5, FALSE), ""), IF(OR(_xlpm.v=0, _xlpm.v=""), "", _xlpm.v))</f>
        <v/>
      </c>
    </row>
    <row r="3904" spans="1:9" x14ac:dyDescent="0.6">
      <c r="A3904" t="s">
        <v>49</v>
      </c>
      <c r="B3904" t="s">
        <v>14</v>
      </c>
      <c r="C3904" t="s">
        <v>13</v>
      </c>
      <c r="D3904">
        <v>230.64</v>
      </c>
      <c r="E3904">
        <v>152.79</v>
      </c>
      <c r="F3904">
        <v>44664</v>
      </c>
      <c r="H3904" t="str">
        <f>_xlfn.LET(_xlpm.v, IFERROR(VLOOKUP($A3904, manifest!$A:$E, 3, FALSE), ""), IF(OR(_xlpm.v=0, _xlpm.v=""), "", _xlpm.v))</f>
        <v/>
      </c>
      <c r="I3904" t="str">
        <f>_xlfn.LET(_xlpm.v, IFERROR(VLOOKUP($A3904, manifest!$A:$E, 5, FALSE), ""), IF(OR(_xlpm.v=0, _xlpm.v=""), "", _xlpm.v))</f>
        <v/>
      </c>
    </row>
    <row r="3905" spans="1:9" x14ac:dyDescent="0.6">
      <c r="A3905" t="s">
        <v>50</v>
      </c>
      <c r="B3905" t="s">
        <v>14</v>
      </c>
      <c r="C3905" t="s">
        <v>8</v>
      </c>
      <c r="D3905">
        <v>155.53</v>
      </c>
      <c r="E3905">
        <v>93.87</v>
      </c>
      <c r="F3905">
        <v>34155</v>
      </c>
      <c r="G3905" t="s">
        <v>15</v>
      </c>
      <c r="H3905" t="str">
        <f>_xlfn.LET(_xlpm.v, IFERROR(VLOOKUP($A3905, manifest!$A:$E, 3, FALSE), ""), IF(OR(_xlpm.v=0, _xlpm.v=""), "", _xlpm.v))</f>
        <v/>
      </c>
      <c r="I3905" t="str">
        <f>_xlfn.LET(_xlpm.v, IFERROR(VLOOKUP($A3905, manifest!$A:$E, 5, FALSE), ""), IF(OR(_xlpm.v=0, _xlpm.v=""), "", _xlpm.v))</f>
        <v/>
      </c>
    </row>
    <row r="3906" spans="1:9" x14ac:dyDescent="0.6">
      <c r="A3906" t="s">
        <v>50</v>
      </c>
      <c r="B3906" t="s">
        <v>14</v>
      </c>
      <c r="C3906" t="s">
        <v>10</v>
      </c>
      <c r="D3906">
        <v>153.82</v>
      </c>
      <c r="E3906">
        <v>99.83</v>
      </c>
      <c r="F3906">
        <v>34406</v>
      </c>
      <c r="H3906" t="str">
        <f>_xlfn.LET(_xlpm.v, IFERROR(VLOOKUP($A3906, manifest!$A:$E, 3, FALSE), ""), IF(OR(_xlpm.v=0, _xlpm.v=""), "", _xlpm.v))</f>
        <v/>
      </c>
      <c r="I3906" t="str">
        <f>_xlfn.LET(_xlpm.v, IFERROR(VLOOKUP($A3906, manifest!$A:$E, 5, FALSE), ""), IF(OR(_xlpm.v=0, _xlpm.v=""), "", _xlpm.v))</f>
        <v/>
      </c>
    </row>
    <row r="3907" spans="1:9" x14ac:dyDescent="0.6">
      <c r="A3907" t="s">
        <v>50</v>
      </c>
      <c r="B3907" t="s">
        <v>14</v>
      </c>
      <c r="C3907" t="s">
        <v>11</v>
      </c>
      <c r="D3907">
        <v>139.72</v>
      </c>
      <c r="E3907">
        <v>89.88</v>
      </c>
      <c r="F3907">
        <v>40865</v>
      </c>
      <c r="H3907" t="str">
        <f>_xlfn.LET(_xlpm.v, IFERROR(VLOOKUP($A3907, manifest!$A:$E, 3, FALSE), ""), IF(OR(_xlpm.v=0, _xlpm.v=""), "", _xlpm.v))</f>
        <v/>
      </c>
      <c r="I3907" t="str">
        <f>_xlfn.LET(_xlpm.v, IFERROR(VLOOKUP($A3907, manifest!$A:$E, 5, FALSE), ""), IF(OR(_xlpm.v=0, _xlpm.v=""), "", _xlpm.v))</f>
        <v/>
      </c>
    </row>
    <row r="3908" spans="1:9" x14ac:dyDescent="0.6">
      <c r="A3908" t="s">
        <v>50</v>
      </c>
      <c r="B3908" t="s">
        <v>14</v>
      </c>
      <c r="C3908" t="s">
        <v>12</v>
      </c>
      <c r="D3908">
        <v>196.53</v>
      </c>
      <c r="E3908">
        <v>152.31</v>
      </c>
      <c r="F3908">
        <v>43117</v>
      </c>
      <c r="H3908" t="str">
        <f>_xlfn.LET(_xlpm.v, IFERROR(VLOOKUP($A3908, manifest!$A:$E, 3, FALSE), ""), IF(OR(_xlpm.v=0, _xlpm.v=""), "", _xlpm.v))</f>
        <v/>
      </c>
      <c r="I3908" t="str">
        <f>_xlfn.LET(_xlpm.v, IFERROR(VLOOKUP($A3908, manifest!$A:$E, 5, FALSE), ""), IF(OR(_xlpm.v=0, _xlpm.v=""), "", _xlpm.v))</f>
        <v/>
      </c>
    </row>
    <row r="3909" spans="1:9" x14ac:dyDescent="0.6">
      <c r="A3909" t="s">
        <v>50</v>
      </c>
      <c r="B3909" t="s">
        <v>14</v>
      </c>
      <c r="C3909" t="s">
        <v>13</v>
      </c>
      <c r="D3909">
        <v>144.54</v>
      </c>
      <c r="E3909">
        <v>117.13</v>
      </c>
      <c r="F3909">
        <v>55534</v>
      </c>
      <c r="H3909" t="str">
        <f>_xlfn.LET(_xlpm.v, IFERROR(VLOOKUP($A3909, manifest!$A:$E, 3, FALSE), ""), IF(OR(_xlpm.v=0, _xlpm.v=""), "", _xlpm.v))</f>
        <v/>
      </c>
      <c r="I3909" t="str">
        <f>_xlfn.LET(_xlpm.v, IFERROR(VLOOKUP($A3909, manifest!$A:$E, 5, FALSE), ""), IF(OR(_xlpm.v=0, _xlpm.v=""), "", _xlpm.v))</f>
        <v/>
      </c>
    </row>
    <row r="3910" spans="1:9" x14ac:dyDescent="0.6">
      <c r="A3910" t="s">
        <v>51</v>
      </c>
      <c r="B3910" t="s">
        <v>14</v>
      </c>
      <c r="C3910" t="s">
        <v>8</v>
      </c>
      <c r="D3910">
        <v>213.96</v>
      </c>
      <c r="E3910">
        <v>181.27</v>
      </c>
      <c r="F3910">
        <v>36465</v>
      </c>
      <c r="G3910" t="s">
        <v>9</v>
      </c>
      <c r="H3910" t="str">
        <f>_xlfn.LET(_xlpm.v, IFERROR(VLOOKUP($A3910, manifest!$A:$E, 3, FALSE), ""), IF(OR(_xlpm.v=0, _xlpm.v=""), "", _xlpm.v))</f>
        <v/>
      </c>
      <c r="I3910" t="str">
        <f>_xlfn.LET(_xlpm.v, IFERROR(VLOOKUP($A3910, manifest!$A:$E, 5, FALSE), ""), IF(OR(_xlpm.v=0, _xlpm.v=""), "", _xlpm.v))</f>
        <v/>
      </c>
    </row>
    <row r="3911" spans="1:9" x14ac:dyDescent="0.6">
      <c r="A3911" t="s">
        <v>51</v>
      </c>
      <c r="B3911" t="s">
        <v>14</v>
      </c>
      <c r="C3911" t="s">
        <v>10</v>
      </c>
      <c r="D3911">
        <v>230.47</v>
      </c>
      <c r="E3911">
        <v>236.91</v>
      </c>
      <c r="F3911">
        <v>37701</v>
      </c>
      <c r="H3911" t="str">
        <f>_xlfn.LET(_xlpm.v, IFERROR(VLOOKUP($A3911, manifest!$A:$E, 3, FALSE), ""), IF(OR(_xlpm.v=0, _xlpm.v=""), "", _xlpm.v))</f>
        <v/>
      </c>
      <c r="I3911" t="str">
        <f>_xlfn.LET(_xlpm.v, IFERROR(VLOOKUP($A3911, manifest!$A:$E, 5, FALSE), ""), IF(OR(_xlpm.v=0, _xlpm.v=""), "", _xlpm.v))</f>
        <v/>
      </c>
    </row>
    <row r="3912" spans="1:9" x14ac:dyDescent="0.6">
      <c r="A3912" t="s">
        <v>51</v>
      </c>
      <c r="B3912" t="s">
        <v>14</v>
      </c>
      <c r="C3912" t="s">
        <v>11</v>
      </c>
      <c r="D3912">
        <v>207.24</v>
      </c>
      <c r="E3912">
        <v>213.7</v>
      </c>
      <c r="F3912">
        <v>47948</v>
      </c>
      <c r="H3912" t="str">
        <f>_xlfn.LET(_xlpm.v, IFERROR(VLOOKUP($A3912, manifest!$A:$E, 3, FALSE), ""), IF(OR(_xlpm.v=0, _xlpm.v=""), "", _xlpm.v))</f>
        <v/>
      </c>
      <c r="I3912" t="str">
        <f>_xlfn.LET(_xlpm.v, IFERROR(VLOOKUP($A3912, manifest!$A:$E, 5, FALSE), ""), IF(OR(_xlpm.v=0, _xlpm.v=""), "", _xlpm.v))</f>
        <v/>
      </c>
    </row>
    <row r="3913" spans="1:9" x14ac:dyDescent="0.6">
      <c r="A3913" t="s">
        <v>51</v>
      </c>
      <c r="B3913" t="s">
        <v>14</v>
      </c>
      <c r="C3913" t="s">
        <v>12</v>
      </c>
      <c r="D3913">
        <v>258.41000000000003</v>
      </c>
      <c r="E3913">
        <v>219.13</v>
      </c>
      <c r="F3913">
        <v>50133</v>
      </c>
      <c r="H3913" t="str">
        <f>_xlfn.LET(_xlpm.v, IFERROR(VLOOKUP($A3913, manifest!$A:$E, 3, FALSE), ""), IF(OR(_xlpm.v=0, _xlpm.v=""), "", _xlpm.v))</f>
        <v/>
      </c>
      <c r="I3913" t="str">
        <f>_xlfn.LET(_xlpm.v, IFERROR(VLOOKUP($A3913, manifest!$A:$E, 5, FALSE), ""), IF(OR(_xlpm.v=0, _xlpm.v=""), "", _xlpm.v))</f>
        <v/>
      </c>
    </row>
    <row r="3914" spans="1:9" x14ac:dyDescent="0.6">
      <c r="A3914" t="s">
        <v>51</v>
      </c>
      <c r="B3914" t="s">
        <v>14</v>
      </c>
      <c r="C3914" t="s">
        <v>13</v>
      </c>
      <c r="D3914">
        <v>353.47</v>
      </c>
      <c r="E3914">
        <v>236.24</v>
      </c>
      <c r="F3914">
        <v>51229</v>
      </c>
      <c r="H3914" t="str">
        <f>_xlfn.LET(_xlpm.v, IFERROR(VLOOKUP($A3914, manifest!$A:$E, 3, FALSE), ""), IF(OR(_xlpm.v=0, _xlpm.v=""), "", _xlpm.v))</f>
        <v/>
      </c>
      <c r="I3914" t="str">
        <f>_xlfn.LET(_xlpm.v, IFERROR(VLOOKUP($A3914, manifest!$A:$E, 5, FALSE), ""), IF(OR(_xlpm.v=0, _xlpm.v=""), "", _xlpm.v))</f>
        <v/>
      </c>
    </row>
  </sheetData>
  <autoFilter ref="G1:G3914" xr:uid="{6E723FD8-29D5-BE43-BE71-1676CB7397B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C866-BFBF-48DE-ACAE-BF7FCD32632F}">
  <dimension ref="A1:I783"/>
  <sheetViews>
    <sheetView workbookViewId="0">
      <selection activeCell="H6" sqref="H6"/>
    </sheetView>
  </sheetViews>
  <sheetFormatPr defaultRowHeight="15.6" x14ac:dyDescent="0.6"/>
  <sheetData>
    <row r="1" spans="1:9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</v>
      </c>
      <c r="I1" t="s">
        <v>53</v>
      </c>
    </row>
    <row r="2" spans="1:9" x14ac:dyDescent="0.6">
      <c r="A2">
        <v>36</v>
      </c>
      <c r="B2" t="s">
        <v>7</v>
      </c>
      <c r="C2" t="s">
        <v>8</v>
      </c>
      <c r="D2">
        <v>176</v>
      </c>
      <c r="E2">
        <v>138.97</v>
      </c>
      <c r="F2">
        <v>19792</v>
      </c>
      <c r="G2" t="s">
        <v>9</v>
      </c>
      <c r="H2">
        <v>69</v>
      </c>
      <c r="I2" t="s">
        <v>90</v>
      </c>
    </row>
    <row r="3" spans="1:9" x14ac:dyDescent="0.6">
      <c r="A3">
        <v>13</v>
      </c>
      <c r="B3" t="s">
        <v>7</v>
      </c>
      <c r="C3" t="s">
        <v>8</v>
      </c>
      <c r="D3">
        <v>255.84</v>
      </c>
      <c r="E3">
        <v>109.77</v>
      </c>
      <c r="F3">
        <v>23607</v>
      </c>
      <c r="G3" t="s">
        <v>9</v>
      </c>
      <c r="H3">
        <v>52</v>
      </c>
      <c r="I3" t="s">
        <v>90</v>
      </c>
    </row>
    <row r="4" spans="1:9" x14ac:dyDescent="0.6">
      <c r="A4">
        <v>26</v>
      </c>
      <c r="B4" t="s">
        <v>14</v>
      </c>
      <c r="C4" t="s">
        <v>8</v>
      </c>
      <c r="D4">
        <v>166.4</v>
      </c>
      <c r="E4">
        <v>122.52</v>
      </c>
      <c r="F4">
        <v>33167</v>
      </c>
      <c r="G4" t="s">
        <v>9</v>
      </c>
      <c r="H4">
        <v>51</v>
      </c>
      <c r="I4" t="s">
        <v>108</v>
      </c>
    </row>
    <row r="5" spans="1:9" x14ac:dyDescent="0.6">
      <c r="A5">
        <v>4</v>
      </c>
      <c r="B5" t="s">
        <v>14</v>
      </c>
      <c r="C5" t="s">
        <v>8</v>
      </c>
      <c r="D5">
        <v>123.53</v>
      </c>
      <c r="E5">
        <v>80.98</v>
      </c>
      <c r="F5">
        <v>32412</v>
      </c>
      <c r="G5" t="s">
        <v>15</v>
      </c>
      <c r="H5">
        <v>51</v>
      </c>
      <c r="I5" t="s">
        <v>108</v>
      </c>
    </row>
    <row r="6" spans="1:9" x14ac:dyDescent="0.6">
      <c r="A6">
        <v>42</v>
      </c>
      <c r="B6" t="s">
        <v>14</v>
      </c>
      <c r="C6" t="s">
        <v>8</v>
      </c>
      <c r="D6">
        <v>211.15</v>
      </c>
      <c r="E6">
        <v>144.6</v>
      </c>
      <c r="F6">
        <v>44198</v>
      </c>
      <c r="G6" t="s">
        <v>9</v>
      </c>
      <c r="H6">
        <v>52</v>
      </c>
      <c r="I6" t="s">
        <v>90</v>
      </c>
    </row>
    <row r="7" spans="1:9" x14ac:dyDescent="0.6">
      <c r="A7">
        <v>33</v>
      </c>
      <c r="B7" t="s">
        <v>7</v>
      </c>
      <c r="C7" t="s">
        <v>8</v>
      </c>
      <c r="D7">
        <v>260.27</v>
      </c>
      <c r="E7">
        <v>213.54</v>
      </c>
      <c r="F7">
        <v>26766</v>
      </c>
      <c r="G7" t="s">
        <v>9</v>
      </c>
      <c r="H7">
        <v>61</v>
      </c>
      <c r="I7" t="s">
        <v>90</v>
      </c>
    </row>
    <row r="8" spans="1:9" x14ac:dyDescent="0.6">
      <c r="A8">
        <v>6</v>
      </c>
      <c r="B8" t="s">
        <v>14</v>
      </c>
      <c r="C8" t="s">
        <v>8</v>
      </c>
      <c r="D8">
        <v>199.86</v>
      </c>
      <c r="E8">
        <v>194.47</v>
      </c>
      <c r="F8">
        <v>37076</v>
      </c>
      <c r="G8" t="s">
        <v>9</v>
      </c>
      <c r="H8">
        <v>50</v>
      </c>
      <c r="I8" t="s">
        <v>108</v>
      </c>
    </row>
    <row r="9" spans="1:9" x14ac:dyDescent="0.6">
      <c r="A9">
        <v>54</v>
      </c>
      <c r="B9" t="s">
        <v>14</v>
      </c>
      <c r="C9" t="s">
        <v>8</v>
      </c>
      <c r="D9">
        <v>199.32</v>
      </c>
      <c r="E9">
        <v>113.55</v>
      </c>
      <c r="F9">
        <v>21802</v>
      </c>
      <c r="G9" t="s">
        <v>9</v>
      </c>
      <c r="H9" t="s">
        <v>4732</v>
      </c>
      <c r="I9" t="s">
        <v>108</v>
      </c>
    </row>
    <row r="10" spans="1:9" x14ac:dyDescent="0.6">
      <c r="A10">
        <v>15</v>
      </c>
      <c r="B10" t="s">
        <v>14</v>
      </c>
      <c r="C10" t="s">
        <v>8</v>
      </c>
      <c r="D10">
        <v>120.63</v>
      </c>
      <c r="E10">
        <v>75.819999999999993</v>
      </c>
      <c r="F10">
        <v>32999</v>
      </c>
      <c r="G10" t="s">
        <v>15</v>
      </c>
      <c r="H10">
        <v>89</v>
      </c>
      <c r="I10" t="s">
        <v>154</v>
      </c>
    </row>
    <row r="11" spans="1:9" x14ac:dyDescent="0.6">
      <c r="A11">
        <v>5</v>
      </c>
      <c r="B11" t="s">
        <v>7</v>
      </c>
      <c r="C11" t="s">
        <v>8</v>
      </c>
      <c r="D11">
        <v>210.78</v>
      </c>
      <c r="E11">
        <v>162.35</v>
      </c>
      <c r="F11">
        <v>51857</v>
      </c>
      <c r="G11" t="s">
        <v>9</v>
      </c>
      <c r="H11">
        <v>61</v>
      </c>
      <c r="I11" t="s">
        <v>108</v>
      </c>
    </row>
    <row r="12" spans="1:9" x14ac:dyDescent="0.6">
      <c r="A12">
        <v>43</v>
      </c>
      <c r="B12" t="s">
        <v>7</v>
      </c>
      <c r="C12" t="s">
        <v>8</v>
      </c>
      <c r="D12">
        <v>250.46</v>
      </c>
      <c r="E12">
        <v>243.87</v>
      </c>
      <c r="F12">
        <v>24776</v>
      </c>
      <c r="G12" t="s">
        <v>9</v>
      </c>
      <c r="H12">
        <v>55</v>
      </c>
      <c r="I12" t="s">
        <v>90</v>
      </c>
    </row>
    <row r="13" spans="1:9" x14ac:dyDescent="0.6">
      <c r="A13">
        <v>28</v>
      </c>
      <c r="B13" t="s">
        <v>7</v>
      </c>
      <c r="C13" t="s">
        <v>8</v>
      </c>
      <c r="D13">
        <v>240.75</v>
      </c>
      <c r="E13">
        <v>135.58000000000001</v>
      </c>
      <c r="F13">
        <v>31169</v>
      </c>
      <c r="G13" t="s">
        <v>9</v>
      </c>
      <c r="H13">
        <v>77</v>
      </c>
      <c r="I13" t="s">
        <v>108</v>
      </c>
    </row>
    <row r="14" spans="1:9" x14ac:dyDescent="0.6">
      <c r="A14">
        <v>12</v>
      </c>
      <c r="B14" t="s">
        <v>14</v>
      </c>
      <c r="C14" t="s">
        <v>8</v>
      </c>
      <c r="D14">
        <v>173.96</v>
      </c>
      <c r="E14">
        <v>120.48</v>
      </c>
      <c r="F14">
        <v>21752</v>
      </c>
      <c r="G14" t="s">
        <v>9</v>
      </c>
      <c r="H14">
        <v>70</v>
      </c>
      <c r="I14" t="s">
        <v>90</v>
      </c>
    </row>
    <row r="15" spans="1:9" x14ac:dyDescent="0.6">
      <c r="A15">
        <v>38</v>
      </c>
      <c r="B15" t="s">
        <v>7</v>
      </c>
      <c r="C15" t="s">
        <v>8</v>
      </c>
      <c r="D15">
        <v>174.97</v>
      </c>
      <c r="E15">
        <v>176.02</v>
      </c>
      <c r="F15">
        <v>29489</v>
      </c>
      <c r="G15" t="s">
        <v>9</v>
      </c>
      <c r="H15">
        <v>60</v>
      </c>
      <c r="I15" t="s">
        <v>90</v>
      </c>
    </row>
    <row r="16" spans="1:9" x14ac:dyDescent="0.6">
      <c r="A16">
        <v>11</v>
      </c>
      <c r="B16" t="s">
        <v>14</v>
      </c>
      <c r="C16" t="s">
        <v>8</v>
      </c>
      <c r="D16">
        <v>293.94</v>
      </c>
      <c r="E16">
        <v>152.24</v>
      </c>
      <c r="F16">
        <v>18843</v>
      </c>
      <c r="G16" t="s">
        <v>9</v>
      </c>
      <c r="H16">
        <v>56</v>
      </c>
      <c r="I16" t="s">
        <v>108</v>
      </c>
    </row>
    <row r="17" spans="1:9" x14ac:dyDescent="0.6">
      <c r="A17">
        <v>32</v>
      </c>
      <c r="B17" t="s">
        <v>7</v>
      </c>
      <c r="C17" t="s">
        <v>8</v>
      </c>
      <c r="D17">
        <v>276.3</v>
      </c>
      <c r="E17">
        <v>203.13</v>
      </c>
      <c r="F17">
        <v>19032</v>
      </c>
      <c r="G17" t="s">
        <v>9</v>
      </c>
      <c r="H17">
        <v>59</v>
      </c>
      <c r="I17" t="s">
        <v>90</v>
      </c>
    </row>
    <row r="18" spans="1:9" x14ac:dyDescent="0.6">
      <c r="A18">
        <v>16</v>
      </c>
      <c r="B18" t="s">
        <v>14</v>
      </c>
      <c r="C18" t="s">
        <v>8</v>
      </c>
      <c r="D18">
        <v>208.02</v>
      </c>
      <c r="E18">
        <v>166.68</v>
      </c>
      <c r="F18">
        <v>30370</v>
      </c>
      <c r="G18" t="s">
        <v>9</v>
      </c>
      <c r="H18">
        <v>52</v>
      </c>
      <c r="I18" t="s">
        <v>90</v>
      </c>
    </row>
    <row r="19" spans="1:9" x14ac:dyDescent="0.6">
      <c r="A19">
        <v>24</v>
      </c>
      <c r="B19" t="s">
        <v>14</v>
      </c>
      <c r="C19" t="s">
        <v>8</v>
      </c>
      <c r="D19">
        <v>190.43</v>
      </c>
      <c r="E19">
        <v>163.25</v>
      </c>
      <c r="F19">
        <v>29705</v>
      </c>
      <c r="G19" t="s">
        <v>9</v>
      </c>
      <c r="H19">
        <v>58</v>
      </c>
      <c r="I19" t="s">
        <v>90</v>
      </c>
    </row>
    <row r="20" spans="1:9" x14ac:dyDescent="0.6">
      <c r="A20">
        <v>48</v>
      </c>
      <c r="B20" t="s">
        <v>14</v>
      </c>
      <c r="C20" t="s">
        <v>8</v>
      </c>
      <c r="D20">
        <v>245.36</v>
      </c>
      <c r="E20">
        <v>146.62</v>
      </c>
      <c r="F20">
        <v>26537</v>
      </c>
      <c r="G20" t="s">
        <v>9</v>
      </c>
      <c r="H20">
        <v>54</v>
      </c>
      <c r="I20" t="s">
        <v>90</v>
      </c>
    </row>
    <row r="21" spans="1:9" x14ac:dyDescent="0.6">
      <c r="A21">
        <v>34</v>
      </c>
      <c r="B21" t="s">
        <v>14</v>
      </c>
      <c r="C21" t="s">
        <v>8</v>
      </c>
      <c r="D21">
        <v>194.78</v>
      </c>
      <c r="E21">
        <v>159.16999999999999</v>
      </c>
      <c r="F21">
        <v>60619</v>
      </c>
      <c r="G21" t="s">
        <v>9</v>
      </c>
      <c r="H21">
        <v>53</v>
      </c>
      <c r="I21" t="s">
        <v>108</v>
      </c>
    </row>
    <row r="22" spans="1:9" x14ac:dyDescent="0.6">
      <c r="A22">
        <v>35</v>
      </c>
      <c r="B22" t="s">
        <v>14</v>
      </c>
      <c r="C22" t="s">
        <v>8</v>
      </c>
      <c r="D22">
        <v>208.93</v>
      </c>
      <c r="E22">
        <v>177.52</v>
      </c>
      <c r="F22">
        <v>41186</v>
      </c>
      <c r="G22" t="s">
        <v>9</v>
      </c>
      <c r="H22">
        <v>54</v>
      </c>
      <c r="I22" t="s">
        <v>108</v>
      </c>
    </row>
    <row r="23" spans="1:9" x14ac:dyDescent="0.6">
      <c r="A23">
        <v>37</v>
      </c>
      <c r="B23" t="s">
        <v>14</v>
      </c>
      <c r="C23" t="s">
        <v>8</v>
      </c>
      <c r="D23">
        <v>144.38999999999999</v>
      </c>
      <c r="E23">
        <v>110.83</v>
      </c>
      <c r="F23">
        <v>25009</v>
      </c>
      <c r="G23" t="s">
        <v>15</v>
      </c>
      <c r="H23">
        <v>51</v>
      </c>
      <c r="I23" t="s">
        <v>90</v>
      </c>
    </row>
    <row r="24" spans="1:9" x14ac:dyDescent="0.6">
      <c r="A24">
        <v>31</v>
      </c>
      <c r="B24" t="s">
        <v>14</v>
      </c>
      <c r="C24" t="s">
        <v>8</v>
      </c>
      <c r="D24">
        <v>164.55</v>
      </c>
      <c r="E24">
        <v>115.71</v>
      </c>
      <c r="F24">
        <v>48731</v>
      </c>
      <c r="G24" t="s">
        <v>9</v>
      </c>
      <c r="H24">
        <v>54</v>
      </c>
      <c r="I24" t="s">
        <v>108</v>
      </c>
    </row>
    <row r="25" spans="1:9" x14ac:dyDescent="0.6">
      <c r="A25">
        <v>39</v>
      </c>
      <c r="B25" t="s">
        <v>7</v>
      </c>
      <c r="C25" t="s">
        <v>8</v>
      </c>
      <c r="D25">
        <v>289.32</v>
      </c>
      <c r="E25">
        <v>163.91</v>
      </c>
      <c r="F25">
        <v>20632</v>
      </c>
      <c r="G25" t="s">
        <v>9</v>
      </c>
      <c r="H25">
        <v>57</v>
      </c>
      <c r="I25" t="s">
        <v>90</v>
      </c>
    </row>
    <row r="26" spans="1:9" x14ac:dyDescent="0.6">
      <c r="A26">
        <v>27</v>
      </c>
      <c r="B26" t="s">
        <v>14</v>
      </c>
      <c r="C26" t="s">
        <v>8</v>
      </c>
      <c r="D26">
        <v>293.49</v>
      </c>
      <c r="E26">
        <v>214.56</v>
      </c>
      <c r="F26">
        <v>24412</v>
      </c>
      <c r="G26" t="s">
        <v>9</v>
      </c>
      <c r="H26">
        <v>51</v>
      </c>
      <c r="I26" t="s">
        <v>108</v>
      </c>
    </row>
    <row r="27" spans="1:9" x14ac:dyDescent="0.6">
      <c r="A27">
        <v>7</v>
      </c>
      <c r="B27" t="s">
        <v>14</v>
      </c>
      <c r="C27" t="s">
        <v>8</v>
      </c>
      <c r="D27">
        <v>191.12</v>
      </c>
      <c r="E27">
        <v>186.09</v>
      </c>
      <c r="F27">
        <v>28650</v>
      </c>
      <c r="G27" t="s">
        <v>9</v>
      </c>
      <c r="H27">
        <v>61</v>
      </c>
      <c r="I27" t="s">
        <v>108</v>
      </c>
    </row>
    <row r="28" spans="1:9" x14ac:dyDescent="0.6">
      <c r="A28">
        <v>19</v>
      </c>
      <c r="B28" t="s">
        <v>14</v>
      </c>
      <c r="C28" t="s">
        <v>8</v>
      </c>
      <c r="D28">
        <v>239.66</v>
      </c>
      <c r="E28">
        <v>77.61</v>
      </c>
      <c r="F28">
        <v>29348</v>
      </c>
      <c r="G28" t="s">
        <v>9</v>
      </c>
      <c r="H28">
        <v>51</v>
      </c>
      <c r="I28" t="s">
        <v>90</v>
      </c>
    </row>
    <row r="29" spans="1:9" x14ac:dyDescent="0.6">
      <c r="A29">
        <v>23</v>
      </c>
      <c r="B29" t="s">
        <v>14</v>
      </c>
      <c r="C29" t="s">
        <v>8</v>
      </c>
      <c r="D29">
        <v>312.77999999999997</v>
      </c>
      <c r="E29">
        <v>154.88999999999999</v>
      </c>
      <c r="F29">
        <v>14255</v>
      </c>
      <c r="G29" t="s">
        <v>9</v>
      </c>
      <c r="H29">
        <v>52</v>
      </c>
      <c r="I29" t="s">
        <v>90</v>
      </c>
    </row>
    <row r="30" spans="1:9" x14ac:dyDescent="0.6">
      <c r="A30">
        <v>50</v>
      </c>
      <c r="B30" t="s">
        <v>7</v>
      </c>
      <c r="C30" t="s">
        <v>8</v>
      </c>
      <c r="D30">
        <v>190.97</v>
      </c>
      <c r="E30">
        <v>131.63999999999999</v>
      </c>
      <c r="F30">
        <v>41102</v>
      </c>
      <c r="G30" t="s">
        <v>9</v>
      </c>
      <c r="H30" t="s">
        <v>4732</v>
      </c>
      <c r="I30" t="s">
        <v>108</v>
      </c>
    </row>
    <row r="31" spans="1:9" x14ac:dyDescent="0.6">
      <c r="A31">
        <v>41</v>
      </c>
      <c r="B31" t="s">
        <v>7</v>
      </c>
      <c r="C31" t="s">
        <v>8</v>
      </c>
      <c r="D31">
        <v>232.16</v>
      </c>
      <c r="E31">
        <v>181.63</v>
      </c>
      <c r="F31">
        <v>36694</v>
      </c>
      <c r="G31" t="s">
        <v>9</v>
      </c>
      <c r="H31">
        <v>63</v>
      </c>
      <c r="I31" t="s">
        <v>90</v>
      </c>
    </row>
    <row r="32" spans="1:9" x14ac:dyDescent="0.6">
      <c r="A32">
        <v>9</v>
      </c>
      <c r="B32" t="s">
        <v>14</v>
      </c>
      <c r="C32" t="s">
        <v>8</v>
      </c>
      <c r="D32">
        <v>234.82</v>
      </c>
      <c r="E32">
        <v>169.77</v>
      </c>
      <c r="F32">
        <v>26612</v>
      </c>
      <c r="G32" t="s">
        <v>9</v>
      </c>
      <c r="H32">
        <v>50</v>
      </c>
      <c r="I32" t="s">
        <v>90</v>
      </c>
    </row>
    <row r="33" spans="1:9" x14ac:dyDescent="0.6">
      <c r="A33">
        <v>18</v>
      </c>
      <c r="B33" t="s">
        <v>14</v>
      </c>
      <c r="C33" t="s">
        <v>8</v>
      </c>
      <c r="D33">
        <v>265.57</v>
      </c>
      <c r="E33">
        <v>113.84</v>
      </c>
      <c r="F33">
        <v>25549</v>
      </c>
      <c r="G33" t="s">
        <v>9</v>
      </c>
      <c r="H33" t="s">
        <v>4732</v>
      </c>
      <c r="I33" t="s">
        <v>90</v>
      </c>
    </row>
    <row r="34" spans="1:9" x14ac:dyDescent="0.6">
      <c r="A34">
        <v>3</v>
      </c>
      <c r="B34" t="s">
        <v>7</v>
      </c>
      <c r="C34" t="s">
        <v>8</v>
      </c>
      <c r="D34">
        <v>215.1</v>
      </c>
      <c r="E34">
        <v>105.06</v>
      </c>
      <c r="F34">
        <v>35606</v>
      </c>
      <c r="G34" t="s">
        <v>9</v>
      </c>
      <c r="H34">
        <v>65</v>
      </c>
      <c r="I34" t="s">
        <v>108</v>
      </c>
    </row>
    <row r="35" spans="1:9" x14ac:dyDescent="0.6">
      <c r="A35">
        <v>45</v>
      </c>
      <c r="B35" t="s">
        <v>7</v>
      </c>
      <c r="C35" t="s">
        <v>8</v>
      </c>
      <c r="D35">
        <v>221.15</v>
      </c>
      <c r="E35">
        <v>138.54</v>
      </c>
      <c r="F35">
        <v>27598</v>
      </c>
      <c r="G35" t="s">
        <v>9</v>
      </c>
      <c r="H35">
        <v>55</v>
      </c>
      <c r="I35" t="s">
        <v>90</v>
      </c>
    </row>
    <row r="36" spans="1:9" x14ac:dyDescent="0.6">
      <c r="A36">
        <v>40</v>
      </c>
      <c r="B36" t="s">
        <v>7</v>
      </c>
      <c r="C36" t="s">
        <v>8</v>
      </c>
      <c r="D36">
        <v>188.11</v>
      </c>
      <c r="E36">
        <v>172.11</v>
      </c>
      <c r="F36">
        <v>28596</v>
      </c>
      <c r="G36" t="s">
        <v>9</v>
      </c>
      <c r="H36">
        <v>71</v>
      </c>
      <c r="I36" t="s">
        <v>108</v>
      </c>
    </row>
    <row r="37" spans="1:9" x14ac:dyDescent="0.6">
      <c r="A37">
        <v>21</v>
      </c>
      <c r="B37" t="s">
        <v>14</v>
      </c>
      <c r="C37" t="s">
        <v>8</v>
      </c>
      <c r="D37">
        <v>150.69</v>
      </c>
      <c r="E37">
        <v>161.37</v>
      </c>
      <c r="F37">
        <v>35422</v>
      </c>
      <c r="G37" t="s">
        <v>15</v>
      </c>
      <c r="H37">
        <v>51</v>
      </c>
      <c r="I37" t="s">
        <v>108</v>
      </c>
    </row>
    <row r="38" spans="1:9" x14ac:dyDescent="0.6">
      <c r="A38">
        <v>1</v>
      </c>
      <c r="B38" t="s">
        <v>14</v>
      </c>
      <c r="C38" t="s">
        <v>8</v>
      </c>
      <c r="D38">
        <v>131.78</v>
      </c>
      <c r="E38">
        <v>99</v>
      </c>
      <c r="F38">
        <v>23979</v>
      </c>
      <c r="G38" t="s">
        <v>15</v>
      </c>
      <c r="H38">
        <v>59</v>
      </c>
      <c r="I38" t="s">
        <v>90</v>
      </c>
    </row>
    <row r="39" spans="1:9" x14ac:dyDescent="0.6">
      <c r="A39">
        <v>30</v>
      </c>
      <c r="B39" t="s">
        <v>14</v>
      </c>
      <c r="C39" t="s">
        <v>8</v>
      </c>
      <c r="D39">
        <v>251.79</v>
      </c>
      <c r="E39">
        <v>203.89</v>
      </c>
      <c r="F39">
        <v>35586</v>
      </c>
      <c r="G39" t="s">
        <v>9</v>
      </c>
      <c r="H39">
        <v>70</v>
      </c>
      <c r="I39" t="s">
        <v>108</v>
      </c>
    </row>
    <row r="40" spans="1:9" x14ac:dyDescent="0.6">
      <c r="A40">
        <v>29</v>
      </c>
      <c r="B40" t="s">
        <v>7</v>
      </c>
      <c r="C40" t="s">
        <v>8</v>
      </c>
      <c r="D40">
        <v>225.78</v>
      </c>
      <c r="E40">
        <v>160.21</v>
      </c>
      <c r="F40">
        <v>36088</v>
      </c>
      <c r="G40" t="s">
        <v>9</v>
      </c>
      <c r="H40">
        <v>79</v>
      </c>
      <c r="I40" t="s">
        <v>108</v>
      </c>
    </row>
    <row r="41" spans="1:9" x14ac:dyDescent="0.6">
      <c r="A41">
        <v>17</v>
      </c>
      <c r="B41" t="s">
        <v>7</v>
      </c>
      <c r="C41" t="s">
        <v>8</v>
      </c>
      <c r="D41">
        <v>153.66</v>
      </c>
      <c r="E41">
        <v>122.9</v>
      </c>
      <c r="F41">
        <v>32928</v>
      </c>
      <c r="G41" t="s">
        <v>15</v>
      </c>
      <c r="H41">
        <v>57</v>
      </c>
      <c r="I41" t="s">
        <v>90</v>
      </c>
    </row>
    <row r="42" spans="1:9" x14ac:dyDescent="0.6">
      <c r="A42">
        <v>25</v>
      </c>
      <c r="B42" t="s">
        <v>7</v>
      </c>
      <c r="C42" t="s">
        <v>8</v>
      </c>
      <c r="D42">
        <v>229.35</v>
      </c>
      <c r="E42">
        <v>118.48</v>
      </c>
      <c r="F42">
        <v>35944</v>
      </c>
      <c r="G42" t="s">
        <v>9</v>
      </c>
      <c r="H42">
        <v>62</v>
      </c>
      <c r="I42" t="s">
        <v>108</v>
      </c>
    </row>
    <row r="43" spans="1:9" x14ac:dyDescent="0.6">
      <c r="A43">
        <v>2</v>
      </c>
      <c r="B43" t="s">
        <v>7</v>
      </c>
      <c r="C43" t="s">
        <v>8</v>
      </c>
      <c r="D43">
        <v>189.06</v>
      </c>
      <c r="E43">
        <v>115.07</v>
      </c>
      <c r="F43">
        <v>39827</v>
      </c>
      <c r="G43" t="s">
        <v>9</v>
      </c>
      <c r="H43">
        <v>60</v>
      </c>
      <c r="I43" t="s">
        <v>108</v>
      </c>
    </row>
    <row r="44" spans="1:9" x14ac:dyDescent="0.6">
      <c r="A44">
        <v>53</v>
      </c>
      <c r="B44" t="s">
        <v>7</v>
      </c>
      <c r="C44" t="s">
        <v>8</v>
      </c>
      <c r="D44">
        <v>182.92</v>
      </c>
      <c r="E44">
        <v>103.93</v>
      </c>
      <c r="F44">
        <v>38842</v>
      </c>
      <c r="G44" t="s">
        <v>9</v>
      </c>
      <c r="H44" t="s">
        <v>4732</v>
      </c>
      <c r="I44" t="s">
        <v>108</v>
      </c>
    </row>
    <row r="45" spans="1:9" x14ac:dyDescent="0.6">
      <c r="A45">
        <v>10</v>
      </c>
      <c r="B45" t="s">
        <v>7</v>
      </c>
      <c r="C45" t="s">
        <v>8</v>
      </c>
      <c r="D45">
        <v>156.61000000000001</v>
      </c>
      <c r="E45">
        <v>111.81</v>
      </c>
      <c r="F45">
        <v>43953</v>
      </c>
      <c r="G45" t="s">
        <v>15</v>
      </c>
      <c r="H45">
        <v>68</v>
      </c>
      <c r="I45" t="s">
        <v>108</v>
      </c>
    </row>
    <row r="46" spans="1:9" x14ac:dyDescent="0.6">
      <c r="A46">
        <v>14</v>
      </c>
      <c r="B46" t="s">
        <v>7</v>
      </c>
      <c r="C46" t="s">
        <v>8</v>
      </c>
      <c r="D46">
        <v>237.17</v>
      </c>
      <c r="E46">
        <v>142.44999999999999</v>
      </c>
      <c r="F46">
        <v>23253</v>
      </c>
      <c r="G46" t="s">
        <v>9</v>
      </c>
      <c r="H46" t="s">
        <v>4732</v>
      </c>
      <c r="I46" t="s">
        <v>90</v>
      </c>
    </row>
    <row r="47" spans="1:9" x14ac:dyDescent="0.6">
      <c r="A47">
        <v>8</v>
      </c>
      <c r="B47" t="s">
        <v>14</v>
      </c>
      <c r="C47" t="s">
        <v>8</v>
      </c>
      <c r="D47">
        <v>174.72</v>
      </c>
      <c r="E47">
        <v>159.57</v>
      </c>
      <c r="F47">
        <v>30914</v>
      </c>
      <c r="G47" t="s">
        <v>9</v>
      </c>
      <c r="H47">
        <v>70</v>
      </c>
      <c r="I47" t="s">
        <v>108</v>
      </c>
    </row>
    <row r="48" spans="1:9" x14ac:dyDescent="0.6">
      <c r="A48">
        <v>47</v>
      </c>
      <c r="B48" t="s">
        <v>7</v>
      </c>
      <c r="C48" t="s">
        <v>8</v>
      </c>
      <c r="D48">
        <v>172</v>
      </c>
      <c r="E48">
        <v>154.84</v>
      </c>
      <c r="F48">
        <v>25471</v>
      </c>
      <c r="G48" t="s">
        <v>9</v>
      </c>
      <c r="H48">
        <v>57</v>
      </c>
      <c r="I48" t="s">
        <v>90</v>
      </c>
    </row>
    <row r="49" spans="1:9" x14ac:dyDescent="0.6">
      <c r="A49">
        <v>58</v>
      </c>
      <c r="B49" t="s">
        <v>7</v>
      </c>
      <c r="C49" t="s">
        <v>8</v>
      </c>
      <c r="D49">
        <v>135.03</v>
      </c>
      <c r="E49">
        <v>90.65</v>
      </c>
      <c r="F49">
        <v>32983</v>
      </c>
      <c r="G49" t="s">
        <v>15</v>
      </c>
      <c r="H49">
        <v>53</v>
      </c>
      <c r="I49" t="s">
        <v>90</v>
      </c>
    </row>
    <row r="50" spans="1:9" x14ac:dyDescent="0.6">
      <c r="A50">
        <v>20</v>
      </c>
      <c r="B50" t="s">
        <v>14</v>
      </c>
      <c r="C50" t="s">
        <v>8</v>
      </c>
      <c r="D50">
        <v>241.65</v>
      </c>
      <c r="E50">
        <v>177.25</v>
      </c>
      <c r="F50">
        <v>50996</v>
      </c>
      <c r="G50" t="s">
        <v>9</v>
      </c>
      <c r="H50">
        <v>54</v>
      </c>
      <c r="I50" t="s">
        <v>108</v>
      </c>
    </row>
    <row r="51" spans="1:9" x14ac:dyDescent="0.6">
      <c r="A51">
        <v>52</v>
      </c>
      <c r="B51" t="s">
        <v>7</v>
      </c>
      <c r="C51" t="s">
        <v>8</v>
      </c>
      <c r="D51">
        <v>154.59</v>
      </c>
      <c r="E51">
        <v>118.65</v>
      </c>
      <c r="F51">
        <v>29759</v>
      </c>
      <c r="G51" t="s">
        <v>15</v>
      </c>
      <c r="H51" t="s">
        <v>4732</v>
      </c>
      <c r="I51" t="s">
        <v>108</v>
      </c>
    </row>
    <row r="52" spans="1:9" x14ac:dyDescent="0.6">
      <c r="A52">
        <v>51</v>
      </c>
      <c r="B52" t="s">
        <v>7</v>
      </c>
      <c r="C52" t="s">
        <v>8</v>
      </c>
      <c r="D52">
        <v>199.18</v>
      </c>
      <c r="E52">
        <v>149.22</v>
      </c>
      <c r="F52">
        <v>34693</v>
      </c>
      <c r="G52" t="s">
        <v>9</v>
      </c>
      <c r="H52" t="s">
        <v>4732</v>
      </c>
      <c r="I52" t="s">
        <v>108</v>
      </c>
    </row>
    <row r="53" spans="1:9" x14ac:dyDescent="0.6">
      <c r="A53">
        <v>44</v>
      </c>
      <c r="B53" t="s">
        <v>14</v>
      </c>
      <c r="C53" t="s">
        <v>8</v>
      </c>
      <c r="D53">
        <v>173.22</v>
      </c>
      <c r="E53">
        <v>173.23</v>
      </c>
      <c r="F53">
        <v>33004</v>
      </c>
      <c r="G53" t="s">
        <v>9</v>
      </c>
      <c r="H53">
        <v>72</v>
      </c>
      <c r="I53" t="s">
        <v>90</v>
      </c>
    </row>
    <row r="54" spans="1:9" x14ac:dyDescent="0.6">
      <c r="A54">
        <v>62</v>
      </c>
      <c r="B54" t="s">
        <v>14</v>
      </c>
      <c r="C54" t="s">
        <v>8</v>
      </c>
      <c r="D54">
        <v>271.37</v>
      </c>
      <c r="E54">
        <v>134.54</v>
      </c>
      <c r="F54">
        <v>28452</v>
      </c>
      <c r="G54" t="s">
        <v>9</v>
      </c>
      <c r="H54">
        <v>57</v>
      </c>
      <c r="I54" t="s">
        <v>90</v>
      </c>
    </row>
    <row r="55" spans="1:9" x14ac:dyDescent="0.6">
      <c r="A55">
        <v>49</v>
      </c>
      <c r="B55" t="s">
        <v>7</v>
      </c>
      <c r="C55" t="s">
        <v>8</v>
      </c>
      <c r="D55">
        <v>226.32</v>
      </c>
      <c r="E55">
        <v>172.36</v>
      </c>
      <c r="F55">
        <v>31413</v>
      </c>
      <c r="G55" t="s">
        <v>9</v>
      </c>
      <c r="H55" t="s">
        <v>4732</v>
      </c>
      <c r="I55" t="s">
        <v>108</v>
      </c>
    </row>
    <row r="56" spans="1:9" x14ac:dyDescent="0.6">
      <c r="A56">
        <v>56</v>
      </c>
      <c r="B56" t="s">
        <v>14</v>
      </c>
      <c r="C56" t="s">
        <v>8</v>
      </c>
      <c r="D56">
        <v>230.58</v>
      </c>
      <c r="E56">
        <v>149.63</v>
      </c>
      <c r="F56">
        <v>21624</v>
      </c>
      <c r="G56" t="s">
        <v>9</v>
      </c>
      <c r="H56" t="s">
        <v>4732</v>
      </c>
      <c r="I56" t="s">
        <v>90</v>
      </c>
    </row>
    <row r="57" spans="1:9" x14ac:dyDescent="0.6">
      <c r="A57">
        <v>57</v>
      </c>
      <c r="B57" t="s">
        <v>14</v>
      </c>
      <c r="C57" t="s">
        <v>8</v>
      </c>
      <c r="D57">
        <v>272.43</v>
      </c>
      <c r="E57">
        <v>145.54</v>
      </c>
      <c r="F57">
        <v>26315</v>
      </c>
      <c r="G57" t="s">
        <v>9</v>
      </c>
      <c r="H57" t="s">
        <v>4732</v>
      </c>
      <c r="I57" t="s">
        <v>90</v>
      </c>
    </row>
    <row r="58" spans="1:9" x14ac:dyDescent="0.6">
      <c r="A58">
        <v>55</v>
      </c>
      <c r="B58" t="s">
        <v>14</v>
      </c>
      <c r="C58" t="s">
        <v>8</v>
      </c>
      <c r="D58">
        <v>150.28</v>
      </c>
      <c r="E58">
        <v>73.849999999999994</v>
      </c>
      <c r="F58">
        <v>24289</v>
      </c>
      <c r="G58" t="s">
        <v>15</v>
      </c>
      <c r="H58" t="s">
        <v>4732</v>
      </c>
      <c r="I58" t="s">
        <v>90</v>
      </c>
    </row>
    <row r="59" spans="1:9" x14ac:dyDescent="0.6">
      <c r="A59">
        <v>64</v>
      </c>
      <c r="B59" t="s">
        <v>14</v>
      </c>
      <c r="C59" t="s">
        <v>8</v>
      </c>
      <c r="D59">
        <v>211.36</v>
      </c>
      <c r="E59">
        <v>276.95</v>
      </c>
      <c r="F59">
        <v>58906</v>
      </c>
      <c r="G59" t="s">
        <v>9</v>
      </c>
      <c r="H59">
        <v>89</v>
      </c>
      <c r="I59" t="s">
        <v>4732</v>
      </c>
    </row>
    <row r="60" spans="1:9" x14ac:dyDescent="0.6">
      <c r="A60">
        <v>67</v>
      </c>
      <c r="B60" t="s">
        <v>14</v>
      </c>
      <c r="C60" t="s">
        <v>8</v>
      </c>
      <c r="D60">
        <v>128.01</v>
      </c>
      <c r="E60">
        <v>98.31</v>
      </c>
      <c r="F60">
        <v>34851</v>
      </c>
      <c r="G60" t="s">
        <v>15</v>
      </c>
      <c r="H60">
        <v>89</v>
      </c>
      <c r="I60" t="s">
        <v>4732</v>
      </c>
    </row>
    <row r="61" spans="1:9" x14ac:dyDescent="0.6">
      <c r="A61">
        <v>95</v>
      </c>
      <c r="B61" t="s">
        <v>7</v>
      </c>
      <c r="C61" t="s">
        <v>8</v>
      </c>
      <c r="D61">
        <v>206.04</v>
      </c>
      <c r="E61">
        <v>108.94</v>
      </c>
      <c r="F61">
        <v>31905</v>
      </c>
      <c r="G61" t="s">
        <v>9</v>
      </c>
      <c r="H61">
        <v>54</v>
      </c>
      <c r="I61" t="s">
        <v>108</v>
      </c>
    </row>
    <row r="62" spans="1:9" x14ac:dyDescent="0.6">
      <c r="A62">
        <v>69</v>
      </c>
      <c r="B62" t="s">
        <v>14</v>
      </c>
      <c r="C62" t="s">
        <v>8</v>
      </c>
      <c r="D62">
        <v>98.24</v>
      </c>
      <c r="E62">
        <v>99.6</v>
      </c>
      <c r="F62">
        <v>28237</v>
      </c>
      <c r="G62" t="s">
        <v>17</v>
      </c>
      <c r="H62">
        <v>72</v>
      </c>
      <c r="I62" t="s">
        <v>90</v>
      </c>
    </row>
    <row r="63" spans="1:9" x14ac:dyDescent="0.6">
      <c r="A63">
        <v>81</v>
      </c>
      <c r="B63" t="s">
        <v>14</v>
      </c>
      <c r="C63" t="s">
        <v>8</v>
      </c>
      <c r="D63">
        <v>238.35</v>
      </c>
      <c r="E63">
        <v>178.16</v>
      </c>
      <c r="F63">
        <v>37374</v>
      </c>
      <c r="G63" t="s">
        <v>9</v>
      </c>
      <c r="H63" t="s">
        <v>4732</v>
      </c>
      <c r="I63" t="s">
        <v>108</v>
      </c>
    </row>
    <row r="64" spans="1:9" x14ac:dyDescent="0.6">
      <c r="A64">
        <v>60</v>
      </c>
      <c r="B64" t="s">
        <v>14</v>
      </c>
      <c r="C64" t="s">
        <v>8</v>
      </c>
      <c r="D64">
        <v>152.79</v>
      </c>
      <c r="E64">
        <v>122.57</v>
      </c>
      <c r="F64">
        <v>40215</v>
      </c>
      <c r="G64" t="s">
        <v>15</v>
      </c>
      <c r="H64" t="s">
        <v>4732</v>
      </c>
      <c r="I64" t="s">
        <v>108</v>
      </c>
    </row>
    <row r="65" spans="1:9" x14ac:dyDescent="0.6">
      <c r="A65">
        <v>68</v>
      </c>
      <c r="B65" t="s">
        <v>7</v>
      </c>
      <c r="C65" t="s">
        <v>8</v>
      </c>
      <c r="D65">
        <v>165.7</v>
      </c>
      <c r="E65">
        <v>80.5</v>
      </c>
      <c r="F65">
        <v>19832</v>
      </c>
      <c r="G65" t="s">
        <v>9</v>
      </c>
      <c r="H65">
        <v>89</v>
      </c>
      <c r="I65" t="s">
        <v>4732</v>
      </c>
    </row>
    <row r="66" spans="1:9" x14ac:dyDescent="0.6">
      <c r="A66">
        <v>73</v>
      </c>
      <c r="B66" t="s">
        <v>7</v>
      </c>
      <c r="C66" t="s">
        <v>8</v>
      </c>
      <c r="D66">
        <v>282.64999999999998</v>
      </c>
      <c r="E66">
        <v>148.97999999999999</v>
      </c>
      <c r="F66">
        <v>31079</v>
      </c>
      <c r="G66" t="s">
        <v>9</v>
      </c>
      <c r="H66">
        <v>50</v>
      </c>
      <c r="I66" t="s">
        <v>108</v>
      </c>
    </row>
    <row r="67" spans="1:9" x14ac:dyDescent="0.6">
      <c r="A67">
        <v>93</v>
      </c>
      <c r="B67" t="s">
        <v>7</v>
      </c>
      <c r="C67" t="s">
        <v>8</v>
      </c>
      <c r="D67">
        <v>215.42</v>
      </c>
      <c r="E67">
        <v>146.18</v>
      </c>
      <c r="F67">
        <v>33688</v>
      </c>
      <c r="G67" t="s">
        <v>9</v>
      </c>
      <c r="H67">
        <v>65</v>
      </c>
      <c r="I67" t="s">
        <v>108</v>
      </c>
    </row>
    <row r="68" spans="1:9" x14ac:dyDescent="0.6">
      <c r="A68">
        <v>84</v>
      </c>
      <c r="B68" t="s">
        <v>14</v>
      </c>
      <c r="C68" t="s">
        <v>8</v>
      </c>
      <c r="D68">
        <v>281.76</v>
      </c>
      <c r="E68">
        <v>226.14</v>
      </c>
      <c r="F68">
        <v>22988</v>
      </c>
      <c r="G68" t="s">
        <v>9</v>
      </c>
      <c r="H68">
        <v>54</v>
      </c>
      <c r="I68" t="s">
        <v>108</v>
      </c>
    </row>
    <row r="69" spans="1:9" x14ac:dyDescent="0.6">
      <c r="A69">
        <v>65</v>
      </c>
      <c r="B69" t="s">
        <v>7</v>
      </c>
      <c r="C69" t="s">
        <v>8</v>
      </c>
      <c r="D69">
        <v>237.61</v>
      </c>
      <c r="E69">
        <v>178.58</v>
      </c>
      <c r="F69">
        <v>37509</v>
      </c>
      <c r="G69" t="s">
        <v>9</v>
      </c>
      <c r="H69">
        <v>89</v>
      </c>
      <c r="I69" t="s">
        <v>4732</v>
      </c>
    </row>
    <row r="70" spans="1:9" x14ac:dyDescent="0.6">
      <c r="A70">
        <v>88</v>
      </c>
      <c r="B70" t="s">
        <v>14</v>
      </c>
      <c r="C70" t="s">
        <v>8</v>
      </c>
      <c r="D70">
        <v>225.37</v>
      </c>
      <c r="E70">
        <v>126.86</v>
      </c>
      <c r="F70">
        <v>23061</v>
      </c>
      <c r="G70" t="s">
        <v>9</v>
      </c>
      <c r="H70">
        <v>50</v>
      </c>
      <c r="I70" t="s">
        <v>90</v>
      </c>
    </row>
    <row r="71" spans="1:9" x14ac:dyDescent="0.6">
      <c r="A71">
        <v>72</v>
      </c>
      <c r="B71" t="s">
        <v>14</v>
      </c>
      <c r="C71" t="s">
        <v>8</v>
      </c>
      <c r="D71">
        <v>164.3</v>
      </c>
      <c r="E71">
        <v>144.49</v>
      </c>
      <c r="F71">
        <v>36652</v>
      </c>
      <c r="G71" t="s">
        <v>9</v>
      </c>
      <c r="H71">
        <v>59</v>
      </c>
      <c r="I71" t="s">
        <v>90</v>
      </c>
    </row>
    <row r="72" spans="1:9" x14ac:dyDescent="0.6">
      <c r="A72">
        <v>71</v>
      </c>
      <c r="B72" t="s">
        <v>7</v>
      </c>
      <c r="C72" t="s">
        <v>8</v>
      </c>
      <c r="D72">
        <v>179.47</v>
      </c>
      <c r="E72">
        <v>163.26</v>
      </c>
      <c r="F72">
        <v>47063</v>
      </c>
      <c r="G72" t="s">
        <v>9</v>
      </c>
      <c r="H72">
        <v>58</v>
      </c>
      <c r="I72" t="s">
        <v>90</v>
      </c>
    </row>
    <row r="73" spans="1:9" x14ac:dyDescent="0.6">
      <c r="A73">
        <v>105</v>
      </c>
      <c r="B73" t="s">
        <v>7</v>
      </c>
      <c r="C73" t="s">
        <v>8</v>
      </c>
      <c r="D73">
        <v>224.27</v>
      </c>
      <c r="E73">
        <v>174.24</v>
      </c>
      <c r="F73">
        <v>33104</v>
      </c>
      <c r="G73" t="s">
        <v>9</v>
      </c>
      <c r="H73">
        <v>74</v>
      </c>
      <c r="I73" t="s">
        <v>90</v>
      </c>
    </row>
    <row r="74" spans="1:9" x14ac:dyDescent="0.6">
      <c r="A74">
        <v>74</v>
      </c>
      <c r="B74" t="s">
        <v>14</v>
      </c>
      <c r="C74" t="s">
        <v>8</v>
      </c>
      <c r="D74">
        <v>172.69</v>
      </c>
      <c r="E74">
        <v>141.77000000000001</v>
      </c>
      <c r="F74">
        <v>40291</v>
      </c>
      <c r="G74" t="s">
        <v>9</v>
      </c>
      <c r="H74">
        <v>53</v>
      </c>
      <c r="I74" t="s">
        <v>108</v>
      </c>
    </row>
    <row r="75" spans="1:9" x14ac:dyDescent="0.6">
      <c r="A75">
        <v>79</v>
      </c>
      <c r="B75" t="s">
        <v>14</v>
      </c>
      <c r="C75" t="s">
        <v>8</v>
      </c>
      <c r="D75">
        <v>211.81</v>
      </c>
      <c r="E75">
        <v>186.28</v>
      </c>
      <c r="F75">
        <v>43354</v>
      </c>
      <c r="G75" t="s">
        <v>9</v>
      </c>
      <c r="H75">
        <v>53</v>
      </c>
      <c r="I75" t="s">
        <v>108</v>
      </c>
    </row>
    <row r="76" spans="1:9" x14ac:dyDescent="0.6">
      <c r="A76">
        <v>82</v>
      </c>
      <c r="B76" t="s">
        <v>14</v>
      </c>
      <c r="C76" t="s">
        <v>8</v>
      </c>
      <c r="D76">
        <v>197.36</v>
      </c>
      <c r="E76">
        <v>117.05</v>
      </c>
      <c r="F76">
        <v>31054</v>
      </c>
      <c r="G76" t="s">
        <v>9</v>
      </c>
      <c r="H76">
        <v>51</v>
      </c>
      <c r="I76" t="s">
        <v>108</v>
      </c>
    </row>
    <row r="77" spans="1:9" x14ac:dyDescent="0.6">
      <c r="A77">
        <v>91</v>
      </c>
      <c r="B77" t="s">
        <v>14</v>
      </c>
      <c r="C77" t="s">
        <v>8</v>
      </c>
      <c r="D77">
        <v>339.38</v>
      </c>
      <c r="E77">
        <v>220.5</v>
      </c>
      <c r="F77">
        <v>31171</v>
      </c>
      <c r="G77" t="s">
        <v>9</v>
      </c>
      <c r="H77">
        <v>56</v>
      </c>
      <c r="I77" t="s">
        <v>108</v>
      </c>
    </row>
    <row r="78" spans="1:9" x14ac:dyDescent="0.6">
      <c r="A78">
        <v>80</v>
      </c>
      <c r="B78" t="s">
        <v>7</v>
      </c>
      <c r="C78" t="s">
        <v>8</v>
      </c>
      <c r="D78">
        <v>174.3</v>
      </c>
      <c r="E78">
        <v>93.87</v>
      </c>
      <c r="F78">
        <v>42610</v>
      </c>
      <c r="G78" t="s">
        <v>9</v>
      </c>
      <c r="H78">
        <v>51</v>
      </c>
      <c r="I78" t="s">
        <v>108</v>
      </c>
    </row>
    <row r="79" spans="1:9" x14ac:dyDescent="0.6">
      <c r="A79">
        <v>86</v>
      </c>
      <c r="B79" t="s">
        <v>7</v>
      </c>
      <c r="C79" t="s">
        <v>8</v>
      </c>
      <c r="D79">
        <v>282.8</v>
      </c>
      <c r="E79">
        <v>213.34</v>
      </c>
      <c r="F79">
        <v>33285</v>
      </c>
      <c r="G79" t="s">
        <v>9</v>
      </c>
      <c r="H79">
        <v>71</v>
      </c>
      <c r="I79" t="s">
        <v>108</v>
      </c>
    </row>
    <row r="80" spans="1:9" x14ac:dyDescent="0.6">
      <c r="A80">
        <v>90</v>
      </c>
      <c r="B80" t="s">
        <v>7</v>
      </c>
      <c r="C80" t="s">
        <v>8</v>
      </c>
      <c r="D80">
        <v>228.06</v>
      </c>
      <c r="E80">
        <v>179.4</v>
      </c>
      <c r="F80">
        <v>28248</v>
      </c>
      <c r="G80" t="s">
        <v>9</v>
      </c>
      <c r="H80">
        <v>64</v>
      </c>
      <c r="I80" t="s">
        <v>108</v>
      </c>
    </row>
    <row r="81" spans="1:9" x14ac:dyDescent="0.6">
      <c r="A81">
        <v>76</v>
      </c>
      <c r="B81" t="s">
        <v>7</v>
      </c>
      <c r="C81" t="s">
        <v>8</v>
      </c>
      <c r="D81">
        <v>177.19</v>
      </c>
      <c r="E81">
        <v>159.11000000000001</v>
      </c>
      <c r="F81">
        <v>33141</v>
      </c>
      <c r="G81" t="s">
        <v>9</v>
      </c>
      <c r="H81">
        <v>62</v>
      </c>
      <c r="I81" t="s">
        <v>108</v>
      </c>
    </row>
    <row r="82" spans="1:9" x14ac:dyDescent="0.6">
      <c r="A82">
        <v>89</v>
      </c>
      <c r="B82" t="s">
        <v>14</v>
      </c>
      <c r="C82" t="s">
        <v>8</v>
      </c>
      <c r="D82">
        <v>196.53</v>
      </c>
      <c r="E82">
        <v>154.76</v>
      </c>
      <c r="F82">
        <v>33577</v>
      </c>
      <c r="G82" t="s">
        <v>9</v>
      </c>
      <c r="H82">
        <v>64</v>
      </c>
      <c r="I82" t="s">
        <v>108</v>
      </c>
    </row>
    <row r="83" spans="1:9" x14ac:dyDescent="0.6">
      <c r="A83">
        <v>92</v>
      </c>
      <c r="B83" t="s">
        <v>7</v>
      </c>
      <c r="C83" t="s">
        <v>8</v>
      </c>
      <c r="D83">
        <v>152.4</v>
      </c>
      <c r="E83">
        <v>138.46</v>
      </c>
      <c r="F83">
        <v>30451</v>
      </c>
      <c r="G83" t="s">
        <v>15</v>
      </c>
      <c r="H83">
        <v>63</v>
      </c>
      <c r="I83" t="s">
        <v>108</v>
      </c>
    </row>
    <row r="84" spans="1:9" x14ac:dyDescent="0.6">
      <c r="A84">
        <v>94</v>
      </c>
      <c r="B84" t="s">
        <v>14</v>
      </c>
      <c r="C84" t="s">
        <v>8</v>
      </c>
      <c r="D84">
        <v>156.88999999999999</v>
      </c>
      <c r="E84">
        <v>124.32</v>
      </c>
      <c r="F84">
        <v>31723</v>
      </c>
      <c r="G84" t="s">
        <v>15</v>
      </c>
      <c r="H84">
        <v>62</v>
      </c>
      <c r="I84" t="s">
        <v>108</v>
      </c>
    </row>
    <row r="85" spans="1:9" x14ac:dyDescent="0.6">
      <c r="A85">
        <v>75</v>
      </c>
      <c r="B85" t="s">
        <v>14</v>
      </c>
      <c r="C85" t="s">
        <v>8</v>
      </c>
      <c r="D85">
        <v>323.11</v>
      </c>
      <c r="E85">
        <v>161.79</v>
      </c>
      <c r="F85">
        <v>14352</v>
      </c>
      <c r="G85" t="s">
        <v>9</v>
      </c>
      <c r="H85">
        <v>55</v>
      </c>
      <c r="I85" t="s">
        <v>90</v>
      </c>
    </row>
    <row r="86" spans="1:9" x14ac:dyDescent="0.6">
      <c r="A86">
        <v>97</v>
      </c>
      <c r="B86" t="s">
        <v>14</v>
      </c>
      <c r="C86" t="s">
        <v>8</v>
      </c>
      <c r="D86">
        <v>207.27</v>
      </c>
      <c r="E86">
        <v>167.43</v>
      </c>
      <c r="F86">
        <v>30039</v>
      </c>
      <c r="G86" t="s">
        <v>9</v>
      </c>
      <c r="H86">
        <v>58</v>
      </c>
      <c r="I86" t="s">
        <v>90</v>
      </c>
    </row>
    <row r="87" spans="1:9" x14ac:dyDescent="0.6">
      <c r="A87">
        <v>78</v>
      </c>
      <c r="B87" t="s">
        <v>7</v>
      </c>
      <c r="C87" t="s">
        <v>8</v>
      </c>
      <c r="D87">
        <v>199.4</v>
      </c>
      <c r="E87">
        <v>194.5</v>
      </c>
      <c r="F87">
        <v>38100</v>
      </c>
      <c r="G87" t="s">
        <v>9</v>
      </c>
      <c r="H87">
        <v>57</v>
      </c>
      <c r="I87" t="s">
        <v>90</v>
      </c>
    </row>
    <row r="88" spans="1:9" x14ac:dyDescent="0.6">
      <c r="A88">
        <v>59</v>
      </c>
      <c r="B88" t="s">
        <v>14</v>
      </c>
      <c r="C88" t="s">
        <v>8</v>
      </c>
      <c r="D88">
        <v>224.44</v>
      </c>
      <c r="E88">
        <v>166.01</v>
      </c>
      <c r="F88">
        <v>36714</v>
      </c>
      <c r="G88" t="s">
        <v>9</v>
      </c>
      <c r="H88">
        <v>64</v>
      </c>
      <c r="I88" t="s">
        <v>108</v>
      </c>
    </row>
    <row r="89" spans="1:9" x14ac:dyDescent="0.6">
      <c r="A89">
        <v>96</v>
      </c>
      <c r="B89" t="s">
        <v>14</v>
      </c>
      <c r="C89" t="s">
        <v>8</v>
      </c>
      <c r="D89">
        <v>210.06</v>
      </c>
      <c r="E89">
        <v>157.08000000000001</v>
      </c>
      <c r="F89">
        <v>21645</v>
      </c>
      <c r="G89" t="s">
        <v>9</v>
      </c>
      <c r="H89">
        <v>63</v>
      </c>
      <c r="I89" t="s">
        <v>90</v>
      </c>
    </row>
    <row r="90" spans="1:9" x14ac:dyDescent="0.6">
      <c r="A90">
        <v>77</v>
      </c>
      <c r="B90" t="s">
        <v>7</v>
      </c>
      <c r="C90" t="s">
        <v>8</v>
      </c>
      <c r="D90">
        <v>183.46</v>
      </c>
      <c r="E90">
        <v>138.36000000000001</v>
      </c>
      <c r="F90">
        <v>20766</v>
      </c>
      <c r="G90" t="s">
        <v>9</v>
      </c>
      <c r="H90">
        <v>51</v>
      </c>
      <c r="I90" t="s">
        <v>90</v>
      </c>
    </row>
    <row r="91" spans="1:9" x14ac:dyDescent="0.6">
      <c r="A91">
        <v>107</v>
      </c>
      <c r="B91" t="s">
        <v>7</v>
      </c>
      <c r="C91" t="s">
        <v>8</v>
      </c>
      <c r="D91">
        <v>200.57</v>
      </c>
      <c r="E91">
        <v>128.11000000000001</v>
      </c>
      <c r="F91">
        <v>47155</v>
      </c>
      <c r="G91" t="s">
        <v>9</v>
      </c>
      <c r="H91">
        <v>53</v>
      </c>
      <c r="I91" t="s">
        <v>108</v>
      </c>
    </row>
    <row r="92" spans="1:9" x14ac:dyDescent="0.6">
      <c r="A92">
        <v>83</v>
      </c>
      <c r="B92" t="s">
        <v>14</v>
      </c>
      <c r="C92" t="s">
        <v>8</v>
      </c>
      <c r="D92">
        <v>198.02</v>
      </c>
      <c r="E92">
        <v>127.79</v>
      </c>
      <c r="F92">
        <v>37349</v>
      </c>
      <c r="G92" t="s">
        <v>9</v>
      </c>
      <c r="H92">
        <v>55</v>
      </c>
      <c r="I92" t="s">
        <v>108</v>
      </c>
    </row>
    <row r="93" spans="1:9" x14ac:dyDescent="0.6">
      <c r="A93">
        <v>87</v>
      </c>
      <c r="B93" t="s">
        <v>14</v>
      </c>
      <c r="C93" t="s">
        <v>8</v>
      </c>
      <c r="D93">
        <v>282.75</v>
      </c>
      <c r="E93">
        <v>220.42</v>
      </c>
      <c r="F93">
        <v>27860</v>
      </c>
      <c r="G93" t="s">
        <v>9</v>
      </c>
      <c r="H93">
        <v>56</v>
      </c>
      <c r="I93" t="s">
        <v>108</v>
      </c>
    </row>
    <row r="94" spans="1:9" x14ac:dyDescent="0.6">
      <c r="A94">
        <v>63</v>
      </c>
      <c r="B94" t="s">
        <v>7</v>
      </c>
      <c r="C94" t="s">
        <v>8</v>
      </c>
      <c r="D94">
        <v>337.69</v>
      </c>
      <c r="E94">
        <v>189.62</v>
      </c>
      <c r="F94">
        <v>35327</v>
      </c>
      <c r="G94" t="s">
        <v>9</v>
      </c>
      <c r="H94">
        <v>89</v>
      </c>
      <c r="I94" t="s">
        <v>108</v>
      </c>
    </row>
    <row r="95" spans="1:9" x14ac:dyDescent="0.6">
      <c r="A95">
        <v>109</v>
      </c>
      <c r="B95" t="s">
        <v>7</v>
      </c>
      <c r="C95" t="s">
        <v>8</v>
      </c>
      <c r="D95">
        <v>288.83</v>
      </c>
      <c r="E95">
        <v>181.06</v>
      </c>
      <c r="F95">
        <v>22278</v>
      </c>
      <c r="G95" t="s">
        <v>9</v>
      </c>
      <c r="H95">
        <v>50</v>
      </c>
      <c r="I95" t="s">
        <v>90</v>
      </c>
    </row>
    <row r="96" spans="1:9" x14ac:dyDescent="0.6">
      <c r="A96">
        <v>66</v>
      </c>
      <c r="B96" t="s">
        <v>7</v>
      </c>
      <c r="C96" t="s">
        <v>8</v>
      </c>
      <c r="D96">
        <v>337.32</v>
      </c>
      <c r="E96">
        <v>154.6</v>
      </c>
      <c r="F96">
        <v>24586</v>
      </c>
      <c r="G96" t="s">
        <v>9</v>
      </c>
      <c r="H96">
        <v>89</v>
      </c>
      <c r="I96" t="s">
        <v>4732</v>
      </c>
    </row>
    <row r="97" spans="1:9" x14ac:dyDescent="0.6">
      <c r="A97">
        <v>104</v>
      </c>
      <c r="B97" t="s">
        <v>14</v>
      </c>
      <c r="C97" t="s">
        <v>8</v>
      </c>
      <c r="D97">
        <v>179.33</v>
      </c>
      <c r="E97">
        <v>189.96</v>
      </c>
      <c r="F97">
        <v>26056</v>
      </c>
      <c r="G97" t="s">
        <v>9</v>
      </c>
      <c r="H97">
        <v>54</v>
      </c>
      <c r="I97" t="s">
        <v>90</v>
      </c>
    </row>
    <row r="98" spans="1:9" x14ac:dyDescent="0.6">
      <c r="A98">
        <v>122</v>
      </c>
      <c r="B98" t="s">
        <v>14</v>
      </c>
      <c r="C98" t="s">
        <v>8</v>
      </c>
      <c r="D98">
        <v>202.38</v>
      </c>
      <c r="E98">
        <v>129.07</v>
      </c>
      <c r="F98">
        <v>20969</v>
      </c>
      <c r="G98" t="s">
        <v>9</v>
      </c>
      <c r="H98">
        <v>68</v>
      </c>
      <c r="I98" t="s">
        <v>90</v>
      </c>
    </row>
    <row r="99" spans="1:9" x14ac:dyDescent="0.6">
      <c r="A99">
        <v>118</v>
      </c>
      <c r="B99" t="s">
        <v>7</v>
      </c>
      <c r="C99" t="s">
        <v>8</v>
      </c>
      <c r="D99">
        <v>146.09</v>
      </c>
      <c r="E99">
        <v>112.98</v>
      </c>
      <c r="F99">
        <v>19793</v>
      </c>
      <c r="G99" t="s">
        <v>15</v>
      </c>
      <c r="H99">
        <v>62</v>
      </c>
      <c r="I99" t="s">
        <v>90</v>
      </c>
    </row>
    <row r="100" spans="1:9" x14ac:dyDescent="0.6">
      <c r="A100">
        <v>101</v>
      </c>
      <c r="B100" t="s">
        <v>14</v>
      </c>
      <c r="C100" t="s">
        <v>8</v>
      </c>
      <c r="D100">
        <v>215.49</v>
      </c>
      <c r="E100">
        <v>136.97</v>
      </c>
      <c r="F100">
        <v>18592</v>
      </c>
      <c r="G100" t="s">
        <v>9</v>
      </c>
      <c r="H100">
        <v>50</v>
      </c>
      <c r="I100" t="s">
        <v>90</v>
      </c>
    </row>
    <row r="101" spans="1:9" x14ac:dyDescent="0.6">
      <c r="A101">
        <v>106</v>
      </c>
      <c r="B101" t="s">
        <v>14</v>
      </c>
      <c r="C101" t="s">
        <v>8</v>
      </c>
      <c r="D101">
        <v>205.18</v>
      </c>
      <c r="E101">
        <v>164.74</v>
      </c>
      <c r="F101">
        <v>22130</v>
      </c>
      <c r="G101" t="s">
        <v>9</v>
      </c>
      <c r="H101">
        <v>61</v>
      </c>
      <c r="I101" t="s">
        <v>90</v>
      </c>
    </row>
    <row r="102" spans="1:9" x14ac:dyDescent="0.6">
      <c r="A102">
        <v>124</v>
      </c>
      <c r="B102" t="s">
        <v>7</v>
      </c>
      <c r="C102" t="s">
        <v>8</v>
      </c>
      <c r="D102">
        <v>275.70999999999998</v>
      </c>
      <c r="E102">
        <v>134.43</v>
      </c>
      <c r="F102">
        <v>28827</v>
      </c>
      <c r="G102" t="s">
        <v>9</v>
      </c>
      <c r="H102">
        <v>50</v>
      </c>
      <c r="I102" t="s">
        <v>108</v>
      </c>
    </row>
    <row r="103" spans="1:9" x14ac:dyDescent="0.6">
      <c r="A103">
        <v>113</v>
      </c>
      <c r="B103" t="s">
        <v>7</v>
      </c>
      <c r="C103" t="s">
        <v>8</v>
      </c>
      <c r="D103">
        <v>210.55</v>
      </c>
      <c r="E103">
        <v>112.06</v>
      </c>
      <c r="F103">
        <v>21782</v>
      </c>
      <c r="G103" t="s">
        <v>9</v>
      </c>
      <c r="H103">
        <v>52</v>
      </c>
      <c r="I103" t="s">
        <v>90</v>
      </c>
    </row>
    <row r="104" spans="1:9" x14ac:dyDescent="0.6">
      <c r="A104">
        <v>102</v>
      </c>
      <c r="B104" t="s">
        <v>14</v>
      </c>
      <c r="C104" t="s">
        <v>8</v>
      </c>
      <c r="D104">
        <v>219.82</v>
      </c>
      <c r="E104">
        <v>191.28</v>
      </c>
      <c r="F104">
        <v>29826</v>
      </c>
      <c r="G104" t="s">
        <v>9</v>
      </c>
      <c r="H104">
        <v>51</v>
      </c>
      <c r="I104" t="s">
        <v>90</v>
      </c>
    </row>
    <row r="105" spans="1:9" x14ac:dyDescent="0.6">
      <c r="A105">
        <v>98</v>
      </c>
      <c r="B105" t="s">
        <v>7</v>
      </c>
      <c r="C105" t="s">
        <v>8</v>
      </c>
      <c r="D105">
        <v>190.56</v>
      </c>
      <c r="E105">
        <v>169.89</v>
      </c>
      <c r="F105">
        <v>36585</v>
      </c>
      <c r="G105" t="s">
        <v>9</v>
      </c>
      <c r="H105">
        <v>54</v>
      </c>
      <c r="I105" t="s">
        <v>108</v>
      </c>
    </row>
    <row r="106" spans="1:9" x14ac:dyDescent="0.6">
      <c r="A106">
        <v>114</v>
      </c>
      <c r="B106" t="s">
        <v>14</v>
      </c>
      <c r="C106" t="s">
        <v>8</v>
      </c>
      <c r="D106">
        <v>191.79</v>
      </c>
      <c r="E106">
        <v>157.61000000000001</v>
      </c>
      <c r="F106">
        <v>27860</v>
      </c>
      <c r="G106" t="s">
        <v>9</v>
      </c>
      <c r="H106">
        <v>53</v>
      </c>
      <c r="I106" t="s">
        <v>90</v>
      </c>
    </row>
    <row r="107" spans="1:9" x14ac:dyDescent="0.6">
      <c r="A107">
        <v>103</v>
      </c>
      <c r="B107" t="s">
        <v>7</v>
      </c>
      <c r="C107" t="s">
        <v>8</v>
      </c>
      <c r="D107">
        <v>261.63</v>
      </c>
      <c r="E107">
        <v>114.81</v>
      </c>
      <c r="F107">
        <v>25926</v>
      </c>
      <c r="G107" t="s">
        <v>9</v>
      </c>
      <c r="H107">
        <v>57</v>
      </c>
      <c r="I107" t="s">
        <v>90</v>
      </c>
    </row>
    <row r="108" spans="1:9" x14ac:dyDescent="0.6">
      <c r="A108">
        <v>132</v>
      </c>
      <c r="B108" t="s">
        <v>14</v>
      </c>
      <c r="C108" t="s">
        <v>8</v>
      </c>
      <c r="D108">
        <v>224.93</v>
      </c>
      <c r="E108">
        <v>146.33000000000001</v>
      </c>
      <c r="F108">
        <v>18803</v>
      </c>
      <c r="G108" t="s">
        <v>9</v>
      </c>
      <c r="H108" t="s">
        <v>4732</v>
      </c>
      <c r="I108" t="s">
        <v>90</v>
      </c>
    </row>
    <row r="109" spans="1:9" x14ac:dyDescent="0.6">
      <c r="A109">
        <v>100</v>
      </c>
      <c r="B109" t="s">
        <v>7</v>
      </c>
      <c r="C109" t="s">
        <v>8</v>
      </c>
      <c r="D109">
        <v>258.12</v>
      </c>
      <c r="E109">
        <v>168.01</v>
      </c>
      <c r="F109">
        <v>27435</v>
      </c>
      <c r="G109" t="s">
        <v>9</v>
      </c>
      <c r="H109">
        <v>56</v>
      </c>
      <c r="I109" t="s">
        <v>108</v>
      </c>
    </row>
    <row r="110" spans="1:9" x14ac:dyDescent="0.6">
      <c r="A110">
        <v>120</v>
      </c>
      <c r="B110" t="s">
        <v>14</v>
      </c>
      <c r="C110" t="s">
        <v>8</v>
      </c>
      <c r="D110">
        <v>148.16999999999999</v>
      </c>
      <c r="E110">
        <v>75.03</v>
      </c>
      <c r="F110">
        <v>24129</v>
      </c>
      <c r="G110" t="s">
        <v>15</v>
      </c>
      <c r="H110">
        <v>60</v>
      </c>
      <c r="I110" t="s">
        <v>108</v>
      </c>
    </row>
    <row r="111" spans="1:9" x14ac:dyDescent="0.6">
      <c r="A111">
        <v>110</v>
      </c>
      <c r="B111" t="s">
        <v>14</v>
      </c>
      <c r="C111" t="s">
        <v>8</v>
      </c>
      <c r="D111">
        <v>219.56</v>
      </c>
      <c r="E111">
        <v>150.75</v>
      </c>
      <c r="F111">
        <v>31349</v>
      </c>
      <c r="G111" t="s">
        <v>9</v>
      </c>
      <c r="H111">
        <v>58</v>
      </c>
      <c r="I111" t="s">
        <v>108</v>
      </c>
    </row>
    <row r="112" spans="1:9" x14ac:dyDescent="0.6">
      <c r="A112">
        <v>99</v>
      </c>
      <c r="B112" t="s">
        <v>14</v>
      </c>
      <c r="C112" t="s">
        <v>8</v>
      </c>
      <c r="D112">
        <v>246.66</v>
      </c>
      <c r="E112">
        <v>170.09</v>
      </c>
      <c r="F112">
        <v>27965</v>
      </c>
      <c r="G112" t="s">
        <v>9</v>
      </c>
      <c r="H112">
        <v>50</v>
      </c>
      <c r="I112" t="s">
        <v>90</v>
      </c>
    </row>
    <row r="113" spans="1:9" x14ac:dyDescent="0.6">
      <c r="A113">
        <v>123</v>
      </c>
      <c r="B113" t="s">
        <v>14</v>
      </c>
      <c r="C113" t="s">
        <v>8</v>
      </c>
      <c r="D113">
        <v>170.05</v>
      </c>
      <c r="E113">
        <v>153.57</v>
      </c>
      <c r="F113">
        <v>28952</v>
      </c>
      <c r="G113" t="s">
        <v>9</v>
      </c>
      <c r="H113">
        <v>65</v>
      </c>
      <c r="I113" t="s">
        <v>108</v>
      </c>
    </row>
    <row r="114" spans="1:9" x14ac:dyDescent="0.6">
      <c r="A114">
        <v>129</v>
      </c>
      <c r="B114" t="s">
        <v>7</v>
      </c>
      <c r="C114" t="s">
        <v>8</v>
      </c>
      <c r="D114">
        <v>214.27</v>
      </c>
      <c r="E114">
        <v>160.52000000000001</v>
      </c>
      <c r="F114">
        <v>33773</v>
      </c>
      <c r="G114" t="s">
        <v>9</v>
      </c>
      <c r="H114" t="s">
        <v>4732</v>
      </c>
      <c r="I114" t="s">
        <v>90</v>
      </c>
    </row>
    <row r="115" spans="1:9" x14ac:dyDescent="0.6">
      <c r="A115">
        <v>121</v>
      </c>
      <c r="B115" t="s">
        <v>14</v>
      </c>
      <c r="C115" t="s">
        <v>8</v>
      </c>
      <c r="D115">
        <v>245.37</v>
      </c>
      <c r="E115">
        <v>100.58</v>
      </c>
      <c r="F115">
        <v>34319</v>
      </c>
      <c r="G115" t="s">
        <v>9</v>
      </c>
      <c r="H115">
        <v>59</v>
      </c>
      <c r="I115" t="s">
        <v>108</v>
      </c>
    </row>
    <row r="116" spans="1:9" x14ac:dyDescent="0.6">
      <c r="A116">
        <v>137</v>
      </c>
      <c r="B116" t="s">
        <v>7</v>
      </c>
      <c r="C116" t="s">
        <v>8</v>
      </c>
      <c r="D116">
        <v>263.37</v>
      </c>
      <c r="E116">
        <v>205.29</v>
      </c>
      <c r="F116">
        <v>34864</v>
      </c>
      <c r="G116" t="s">
        <v>9</v>
      </c>
      <c r="H116" t="s">
        <v>4732</v>
      </c>
      <c r="I116" t="s">
        <v>108</v>
      </c>
    </row>
    <row r="117" spans="1:9" x14ac:dyDescent="0.6">
      <c r="A117">
        <v>116</v>
      </c>
      <c r="B117" t="s">
        <v>7</v>
      </c>
      <c r="C117" t="s">
        <v>8</v>
      </c>
      <c r="D117">
        <v>309.25</v>
      </c>
      <c r="E117">
        <v>222.82</v>
      </c>
      <c r="F117">
        <v>26503</v>
      </c>
      <c r="G117" t="s">
        <v>9</v>
      </c>
      <c r="H117">
        <v>54</v>
      </c>
      <c r="I117" t="s">
        <v>108</v>
      </c>
    </row>
    <row r="118" spans="1:9" x14ac:dyDescent="0.6">
      <c r="A118">
        <v>127</v>
      </c>
      <c r="B118" t="s">
        <v>14</v>
      </c>
      <c r="C118" t="s">
        <v>8</v>
      </c>
      <c r="D118">
        <v>134.79</v>
      </c>
      <c r="E118">
        <v>174.75</v>
      </c>
      <c r="F118">
        <v>26971</v>
      </c>
      <c r="G118" t="s">
        <v>15</v>
      </c>
      <c r="H118" t="s">
        <v>4732</v>
      </c>
      <c r="I118" t="s">
        <v>108</v>
      </c>
    </row>
    <row r="119" spans="1:9" x14ac:dyDescent="0.6">
      <c r="A119">
        <v>147</v>
      </c>
      <c r="B119" t="s">
        <v>14</v>
      </c>
      <c r="C119" t="s">
        <v>8</v>
      </c>
      <c r="D119">
        <v>230.39</v>
      </c>
      <c r="E119">
        <v>144.74</v>
      </c>
      <c r="F119">
        <v>33416</v>
      </c>
      <c r="G119" t="s">
        <v>9</v>
      </c>
      <c r="H119">
        <v>62</v>
      </c>
      <c r="I119" t="s">
        <v>90</v>
      </c>
    </row>
    <row r="120" spans="1:9" x14ac:dyDescent="0.6">
      <c r="A120">
        <v>112</v>
      </c>
      <c r="B120" t="s">
        <v>7</v>
      </c>
      <c r="C120" t="s">
        <v>8</v>
      </c>
      <c r="D120">
        <v>294.48</v>
      </c>
      <c r="E120">
        <v>205.23</v>
      </c>
      <c r="F120">
        <v>31191</v>
      </c>
      <c r="G120" t="s">
        <v>9</v>
      </c>
      <c r="H120">
        <v>51</v>
      </c>
      <c r="I120" t="s">
        <v>90</v>
      </c>
    </row>
    <row r="121" spans="1:9" x14ac:dyDescent="0.6">
      <c r="A121">
        <v>150</v>
      </c>
      <c r="B121" t="s">
        <v>14</v>
      </c>
      <c r="C121" t="s">
        <v>8</v>
      </c>
      <c r="D121">
        <v>136.1</v>
      </c>
      <c r="E121">
        <v>124.57</v>
      </c>
      <c r="F121">
        <v>28382</v>
      </c>
      <c r="G121" t="s">
        <v>15</v>
      </c>
      <c r="H121">
        <v>69</v>
      </c>
      <c r="I121" t="s">
        <v>90</v>
      </c>
    </row>
    <row r="122" spans="1:9" x14ac:dyDescent="0.6">
      <c r="A122">
        <v>125</v>
      </c>
      <c r="B122" t="s">
        <v>7</v>
      </c>
      <c r="C122" t="s">
        <v>8</v>
      </c>
      <c r="D122">
        <v>281.36</v>
      </c>
      <c r="E122">
        <v>206.81</v>
      </c>
      <c r="F122">
        <v>38889</v>
      </c>
      <c r="G122" t="s">
        <v>9</v>
      </c>
      <c r="H122" t="s">
        <v>4732</v>
      </c>
      <c r="I122" t="s">
        <v>108</v>
      </c>
    </row>
    <row r="123" spans="1:9" x14ac:dyDescent="0.6">
      <c r="A123">
        <v>115</v>
      </c>
      <c r="B123" t="s">
        <v>7</v>
      </c>
      <c r="C123" t="s">
        <v>8</v>
      </c>
      <c r="D123">
        <v>303.76</v>
      </c>
      <c r="E123">
        <v>238.43</v>
      </c>
      <c r="F123">
        <v>37964</v>
      </c>
      <c r="G123" t="s">
        <v>9</v>
      </c>
      <c r="H123">
        <v>54</v>
      </c>
      <c r="I123" t="s">
        <v>108</v>
      </c>
    </row>
    <row r="124" spans="1:9" x14ac:dyDescent="0.6">
      <c r="A124">
        <v>119</v>
      </c>
      <c r="B124" t="s">
        <v>7</v>
      </c>
      <c r="C124" t="s">
        <v>8</v>
      </c>
      <c r="D124">
        <v>328.29</v>
      </c>
      <c r="E124">
        <v>160.44999999999999</v>
      </c>
      <c r="F124">
        <v>32198</v>
      </c>
      <c r="G124" t="s">
        <v>9</v>
      </c>
      <c r="H124">
        <v>56</v>
      </c>
      <c r="I124" t="s">
        <v>108</v>
      </c>
    </row>
    <row r="125" spans="1:9" x14ac:dyDescent="0.6">
      <c r="A125">
        <v>133</v>
      </c>
      <c r="B125" t="s">
        <v>7</v>
      </c>
      <c r="C125" t="s">
        <v>8</v>
      </c>
      <c r="D125">
        <v>165.21</v>
      </c>
      <c r="E125">
        <v>90.26</v>
      </c>
      <c r="F125">
        <v>36111</v>
      </c>
      <c r="G125" t="s">
        <v>9</v>
      </c>
      <c r="H125" t="s">
        <v>4732</v>
      </c>
      <c r="I125" t="s">
        <v>108</v>
      </c>
    </row>
    <row r="126" spans="1:9" x14ac:dyDescent="0.6">
      <c r="A126">
        <v>143</v>
      </c>
      <c r="B126" t="s">
        <v>7</v>
      </c>
      <c r="C126" t="s">
        <v>8</v>
      </c>
      <c r="D126">
        <v>255.53</v>
      </c>
      <c r="E126">
        <v>154.71</v>
      </c>
      <c r="F126">
        <v>21284</v>
      </c>
      <c r="G126" t="s">
        <v>9</v>
      </c>
      <c r="H126">
        <v>50</v>
      </c>
      <c r="I126" t="s">
        <v>90</v>
      </c>
    </row>
    <row r="127" spans="1:9" x14ac:dyDescent="0.6">
      <c r="A127">
        <v>130</v>
      </c>
      <c r="B127" t="s">
        <v>14</v>
      </c>
      <c r="C127" t="s">
        <v>8</v>
      </c>
      <c r="D127">
        <v>251.48</v>
      </c>
      <c r="E127">
        <v>229.41</v>
      </c>
      <c r="F127">
        <v>25881</v>
      </c>
      <c r="G127" t="s">
        <v>9</v>
      </c>
      <c r="H127" t="s">
        <v>4732</v>
      </c>
      <c r="I127" t="s">
        <v>108</v>
      </c>
    </row>
    <row r="128" spans="1:9" x14ac:dyDescent="0.6">
      <c r="A128">
        <v>131</v>
      </c>
      <c r="B128" t="s">
        <v>14</v>
      </c>
      <c r="C128" t="s">
        <v>8</v>
      </c>
      <c r="D128">
        <v>200.08</v>
      </c>
      <c r="E128">
        <v>133.82</v>
      </c>
      <c r="F128">
        <v>45671</v>
      </c>
      <c r="G128" t="s">
        <v>9</v>
      </c>
      <c r="H128" t="s">
        <v>4732</v>
      </c>
      <c r="I128" t="s">
        <v>108</v>
      </c>
    </row>
    <row r="129" spans="1:9" x14ac:dyDescent="0.6">
      <c r="A129">
        <v>126</v>
      </c>
      <c r="B129" t="s">
        <v>14</v>
      </c>
      <c r="C129" t="s">
        <v>8</v>
      </c>
      <c r="D129">
        <v>237.54</v>
      </c>
      <c r="E129">
        <v>180.98</v>
      </c>
      <c r="F129">
        <v>27435</v>
      </c>
      <c r="G129" t="s">
        <v>9</v>
      </c>
      <c r="H129" t="s">
        <v>4732</v>
      </c>
      <c r="I129" t="s">
        <v>90</v>
      </c>
    </row>
    <row r="130" spans="1:9" x14ac:dyDescent="0.6">
      <c r="A130">
        <v>156</v>
      </c>
      <c r="B130" t="s">
        <v>7</v>
      </c>
      <c r="C130" t="s">
        <v>8</v>
      </c>
      <c r="D130">
        <v>197.01</v>
      </c>
      <c r="E130">
        <v>91.23</v>
      </c>
      <c r="F130">
        <v>25235</v>
      </c>
      <c r="G130" t="s">
        <v>9</v>
      </c>
      <c r="H130">
        <v>63</v>
      </c>
      <c r="I130" t="s">
        <v>90</v>
      </c>
    </row>
    <row r="131" spans="1:9" x14ac:dyDescent="0.6">
      <c r="A131">
        <v>111</v>
      </c>
      <c r="B131" t="s">
        <v>7</v>
      </c>
      <c r="C131" t="s">
        <v>8</v>
      </c>
      <c r="D131">
        <v>236.38</v>
      </c>
      <c r="E131">
        <v>198.91</v>
      </c>
      <c r="F131">
        <v>51211</v>
      </c>
      <c r="G131" t="s">
        <v>9</v>
      </c>
      <c r="H131">
        <v>51</v>
      </c>
      <c r="I131" t="s">
        <v>108</v>
      </c>
    </row>
    <row r="132" spans="1:9" x14ac:dyDescent="0.6">
      <c r="A132">
        <v>144</v>
      </c>
      <c r="B132" t="s">
        <v>7</v>
      </c>
      <c r="C132" t="s">
        <v>8</v>
      </c>
      <c r="D132">
        <v>275.08999999999997</v>
      </c>
      <c r="E132">
        <v>167.08</v>
      </c>
      <c r="F132">
        <v>20742</v>
      </c>
      <c r="G132" t="s">
        <v>9</v>
      </c>
      <c r="H132">
        <v>56</v>
      </c>
      <c r="I132" t="s">
        <v>90</v>
      </c>
    </row>
    <row r="133" spans="1:9" x14ac:dyDescent="0.6">
      <c r="A133">
        <v>153</v>
      </c>
      <c r="B133" t="s">
        <v>7</v>
      </c>
      <c r="C133" t="s">
        <v>8</v>
      </c>
      <c r="D133">
        <v>184.33</v>
      </c>
      <c r="E133">
        <v>104.85</v>
      </c>
      <c r="F133">
        <v>35467</v>
      </c>
      <c r="G133" t="s">
        <v>9</v>
      </c>
      <c r="H133">
        <v>52</v>
      </c>
      <c r="I133" t="s">
        <v>90</v>
      </c>
    </row>
    <row r="134" spans="1:9" x14ac:dyDescent="0.6">
      <c r="A134">
        <v>142</v>
      </c>
      <c r="B134" t="s">
        <v>7</v>
      </c>
      <c r="C134" t="s">
        <v>8</v>
      </c>
      <c r="D134">
        <v>194.35</v>
      </c>
      <c r="E134">
        <v>160.78</v>
      </c>
      <c r="F134">
        <v>31533</v>
      </c>
      <c r="G134" t="s">
        <v>9</v>
      </c>
      <c r="H134">
        <v>58</v>
      </c>
      <c r="I134" t="s">
        <v>108</v>
      </c>
    </row>
    <row r="135" spans="1:9" x14ac:dyDescent="0.6">
      <c r="A135">
        <v>141</v>
      </c>
      <c r="B135" t="s">
        <v>7</v>
      </c>
      <c r="C135" t="s">
        <v>8</v>
      </c>
      <c r="D135">
        <v>277.19</v>
      </c>
      <c r="E135">
        <v>98.94</v>
      </c>
      <c r="F135">
        <v>23867</v>
      </c>
      <c r="G135" t="s">
        <v>9</v>
      </c>
      <c r="H135">
        <v>50</v>
      </c>
      <c r="I135" t="s">
        <v>108</v>
      </c>
    </row>
    <row r="136" spans="1:9" x14ac:dyDescent="0.6">
      <c r="A136">
        <v>151</v>
      </c>
      <c r="B136" t="s">
        <v>14</v>
      </c>
      <c r="C136" t="s">
        <v>8</v>
      </c>
      <c r="D136">
        <v>193.26</v>
      </c>
      <c r="E136">
        <v>109.81</v>
      </c>
      <c r="F136">
        <v>47355</v>
      </c>
      <c r="G136" t="s">
        <v>9</v>
      </c>
      <c r="H136">
        <v>50</v>
      </c>
      <c r="I136" t="s">
        <v>108</v>
      </c>
    </row>
    <row r="137" spans="1:9" x14ac:dyDescent="0.6">
      <c r="A137">
        <v>165</v>
      </c>
      <c r="B137" t="s">
        <v>7</v>
      </c>
      <c r="C137" t="s">
        <v>8</v>
      </c>
      <c r="D137">
        <v>204.53</v>
      </c>
      <c r="E137">
        <v>100.65</v>
      </c>
      <c r="F137">
        <v>23629</v>
      </c>
      <c r="G137" t="s">
        <v>9</v>
      </c>
      <c r="H137">
        <v>52</v>
      </c>
      <c r="I137" t="s">
        <v>90</v>
      </c>
    </row>
    <row r="138" spans="1:9" x14ac:dyDescent="0.6">
      <c r="A138">
        <v>157</v>
      </c>
      <c r="B138" t="s">
        <v>7</v>
      </c>
      <c r="C138" t="s">
        <v>8</v>
      </c>
      <c r="D138">
        <v>179.85</v>
      </c>
      <c r="E138">
        <v>179.5</v>
      </c>
      <c r="F138">
        <v>50109</v>
      </c>
      <c r="G138" t="s">
        <v>9</v>
      </c>
      <c r="H138">
        <v>62</v>
      </c>
      <c r="I138" t="s">
        <v>108</v>
      </c>
    </row>
    <row r="139" spans="1:9" x14ac:dyDescent="0.6">
      <c r="A139">
        <v>159</v>
      </c>
      <c r="B139" t="s">
        <v>7</v>
      </c>
      <c r="C139" t="s">
        <v>8</v>
      </c>
      <c r="D139">
        <v>166.67</v>
      </c>
      <c r="E139">
        <v>172.9</v>
      </c>
      <c r="F139">
        <v>31111</v>
      </c>
      <c r="G139" t="s">
        <v>9</v>
      </c>
      <c r="H139">
        <v>57</v>
      </c>
      <c r="I139" t="s">
        <v>90</v>
      </c>
    </row>
    <row r="140" spans="1:9" x14ac:dyDescent="0.6">
      <c r="A140">
        <v>163</v>
      </c>
      <c r="B140" t="s">
        <v>14</v>
      </c>
      <c r="C140" t="s">
        <v>8</v>
      </c>
      <c r="D140">
        <v>172.65</v>
      </c>
      <c r="E140">
        <v>149.74</v>
      </c>
      <c r="F140">
        <v>62299</v>
      </c>
      <c r="G140" t="s">
        <v>9</v>
      </c>
      <c r="H140">
        <v>57</v>
      </c>
      <c r="I140" t="s">
        <v>108</v>
      </c>
    </row>
    <row r="141" spans="1:9" x14ac:dyDescent="0.6">
      <c r="A141">
        <v>145</v>
      </c>
      <c r="B141" t="s">
        <v>14</v>
      </c>
      <c r="C141" t="s">
        <v>8</v>
      </c>
      <c r="D141">
        <v>209.19</v>
      </c>
      <c r="E141">
        <v>151.18</v>
      </c>
      <c r="F141">
        <v>40387</v>
      </c>
      <c r="G141" t="s">
        <v>9</v>
      </c>
      <c r="H141">
        <v>51</v>
      </c>
      <c r="I141" t="s">
        <v>108</v>
      </c>
    </row>
    <row r="142" spans="1:9" x14ac:dyDescent="0.6">
      <c r="A142">
        <v>138</v>
      </c>
      <c r="B142" t="s">
        <v>7</v>
      </c>
      <c r="C142" t="s">
        <v>8</v>
      </c>
      <c r="D142">
        <v>168.13</v>
      </c>
      <c r="E142">
        <v>149.66</v>
      </c>
      <c r="F142">
        <v>38826</v>
      </c>
      <c r="G142" t="s">
        <v>9</v>
      </c>
      <c r="H142" t="s">
        <v>4732</v>
      </c>
      <c r="I142" t="s">
        <v>108</v>
      </c>
    </row>
    <row r="143" spans="1:9" x14ac:dyDescent="0.6">
      <c r="A143">
        <v>148</v>
      </c>
      <c r="B143" t="s">
        <v>14</v>
      </c>
      <c r="C143" t="s">
        <v>8</v>
      </c>
      <c r="D143">
        <v>176.87</v>
      </c>
      <c r="E143">
        <v>129.91999999999999</v>
      </c>
      <c r="F143">
        <v>46949</v>
      </c>
      <c r="G143" t="s">
        <v>9</v>
      </c>
      <c r="H143">
        <v>79</v>
      </c>
      <c r="I143" t="s">
        <v>108</v>
      </c>
    </row>
    <row r="144" spans="1:9" x14ac:dyDescent="0.6">
      <c r="A144">
        <v>166</v>
      </c>
      <c r="B144" t="s">
        <v>14</v>
      </c>
      <c r="C144" t="s">
        <v>8</v>
      </c>
      <c r="D144">
        <v>176.67</v>
      </c>
      <c r="E144">
        <v>120.79</v>
      </c>
      <c r="F144">
        <v>18116</v>
      </c>
      <c r="G144" t="s">
        <v>9</v>
      </c>
      <c r="H144">
        <v>51</v>
      </c>
      <c r="I144" t="s">
        <v>90</v>
      </c>
    </row>
    <row r="145" spans="1:9" x14ac:dyDescent="0.6">
      <c r="A145">
        <v>128</v>
      </c>
      <c r="B145" t="s">
        <v>7</v>
      </c>
      <c r="C145" t="s">
        <v>8</v>
      </c>
      <c r="D145">
        <v>151.66999999999999</v>
      </c>
      <c r="E145">
        <v>176.2</v>
      </c>
      <c r="F145">
        <v>33866</v>
      </c>
      <c r="G145" t="s">
        <v>15</v>
      </c>
      <c r="H145" t="s">
        <v>4732</v>
      </c>
      <c r="I145" t="s">
        <v>90</v>
      </c>
    </row>
    <row r="146" spans="1:9" x14ac:dyDescent="0.6">
      <c r="A146">
        <v>146</v>
      </c>
      <c r="B146" t="s">
        <v>7</v>
      </c>
      <c r="C146" t="s">
        <v>8</v>
      </c>
      <c r="D146">
        <v>167.62</v>
      </c>
      <c r="E146">
        <v>96.32</v>
      </c>
      <c r="F146">
        <v>29648</v>
      </c>
      <c r="G146" t="s">
        <v>9</v>
      </c>
      <c r="H146">
        <v>61</v>
      </c>
      <c r="I146" t="s">
        <v>108</v>
      </c>
    </row>
    <row r="147" spans="1:9" x14ac:dyDescent="0.6">
      <c r="A147">
        <v>152</v>
      </c>
      <c r="B147" t="s">
        <v>7</v>
      </c>
      <c r="C147" t="s">
        <v>8</v>
      </c>
      <c r="D147">
        <v>215.32</v>
      </c>
      <c r="E147">
        <v>135.34</v>
      </c>
      <c r="F147">
        <v>31090</v>
      </c>
      <c r="G147" t="s">
        <v>9</v>
      </c>
      <c r="H147">
        <v>50</v>
      </c>
      <c r="I147" t="s">
        <v>90</v>
      </c>
    </row>
    <row r="148" spans="1:9" x14ac:dyDescent="0.6">
      <c r="A148">
        <v>174</v>
      </c>
      <c r="B148" t="s">
        <v>14</v>
      </c>
      <c r="C148" t="s">
        <v>8</v>
      </c>
      <c r="D148">
        <v>109.18</v>
      </c>
      <c r="E148">
        <v>124.82</v>
      </c>
      <c r="F148">
        <v>45003</v>
      </c>
      <c r="G148" t="s">
        <v>17</v>
      </c>
      <c r="H148">
        <v>76</v>
      </c>
      <c r="I148" t="s">
        <v>90</v>
      </c>
    </row>
    <row r="149" spans="1:9" x14ac:dyDescent="0.6">
      <c r="A149">
        <v>164</v>
      </c>
      <c r="B149" t="s">
        <v>14</v>
      </c>
      <c r="C149" t="s">
        <v>8</v>
      </c>
      <c r="D149">
        <v>231.12</v>
      </c>
      <c r="E149">
        <v>169.42</v>
      </c>
      <c r="F149">
        <v>41770</v>
      </c>
      <c r="G149" t="s">
        <v>9</v>
      </c>
      <c r="H149">
        <v>61</v>
      </c>
      <c r="I149" t="s">
        <v>108</v>
      </c>
    </row>
    <row r="150" spans="1:9" x14ac:dyDescent="0.6">
      <c r="A150">
        <v>136</v>
      </c>
      <c r="B150" t="s">
        <v>7</v>
      </c>
      <c r="C150" t="s">
        <v>8</v>
      </c>
      <c r="D150">
        <v>156.19</v>
      </c>
      <c r="E150">
        <v>164.72</v>
      </c>
      <c r="F150">
        <v>39698</v>
      </c>
      <c r="G150" t="s">
        <v>15</v>
      </c>
      <c r="H150" t="s">
        <v>4732</v>
      </c>
      <c r="I150" t="s">
        <v>108</v>
      </c>
    </row>
    <row r="151" spans="1:9" x14ac:dyDescent="0.6">
      <c r="A151">
        <v>168</v>
      </c>
      <c r="B151" t="s">
        <v>7</v>
      </c>
      <c r="C151" t="s">
        <v>8</v>
      </c>
      <c r="D151">
        <v>155.61000000000001</v>
      </c>
      <c r="E151">
        <v>135.02000000000001</v>
      </c>
      <c r="F151">
        <v>37308</v>
      </c>
      <c r="G151" t="s">
        <v>15</v>
      </c>
      <c r="H151">
        <v>53</v>
      </c>
      <c r="I151" t="s">
        <v>108</v>
      </c>
    </row>
    <row r="152" spans="1:9" x14ac:dyDescent="0.6">
      <c r="A152">
        <v>149</v>
      </c>
      <c r="B152" t="s">
        <v>14</v>
      </c>
      <c r="C152" t="s">
        <v>8</v>
      </c>
      <c r="D152">
        <v>195.16</v>
      </c>
      <c r="E152">
        <v>111.41</v>
      </c>
      <c r="F152">
        <v>16639</v>
      </c>
      <c r="G152" t="s">
        <v>9</v>
      </c>
      <c r="H152">
        <v>56</v>
      </c>
      <c r="I152" t="s">
        <v>90</v>
      </c>
    </row>
    <row r="153" spans="1:9" x14ac:dyDescent="0.6">
      <c r="A153">
        <v>158</v>
      </c>
      <c r="B153" t="s">
        <v>14</v>
      </c>
      <c r="C153" t="s">
        <v>8</v>
      </c>
      <c r="D153">
        <v>236.38</v>
      </c>
      <c r="E153">
        <v>141.55000000000001</v>
      </c>
      <c r="F153">
        <v>23388</v>
      </c>
      <c r="G153" t="s">
        <v>9</v>
      </c>
      <c r="H153">
        <v>50</v>
      </c>
      <c r="I153" t="s">
        <v>90</v>
      </c>
    </row>
    <row r="154" spans="1:9" x14ac:dyDescent="0.6">
      <c r="A154">
        <v>160</v>
      </c>
      <c r="B154" t="s">
        <v>14</v>
      </c>
      <c r="C154" t="s">
        <v>8</v>
      </c>
      <c r="D154">
        <v>148.11000000000001</v>
      </c>
      <c r="E154">
        <v>138.24</v>
      </c>
      <c r="F154">
        <v>35664</v>
      </c>
      <c r="G154" t="s">
        <v>15</v>
      </c>
      <c r="H154">
        <v>58</v>
      </c>
      <c r="I154" t="s">
        <v>108</v>
      </c>
    </row>
    <row r="155" spans="1:9" x14ac:dyDescent="0.6">
      <c r="A155">
        <v>172</v>
      </c>
      <c r="B155" t="s">
        <v>14</v>
      </c>
      <c r="C155" t="s">
        <v>8</v>
      </c>
      <c r="D155">
        <v>267.33999999999997</v>
      </c>
      <c r="E155">
        <v>183.93</v>
      </c>
      <c r="F155">
        <v>40654</v>
      </c>
      <c r="G155" t="s">
        <v>9</v>
      </c>
      <c r="H155">
        <v>52</v>
      </c>
      <c r="I155" t="s">
        <v>108</v>
      </c>
    </row>
    <row r="156" spans="1:9" x14ac:dyDescent="0.6">
      <c r="A156">
        <v>139</v>
      </c>
      <c r="B156" t="s">
        <v>7</v>
      </c>
      <c r="C156" t="s">
        <v>8</v>
      </c>
      <c r="D156">
        <v>286.37</v>
      </c>
      <c r="E156">
        <v>195.37</v>
      </c>
      <c r="F156">
        <v>33561</v>
      </c>
      <c r="G156" t="s">
        <v>9</v>
      </c>
      <c r="H156" t="s">
        <v>4732</v>
      </c>
      <c r="I156" t="s">
        <v>108</v>
      </c>
    </row>
    <row r="157" spans="1:9" x14ac:dyDescent="0.6">
      <c r="A157">
        <v>155</v>
      </c>
      <c r="B157" t="s">
        <v>7</v>
      </c>
      <c r="C157" t="s">
        <v>8</v>
      </c>
      <c r="D157">
        <v>277.64999999999998</v>
      </c>
      <c r="E157">
        <v>149.29</v>
      </c>
      <c r="F157">
        <v>48159</v>
      </c>
      <c r="G157" t="s">
        <v>9</v>
      </c>
      <c r="H157">
        <v>56</v>
      </c>
      <c r="I157" t="s">
        <v>108</v>
      </c>
    </row>
    <row r="158" spans="1:9" x14ac:dyDescent="0.6">
      <c r="A158">
        <v>162</v>
      </c>
      <c r="B158" t="s">
        <v>7</v>
      </c>
      <c r="C158" t="s">
        <v>8</v>
      </c>
      <c r="D158">
        <v>232.8</v>
      </c>
      <c r="E158">
        <v>129.16</v>
      </c>
      <c r="F158">
        <v>28405</v>
      </c>
      <c r="G158" t="s">
        <v>9</v>
      </c>
      <c r="H158">
        <v>59</v>
      </c>
      <c r="I158" t="s">
        <v>108</v>
      </c>
    </row>
    <row r="159" spans="1:9" x14ac:dyDescent="0.6">
      <c r="A159">
        <v>154</v>
      </c>
      <c r="B159" t="s">
        <v>14</v>
      </c>
      <c r="C159" t="s">
        <v>8</v>
      </c>
      <c r="D159">
        <v>197.48</v>
      </c>
      <c r="E159">
        <v>127.48</v>
      </c>
      <c r="F159">
        <v>32411</v>
      </c>
      <c r="G159" t="s">
        <v>9</v>
      </c>
      <c r="H159">
        <v>53</v>
      </c>
      <c r="I159" t="s">
        <v>108</v>
      </c>
    </row>
    <row r="160" spans="1:9" x14ac:dyDescent="0.6">
      <c r="A160">
        <v>185</v>
      </c>
      <c r="B160" t="s">
        <v>14</v>
      </c>
      <c r="C160" t="s">
        <v>8</v>
      </c>
      <c r="D160">
        <v>177.8</v>
      </c>
      <c r="E160">
        <v>93.79</v>
      </c>
      <c r="F160">
        <v>40613</v>
      </c>
      <c r="G160" t="s">
        <v>9</v>
      </c>
      <c r="H160">
        <v>53</v>
      </c>
      <c r="I160" t="s">
        <v>108</v>
      </c>
    </row>
    <row r="161" spans="1:9" x14ac:dyDescent="0.6">
      <c r="A161">
        <v>161</v>
      </c>
      <c r="B161" t="s">
        <v>7</v>
      </c>
      <c r="C161" t="s">
        <v>8</v>
      </c>
      <c r="D161">
        <v>210.52</v>
      </c>
      <c r="E161">
        <v>128.37</v>
      </c>
      <c r="F161">
        <v>30767</v>
      </c>
      <c r="G161" t="s">
        <v>9</v>
      </c>
      <c r="H161">
        <v>59</v>
      </c>
      <c r="I161" t="s">
        <v>108</v>
      </c>
    </row>
    <row r="162" spans="1:9" x14ac:dyDescent="0.6">
      <c r="A162">
        <v>175</v>
      </c>
      <c r="B162" t="s">
        <v>14</v>
      </c>
      <c r="C162" t="s">
        <v>8</v>
      </c>
      <c r="D162">
        <v>213.75</v>
      </c>
      <c r="E162">
        <v>148.93</v>
      </c>
      <c r="F162">
        <v>37387</v>
      </c>
      <c r="G162" t="s">
        <v>9</v>
      </c>
      <c r="H162">
        <v>54</v>
      </c>
      <c r="I162" t="s">
        <v>108</v>
      </c>
    </row>
    <row r="163" spans="1:9" x14ac:dyDescent="0.6">
      <c r="A163">
        <v>183</v>
      </c>
      <c r="B163" t="s">
        <v>7</v>
      </c>
      <c r="C163" t="s">
        <v>8</v>
      </c>
      <c r="D163">
        <v>252.54</v>
      </c>
      <c r="E163">
        <v>173.45</v>
      </c>
      <c r="F163">
        <v>19989</v>
      </c>
      <c r="G163" t="s">
        <v>9</v>
      </c>
      <c r="H163">
        <v>58</v>
      </c>
      <c r="I163" t="s">
        <v>90</v>
      </c>
    </row>
    <row r="164" spans="1:9" x14ac:dyDescent="0.6">
      <c r="A164">
        <v>182</v>
      </c>
      <c r="B164" t="s">
        <v>14</v>
      </c>
      <c r="C164" t="s">
        <v>8</v>
      </c>
      <c r="D164">
        <v>206.75</v>
      </c>
      <c r="E164">
        <v>167.33</v>
      </c>
      <c r="F164">
        <v>51224</v>
      </c>
      <c r="G164" t="s">
        <v>9</v>
      </c>
      <c r="H164">
        <v>53</v>
      </c>
      <c r="I164" t="s">
        <v>108</v>
      </c>
    </row>
    <row r="165" spans="1:9" x14ac:dyDescent="0.6">
      <c r="A165">
        <v>187</v>
      </c>
      <c r="B165" t="s">
        <v>14</v>
      </c>
      <c r="C165" t="s">
        <v>8</v>
      </c>
      <c r="D165">
        <v>193.36</v>
      </c>
      <c r="E165">
        <v>128.06</v>
      </c>
      <c r="F165">
        <v>31111</v>
      </c>
      <c r="G165" t="s">
        <v>9</v>
      </c>
      <c r="H165">
        <v>52</v>
      </c>
      <c r="I165" t="s">
        <v>108</v>
      </c>
    </row>
    <row r="166" spans="1:9" x14ac:dyDescent="0.6">
      <c r="A166">
        <v>179</v>
      </c>
      <c r="B166" t="s">
        <v>14</v>
      </c>
      <c r="C166" t="s">
        <v>8</v>
      </c>
      <c r="D166">
        <v>205.9</v>
      </c>
      <c r="E166">
        <v>208.99</v>
      </c>
      <c r="F166">
        <v>32525</v>
      </c>
      <c r="G166" t="s">
        <v>9</v>
      </c>
      <c r="H166">
        <v>64</v>
      </c>
      <c r="I166" t="s">
        <v>90</v>
      </c>
    </row>
    <row r="167" spans="1:9" x14ac:dyDescent="0.6">
      <c r="A167">
        <v>167</v>
      </c>
      <c r="B167" t="s">
        <v>7</v>
      </c>
      <c r="C167" t="s">
        <v>8</v>
      </c>
      <c r="D167">
        <v>158.66999999999999</v>
      </c>
      <c r="E167">
        <v>115.72</v>
      </c>
      <c r="F167">
        <v>26506</v>
      </c>
      <c r="G167" t="s">
        <v>15</v>
      </c>
      <c r="H167">
        <v>61</v>
      </c>
      <c r="I167" t="s">
        <v>90</v>
      </c>
    </row>
    <row r="168" spans="1:9" x14ac:dyDescent="0.6">
      <c r="A168">
        <v>171</v>
      </c>
      <c r="B168" t="s">
        <v>7</v>
      </c>
      <c r="C168" t="s">
        <v>8</v>
      </c>
      <c r="D168">
        <v>215.92</v>
      </c>
      <c r="E168">
        <v>126.15</v>
      </c>
      <c r="F168">
        <v>39942</v>
      </c>
      <c r="G168" t="s">
        <v>9</v>
      </c>
      <c r="H168">
        <v>58</v>
      </c>
      <c r="I168" t="s">
        <v>108</v>
      </c>
    </row>
    <row r="169" spans="1:9" x14ac:dyDescent="0.6">
      <c r="A169">
        <v>184</v>
      </c>
      <c r="B169" t="s">
        <v>14</v>
      </c>
      <c r="C169" t="s">
        <v>8</v>
      </c>
      <c r="D169">
        <v>192.64</v>
      </c>
      <c r="E169">
        <v>155.65</v>
      </c>
      <c r="F169">
        <v>42598</v>
      </c>
      <c r="G169" t="s">
        <v>9</v>
      </c>
      <c r="H169">
        <v>78</v>
      </c>
      <c r="I169" t="s">
        <v>108</v>
      </c>
    </row>
    <row r="170" spans="1:9" x14ac:dyDescent="0.6">
      <c r="A170">
        <v>201</v>
      </c>
      <c r="B170" t="s">
        <v>14</v>
      </c>
      <c r="C170" t="s">
        <v>8</v>
      </c>
      <c r="D170">
        <v>169.54</v>
      </c>
      <c r="E170">
        <v>149.21</v>
      </c>
      <c r="F170">
        <v>31223</v>
      </c>
      <c r="G170" t="s">
        <v>9</v>
      </c>
      <c r="H170">
        <v>61</v>
      </c>
      <c r="I170" t="s">
        <v>108</v>
      </c>
    </row>
    <row r="171" spans="1:9" x14ac:dyDescent="0.6">
      <c r="A171">
        <v>180</v>
      </c>
      <c r="B171" t="s">
        <v>14</v>
      </c>
      <c r="C171" t="s">
        <v>8</v>
      </c>
      <c r="D171">
        <v>216.02</v>
      </c>
      <c r="E171">
        <v>151.26</v>
      </c>
      <c r="F171">
        <v>29191</v>
      </c>
      <c r="G171" t="s">
        <v>9</v>
      </c>
      <c r="H171">
        <v>52</v>
      </c>
      <c r="I171" t="s">
        <v>90</v>
      </c>
    </row>
    <row r="172" spans="1:9" x14ac:dyDescent="0.6">
      <c r="A172">
        <v>190</v>
      </c>
      <c r="B172" t="s">
        <v>7</v>
      </c>
      <c r="C172" t="s">
        <v>8</v>
      </c>
      <c r="D172">
        <v>247.98</v>
      </c>
      <c r="E172">
        <v>193.48</v>
      </c>
      <c r="F172">
        <v>28004</v>
      </c>
      <c r="G172" t="s">
        <v>9</v>
      </c>
      <c r="H172">
        <v>53</v>
      </c>
      <c r="I172" t="s">
        <v>90</v>
      </c>
    </row>
    <row r="173" spans="1:9" x14ac:dyDescent="0.6">
      <c r="A173">
        <v>178</v>
      </c>
      <c r="B173" t="s">
        <v>14</v>
      </c>
      <c r="C173" t="s">
        <v>8</v>
      </c>
      <c r="D173">
        <v>247.16</v>
      </c>
      <c r="E173">
        <v>189.68</v>
      </c>
      <c r="F173">
        <v>41061</v>
      </c>
      <c r="G173" t="s">
        <v>9</v>
      </c>
      <c r="H173">
        <v>50</v>
      </c>
      <c r="I173" t="s">
        <v>108</v>
      </c>
    </row>
    <row r="174" spans="1:9" x14ac:dyDescent="0.6">
      <c r="A174">
        <v>191</v>
      </c>
      <c r="B174" t="s">
        <v>7</v>
      </c>
      <c r="C174" t="s">
        <v>8</v>
      </c>
      <c r="D174">
        <v>233.03</v>
      </c>
      <c r="E174">
        <v>216.32</v>
      </c>
      <c r="F174">
        <v>18794</v>
      </c>
      <c r="G174" t="s">
        <v>9</v>
      </c>
      <c r="H174">
        <v>57</v>
      </c>
      <c r="I174" t="s">
        <v>90</v>
      </c>
    </row>
    <row r="175" spans="1:9" x14ac:dyDescent="0.6">
      <c r="A175">
        <v>207</v>
      </c>
      <c r="B175" t="s">
        <v>7</v>
      </c>
      <c r="C175" t="s">
        <v>8</v>
      </c>
      <c r="D175">
        <v>215.65</v>
      </c>
      <c r="E175">
        <v>123.03</v>
      </c>
      <c r="F175">
        <v>16542</v>
      </c>
      <c r="G175" t="s">
        <v>9</v>
      </c>
      <c r="H175">
        <v>52</v>
      </c>
      <c r="I175" t="s">
        <v>90</v>
      </c>
    </row>
    <row r="176" spans="1:9" x14ac:dyDescent="0.6">
      <c r="A176">
        <v>170</v>
      </c>
      <c r="B176" t="s">
        <v>7</v>
      </c>
      <c r="C176" t="s">
        <v>8</v>
      </c>
      <c r="D176">
        <v>333.44</v>
      </c>
      <c r="E176">
        <v>237.57</v>
      </c>
      <c r="F176">
        <v>22236</v>
      </c>
      <c r="G176" t="s">
        <v>9</v>
      </c>
      <c r="H176">
        <v>60</v>
      </c>
      <c r="I176" t="s">
        <v>108</v>
      </c>
    </row>
    <row r="177" spans="1:9" x14ac:dyDescent="0.6">
      <c r="A177">
        <v>181</v>
      </c>
      <c r="B177" t="s">
        <v>14</v>
      </c>
      <c r="C177" t="s">
        <v>8</v>
      </c>
      <c r="D177">
        <v>314.89</v>
      </c>
      <c r="E177">
        <v>213.35</v>
      </c>
      <c r="F177">
        <v>31073</v>
      </c>
      <c r="G177" t="s">
        <v>9</v>
      </c>
      <c r="H177">
        <v>65</v>
      </c>
      <c r="I177" t="s">
        <v>108</v>
      </c>
    </row>
    <row r="178" spans="1:9" x14ac:dyDescent="0.6">
      <c r="A178">
        <v>177</v>
      </c>
      <c r="B178" t="s">
        <v>14</v>
      </c>
      <c r="C178" t="s">
        <v>8</v>
      </c>
      <c r="D178">
        <v>199.11</v>
      </c>
      <c r="E178">
        <v>94.11</v>
      </c>
      <c r="F178">
        <v>41022</v>
      </c>
      <c r="G178" t="s">
        <v>9</v>
      </c>
      <c r="H178">
        <v>50</v>
      </c>
      <c r="I178" t="s">
        <v>108</v>
      </c>
    </row>
    <row r="179" spans="1:9" x14ac:dyDescent="0.6">
      <c r="A179">
        <v>176</v>
      </c>
      <c r="B179" t="s">
        <v>7</v>
      </c>
      <c r="C179" t="s">
        <v>8</v>
      </c>
      <c r="D179">
        <v>220.67</v>
      </c>
      <c r="E179">
        <v>148.69999999999999</v>
      </c>
      <c r="F179">
        <v>33871</v>
      </c>
      <c r="G179" t="s">
        <v>9</v>
      </c>
      <c r="H179">
        <v>57</v>
      </c>
      <c r="I179" t="s">
        <v>90</v>
      </c>
    </row>
    <row r="180" spans="1:9" x14ac:dyDescent="0.6">
      <c r="A180">
        <v>200</v>
      </c>
      <c r="B180" t="s">
        <v>7</v>
      </c>
      <c r="C180" t="s">
        <v>8</v>
      </c>
      <c r="D180">
        <v>197.62</v>
      </c>
      <c r="E180">
        <v>121.98</v>
      </c>
      <c r="F180">
        <v>25367</v>
      </c>
      <c r="G180" t="s">
        <v>9</v>
      </c>
      <c r="H180">
        <v>51</v>
      </c>
      <c r="I180" t="s">
        <v>108</v>
      </c>
    </row>
    <row r="181" spans="1:9" x14ac:dyDescent="0.6">
      <c r="A181">
        <v>213</v>
      </c>
      <c r="B181" t="s">
        <v>14</v>
      </c>
      <c r="C181" t="s">
        <v>8</v>
      </c>
      <c r="D181">
        <v>205.5</v>
      </c>
      <c r="E181">
        <v>96.17</v>
      </c>
      <c r="F181">
        <v>29207</v>
      </c>
      <c r="G181" t="s">
        <v>9</v>
      </c>
      <c r="H181">
        <v>89</v>
      </c>
      <c r="I181" t="s">
        <v>154</v>
      </c>
    </row>
    <row r="182" spans="1:9" x14ac:dyDescent="0.6">
      <c r="A182">
        <v>209</v>
      </c>
      <c r="B182" t="s">
        <v>14</v>
      </c>
      <c r="C182" t="s">
        <v>8</v>
      </c>
      <c r="D182">
        <v>135.29</v>
      </c>
      <c r="E182">
        <v>97.56</v>
      </c>
      <c r="F182">
        <v>34224</v>
      </c>
      <c r="G182" t="s">
        <v>15</v>
      </c>
      <c r="H182" t="s">
        <v>4732</v>
      </c>
      <c r="I182" t="s">
        <v>108</v>
      </c>
    </row>
    <row r="183" spans="1:9" x14ac:dyDescent="0.6">
      <c r="A183">
        <v>186</v>
      </c>
      <c r="B183" t="s">
        <v>7</v>
      </c>
      <c r="C183" t="s">
        <v>8</v>
      </c>
      <c r="D183">
        <v>162.63999999999999</v>
      </c>
      <c r="E183">
        <v>131.75</v>
      </c>
      <c r="F183">
        <v>40797</v>
      </c>
      <c r="G183" t="s">
        <v>9</v>
      </c>
      <c r="H183">
        <v>64</v>
      </c>
      <c r="I183" t="s">
        <v>108</v>
      </c>
    </row>
    <row r="184" spans="1:9" x14ac:dyDescent="0.6">
      <c r="A184">
        <v>188</v>
      </c>
      <c r="B184" t="s">
        <v>7</v>
      </c>
      <c r="C184" t="s">
        <v>8</v>
      </c>
      <c r="D184">
        <v>255.29</v>
      </c>
      <c r="E184">
        <v>165.76</v>
      </c>
      <c r="F184">
        <v>44840</v>
      </c>
      <c r="G184" t="s">
        <v>9</v>
      </c>
      <c r="H184">
        <v>66</v>
      </c>
      <c r="I184" t="s">
        <v>108</v>
      </c>
    </row>
    <row r="185" spans="1:9" x14ac:dyDescent="0.6">
      <c r="A185">
        <v>204</v>
      </c>
      <c r="B185" t="s">
        <v>14</v>
      </c>
      <c r="C185" t="s">
        <v>8</v>
      </c>
      <c r="D185">
        <v>291.14</v>
      </c>
      <c r="E185">
        <v>247.02</v>
      </c>
      <c r="F185">
        <v>45091</v>
      </c>
      <c r="G185" t="s">
        <v>9</v>
      </c>
      <c r="H185">
        <v>60</v>
      </c>
      <c r="I185" t="s">
        <v>108</v>
      </c>
    </row>
    <row r="186" spans="1:9" x14ac:dyDescent="0.6">
      <c r="A186">
        <v>199</v>
      </c>
      <c r="B186" t="s">
        <v>7</v>
      </c>
      <c r="C186" t="s">
        <v>8</v>
      </c>
      <c r="D186">
        <v>263.2</v>
      </c>
      <c r="E186">
        <v>141.80000000000001</v>
      </c>
      <c r="F186">
        <v>44803</v>
      </c>
      <c r="G186" t="s">
        <v>9</v>
      </c>
      <c r="H186">
        <v>55</v>
      </c>
      <c r="I186" t="s">
        <v>108</v>
      </c>
    </row>
    <row r="187" spans="1:9" x14ac:dyDescent="0.6">
      <c r="A187">
        <v>193</v>
      </c>
      <c r="B187" t="s">
        <v>7</v>
      </c>
      <c r="C187" t="s">
        <v>8</v>
      </c>
      <c r="D187">
        <v>188.4</v>
      </c>
      <c r="E187">
        <v>86.32</v>
      </c>
      <c r="F187">
        <v>29053</v>
      </c>
      <c r="G187" t="s">
        <v>9</v>
      </c>
      <c r="H187">
        <v>55</v>
      </c>
      <c r="I187" t="s">
        <v>90</v>
      </c>
    </row>
    <row r="188" spans="1:9" x14ac:dyDescent="0.6">
      <c r="A188">
        <v>197</v>
      </c>
      <c r="B188" t="s">
        <v>7</v>
      </c>
      <c r="C188" t="s">
        <v>8</v>
      </c>
      <c r="D188">
        <v>176.44</v>
      </c>
      <c r="E188">
        <v>112.03</v>
      </c>
      <c r="F188">
        <v>50703</v>
      </c>
      <c r="G188" t="s">
        <v>9</v>
      </c>
      <c r="H188">
        <v>55</v>
      </c>
      <c r="I188" t="s">
        <v>108</v>
      </c>
    </row>
    <row r="189" spans="1:9" x14ac:dyDescent="0.6">
      <c r="A189">
        <v>202</v>
      </c>
      <c r="B189" t="s">
        <v>14</v>
      </c>
      <c r="C189" t="s">
        <v>8</v>
      </c>
      <c r="D189">
        <v>153.37</v>
      </c>
      <c r="E189">
        <v>94.32</v>
      </c>
      <c r="F189">
        <v>24417</v>
      </c>
      <c r="G189" t="s">
        <v>15</v>
      </c>
      <c r="H189">
        <v>64</v>
      </c>
      <c r="I189" t="s">
        <v>90</v>
      </c>
    </row>
    <row r="190" spans="1:9" x14ac:dyDescent="0.6">
      <c r="A190">
        <v>203</v>
      </c>
      <c r="B190" t="s">
        <v>7</v>
      </c>
      <c r="C190" t="s">
        <v>8</v>
      </c>
      <c r="D190">
        <v>96.43</v>
      </c>
      <c r="E190">
        <v>123.2</v>
      </c>
      <c r="F190">
        <v>29820</v>
      </c>
      <c r="G190" t="s">
        <v>17</v>
      </c>
      <c r="H190">
        <v>77</v>
      </c>
      <c r="I190" t="s">
        <v>90</v>
      </c>
    </row>
    <row r="191" spans="1:9" x14ac:dyDescent="0.6">
      <c r="A191">
        <v>194</v>
      </c>
      <c r="B191" t="s">
        <v>14</v>
      </c>
      <c r="C191" t="s">
        <v>8</v>
      </c>
      <c r="D191">
        <v>303.86</v>
      </c>
      <c r="E191">
        <v>175.66</v>
      </c>
      <c r="F191">
        <v>40151</v>
      </c>
      <c r="G191" t="s">
        <v>9</v>
      </c>
      <c r="H191">
        <v>55</v>
      </c>
      <c r="I191" t="s">
        <v>108</v>
      </c>
    </row>
    <row r="192" spans="1:9" x14ac:dyDescent="0.6">
      <c r="A192">
        <v>210</v>
      </c>
      <c r="B192" t="s">
        <v>14</v>
      </c>
      <c r="C192" t="s">
        <v>8</v>
      </c>
      <c r="D192">
        <v>134.4</v>
      </c>
      <c r="E192">
        <v>116.51</v>
      </c>
      <c r="F192">
        <v>35986</v>
      </c>
      <c r="G192" t="s">
        <v>15</v>
      </c>
      <c r="H192">
        <v>66</v>
      </c>
      <c r="I192" t="s">
        <v>90</v>
      </c>
    </row>
    <row r="193" spans="1:9" x14ac:dyDescent="0.6">
      <c r="A193">
        <v>189</v>
      </c>
      <c r="B193" t="s">
        <v>7</v>
      </c>
      <c r="C193" t="s">
        <v>8</v>
      </c>
      <c r="D193">
        <v>185.22</v>
      </c>
      <c r="E193">
        <v>153.51</v>
      </c>
      <c r="F193">
        <v>47574</v>
      </c>
      <c r="G193" t="s">
        <v>9</v>
      </c>
      <c r="H193">
        <v>51</v>
      </c>
      <c r="I193" t="s">
        <v>108</v>
      </c>
    </row>
    <row r="194" spans="1:9" x14ac:dyDescent="0.6">
      <c r="A194">
        <v>195</v>
      </c>
      <c r="B194" t="s">
        <v>7</v>
      </c>
      <c r="C194" t="s">
        <v>8</v>
      </c>
      <c r="D194">
        <v>177.92</v>
      </c>
      <c r="E194">
        <v>85.66</v>
      </c>
      <c r="F194">
        <v>23210</v>
      </c>
      <c r="G194" t="s">
        <v>9</v>
      </c>
      <c r="H194">
        <v>51</v>
      </c>
      <c r="I194" t="s">
        <v>90</v>
      </c>
    </row>
    <row r="195" spans="1:9" x14ac:dyDescent="0.6">
      <c r="A195">
        <v>205</v>
      </c>
      <c r="B195" t="s">
        <v>14</v>
      </c>
      <c r="C195" t="s">
        <v>8</v>
      </c>
      <c r="D195">
        <v>198.95</v>
      </c>
      <c r="E195">
        <v>119.46</v>
      </c>
      <c r="F195">
        <v>34016</v>
      </c>
      <c r="G195" t="s">
        <v>9</v>
      </c>
      <c r="H195">
        <v>66</v>
      </c>
      <c r="I195" t="s">
        <v>108</v>
      </c>
    </row>
    <row r="196" spans="1:9" x14ac:dyDescent="0.6">
      <c r="A196">
        <v>196</v>
      </c>
      <c r="B196" t="s">
        <v>7</v>
      </c>
      <c r="C196" t="s">
        <v>8</v>
      </c>
      <c r="D196">
        <v>192.64</v>
      </c>
      <c r="E196">
        <v>178.49</v>
      </c>
      <c r="F196">
        <v>32435</v>
      </c>
      <c r="G196" t="s">
        <v>9</v>
      </c>
      <c r="H196">
        <v>55</v>
      </c>
      <c r="I196" t="s">
        <v>90</v>
      </c>
    </row>
    <row r="197" spans="1:9" x14ac:dyDescent="0.6">
      <c r="A197">
        <v>212</v>
      </c>
      <c r="B197" t="s">
        <v>7</v>
      </c>
      <c r="C197" t="s">
        <v>8</v>
      </c>
      <c r="D197">
        <v>126.59</v>
      </c>
      <c r="E197">
        <v>76.03</v>
      </c>
      <c r="F197">
        <v>38961</v>
      </c>
      <c r="G197" t="s">
        <v>15</v>
      </c>
      <c r="H197">
        <v>89</v>
      </c>
      <c r="I197" t="s">
        <v>154</v>
      </c>
    </row>
    <row r="198" spans="1:9" x14ac:dyDescent="0.6">
      <c r="A198">
        <v>192</v>
      </c>
      <c r="B198" t="s">
        <v>7</v>
      </c>
      <c r="C198" t="s">
        <v>8</v>
      </c>
      <c r="D198">
        <v>87.06</v>
      </c>
      <c r="E198">
        <v>134.47</v>
      </c>
      <c r="F198">
        <v>29541</v>
      </c>
      <c r="G198" t="s">
        <v>17</v>
      </c>
      <c r="H198">
        <v>70</v>
      </c>
      <c r="I198" t="s">
        <v>90</v>
      </c>
    </row>
    <row r="199" spans="1:9" x14ac:dyDescent="0.6">
      <c r="A199">
        <v>208</v>
      </c>
      <c r="B199" t="s">
        <v>14</v>
      </c>
      <c r="C199" t="s">
        <v>8</v>
      </c>
      <c r="D199">
        <v>256.31</v>
      </c>
      <c r="E199">
        <v>205.66</v>
      </c>
      <c r="F199">
        <v>35434</v>
      </c>
      <c r="G199" t="s">
        <v>9</v>
      </c>
      <c r="H199" t="s">
        <v>4732</v>
      </c>
      <c r="I199" t="s">
        <v>108</v>
      </c>
    </row>
    <row r="200" spans="1:9" x14ac:dyDescent="0.6">
      <c r="A200">
        <v>214</v>
      </c>
      <c r="B200" t="s">
        <v>7</v>
      </c>
      <c r="C200" t="s">
        <v>8</v>
      </c>
      <c r="D200">
        <v>139.94999999999999</v>
      </c>
      <c r="E200">
        <v>111.81</v>
      </c>
      <c r="F200">
        <v>23898</v>
      </c>
      <c r="G200" t="s">
        <v>15</v>
      </c>
      <c r="H200">
        <v>61</v>
      </c>
      <c r="I200" t="s">
        <v>90</v>
      </c>
    </row>
    <row r="201" spans="1:9" x14ac:dyDescent="0.6">
      <c r="A201">
        <v>216</v>
      </c>
      <c r="B201" t="s">
        <v>14</v>
      </c>
      <c r="C201" t="s">
        <v>8</v>
      </c>
      <c r="D201">
        <v>168.57</v>
      </c>
      <c r="E201">
        <v>116.45</v>
      </c>
      <c r="F201">
        <v>30328</v>
      </c>
      <c r="G201" t="s">
        <v>9</v>
      </c>
      <c r="H201">
        <v>70</v>
      </c>
      <c r="I201" t="s">
        <v>90</v>
      </c>
    </row>
    <row r="202" spans="1:9" x14ac:dyDescent="0.6">
      <c r="A202">
        <v>225</v>
      </c>
      <c r="B202" t="s">
        <v>14</v>
      </c>
      <c r="C202" t="s">
        <v>8</v>
      </c>
      <c r="D202">
        <v>157.88999999999999</v>
      </c>
      <c r="E202">
        <v>116.31</v>
      </c>
      <c r="F202">
        <v>36251</v>
      </c>
      <c r="G202" t="s">
        <v>15</v>
      </c>
      <c r="H202">
        <v>78</v>
      </c>
      <c r="I202" t="s">
        <v>90</v>
      </c>
    </row>
    <row r="203" spans="1:9" x14ac:dyDescent="0.6">
      <c r="A203">
        <v>219</v>
      </c>
      <c r="B203" t="s">
        <v>14</v>
      </c>
      <c r="C203" t="s">
        <v>8</v>
      </c>
      <c r="D203">
        <v>188.15</v>
      </c>
      <c r="E203">
        <v>126.57</v>
      </c>
      <c r="F203">
        <v>40247</v>
      </c>
      <c r="G203" t="s">
        <v>9</v>
      </c>
      <c r="H203" t="s">
        <v>4732</v>
      </c>
      <c r="I203" t="s">
        <v>108</v>
      </c>
    </row>
    <row r="204" spans="1:9" x14ac:dyDescent="0.6">
      <c r="A204">
        <v>223</v>
      </c>
      <c r="B204" t="s">
        <v>7</v>
      </c>
      <c r="C204" t="s">
        <v>8</v>
      </c>
      <c r="D204">
        <v>174.89</v>
      </c>
      <c r="E204">
        <v>95.73</v>
      </c>
      <c r="F204">
        <v>24175</v>
      </c>
      <c r="G204" t="s">
        <v>9</v>
      </c>
      <c r="H204">
        <v>56</v>
      </c>
      <c r="I204" t="s">
        <v>108</v>
      </c>
    </row>
    <row r="205" spans="1:9" x14ac:dyDescent="0.6">
      <c r="A205">
        <v>215</v>
      </c>
      <c r="B205" t="s">
        <v>14</v>
      </c>
      <c r="C205" t="s">
        <v>8</v>
      </c>
      <c r="D205">
        <v>280.27999999999997</v>
      </c>
      <c r="E205">
        <v>148.86000000000001</v>
      </c>
      <c r="F205">
        <v>38115</v>
      </c>
      <c r="G205" t="s">
        <v>9</v>
      </c>
      <c r="H205">
        <v>51</v>
      </c>
      <c r="I205" t="s">
        <v>108</v>
      </c>
    </row>
    <row r="206" spans="1:9" x14ac:dyDescent="0.6">
      <c r="A206">
        <v>221</v>
      </c>
      <c r="B206" t="s">
        <v>14</v>
      </c>
      <c r="C206" t="s">
        <v>8</v>
      </c>
      <c r="D206">
        <v>161.43</v>
      </c>
      <c r="E206">
        <v>146.11000000000001</v>
      </c>
      <c r="F206">
        <v>34103</v>
      </c>
      <c r="G206" t="s">
        <v>9</v>
      </c>
      <c r="H206">
        <v>53</v>
      </c>
      <c r="I206" t="s">
        <v>108</v>
      </c>
    </row>
    <row r="207" spans="1:9" x14ac:dyDescent="0.6">
      <c r="A207">
        <v>236</v>
      </c>
      <c r="B207" t="s">
        <v>7</v>
      </c>
      <c r="C207" t="s">
        <v>8</v>
      </c>
      <c r="D207">
        <v>239.95</v>
      </c>
      <c r="E207">
        <v>180.24</v>
      </c>
      <c r="F207">
        <v>18102</v>
      </c>
      <c r="G207" t="s">
        <v>9</v>
      </c>
      <c r="H207">
        <v>55</v>
      </c>
      <c r="I207" t="s">
        <v>90</v>
      </c>
    </row>
    <row r="208" spans="1:9" x14ac:dyDescent="0.6">
      <c r="A208">
        <v>243</v>
      </c>
      <c r="B208" t="s">
        <v>14</v>
      </c>
      <c r="C208" t="s">
        <v>8</v>
      </c>
      <c r="D208">
        <v>181.98</v>
      </c>
      <c r="E208">
        <v>141.61000000000001</v>
      </c>
      <c r="F208">
        <v>32210</v>
      </c>
      <c r="G208" t="s">
        <v>9</v>
      </c>
      <c r="H208">
        <v>89</v>
      </c>
      <c r="I208" t="s">
        <v>154</v>
      </c>
    </row>
    <row r="209" spans="1:9" x14ac:dyDescent="0.6">
      <c r="A209">
        <v>231</v>
      </c>
      <c r="B209" t="s">
        <v>14</v>
      </c>
      <c r="C209" t="s">
        <v>8</v>
      </c>
      <c r="D209">
        <v>170.87</v>
      </c>
      <c r="E209">
        <v>166.97</v>
      </c>
      <c r="F209">
        <v>31066</v>
      </c>
      <c r="G209" t="s">
        <v>9</v>
      </c>
      <c r="H209">
        <v>89</v>
      </c>
      <c r="I209" t="s">
        <v>4732</v>
      </c>
    </row>
    <row r="210" spans="1:9" x14ac:dyDescent="0.6">
      <c r="A210">
        <v>206</v>
      </c>
      <c r="B210" t="s">
        <v>7</v>
      </c>
      <c r="C210" t="s">
        <v>8</v>
      </c>
      <c r="D210">
        <v>171.1</v>
      </c>
      <c r="E210">
        <v>129.22</v>
      </c>
      <c r="F210">
        <v>24475</v>
      </c>
      <c r="G210" t="s">
        <v>9</v>
      </c>
      <c r="H210">
        <v>63</v>
      </c>
      <c r="I210" t="s">
        <v>108</v>
      </c>
    </row>
    <row r="211" spans="1:9" x14ac:dyDescent="0.6">
      <c r="A211">
        <v>211</v>
      </c>
      <c r="B211" t="s">
        <v>7</v>
      </c>
      <c r="C211" t="s">
        <v>8</v>
      </c>
      <c r="D211">
        <v>165.19</v>
      </c>
      <c r="E211">
        <v>161.65</v>
      </c>
      <c r="F211">
        <v>33250</v>
      </c>
      <c r="G211" t="s">
        <v>9</v>
      </c>
      <c r="H211" t="s">
        <v>4732</v>
      </c>
      <c r="I211" t="s">
        <v>90</v>
      </c>
    </row>
    <row r="212" spans="1:9" x14ac:dyDescent="0.6">
      <c r="A212">
        <v>224</v>
      </c>
      <c r="B212" t="s">
        <v>14</v>
      </c>
      <c r="C212" t="s">
        <v>8</v>
      </c>
      <c r="D212">
        <v>175.47</v>
      </c>
      <c r="E212">
        <v>80.040000000000006</v>
      </c>
      <c r="F212">
        <v>26173</v>
      </c>
      <c r="G212" t="s">
        <v>9</v>
      </c>
      <c r="H212">
        <v>57</v>
      </c>
      <c r="I212" t="s">
        <v>90</v>
      </c>
    </row>
    <row r="213" spans="1:9" x14ac:dyDescent="0.6">
      <c r="A213">
        <v>217</v>
      </c>
      <c r="B213" t="s">
        <v>7</v>
      </c>
      <c r="C213" t="s">
        <v>8</v>
      </c>
      <c r="D213">
        <v>143.71</v>
      </c>
      <c r="E213">
        <v>124.22</v>
      </c>
      <c r="F213">
        <v>19709</v>
      </c>
      <c r="G213" t="s">
        <v>15</v>
      </c>
      <c r="H213">
        <v>58</v>
      </c>
      <c r="I213" t="s">
        <v>90</v>
      </c>
    </row>
    <row r="214" spans="1:9" x14ac:dyDescent="0.6">
      <c r="A214">
        <v>232</v>
      </c>
      <c r="B214" t="s">
        <v>14</v>
      </c>
      <c r="C214" t="s">
        <v>8</v>
      </c>
      <c r="D214">
        <v>242.67</v>
      </c>
      <c r="E214">
        <v>210.49</v>
      </c>
      <c r="F214">
        <v>29781</v>
      </c>
      <c r="G214" t="s">
        <v>9</v>
      </c>
      <c r="H214">
        <v>89</v>
      </c>
      <c r="I214" t="s">
        <v>154</v>
      </c>
    </row>
    <row r="215" spans="1:9" x14ac:dyDescent="0.6">
      <c r="A215">
        <v>234</v>
      </c>
      <c r="B215" t="s">
        <v>7</v>
      </c>
      <c r="C215" t="s">
        <v>8</v>
      </c>
      <c r="D215">
        <v>160.51</v>
      </c>
      <c r="E215">
        <v>147.52000000000001</v>
      </c>
      <c r="F215">
        <v>58122</v>
      </c>
      <c r="G215" t="s">
        <v>9</v>
      </c>
      <c r="H215">
        <v>59</v>
      </c>
      <c r="I215" t="s">
        <v>108</v>
      </c>
    </row>
    <row r="216" spans="1:9" x14ac:dyDescent="0.6">
      <c r="A216">
        <v>241</v>
      </c>
      <c r="B216" t="s">
        <v>14</v>
      </c>
      <c r="C216" t="s">
        <v>8</v>
      </c>
      <c r="D216">
        <v>179.82</v>
      </c>
      <c r="E216">
        <v>126.54</v>
      </c>
      <c r="F216">
        <v>21569</v>
      </c>
      <c r="G216" t="s">
        <v>9</v>
      </c>
      <c r="H216">
        <v>51</v>
      </c>
      <c r="I216" t="s">
        <v>108</v>
      </c>
    </row>
    <row r="217" spans="1:9" x14ac:dyDescent="0.6">
      <c r="A217">
        <v>218</v>
      </c>
      <c r="B217" t="s">
        <v>7</v>
      </c>
      <c r="C217" t="s">
        <v>8</v>
      </c>
      <c r="D217">
        <v>216.81</v>
      </c>
      <c r="E217">
        <v>118.48</v>
      </c>
      <c r="F217">
        <v>39087</v>
      </c>
      <c r="G217" t="s">
        <v>9</v>
      </c>
      <c r="H217">
        <v>54</v>
      </c>
      <c r="I217" t="s">
        <v>90</v>
      </c>
    </row>
    <row r="218" spans="1:9" x14ac:dyDescent="0.6">
      <c r="A218">
        <v>220</v>
      </c>
      <c r="B218" t="s">
        <v>14</v>
      </c>
      <c r="C218" t="s">
        <v>8</v>
      </c>
      <c r="D218">
        <v>181.86</v>
      </c>
      <c r="E218">
        <v>104.78</v>
      </c>
      <c r="F218">
        <v>30282</v>
      </c>
      <c r="G218" t="s">
        <v>9</v>
      </c>
      <c r="H218">
        <v>53</v>
      </c>
      <c r="I218" t="s">
        <v>108</v>
      </c>
    </row>
    <row r="219" spans="1:9" x14ac:dyDescent="0.6">
      <c r="A219">
        <v>222</v>
      </c>
      <c r="B219" t="s">
        <v>7</v>
      </c>
      <c r="C219" t="s">
        <v>8</v>
      </c>
      <c r="D219">
        <v>158.97</v>
      </c>
      <c r="E219">
        <v>100.46</v>
      </c>
      <c r="F219">
        <v>22887</v>
      </c>
      <c r="G219" t="s">
        <v>15</v>
      </c>
      <c r="H219">
        <v>67</v>
      </c>
      <c r="I219" t="s">
        <v>108</v>
      </c>
    </row>
    <row r="220" spans="1:9" x14ac:dyDescent="0.6">
      <c r="A220">
        <v>240</v>
      </c>
      <c r="B220" t="s">
        <v>7</v>
      </c>
      <c r="C220" t="s">
        <v>8</v>
      </c>
      <c r="D220">
        <v>253.87</v>
      </c>
      <c r="E220">
        <v>111.79</v>
      </c>
      <c r="F220">
        <v>17227</v>
      </c>
      <c r="G220" t="s">
        <v>9</v>
      </c>
      <c r="H220">
        <v>51</v>
      </c>
      <c r="I220" t="s">
        <v>90</v>
      </c>
    </row>
    <row r="221" spans="1:9" x14ac:dyDescent="0.6">
      <c r="A221">
        <v>233</v>
      </c>
      <c r="B221" t="s">
        <v>7</v>
      </c>
      <c r="C221" t="s">
        <v>8</v>
      </c>
      <c r="D221">
        <v>232.21</v>
      </c>
      <c r="E221">
        <v>134.18</v>
      </c>
      <c r="F221">
        <v>36544</v>
      </c>
      <c r="G221" t="s">
        <v>9</v>
      </c>
      <c r="H221">
        <v>51</v>
      </c>
      <c r="I221" t="s">
        <v>90</v>
      </c>
    </row>
    <row r="222" spans="1:9" x14ac:dyDescent="0.6">
      <c r="A222">
        <v>238</v>
      </c>
      <c r="B222" t="s">
        <v>14</v>
      </c>
      <c r="C222" t="s">
        <v>8</v>
      </c>
      <c r="D222">
        <v>291.22000000000003</v>
      </c>
      <c r="E222">
        <v>222.9</v>
      </c>
      <c r="F222">
        <v>23442</v>
      </c>
      <c r="G222" t="s">
        <v>9</v>
      </c>
      <c r="H222">
        <v>57</v>
      </c>
      <c r="I222" t="s">
        <v>108</v>
      </c>
    </row>
    <row r="223" spans="1:9" x14ac:dyDescent="0.6">
      <c r="A223">
        <v>229</v>
      </c>
      <c r="B223" t="s">
        <v>7</v>
      </c>
      <c r="C223" t="s">
        <v>8</v>
      </c>
      <c r="D223">
        <v>167.65</v>
      </c>
      <c r="E223">
        <v>115.93</v>
      </c>
      <c r="F223">
        <v>34705</v>
      </c>
      <c r="G223" t="s">
        <v>9</v>
      </c>
      <c r="H223">
        <v>89</v>
      </c>
      <c r="I223" t="s">
        <v>4732</v>
      </c>
    </row>
    <row r="224" spans="1:9" x14ac:dyDescent="0.6">
      <c r="A224">
        <v>242</v>
      </c>
      <c r="B224" t="s">
        <v>7</v>
      </c>
      <c r="C224" t="s">
        <v>8</v>
      </c>
      <c r="D224">
        <v>170.6</v>
      </c>
      <c r="E224">
        <v>153.51</v>
      </c>
      <c r="F224">
        <v>34311</v>
      </c>
      <c r="G224" t="s">
        <v>9</v>
      </c>
      <c r="H224" t="s">
        <v>4732</v>
      </c>
      <c r="I224" t="s">
        <v>90</v>
      </c>
    </row>
    <row r="225" spans="1:9" x14ac:dyDescent="0.6">
      <c r="A225">
        <v>239</v>
      </c>
      <c r="B225" t="s">
        <v>14</v>
      </c>
      <c r="C225" t="s">
        <v>8</v>
      </c>
      <c r="D225">
        <v>252.84</v>
      </c>
      <c r="E225">
        <v>150.88999999999999</v>
      </c>
      <c r="F225">
        <v>19398</v>
      </c>
      <c r="G225" t="s">
        <v>9</v>
      </c>
      <c r="H225">
        <v>53</v>
      </c>
      <c r="I225" t="s">
        <v>90</v>
      </c>
    </row>
    <row r="226" spans="1:9" x14ac:dyDescent="0.6">
      <c r="A226">
        <v>227</v>
      </c>
      <c r="B226" t="s">
        <v>7</v>
      </c>
      <c r="C226" t="s">
        <v>8</v>
      </c>
      <c r="D226">
        <v>261.52999999999997</v>
      </c>
      <c r="E226">
        <v>206.99</v>
      </c>
      <c r="F226">
        <v>32988</v>
      </c>
      <c r="G226" t="s">
        <v>9</v>
      </c>
      <c r="H226">
        <v>56</v>
      </c>
      <c r="I226" t="s">
        <v>108</v>
      </c>
    </row>
    <row r="227" spans="1:9" x14ac:dyDescent="0.6">
      <c r="A227">
        <v>237</v>
      </c>
      <c r="B227" t="s">
        <v>14</v>
      </c>
      <c r="C227" t="s">
        <v>8</v>
      </c>
      <c r="D227">
        <v>183.18</v>
      </c>
      <c r="E227">
        <v>176.83</v>
      </c>
      <c r="F227">
        <v>37840</v>
      </c>
      <c r="G227" t="s">
        <v>9</v>
      </c>
      <c r="H227">
        <v>50</v>
      </c>
      <c r="I227" t="s">
        <v>90</v>
      </c>
    </row>
    <row r="228" spans="1:9" x14ac:dyDescent="0.6">
      <c r="A228">
        <v>247</v>
      </c>
      <c r="B228" t="s">
        <v>14</v>
      </c>
      <c r="C228" t="s">
        <v>8</v>
      </c>
      <c r="D228">
        <v>241.84</v>
      </c>
      <c r="E228">
        <v>162.08000000000001</v>
      </c>
      <c r="F228">
        <v>29793</v>
      </c>
      <c r="G228" t="s">
        <v>9</v>
      </c>
      <c r="H228">
        <v>56</v>
      </c>
      <c r="I228" t="s">
        <v>90</v>
      </c>
    </row>
    <row r="229" spans="1:9" x14ac:dyDescent="0.6">
      <c r="A229">
        <v>249</v>
      </c>
      <c r="B229" t="s">
        <v>14</v>
      </c>
      <c r="C229" t="s">
        <v>8</v>
      </c>
      <c r="D229">
        <v>138.9</v>
      </c>
      <c r="E229">
        <v>101.94</v>
      </c>
      <c r="F229">
        <v>27375</v>
      </c>
      <c r="G229" t="s">
        <v>15</v>
      </c>
      <c r="H229" t="s">
        <v>4732</v>
      </c>
      <c r="I229" t="s">
        <v>90</v>
      </c>
    </row>
    <row r="230" spans="1:9" x14ac:dyDescent="0.6">
      <c r="A230">
        <v>228</v>
      </c>
      <c r="B230" t="s">
        <v>7</v>
      </c>
      <c r="C230" t="s">
        <v>8</v>
      </c>
      <c r="D230">
        <v>156.63</v>
      </c>
      <c r="E230">
        <v>122.01</v>
      </c>
      <c r="F230">
        <v>37875</v>
      </c>
      <c r="G230" t="s">
        <v>15</v>
      </c>
      <c r="H230">
        <v>89</v>
      </c>
      <c r="I230" t="s">
        <v>4732</v>
      </c>
    </row>
    <row r="231" spans="1:9" x14ac:dyDescent="0.6">
      <c r="A231">
        <v>251</v>
      </c>
      <c r="B231" t="s">
        <v>7</v>
      </c>
      <c r="C231" t="s">
        <v>8</v>
      </c>
      <c r="D231">
        <v>221.12</v>
      </c>
      <c r="E231">
        <v>125.82</v>
      </c>
      <c r="F231">
        <v>17937</v>
      </c>
      <c r="G231" t="s">
        <v>9</v>
      </c>
      <c r="H231">
        <v>55</v>
      </c>
      <c r="I231" t="s">
        <v>90</v>
      </c>
    </row>
    <row r="232" spans="1:9" x14ac:dyDescent="0.6">
      <c r="A232">
        <v>252</v>
      </c>
      <c r="B232" t="s">
        <v>7</v>
      </c>
      <c r="C232" t="s">
        <v>8</v>
      </c>
      <c r="D232">
        <v>116.18</v>
      </c>
      <c r="E232">
        <v>96.74</v>
      </c>
      <c r="F232">
        <v>42097</v>
      </c>
      <c r="G232" t="s">
        <v>15</v>
      </c>
      <c r="H232">
        <v>50</v>
      </c>
      <c r="I232" t="s">
        <v>108</v>
      </c>
    </row>
    <row r="233" spans="1:9" x14ac:dyDescent="0.6">
      <c r="A233">
        <v>226</v>
      </c>
      <c r="B233" t="s">
        <v>14</v>
      </c>
      <c r="C233" t="s">
        <v>8</v>
      </c>
      <c r="D233">
        <v>206.74</v>
      </c>
      <c r="E233">
        <v>149.96</v>
      </c>
      <c r="F233">
        <v>26242</v>
      </c>
      <c r="G233" t="s">
        <v>9</v>
      </c>
      <c r="H233">
        <v>55</v>
      </c>
      <c r="I233" t="s">
        <v>90</v>
      </c>
    </row>
    <row r="234" spans="1:9" x14ac:dyDescent="0.6">
      <c r="A234">
        <v>256</v>
      </c>
      <c r="B234" t="s">
        <v>14</v>
      </c>
      <c r="C234" t="s">
        <v>8</v>
      </c>
      <c r="D234">
        <v>170.49</v>
      </c>
      <c r="E234">
        <v>116.46</v>
      </c>
      <c r="F234">
        <v>13898</v>
      </c>
      <c r="G234" t="s">
        <v>9</v>
      </c>
      <c r="H234">
        <v>65</v>
      </c>
      <c r="I234" t="s">
        <v>90</v>
      </c>
    </row>
    <row r="235" spans="1:9" x14ac:dyDescent="0.6">
      <c r="A235">
        <v>248</v>
      </c>
      <c r="B235" t="s">
        <v>7</v>
      </c>
      <c r="C235" t="s">
        <v>8</v>
      </c>
      <c r="D235">
        <v>180.55</v>
      </c>
      <c r="E235">
        <v>130.03</v>
      </c>
      <c r="F235">
        <v>51286</v>
      </c>
      <c r="G235" t="s">
        <v>9</v>
      </c>
      <c r="H235" t="s">
        <v>4732</v>
      </c>
      <c r="I235" t="s">
        <v>108</v>
      </c>
    </row>
    <row r="236" spans="1:9" x14ac:dyDescent="0.6">
      <c r="A236">
        <v>230</v>
      </c>
      <c r="B236" t="s">
        <v>14</v>
      </c>
      <c r="C236" t="s">
        <v>8</v>
      </c>
      <c r="D236">
        <v>176.19</v>
      </c>
      <c r="E236">
        <v>156.58000000000001</v>
      </c>
      <c r="F236">
        <v>43183</v>
      </c>
      <c r="G236" t="s">
        <v>9</v>
      </c>
      <c r="H236">
        <v>89</v>
      </c>
      <c r="I236" t="s">
        <v>4732</v>
      </c>
    </row>
    <row r="237" spans="1:9" x14ac:dyDescent="0.6">
      <c r="A237">
        <v>260</v>
      </c>
      <c r="B237" t="s">
        <v>14</v>
      </c>
      <c r="C237" t="s">
        <v>8</v>
      </c>
      <c r="D237">
        <v>300.93</v>
      </c>
      <c r="E237">
        <v>202.21</v>
      </c>
      <c r="F237">
        <v>49889</v>
      </c>
      <c r="G237" t="s">
        <v>9</v>
      </c>
      <c r="H237">
        <v>55</v>
      </c>
      <c r="I237" t="s">
        <v>108</v>
      </c>
    </row>
    <row r="238" spans="1:9" x14ac:dyDescent="0.6">
      <c r="A238">
        <v>277</v>
      </c>
      <c r="B238" t="s">
        <v>7</v>
      </c>
      <c r="C238" t="s">
        <v>8</v>
      </c>
      <c r="D238">
        <v>164.57</v>
      </c>
      <c r="E238">
        <v>176.35</v>
      </c>
      <c r="F238">
        <v>25199</v>
      </c>
      <c r="G238" t="s">
        <v>9</v>
      </c>
      <c r="H238">
        <v>67</v>
      </c>
      <c r="I238" t="s">
        <v>90</v>
      </c>
    </row>
    <row r="239" spans="1:9" x14ac:dyDescent="0.6">
      <c r="A239">
        <v>268</v>
      </c>
      <c r="B239" t="s">
        <v>7</v>
      </c>
      <c r="C239" t="s">
        <v>8</v>
      </c>
      <c r="D239">
        <v>243.94</v>
      </c>
      <c r="E239">
        <v>102</v>
      </c>
      <c r="F239">
        <v>24198</v>
      </c>
      <c r="G239" t="s">
        <v>9</v>
      </c>
      <c r="H239">
        <v>52</v>
      </c>
      <c r="I239" t="s">
        <v>90</v>
      </c>
    </row>
    <row r="240" spans="1:9" x14ac:dyDescent="0.6">
      <c r="A240">
        <v>267</v>
      </c>
      <c r="B240" t="s">
        <v>14</v>
      </c>
      <c r="C240" t="s">
        <v>8</v>
      </c>
      <c r="D240">
        <v>120.8</v>
      </c>
      <c r="E240">
        <v>85.11</v>
      </c>
      <c r="F240">
        <v>24385</v>
      </c>
      <c r="G240" t="s">
        <v>15</v>
      </c>
      <c r="H240">
        <v>63</v>
      </c>
      <c r="I240" t="s">
        <v>90</v>
      </c>
    </row>
    <row r="241" spans="1:9" x14ac:dyDescent="0.6">
      <c r="A241">
        <v>259</v>
      </c>
      <c r="B241" t="s">
        <v>14</v>
      </c>
      <c r="C241" t="s">
        <v>8</v>
      </c>
      <c r="D241">
        <v>117.51</v>
      </c>
      <c r="E241">
        <v>116.51</v>
      </c>
      <c r="F241">
        <v>41544</v>
      </c>
      <c r="G241" t="s">
        <v>15</v>
      </c>
      <c r="H241">
        <v>84</v>
      </c>
      <c r="I241" t="s">
        <v>108</v>
      </c>
    </row>
    <row r="242" spans="1:9" x14ac:dyDescent="0.6">
      <c r="A242">
        <v>253</v>
      </c>
      <c r="B242" t="s">
        <v>14</v>
      </c>
      <c r="C242" t="s">
        <v>8</v>
      </c>
      <c r="D242">
        <v>233.07</v>
      </c>
      <c r="E242">
        <v>208.55</v>
      </c>
      <c r="F242">
        <v>34682</v>
      </c>
      <c r="G242" t="s">
        <v>9</v>
      </c>
      <c r="H242">
        <v>58</v>
      </c>
      <c r="I242" t="s">
        <v>108</v>
      </c>
    </row>
    <row r="243" spans="1:9" x14ac:dyDescent="0.6">
      <c r="A243">
        <v>263</v>
      </c>
      <c r="B243" t="s">
        <v>14</v>
      </c>
      <c r="C243" t="s">
        <v>8</v>
      </c>
      <c r="D243">
        <v>214.52</v>
      </c>
      <c r="E243">
        <v>151.01</v>
      </c>
      <c r="F243">
        <v>31379</v>
      </c>
      <c r="G243" t="s">
        <v>9</v>
      </c>
      <c r="H243">
        <v>89</v>
      </c>
      <c r="I243" t="s">
        <v>4732</v>
      </c>
    </row>
    <row r="244" spans="1:9" x14ac:dyDescent="0.6">
      <c r="A244">
        <v>275</v>
      </c>
      <c r="B244" t="s">
        <v>14</v>
      </c>
      <c r="C244" t="s">
        <v>8</v>
      </c>
      <c r="D244">
        <v>175.12</v>
      </c>
      <c r="E244">
        <v>148.52000000000001</v>
      </c>
      <c r="F244">
        <v>42455</v>
      </c>
      <c r="G244" t="s">
        <v>9</v>
      </c>
      <c r="H244">
        <v>56</v>
      </c>
      <c r="I244" t="s">
        <v>90</v>
      </c>
    </row>
    <row r="245" spans="1:9" x14ac:dyDescent="0.6">
      <c r="A245">
        <v>264</v>
      </c>
      <c r="B245" t="s">
        <v>14</v>
      </c>
      <c r="C245" t="s">
        <v>8</v>
      </c>
      <c r="D245">
        <v>198.66</v>
      </c>
      <c r="E245">
        <v>128.13999999999999</v>
      </c>
      <c r="F245">
        <v>29847</v>
      </c>
      <c r="G245" t="s">
        <v>9</v>
      </c>
      <c r="H245">
        <v>58</v>
      </c>
      <c r="I245" t="s">
        <v>108</v>
      </c>
    </row>
    <row r="246" spans="1:9" x14ac:dyDescent="0.6">
      <c r="A246">
        <v>261</v>
      </c>
      <c r="B246" t="s">
        <v>14</v>
      </c>
      <c r="C246" t="s">
        <v>8</v>
      </c>
      <c r="D246">
        <v>180.64</v>
      </c>
      <c r="E246">
        <v>108.73</v>
      </c>
      <c r="F246">
        <v>37965</v>
      </c>
      <c r="G246" t="s">
        <v>9</v>
      </c>
      <c r="H246">
        <v>67</v>
      </c>
      <c r="I246" t="s">
        <v>108</v>
      </c>
    </row>
    <row r="247" spans="1:9" x14ac:dyDescent="0.6">
      <c r="A247">
        <v>262</v>
      </c>
      <c r="B247" t="s">
        <v>7</v>
      </c>
      <c r="C247" t="s">
        <v>8</v>
      </c>
      <c r="D247">
        <v>372.19</v>
      </c>
      <c r="E247">
        <v>277.61</v>
      </c>
      <c r="F247">
        <v>43806</v>
      </c>
      <c r="G247" t="s">
        <v>9</v>
      </c>
      <c r="H247">
        <v>77</v>
      </c>
      <c r="I247" t="s">
        <v>108</v>
      </c>
    </row>
    <row r="248" spans="1:9" x14ac:dyDescent="0.6">
      <c r="A248">
        <v>246</v>
      </c>
      <c r="B248" t="s">
        <v>7</v>
      </c>
      <c r="C248" t="s">
        <v>8</v>
      </c>
      <c r="D248">
        <v>226.5</v>
      </c>
      <c r="E248">
        <v>172.45</v>
      </c>
      <c r="F248">
        <v>50005</v>
      </c>
      <c r="G248" t="s">
        <v>9</v>
      </c>
      <c r="H248">
        <v>50</v>
      </c>
      <c r="I248" t="s">
        <v>108</v>
      </c>
    </row>
    <row r="249" spans="1:9" x14ac:dyDescent="0.6">
      <c r="A249">
        <v>282</v>
      </c>
      <c r="B249" t="s">
        <v>14</v>
      </c>
      <c r="C249" t="s">
        <v>8</v>
      </c>
      <c r="D249">
        <v>143.31</v>
      </c>
      <c r="E249">
        <v>104.16</v>
      </c>
      <c r="F249">
        <v>26122</v>
      </c>
      <c r="G249" t="s">
        <v>15</v>
      </c>
      <c r="H249">
        <v>54</v>
      </c>
      <c r="I249" t="s">
        <v>90</v>
      </c>
    </row>
    <row r="250" spans="1:9" x14ac:dyDescent="0.6">
      <c r="A250">
        <v>245</v>
      </c>
      <c r="B250" t="s">
        <v>7</v>
      </c>
      <c r="C250" t="s">
        <v>8</v>
      </c>
      <c r="D250">
        <v>137.99</v>
      </c>
      <c r="E250">
        <v>96.7</v>
      </c>
      <c r="F250">
        <v>21967</v>
      </c>
      <c r="G250" t="s">
        <v>15</v>
      </c>
      <c r="H250">
        <v>89</v>
      </c>
      <c r="I250" t="s">
        <v>4732</v>
      </c>
    </row>
    <row r="251" spans="1:9" x14ac:dyDescent="0.6">
      <c r="A251">
        <v>250</v>
      </c>
      <c r="B251" t="s">
        <v>7</v>
      </c>
      <c r="C251" t="s">
        <v>8</v>
      </c>
      <c r="D251">
        <v>158.06</v>
      </c>
      <c r="E251">
        <v>141.94999999999999</v>
      </c>
      <c r="F251">
        <v>28234</v>
      </c>
      <c r="G251" t="s">
        <v>15</v>
      </c>
      <c r="H251">
        <v>71</v>
      </c>
      <c r="I251" t="s">
        <v>108</v>
      </c>
    </row>
    <row r="252" spans="1:9" x14ac:dyDescent="0.6">
      <c r="A252">
        <v>266</v>
      </c>
      <c r="B252" t="s">
        <v>7</v>
      </c>
      <c r="C252" t="s">
        <v>8</v>
      </c>
      <c r="D252">
        <v>174.6</v>
      </c>
      <c r="E252">
        <v>109.82</v>
      </c>
      <c r="F252">
        <v>33721</v>
      </c>
      <c r="G252" t="s">
        <v>9</v>
      </c>
      <c r="H252">
        <v>53</v>
      </c>
      <c r="I252" t="s">
        <v>90</v>
      </c>
    </row>
    <row r="253" spans="1:9" x14ac:dyDescent="0.6">
      <c r="A253">
        <v>269</v>
      </c>
      <c r="B253" t="s">
        <v>14</v>
      </c>
      <c r="C253" t="s">
        <v>8</v>
      </c>
      <c r="D253">
        <v>104.79</v>
      </c>
      <c r="E253">
        <v>126.64</v>
      </c>
      <c r="F253">
        <v>59959</v>
      </c>
      <c r="G253" t="s">
        <v>17</v>
      </c>
      <c r="H253">
        <v>62</v>
      </c>
      <c r="I253" t="s">
        <v>108</v>
      </c>
    </row>
    <row r="254" spans="1:9" x14ac:dyDescent="0.6">
      <c r="A254">
        <v>285</v>
      </c>
      <c r="B254" t="s">
        <v>14</v>
      </c>
      <c r="C254" t="s">
        <v>8</v>
      </c>
      <c r="D254">
        <v>115.26</v>
      </c>
      <c r="E254">
        <v>113.56</v>
      </c>
      <c r="F254">
        <v>38602</v>
      </c>
      <c r="G254" t="s">
        <v>15</v>
      </c>
      <c r="H254">
        <v>70</v>
      </c>
      <c r="I254" t="s">
        <v>108</v>
      </c>
    </row>
    <row r="255" spans="1:9" x14ac:dyDescent="0.6">
      <c r="A255">
        <v>307</v>
      </c>
      <c r="B255" t="s">
        <v>14</v>
      </c>
      <c r="C255" t="s">
        <v>8</v>
      </c>
      <c r="D255">
        <v>253.93</v>
      </c>
      <c r="E255">
        <v>200.54</v>
      </c>
      <c r="F255">
        <v>35544</v>
      </c>
      <c r="G255" t="s">
        <v>9</v>
      </c>
      <c r="H255">
        <v>54</v>
      </c>
      <c r="I255" t="s">
        <v>108</v>
      </c>
    </row>
    <row r="256" spans="1:9" x14ac:dyDescent="0.6">
      <c r="A256">
        <v>312</v>
      </c>
      <c r="B256" t="s">
        <v>7</v>
      </c>
      <c r="C256" t="s">
        <v>8</v>
      </c>
      <c r="D256">
        <v>165.23</v>
      </c>
      <c r="E256">
        <v>76.010000000000005</v>
      </c>
      <c r="F256">
        <v>34406</v>
      </c>
      <c r="G256" t="s">
        <v>9</v>
      </c>
      <c r="H256">
        <v>67</v>
      </c>
      <c r="I256" t="s">
        <v>90</v>
      </c>
    </row>
    <row r="257" spans="1:9" x14ac:dyDescent="0.6">
      <c r="A257">
        <v>257</v>
      </c>
      <c r="B257" t="s">
        <v>14</v>
      </c>
      <c r="C257" t="s">
        <v>8</v>
      </c>
      <c r="D257">
        <v>239.26</v>
      </c>
      <c r="E257">
        <v>174.21</v>
      </c>
      <c r="F257">
        <v>26799</v>
      </c>
      <c r="G257" t="s">
        <v>9</v>
      </c>
      <c r="H257">
        <v>55</v>
      </c>
      <c r="I257" t="s">
        <v>90</v>
      </c>
    </row>
    <row r="258" spans="1:9" x14ac:dyDescent="0.6">
      <c r="A258">
        <v>271</v>
      </c>
      <c r="B258" t="s">
        <v>7</v>
      </c>
      <c r="C258" t="s">
        <v>8</v>
      </c>
      <c r="D258">
        <v>213.3</v>
      </c>
      <c r="E258">
        <v>186.9</v>
      </c>
      <c r="F258">
        <v>34561</v>
      </c>
      <c r="G258" t="s">
        <v>9</v>
      </c>
      <c r="H258">
        <v>58</v>
      </c>
      <c r="I258" t="s">
        <v>90</v>
      </c>
    </row>
    <row r="259" spans="1:9" x14ac:dyDescent="0.6">
      <c r="A259">
        <v>281</v>
      </c>
      <c r="B259" t="s">
        <v>7</v>
      </c>
      <c r="C259" t="s">
        <v>8</v>
      </c>
      <c r="D259">
        <v>147.69</v>
      </c>
      <c r="E259">
        <v>63.41</v>
      </c>
      <c r="F259">
        <v>28647</v>
      </c>
      <c r="G259" t="s">
        <v>15</v>
      </c>
      <c r="H259">
        <v>52</v>
      </c>
      <c r="I259" t="s">
        <v>90</v>
      </c>
    </row>
    <row r="260" spans="1:9" x14ac:dyDescent="0.6">
      <c r="A260">
        <v>274</v>
      </c>
      <c r="B260" t="s">
        <v>14</v>
      </c>
      <c r="C260" t="s">
        <v>8</v>
      </c>
      <c r="D260">
        <v>232.11</v>
      </c>
      <c r="E260">
        <v>148.80000000000001</v>
      </c>
      <c r="F260">
        <v>31634</v>
      </c>
      <c r="G260" t="s">
        <v>9</v>
      </c>
      <c r="H260">
        <v>54</v>
      </c>
      <c r="I260" t="s">
        <v>108</v>
      </c>
    </row>
    <row r="261" spans="1:9" x14ac:dyDescent="0.6">
      <c r="A261">
        <v>291</v>
      </c>
      <c r="B261" t="s">
        <v>14</v>
      </c>
      <c r="C261" t="s">
        <v>8</v>
      </c>
      <c r="D261">
        <v>199.3</v>
      </c>
      <c r="E261">
        <v>99.65</v>
      </c>
      <c r="F261">
        <v>25810</v>
      </c>
      <c r="G261" t="s">
        <v>9</v>
      </c>
      <c r="H261">
        <v>59</v>
      </c>
      <c r="I261" t="s">
        <v>108</v>
      </c>
    </row>
    <row r="262" spans="1:9" x14ac:dyDescent="0.6">
      <c r="A262">
        <v>278</v>
      </c>
      <c r="B262" t="s">
        <v>7</v>
      </c>
      <c r="C262" t="s">
        <v>8</v>
      </c>
      <c r="D262">
        <v>143.6</v>
      </c>
      <c r="E262">
        <v>103.04</v>
      </c>
      <c r="F262">
        <v>32511</v>
      </c>
      <c r="G262" t="s">
        <v>15</v>
      </c>
      <c r="H262">
        <v>55</v>
      </c>
      <c r="I262" t="s">
        <v>90</v>
      </c>
    </row>
    <row r="263" spans="1:9" x14ac:dyDescent="0.6">
      <c r="A263">
        <v>284</v>
      </c>
      <c r="B263" t="s">
        <v>14</v>
      </c>
      <c r="C263" t="s">
        <v>8</v>
      </c>
      <c r="D263">
        <v>175.75</v>
      </c>
      <c r="E263">
        <v>137.69</v>
      </c>
      <c r="F263">
        <v>30683</v>
      </c>
      <c r="G263" t="s">
        <v>9</v>
      </c>
      <c r="H263">
        <v>56</v>
      </c>
      <c r="I263" t="s">
        <v>90</v>
      </c>
    </row>
    <row r="264" spans="1:9" x14ac:dyDescent="0.6">
      <c r="A264">
        <v>280</v>
      </c>
      <c r="B264" t="s">
        <v>7</v>
      </c>
      <c r="C264" t="s">
        <v>8</v>
      </c>
      <c r="D264">
        <v>251.34</v>
      </c>
      <c r="E264">
        <v>192.92</v>
      </c>
      <c r="F264">
        <v>42941</v>
      </c>
      <c r="G264" t="s">
        <v>9</v>
      </c>
      <c r="H264">
        <v>55</v>
      </c>
      <c r="I264" t="s">
        <v>154</v>
      </c>
    </row>
    <row r="265" spans="1:9" x14ac:dyDescent="0.6">
      <c r="A265">
        <v>270</v>
      </c>
      <c r="B265" t="s">
        <v>7</v>
      </c>
      <c r="C265" t="s">
        <v>8</v>
      </c>
      <c r="D265">
        <v>242.53</v>
      </c>
      <c r="E265">
        <v>148.52000000000001</v>
      </c>
      <c r="F265">
        <v>31271</v>
      </c>
      <c r="G265" t="s">
        <v>9</v>
      </c>
      <c r="H265">
        <v>64</v>
      </c>
      <c r="I265" t="s">
        <v>90</v>
      </c>
    </row>
    <row r="266" spans="1:9" x14ac:dyDescent="0.6">
      <c r="A266">
        <v>306</v>
      </c>
      <c r="B266" t="s">
        <v>14</v>
      </c>
      <c r="C266" t="s">
        <v>8</v>
      </c>
      <c r="D266">
        <v>157.13</v>
      </c>
      <c r="E266">
        <v>116.22</v>
      </c>
      <c r="F266">
        <v>46036</v>
      </c>
      <c r="G266" t="s">
        <v>15</v>
      </c>
      <c r="H266">
        <v>55</v>
      </c>
      <c r="I266" t="s">
        <v>108</v>
      </c>
    </row>
    <row r="267" spans="1:9" x14ac:dyDescent="0.6">
      <c r="A267">
        <v>287</v>
      </c>
      <c r="B267" t="s">
        <v>14</v>
      </c>
      <c r="C267" t="s">
        <v>8</v>
      </c>
      <c r="D267">
        <v>183.66</v>
      </c>
      <c r="E267">
        <v>132.88999999999999</v>
      </c>
      <c r="F267">
        <v>30261</v>
      </c>
      <c r="G267" t="s">
        <v>9</v>
      </c>
      <c r="H267">
        <v>54</v>
      </c>
      <c r="I267" t="s">
        <v>90</v>
      </c>
    </row>
    <row r="268" spans="1:9" x14ac:dyDescent="0.6">
      <c r="A268">
        <v>288</v>
      </c>
      <c r="B268" t="s">
        <v>14</v>
      </c>
      <c r="C268" t="s">
        <v>8</v>
      </c>
      <c r="D268">
        <v>167.03</v>
      </c>
      <c r="E268">
        <v>121.95</v>
      </c>
      <c r="F268">
        <v>22722</v>
      </c>
      <c r="G268" t="s">
        <v>9</v>
      </c>
      <c r="H268">
        <v>65</v>
      </c>
      <c r="I268" t="s">
        <v>90</v>
      </c>
    </row>
    <row r="269" spans="1:9" x14ac:dyDescent="0.6">
      <c r="A269">
        <v>290</v>
      </c>
      <c r="B269" t="s">
        <v>14</v>
      </c>
      <c r="C269" t="s">
        <v>8</v>
      </c>
      <c r="D269">
        <v>174.55</v>
      </c>
      <c r="E269">
        <v>154.11000000000001</v>
      </c>
      <c r="F269">
        <v>48609</v>
      </c>
      <c r="G269" t="s">
        <v>9</v>
      </c>
      <c r="H269">
        <v>63</v>
      </c>
      <c r="I269" t="s">
        <v>108</v>
      </c>
    </row>
    <row r="270" spans="1:9" x14ac:dyDescent="0.6">
      <c r="A270">
        <v>334</v>
      </c>
      <c r="B270" t="s">
        <v>14</v>
      </c>
      <c r="C270" t="s">
        <v>8</v>
      </c>
      <c r="D270">
        <v>218.38</v>
      </c>
      <c r="E270">
        <v>104.81</v>
      </c>
      <c r="F270">
        <v>2737</v>
      </c>
      <c r="G270" t="s">
        <v>9</v>
      </c>
      <c r="H270">
        <v>60</v>
      </c>
      <c r="I270" t="s">
        <v>108</v>
      </c>
    </row>
    <row r="271" spans="1:9" x14ac:dyDescent="0.6">
      <c r="A271">
        <v>294</v>
      </c>
      <c r="B271" t="s">
        <v>7</v>
      </c>
      <c r="C271" t="s">
        <v>8</v>
      </c>
      <c r="D271">
        <v>148.25</v>
      </c>
      <c r="E271">
        <v>143.62</v>
      </c>
      <c r="F271">
        <v>44733</v>
      </c>
      <c r="G271" t="s">
        <v>15</v>
      </c>
      <c r="H271">
        <v>52</v>
      </c>
      <c r="I271" t="s">
        <v>108</v>
      </c>
    </row>
    <row r="272" spans="1:9" x14ac:dyDescent="0.6">
      <c r="A272">
        <v>265</v>
      </c>
      <c r="B272" t="s">
        <v>14</v>
      </c>
      <c r="C272" t="s">
        <v>8</v>
      </c>
      <c r="D272">
        <v>188.5</v>
      </c>
      <c r="E272">
        <v>147.4</v>
      </c>
      <c r="F272">
        <v>14530</v>
      </c>
      <c r="G272" t="s">
        <v>9</v>
      </c>
      <c r="H272">
        <v>57</v>
      </c>
      <c r="I272" t="s">
        <v>90</v>
      </c>
    </row>
    <row r="273" spans="1:9" x14ac:dyDescent="0.6">
      <c r="A273">
        <v>286</v>
      </c>
      <c r="B273" t="s">
        <v>14</v>
      </c>
      <c r="C273" t="s">
        <v>8</v>
      </c>
      <c r="D273">
        <v>183.53</v>
      </c>
      <c r="E273">
        <v>169.53</v>
      </c>
      <c r="F273">
        <v>40304</v>
      </c>
      <c r="G273" t="s">
        <v>9</v>
      </c>
      <c r="H273">
        <v>62</v>
      </c>
      <c r="I273" t="s">
        <v>90</v>
      </c>
    </row>
    <row r="274" spans="1:9" x14ac:dyDescent="0.6">
      <c r="A274">
        <v>255</v>
      </c>
      <c r="B274" t="s">
        <v>7</v>
      </c>
      <c r="C274" t="s">
        <v>8</v>
      </c>
      <c r="D274">
        <v>214.16</v>
      </c>
      <c r="E274">
        <v>131.9</v>
      </c>
      <c r="F274">
        <v>24636</v>
      </c>
      <c r="G274" t="s">
        <v>9</v>
      </c>
      <c r="H274">
        <v>54</v>
      </c>
      <c r="I274" t="s">
        <v>108</v>
      </c>
    </row>
    <row r="275" spans="1:9" x14ac:dyDescent="0.6">
      <c r="A275">
        <v>283</v>
      </c>
      <c r="B275" t="s">
        <v>14</v>
      </c>
      <c r="C275" t="s">
        <v>8</v>
      </c>
      <c r="D275">
        <v>210.75</v>
      </c>
      <c r="E275">
        <v>149.31</v>
      </c>
      <c r="F275">
        <v>38757</v>
      </c>
      <c r="G275" t="s">
        <v>9</v>
      </c>
      <c r="H275">
        <v>51</v>
      </c>
      <c r="I275" t="s">
        <v>108</v>
      </c>
    </row>
    <row r="276" spans="1:9" x14ac:dyDescent="0.6">
      <c r="A276">
        <v>273</v>
      </c>
      <c r="B276" t="s">
        <v>7</v>
      </c>
      <c r="C276" t="s">
        <v>8</v>
      </c>
      <c r="D276">
        <v>259.44</v>
      </c>
      <c r="E276">
        <v>164.04</v>
      </c>
      <c r="F276">
        <v>32714</v>
      </c>
      <c r="G276" t="s">
        <v>9</v>
      </c>
      <c r="H276">
        <v>69</v>
      </c>
      <c r="I276" t="s">
        <v>108</v>
      </c>
    </row>
    <row r="277" spans="1:9" x14ac:dyDescent="0.6">
      <c r="A277">
        <v>292</v>
      </c>
      <c r="B277" t="s">
        <v>14</v>
      </c>
      <c r="C277" t="s">
        <v>8</v>
      </c>
      <c r="D277">
        <v>280.74</v>
      </c>
      <c r="E277">
        <v>189.84</v>
      </c>
      <c r="F277">
        <v>21545</v>
      </c>
      <c r="G277" t="s">
        <v>9</v>
      </c>
      <c r="H277">
        <v>52</v>
      </c>
      <c r="I277" t="s">
        <v>90</v>
      </c>
    </row>
    <row r="278" spans="1:9" x14ac:dyDescent="0.6">
      <c r="A278">
        <v>279</v>
      </c>
      <c r="B278" t="s">
        <v>7</v>
      </c>
      <c r="C278" t="s">
        <v>8</v>
      </c>
      <c r="D278">
        <v>303.57</v>
      </c>
      <c r="E278">
        <v>162.75</v>
      </c>
      <c r="F278">
        <v>62437</v>
      </c>
      <c r="G278" t="s">
        <v>9</v>
      </c>
      <c r="H278">
        <v>51</v>
      </c>
      <c r="I278" t="s">
        <v>108</v>
      </c>
    </row>
    <row r="279" spans="1:9" x14ac:dyDescent="0.6">
      <c r="A279">
        <v>300</v>
      </c>
      <c r="B279" t="s">
        <v>14</v>
      </c>
      <c r="C279" t="s">
        <v>8</v>
      </c>
      <c r="D279">
        <v>308.22000000000003</v>
      </c>
      <c r="E279">
        <v>252.46</v>
      </c>
      <c r="F279">
        <v>25831</v>
      </c>
      <c r="G279" t="s">
        <v>9</v>
      </c>
      <c r="H279" t="s">
        <v>4732</v>
      </c>
      <c r="I279" t="s">
        <v>90</v>
      </c>
    </row>
    <row r="280" spans="1:9" x14ac:dyDescent="0.6">
      <c r="A280">
        <v>298</v>
      </c>
      <c r="B280" t="s">
        <v>14</v>
      </c>
      <c r="C280" t="s">
        <v>8</v>
      </c>
      <c r="D280">
        <v>186.6</v>
      </c>
      <c r="E280">
        <v>129.91</v>
      </c>
      <c r="F280">
        <v>33190</v>
      </c>
      <c r="G280" t="s">
        <v>9</v>
      </c>
      <c r="H280" t="s">
        <v>4732</v>
      </c>
      <c r="I280" t="s">
        <v>108</v>
      </c>
    </row>
    <row r="281" spans="1:9" x14ac:dyDescent="0.6">
      <c r="A281">
        <v>305</v>
      </c>
      <c r="B281" t="s">
        <v>7</v>
      </c>
      <c r="C281" t="s">
        <v>8</v>
      </c>
      <c r="D281">
        <v>187.38</v>
      </c>
      <c r="E281">
        <v>167.25</v>
      </c>
      <c r="F281">
        <v>21553</v>
      </c>
      <c r="G281" t="s">
        <v>9</v>
      </c>
      <c r="H281">
        <v>66</v>
      </c>
      <c r="I281" t="s">
        <v>108</v>
      </c>
    </row>
    <row r="282" spans="1:9" x14ac:dyDescent="0.6">
      <c r="A282">
        <v>317</v>
      </c>
      <c r="B282" t="s">
        <v>14</v>
      </c>
      <c r="C282" t="s">
        <v>8</v>
      </c>
      <c r="D282">
        <v>195.24</v>
      </c>
      <c r="E282">
        <v>142.6</v>
      </c>
      <c r="F282">
        <v>23910</v>
      </c>
      <c r="G282" t="s">
        <v>9</v>
      </c>
      <c r="H282">
        <v>59</v>
      </c>
      <c r="I282" t="s">
        <v>90</v>
      </c>
    </row>
    <row r="283" spans="1:9" x14ac:dyDescent="0.6">
      <c r="A283">
        <v>325</v>
      </c>
      <c r="B283" t="s">
        <v>14</v>
      </c>
      <c r="C283" t="s">
        <v>8</v>
      </c>
      <c r="D283">
        <v>149.31</v>
      </c>
      <c r="E283">
        <v>86.7</v>
      </c>
      <c r="F283">
        <v>23560</v>
      </c>
      <c r="G283" t="s">
        <v>15</v>
      </c>
      <c r="H283">
        <v>51</v>
      </c>
      <c r="I283" t="s">
        <v>108</v>
      </c>
    </row>
    <row r="284" spans="1:9" x14ac:dyDescent="0.6">
      <c r="A284">
        <v>297</v>
      </c>
      <c r="B284" t="s">
        <v>7</v>
      </c>
      <c r="C284" t="s">
        <v>8</v>
      </c>
      <c r="D284">
        <v>216.19</v>
      </c>
      <c r="E284">
        <v>117.47</v>
      </c>
      <c r="F284">
        <v>38018</v>
      </c>
      <c r="G284" t="s">
        <v>9</v>
      </c>
      <c r="H284">
        <v>50</v>
      </c>
      <c r="I284" t="s">
        <v>108</v>
      </c>
    </row>
    <row r="285" spans="1:9" x14ac:dyDescent="0.6">
      <c r="A285">
        <v>293</v>
      </c>
      <c r="B285" t="s">
        <v>14</v>
      </c>
      <c r="C285" t="s">
        <v>8</v>
      </c>
      <c r="D285">
        <v>174.95</v>
      </c>
      <c r="E285">
        <v>134.79</v>
      </c>
      <c r="F285">
        <v>41214</v>
      </c>
      <c r="G285" t="s">
        <v>9</v>
      </c>
      <c r="H285" t="s">
        <v>4732</v>
      </c>
      <c r="I285" t="s">
        <v>108</v>
      </c>
    </row>
    <row r="286" spans="1:9" x14ac:dyDescent="0.6">
      <c r="A286">
        <v>319</v>
      </c>
      <c r="B286" t="s">
        <v>14</v>
      </c>
      <c r="C286" t="s">
        <v>8</v>
      </c>
      <c r="D286">
        <v>243.18</v>
      </c>
      <c r="E286">
        <v>197.85</v>
      </c>
      <c r="F286">
        <v>25321</v>
      </c>
      <c r="G286" t="s">
        <v>9</v>
      </c>
      <c r="H286">
        <v>55</v>
      </c>
      <c r="I286" t="s">
        <v>108</v>
      </c>
    </row>
    <row r="287" spans="1:9" x14ac:dyDescent="0.6">
      <c r="A287">
        <v>311</v>
      </c>
      <c r="B287" t="s">
        <v>7</v>
      </c>
      <c r="C287" t="s">
        <v>8</v>
      </c>
      <c r="D287">
        <v>156.21</v>
      </c>
      <c r="E287">
        <v>105.93</v>
      </c>
      <c r="F287">
        <v>31020</v>
      </c>
      <c r="G287" t="s">
        <v>15</v>
      </c>
      <c r="H287">
        <v>58</v>
      </c>
      <c r="I287" t="s">
        <v>90</v>
      </c>
    </row>
    <row r="288" spans="1:9" x14ac:dyDescent="0.6">
      <c r="A288">
        <v>336</v>
      </c>
      <c r="B288" t="s">
        <v>14</v>
      </c>
      <c r="C288" t="s">
        <v>8</v>
      </c>
      <c r="D288">
        <v>309.23</v>
      </c>
      <c r="E288">
        <v>191.74</v>
      </c>
      <c r="F288">
        <v>17785</v>
      </c>
      <c r="G288" t="s">
        <v>9</v>
      </c>
      <c r="H288">
        <v>50</v>
      </c>
      <c r="I288" t="s">
        <v>90</v>
      </c>
    </row>
    <row r="289" spans="1:9" x14ac:dyDescent="0.6">
      <c r="A289">
        <v>310</v>
      </c>
      <c r="B289" t="s">
        <v>14</v>
      </c>
      <c r="C289" t="s">
        <v>8</v>
      </c>
      <c r="D289">
        <v>152.6</v>
      </c>
      <c r="E289">
        <v>124.83</v>
      </c>
      <c r="F289">
        <v>51872</v>
      </c>
      <c r="G289" t="s">
        <v>15</v>
      </c>
      <c r="H289">
        <v>65</v>
      </c>
      <c r="I289" t="s">
        <v>108</v>
      </c>
    </row>
    <row r="290" spans="1:9" x14ac:dyDescent="0.6">
      <c r="A290">
        <v>301</v>
      </c>
      <c r="B290" t="s">
        <v>7</v>
      </c>
      <c r="C290" t="s">
        <v>8</v>
      </c>
      <c r="D290">
        <v>354.23</v>
      </c>
      <c r="E290">
        <v>236.04</v>
      </c>
      <c r="F290">
        <v>38755</v>
      </c>
      <c r="G290" t="s">
        <v>9</v>
      </c>
      <c r="H290" t="s">
        <v>4732</v>
      </c>
      <c r="I290" t="s">
        <v>108</v>
      </c>
    </row>
    <row r="291" spans="1:9" x14ac:dyDescent="0.6">
      <c r="A291">
        <v>313</v>
      </c>
      <c r="B291" t="s">
        <v>14</v>
      </c>
      <c r="C291" t="s">
        <v>8</v>
      </c>
      <c r="D291">
        <v>204.49</v>
      </c>
      <c r="E291">
        <v>151.05000000000001</v>
      </c>
      <c r="F291">
        <v>26907</v>
      </c>
      <c r="G291" t="s">
        <v>9</v>
      </c>
      <c r="H291">
        <v>60</v>
      </c>
      <c r="I291" t="s">
        <v>108</v>
      </c>
    </row>
    <row r="292" spans="1:9" x14ac:dyDescent="0.6">
      <c r="A292">
        <v>303</v>
      </c>
      <c r="B292" t="s">
        <v>7</v>
      </c>
      <c r="C292" t="s">
        <v>8</v>
      </c>
      <c r="D292">
        <v>202.13</v>
      </c>
      <c r="E292">
        <v>89.91</v>
      </c>
      <c r="F292">
        <v>38115</v>
      </c>
      <c r="G292" t="s">
        <v>9</v>
      </c>
      <c r="H292">
        <v>89</v>
      </c>
      <c r="I292" t="s">
        <v>4732</v>
      </c>
    </row>
    <row r="293" spans="1:9" x14ac:dyDescent="0.6">
      <c r="A293">
        <v>296</v>
      </c>
      <c r="B293" t="s">
        <v>7</v>
      </c>
      <c r="C293" t="s">
        <v>8</v>
      </c>
      <c r="D293">
        <v>231.48</v>
      </c>
      <c r="E293">
        <v>135.22</v>
      </c>
      <c r="F293">
        <v>27169</v>
      </c>
      <c r="G293" t="s">
        <v>9</v>
      </c>
      <c r="H293" t="s">
        <v>4732</v>
      </c>
      <c r="I293" t="s">
        <v>108</v>
      </c>
    </row>
    <row r="294" spans="1:9" x14ac:dyDescent="0.6">
      <c r="A294">
        <v>330</v>
      </c>
      <c r="B294" t="s">
        <v>7</v>
      </c>
      <c r="C294" t="s">
        <v>8</v>
      </c>
      <c r="D294">
        <v>280.06</v>
      </c>
      <c r="E294">
        <v>159.22999999999999</v>
      </c>
      <c r="F294">
        <v>29363</v>
      </c>
      <c r="G294" t="s">
        <v>9</v>
      </c>
      <c r="H294">
        <v>50</v>
      </c>
      <c r="I294" t="s">
        <v>90</v>
      </c>
    </row>
    <row r="295" spans="1:9" x14ac:dyDescent="0.6">
      <c r="A295">
        <v>327</v>
      </c>
      <c r="B295" t="s">
        <v>14</v>
      </c>
      <c r="C295" t="s">
        <v>8</v>
      </c>
      <c r="D295">
        <v>235.24</v>
      </c>
      <c r="E295">
        <v>181.24</v>
      </c>
      <c r="F295">
        <v>27391</v>
      </c>
      <c r="G295" t="s">
        <v>9</v>
      </c>
      <c r="H295">
        <v>60</v>
      </c>
      <c r="I295" t="s">
        <v>90</v>
      </c>
    </row>
    <row r="296" spans="1:9" x14ac:dyDescent="0.6">
      <c r="A296">
        <v>323</v>
      </c>
      <c r="B296" t="s">
        <v>7</v>
      </c>
      <c r="C296" t="s">
        <v>8</v>
      </c>
      <c r="D296">
        <v>132.91999999999999</v>
      </c>
      <c r="E296">
        <v>98.02</v>
      </c>
      <c r="F296">
        <v>46616</v>
      </c>
      <c r="G296" t="s">
        <v>15</v>
      </c>
      <c r="H296">
        <v>65</v>
      </c>
      <c r="I296" t="s">
        <v>90</v>
      </c>
    </row>
    <row r="297" spans="1:9" x14ac:dyDescent="0.6">
      <c r="A297">
        <v>315</v>
      </c>
      <c r="B297" t="s">
        <v>14</v>
      </c>
      <c r="C297" t="s">
        <v>8</v>
      </c>
      <c r="D297">
        <v>203.18</v>
      </c>
      <c r="E297">
        <v>157.77000000000001</v>
      </c>
      <c r="F297">
        <v>22454</v>
      </c>
      <c r="G297" t="s">
        <v>9</v>
      </c>
      <c r="H297">
        <v>57</v>
      </c>
      <c r="I297" t="s">
        <v>90</v>
      </c>
    </row>
    <row r="298" spans="1:9" x14ac:dyDescent="0.6">
      <c r="A298">
        <v>321</v>
      </c>
      <c r="B298" t="s">
        <v>7</v>
      </c>
      <c r="C298" t="s">
        <v>8</v>
      </c>
      <c r="D298">
        <v>125.46</v>
      </c>
      <c r="E298">
        <v>110.08</v>
      </c>
      <c r="F298">
        <v>25689</v>
      </c>
      <c r="G298" t="s">
        <v>15</v>
      </c>
      <c r="H298">
        <v>89</v>
      </c>
      <c r="I298" t="s">
        <v>154</v>
      </c>
    </row>
    <row r="299" spans="1:9" x14ac:dyDescent="0.6">
      <c r="A299">
        <v>335</v>
      </c>
      <c r="B299" t="s">
        <v>14</v>
      </c>
      <c r="C299" t="s">
        <v>8</v>
      </c>
      <c r="D299">
        <v>221.88</v>
      </c>
      <c r="E299">
        <v>125.41</v>
      </c>
      <c r="F299">
        <v>30752</v>
      </c>
      <c r="G299" t="s">
        <v>9</v>
      </c>
      <c r="H299">
        <v>50</v>
      </c>
      <c r="I299" t="s">
        <v>108</v>
      </c>
    </row>
    <row r="300" spans="1:9" x14ac:dyDescent="0.6">
      <c r="A300">
        <v>309</v>
      </c>
      <c r="B300" t="s">
        <v>7</v>
      </c>
      <c r="C300" t="s">
        <v>8</v>
      </c>
      <c r="D300">
        <v>262.58999999999997</v>
      </c>
      <c r="E300">
        <v>208.21</v>
      </c>
      <c r="F300">
        <v>41507</v>
      </c>
      <c r="G300" t="s">
        <v>9</v>
      </c>
      <c r="H300">
        <v>50</v>
      </c>
      <c r="I300" t="s">
        <v>108</v>
      </c>
    </row>
    <row r="301" spans="1:9" x14ac:dyDescent="0.6">
      <c r="A301">
        <v>324</v>
      </c>
      <c r="B301" t="s">
        <v>7</v>
      </c>
      <c r="C301" t="s">
        <v>8</v>
      </c>
      <c r="D301">
        <v>60.19</v>
      </c>
      <c r="E301">
        <v>93.59</v>
      </c>
      <c r="F301">
        <v>35223</v>
      </c>
      <c r="G301" t="s">
        <v>17</v>
      </c>
      <c r="H301">
        <v>64</v>
      </c>
      <c r="I301" t="s">
        <v>108</v>
      </c>
    </row>
    <row r="302" spans="1:9" x14ac:dyDescent="0.6">
      <c r="A302">
        <v>326</v>
      </c>
      <c r="B302" t="s">
        <v>14</v>
      </c>
      <c r="C302" t="s">
        <v>8</v>
      </c>
      <c r="D302">
        <v>146.22999999999999</v>
      </c>
      <c r="E302">
        <v>95.82</v>
      </c>
      <c r="F302">
        <v>18156</v>
      </c>
      <c r="G302" t="s">
        <v>15</v>
      </c>
      <c r="H302">
        <v>68</v>
      </c>
      <c r="I302" t="s">
        <v>90</v>
      </c>
    </row>
    <row r="303" spans="1:9" x14ac:dyDescent="0.6">
      <c r="A303">
        <v>316</v>
      </c>
      <c r="B303" t="s">
        <v>7</v>
      </c>
      <c r="C303" t="s">
        <v>8</v>
      </c>
      <c r="D303">
        <v>323.89</v>
      </c>
      <c r="E303">
        <v>192.07</v>
      </c>
      <c r="F303">
        <v>15843</v>
      </c>
      <c r="G303" t="s">
        <v>9</v>
      </c>
      <c r="H303">
        <v>59</v>
      </c>
      <c r="I303" t="s">
        <v>90</v>
      </c>
    </row>
    <row r="304" spans="1:9" x14ac:dyDescent="0.6">
      <c r="A304">
        <v>339</v>
      </c>
      <c r="B304" t="s">
        <v>14</v>
      </c>
      <c r="C304" t="s">
        <v>8</v>
      </c>
      <c r="D304">
        <v>184.39</v>
      </c>
      <c r="E304">
        <v>126.38</v>
      </c>
      <c r="F304">
        <v>15260</v>
      </c>
      <c r="G304" t="s">
        <v>9</v>
      </c>
      <c r="H304">
        <v>54</v>
      </c>
      <c r="I304" t="s">
        <v>90</v>
      </c>
    </row>
    <row r="305" spans="1:9" x14ac:dyDescent="0.6">
      <c r="A305">
        <v>308</v>
      </c>
      <c r="B305" t="s">
        <v>14</v>
      </c>
      <c r="C305" t="s">
        <v>8</v>
      </c>
      <c r="D305">
        <v>247.76</v>
      </c>
      <c r="E305">
        <v>204.92</v>
      </c>
      <c r="F305">
        <v>42591</v>
      </c>
      <c r="G305" t="s">
        <v>9</v>
      </c>
      <c r="H305">
        <v>53</v>
      </c>
      <c r="I305" t="s">
        <v>108</v>
      </c>
    </row>
    <row r="306" spans="1:9" x14ac:dyDescent="0.6">
      <c r="A306">
        <v>349</v>
      </c>
      <c r="B306" t="s">
        <v>14</v>
      </c>
      <c r="C306" t="s">
        <v>8</v>
      </c>
      <c r="D306">
        <v>222.17</v>
      </c>
      <c r="E306">
        <v>202.2</v>
      </c>
      <c r="F306">
        <v>51995</v>
      </c>
      <c r="G306" t="s">
        <v>9</v>
      </c>
      <c r="H306">
        <v>57</v>
      </c>
      <c r="I306" t="s">
        <v>108</v>
      </c>
    </row>
    <row r="307" spans="1:9" x14ac:dyDescent="0.6">
      <c r="A307">
        <v>331</v>
      </c>
      <c r="B307" t="s">
        <v>14</v>
      </c>
      <c r="C307" t="s">
        <v>8</v>
      </c>
      <c r="D307">
        <v>179.34</v>
      </c>
      <c r="E307">
        <v>122.74</v>
      </c>
      <c r="F307">
        <v>40381</v>
      </c>
      <c r="G307" t="s">
        <v>9</v>
      </c>
      <c r="H307">
        <v>51</v>
      </c>
      <c r="I307" t="s">
        <v>108</v>
      </c>
    </row>
    <row r="308" spans="1:9" x14ac:dyDescent="0.6">
      <c r="A308">
        <v>332</v>
      </c>
      <c r="B308" t="s">
        <v>14</v>
      </c>
      <c r="C308" t="s">
        <v>8</v>
      </c>
      <c r="D308">
        <v>157.08000000000001</v>
      </c>
      <c r="E308">
        <v>157.44999999999999</v>
      </c>
      <c r="F308">
        <v>29426</v>
      </c>
      <c r="G308" t="s">
        <v>15</v>
      </c>
      <c r="H308">
        <v>54</v>
      </c>
      <c r="I308" t="s">
        <v>90</v>
      </c>
    </row>
    <row r="309" spans="1:9" x14ac:dyDescent="0.6">
      <c r="A309">
        <v>320</v>
      </c>
      <c r="B309" t="s">
        <v>14</v>
      </c>
      <c r="C309" t="s">
        <v>8</v>
      </c>
      <c r="D309">
        <v>245.47</v>
      </c>
      <c r="E309">
        <v>164.34</v>
      </c>
      <c r="F309">
        <v>24789</v>
      </c>
      <c r="G309" t="s">
        <v>9</v>
      </c>
      <c r="H309">
        <v>54</v>
      </c>
      <c r="I309" t="s">
        <v>108</v>
      </c>
    </row>
    <row r="310" spans="1:9" x14ac:dyDescent="0.6">
      <c r="A310">
        <v>304</v>
      </c>
      <c r="B310" t="s">
        <v>7</v>
      </c>
      <c r="C310" t="s">
        <v>8</v>
      </c>
      <c r="D310">
        <v>180.38</v>
      </c>
      <c r="E310">
        <v>105.12</v>
      </c>
      <c r="F310">
        <v>26523</v>
      </c>
      <c r="G310" t="s">
        <v>9</v>
      </c>
      <c r="H310">
        <v>52</v>
      </c>
      <c r="I310" t="s">
        <v>90</v>
      </c>
    </row>
    <row r="311" spans="1:9" x14ac:dyDescent="0.6">
      <c r="A311">
        <v>314</v>
      </c>
      <c r="B311" t="s">
        <v>7</v>
      </c>
      <c r="C311" t="s">
        <v>8</v>
      </c>
      <c r="D311">
        <v>159.52000000000001</v>
      </c>
      <c r="E311">
        <v>153.21</v>
      </c>
      <c r="F311">
        <v>20183</v>
      </c>
      <c r="G311" t="s">
        <v>15</v>
      </c>
      <c r="H311">
        <v>61</v>
      </c>
      <c r="I311" t="s">
        <v>90</v>
      </c>
    </row>
    <row r="312" spans="1:9" x14ac:dyDescent="0.6">
      <c r="A312">
        <v>333</v>
      </c>
      <c r="B312" t="s">
        <v>14</v>
      </c>
      <c r="C312" t="s">
        <v>8</v>
      </c>
      <c r="D312">
        <v>193.24</v>
      </c>
      <c r="E312">
        <v>101.81</v>
      </c>
      <c r="F312">
        <v>17342</v>
      </c>
      <c r="G312" t="s">
        <v>9</v>
      </c>
      <c r="H312">
        <v>58</v>
      </c>
      <c r="I312" t="s">
        <v>90</v>
      </c>
    </row>
    <row r="313" spans="1:9" x14ac:dyDescent="0.6">
      <c r="A313">
        <v>322</v>
      </c>
      <c r="B313" t="s">
        <v>7</v>
      </c>
      <c r="C313" t="s">
        <v>8</v>
      </c>
      <c r="D313">
        <v>257.45999999999998</v>
      </c>
      <c r="E313">
        <v>187.96</v>
      </c>
      <c r="F313">
        <v>26735</v>
      </c>
      <c r="G313" t="s">
        <v>9</v>
      </c>
      <c r="H313">
        <v>89</v>
      </c>
      <c r="I313" t="s">
        <v>4732</v>
      </c>
    </row>
    <row r="314" spans="1:9" x14ac:dyDescent="0.6">
      <c r="A314">
        <v>343</v>
      </c>
      <c r="B314" t="s">
        <v>14</v>
      </c>
      <c r="C314" t="s">
        <v>8</v>
      </c>
      <c r="D314">
        <v>137.82</v>
      </c>
      <c r="E314">
        <v>152.54</v>
      </c>
      <c r="F314">
        <v>32131</v>
      </c>
      <c r="G314" t="s">
        <v>15</v>
      </c>
      <c r="H314">
        <v>66</v>
      </c>
      <c r="I314" t="s">
        <v>90</v>
      </c>
    </row>
    <row r="315" spans="1:9" x14ac:dyDescent="0.6">
      <c r="A315">
        <v>328</v>
      </c>
      <c r="B315" t="s">
        <v>14</v>
      </c>
      <c r="C315" t="s">
        <v>8</v>
      </c>
      <c r="D315">
        <v>206.66</v>
      </c>
      <c r="E315">
        <v>133.55000000000001</v>
      </c>
      <c r="F315">
        <v>40628</v>
      </c>
      <c r="G315" t="s">
        <v>9</v>
      </c>
      <c r="H315">
        <v>55</v>
      </c>
      <c r="I315" t="s">
        <v>108</v>
      </c>
    </row>
    <row r="316" spans="1:9" x14ac:dyDescent="0.6">
      <c r="A316">
        <v>340</v>
      </c>
      <c r="B316" t="s">
        <v>14</v>
      </c>
      <c r="C316" t="s">
        <v>8</v>
      </c>
      <c r="D316">
        <v>263.95</v>
      </c>
      <c r="E316">
        <v>221.53</v>
      </c>
      <c r="F316">
        <v>26766</v>
      </c>
      <c r="G316" t="s">
        <v>9</v>
      </c>
      <c r="H316">
        <v>63</v>
      </c>
      <c r="I316" t="s">
        <v>90</v>
      </c>
    </row>
    <row r="317" spans="1:9" x14ac:dyDescent="0.6">
      <c r="A317">
        <v>351</v>
      </c>
      <c r="B317" t="s">
        <v>14</v>
      </c>
      <c r="C317" t="s">
        <v>8</v>
      </c>
      <c r="D317">
        <v>221.25</v>
      </c>
      <c r="E317">
        <v>121.65</v>
      </c>
      <c r="F317">
        <v>27635</v>
      </c>
      <c r="G317" t="s">
        <v>9</v>
      </c>
      <c r="H317">
        <v>50</v>
      </c>
      <c r="I317" t="s">
        <v>90</v>
      </c>
    </row>
    <row r="318" spans="1:9" x14ac:dyDescent="0.6">
      <c r="A318">
        <v>329</v>
      </c>
      <c r="B318" t="s">
        <v>14</v>
      </c>
      <c r="C318" t="s">
        <v>8</v>
      </c>
      <c r="D318">
        <v>308.17</v>
      </c>
      <c r="E318">
        <v>158.80000000000001</v>
      </c>
      <c r="F318">
        <v>21885</v>
      </c>
      <c r="G318" t="s">
        <v>9</v>
      </c>
      <c r="H318">
        <v>53</v>
      </c>
      <c r="I318" t="s">
        <v>108</v>
      </c>
    </row>
    <row r="319" spans="1:9" x14ac:dyDescent="0.6">
      <c r="A319">
        <v>337</v>
      </c>
      <c r="B319" t="s">
        <v>14</v>
      </c>
      <c r="C319" t="s">
        <v>8</v>
      </c>
      <c r="D319">
        <v>192.57</v>
      </c>
      <c r="E319">
        <v>138.37</v>
      </c>
      <c r="F319">
        <v>17449</v>
      </c>
      <c r="G319" t="s">
        <v>9</v>
      </c>
      <c r="H319">
        <v>58</v>
      </c>
      <c r="I319" t="s">
        <v>90</v>
      </c>
    </row>
    <row r="320" spans="1:9" x14ac:dyDescent="0.6">
      <c r="A320">
        <v>361</v>
      </c>
      <c r="B320" t="s">
        <v>7</v>
      </c>
      <c r="C320" t="s">
        <v>8</v>
      </c>
      <c r="D320">
        <v>253.19</v>
      </c>
      <c r="E320">
        <v>146.94</v>
      </c>
      <c r="F320">
        <v>12059</v>
      </c>
      <c r="G320" t="s">
        <v>9</v>
      </c>
      <c r="H320">
        <v>50</v>
      </c>
      <c r="I320" t="s">
        <v>90</v>
      </c>
    </row>
    <row r="321" spans="1:9" x14ac:dyDescent="0.6">
      <c r="A321">
        <v>338</v>
      </c>
      <c r="B321" t="s">
        <v>14</v>
      </c>
      <c r="C321" t="s">
        <v>8</v>
      </c>
      <c r="D321">
        <v>171.98</v>
      </c>
      <c r="E321">
        <v>139.12</v>
      </c>
      <c r="F321">
        <v>29536</v>
      </c>
      <c r="G321" t="s">
        <v>9</v>
      </c>
      <c r="H321">
        <v>56</v>
      </c>
      <c r="I321" t="s">
        <v>108</v>
      </c>
    </row>
    <row r="322" spans="1:9" x14ac:dyDescent="0.6">
      <c r="A322">
        <v>360</v>
      </c>
      <c r="B322" t="s">
        <v>14</v>
      </c>
      <c r="C322" t="s">
        <v>8</v>
      </c>
      <c r="D322">
        <v>208.2</v>
      </c>
      <c r="E322">
        <v>150.43</v>
      </c>
      <c r="F322">
        <v>27490</v>
      </c>
      <c r="G322" t="s">
        <v>9</v>
      </c>
      <c r="H322">
        <v>68</v>
      </c>
      <c r="I322" t="s">
        <v>108</v>
      </c>
    </row>
    <row r="323" spans="1:9" x14ac:dyDescent="0.6">
      <c r="A323">
        <v>318</v>
      </c>
      <c r="B323" t="s">
        <v>7</v>
      </c>
      <c r="C323" t="s">
        <v>8</v>
      </c>
      <c r="D323">
        <v>305.64</v>
      </c>
      <c r="E323">
        <v>214.09</v>
      </c>
      <c r="F323">
        <v>22334</v>
      </c>
      <c r="G323" t="s">
        <v>9</v>
      </c>
      <c r="H323">
        <v>50</v>
      </c>
      <c r="I323" t="s">
        <v>108</v>
      </c>
    </row>
    <row r="324" spans="1:9" x14ac:dyDescent="0.6">
      <c r="A324">
        <v>353</v>
      </c>
      <c r="B324" t="s">
        <v>14</v>
      </c>
      <c r="C324" t="s">
        <v>8</v>
      </c>
      <c r="D324">
        <v>157.1</v>
      </c>
      <c r="E324">
        <v>100.53</v>
      </c>
      <c r="F324">
        <v>25787</v>
      </c>
      <c r="G324" t="s">
        <v>15</v>
      </c>
      <c r="H324">
        <v>53</v>
      </c>
      <c r="I324" t="s">
        <v>90</v>
      </c>
    </row>
    <row r="325" spans="1:9" x14ac:dyDescent="0.6">
      <c r="A325">
        <v>341</v>
      </c>
      <c r="B325" t="s">
        <v>14</v>
      </c>
      <c r="C325" t="s">
        <v>8</v>
      </c>
      <c r="D325">
        <v>292.02</v>
      </c>
      <c r="E325">
        <v>158.04</v>
      </c>
      <c r="F325">
        <v>21044</v>
      </c>
      <c r="G325" t="s">
        <v>9</v>
      </c>
      <c r="H325">
        <v>54</v>
      </c>
      <c r="I325" t="s">
        <v>90</v>
      </c>
    </row>
    <row r="326" spans="1:9" x14ac:dyDescent="0.6">
      <c r="A326">
        <v>359</v>
      </c>
      <c r="B326" t="s">
        <v>7</v>
      </c>
      <c r="C326" t="s">
        <v>8</v>
      </c>
      <c r="D326">
        <v>178.99</v>
      </c>
      <c r="E326">
        <v>161.44999999999999</v>
      </c>
      <c r="F326">
        <v>40837</v>
      </c>
      <c r="G326" t="s">
        <v>9</v>
      </c>
      <c r="H326">
        <v>56</v>
      </c>
      <c r="I326" t="s">
        <v>108</v>
      </c>
    </row>
    <row r="327" spans="1:9" x14ac:dyDescent="0.6">
      <c r="A327">
        <v>344</v>
      </c>
      <c r="B327" t="s">
        <v>14</v>
      </c>
      <c r="C327" t="s">
        <v>8</v>
      </c>
      <c r="D327">
        <v>127.46</v>
      </c>
      <c r="E327">
        <v>97.07</v>
      </c>
      <c r="F327">
        <v>22904</v>
      </c>
      <c r="G327" t="s">
        <v>15</v>
      </c>
      <c r="H327">
        <v>60</v>
      </c>
      <c r="I327" t="s">
        <v>90</v>
      </c>
    </row>
    <row r="328" spans="1:9" x14ac:dyDescent="0.6">
      <c r="A328">
        <v>373</v>
      </c>
      <c r="B328" t="s">
        <v>7</v>
      </c>
      <c r="C328" t="s">
        <v>8</v>
      </c>
      <c r="D328">
        <v>201.71</v>
      </c>
      <c r="E328">
        <v>229.13</v>
      </c>
      <c r="F328">
        <v>39868</v>
      </c>
      <c r="G328" t="s">
        <v>9</v>
      </c>
      <c r="H328">
        <v>61</v>
      </c>
      <c r="I328" t="s">
        <v>90</v>
      </c>
    </row>
    <row r="329" spans="1:9" x14ac:dyDescent="0.6">
      <c r="A329">
        <v>354</v>
      </c>
      <c r="B329" t="s">
        <v>14</v>
      </c>
      <c r="C329" t="s">
        <v>8</v>
      </c>
      <c r="D329">
        <v>145.19999999999999</v>
      </c>
      <c r="E329">
        <v>103.14</v>
      </c>
      <c r="F329">
        <v>25834</v>
      </c>
      <c r="G329" t="s">
        <v>15</v>
      </c>
      <c r="H329">
        <v>79</v>
      </c>
      <c r="I329" t="s">
        <v>90</v>
      </c>
    </row>
    <row r="330" spans="1:9" x14ac:dyDescent="0.6">
      <c r="A330">
        <v>383</v>
      </c>
      <c r="B330" t="s">
        <v>14</v>
      </c>
      <c r="C330" t="s">
        <v>8</v>
      </c>
      <c r="D330">
        <v>125.61</v>
      </c>
      <c r="E330">
        <v>156.9</v>
      </c>
      <c r="F330">
        <v>29121</v>
      </c>
      <c r="G330" t="s">
        <v>15</v>
      </c>
      <c r="H330">
        <v>79</v>
      </c>
      <c r="I330" t="s">
        <v>90</v>
      </c>
    </row>
    <row r="331" spans="1:9" x14ac:dyDescent="0.6">
      <c r="A331">
        <v>362</v>
      </c>
      <c r="B331" t="s">
        <v>7</v>
      </c>
      <c r="C331" t="s">
        <v>8</v>
      </c>
      <c r="D331">
        <v>216.36</v>
      </c>
      <c r="E331">
        <v>128.13</v>
      </c>
      <c r="F331">
        <v>22310</v>
      </c>
      <c r="G331" t="s">
        <v>9</v>
      </c>
      <c r="H331">
        <v>61</v>
      </c>
      <c r="I331" t="s">
        <v>90</v>
      </c>
    </row>
    <row r="332" spans="1:9" x14ac:dyDescent="0.6">
      <c r="A332">
        <v>347</v>
      </c>
      <c r="B332" t="s">
        <v>14</v>
      </c>
      <c r="C332" t="s">
        <v>8</v>
      </c>
      <c r="D332">
        <v>194.97</v>
      </c>
      <c r="E332">
        <v>140.38</v>
      </c>
      <c r="F332">
        <v>29617</v>
      </c>
      <c r="G332" t="s">
        <v>9</v>
      </c>
      <c r="H332">
        <v>54</v>
      </c>
      <c r="I332" t="s">
        <v>108</v>
      </c>
    </row>
    <row r="333" spans="1:9" x14ac:dyDescent="0.6">
      <c r="A333">
        <v>357</v>
      </c>
      <c r="B333" t="s">
        <v>14</v>
      </c>
      <c r="C333" t="s">
        <v>8</v>
      </c>
      <c r="D333">
        <v>245.48</v>
      </c>
      <c r="E333">
        <v>137.12</v>
      </c>
      <c r="F333">
        <v>22860</v>
      </c>
      <c r="G333" t="s">
        <v>9</v>
      </c>
      <c r="H333">
        <v>51</v>
      </c>
      <c r="I333" t="s">
        <v>90</v>
      </c>
    </row>
    <row r="334" spans="1:9" x14ac:dyDescent="0.6">
      <c r="A334">
        <v>345</v>
      </c>
      <c r="B334" t="s">
        <v>7</v>
      </c>
      <c r="C334" t="s">
        <v>8</v>
      </c>
      <c r="D334">
        <v>126.82</v>
      </c>
      <c r="E334">
        <v>195.51</v>
      </c>
      <c r="F334">
        <v>50086</v>
      </c>
      <c r="G334" t="s">
        <v>15</v>
      </c>
      <c r="H334">
        <v>67</v>
      </c>
      <c r="I334" t="s">
        <v>108</v>
      </c>
    </row>
    <row r="335" spans="1:9" x14ac:dyDescent="0.6">
      <c r="A335">
        <v>350</v>
      </c>
      <c r="B335" t="s">
        <v>7</v>
      </c>
      <c r="C335" t="s">
        <v>8</v>
      </c>
      <c r="D335">
        <v>176.11</v>
      </c>
      <c r="E335">
        <v>172.38</v>
      </c>
      <c r="F335">
        <v>57280</v>
      </c>
      <c r="G335" t="s">
        <v>9</v>
      </c>
      <c r="H335">
        <v>59</v>
      </c>
      <c r="I335" t="s">
        <v>108</v>
      </c>
    </row>
    <row r="336" spans="1:9" x14ac:dyDescent="0.6">
      <c r="A336">
        <v>352</v>
      </c>
      <c r="B336" t="s">
        <v>7</v>
      </c>
      <c r="C336" t="s">
        <v>8</v>
      </c>
      <c r="D336">
        <v>110.35</v>
      </c>
      <c r="E336">
        <v>125.92</v>
      </c>
      <c r="F336">
        <v>37461</v>
      </c>
      <c r="G336" t="s">
        <v>15</v>
      </c>
      <c r="H336">
        <v>62</v>
      </c>
      <c r="I336" t="s">
        <v>90</v>
      </c>
    </row>
    <row r="337" spans="1:9" x14ac:dyDescent="0.6">
      <c r="A337">
        <v>380</v>
      </c>
      <c r="B337" t="s">
        <v>14</v>
      </c>
      <c r="C337" t="s">
        <v>8</v>
      </c>
      <c r="D337">
        <v>137.65</v>
      </c>
      <c r="E337">
        <v>103.32</v>
      </c>
      <c r="F337">
        <v>19493</v>
      </c>
      <c r="G337" t="s">
        <v>15</v>
      </c>
      <c r="H337">
        <v>69</v>
      </c>
      <c r="I337" t="s">
        <v>90</v>
      </c>
    </row>
    <row r="338" spans="1:9" x14ac:dyDescent="0.6">
      <c r="A338">
        <v>366</v>
      </c>
      <c r="B338" t="s">
        <v>14</v>
      </c>
      <c r="C338" t="s">
        <v>8</v>
      </c>
      <c r="D338">
        <v>145.72</v>
      </c>
      <c r="E338">
        <v>113</v>
      </c>
      <c r="F338">
        <v>29129</v>
      </c>
      <c r="G338" t="s">
        <v>15</v>
      </c>
      <c r="H338">
        <v>59</v>
      </c>
      <c r="I338" t="s">
        <v>90</v>
      </c>
    </row>
    <row r="339" spans="1:9" x14ac:dyDescent="0.6">
      <c r="A339">
        <v>368</v>
      </c>
      <c r="B339" t="s">
        <v>7</v>
      </c>
      <c r="C339" t="s">
        <v>8</v>
      </c>
      <c r="D339">
        <v>204.74</v>
      </c>
      <c r="E339">
        <v>217.23</v>
      </c>
      <c r="F339">
        <v>29291</v>
      </c>
      <c r="G339" t="s">
        <v>9</v>
      </c>
      <c r="H339">
        <v>74</v>
      </c>
      <c r="I339" t="s">
        <v>90</v>
      </c>
    </row>
    <row r="340" spans="1:9" x14ac:dyDescent="0.6">
      <c r="A340">
        <v>356</v>
      </c>
      <c r="B340" t="s">
        <v>14</v>
      </c>
      <c r="C340" t="s">
        <v>8</v>
      </c>
      <c r="D340">
        <v>168.35</v>
      </c>
      <c r="E340">
        <v>148.79</v>
      </c>
      <c r="F340">
        <v>27513</v>
      </c>
      <c r="G340" t="s">
        <v>9</v>
      </c>
      <c r="H340">
        <v>54</v>
      </c>
      <c r="I340" t="s">
        <v>90</v>
      </c>
    </row>
    <row r="341" spans="1:9" x14ac:dyDescent="0.6">
      <c r="A341">
        <v>342</v>
      </c>
      <c r="B341" t="s">
        <v>7</v>
      </c>
      <c r="C341" t="s">
        <v>8</v>
      </c>
      <c r="D341">
        <v>181.79</v>
      </c>
      <c r="E341">
        <v>182.28</v>
      </c>
      <c r="F341">
        <v>28289</v>
      </c>
      <c r="G341" t="s">
        <v>9</v>
      </c>
      <c r="H341">
        <v>55</v>
      </c>
      <c r="I341" t="s">
        <v>108</v>
      </c>
    </row>
    <row r="342" spans="1:9" x14ac:dyDescent="0.6">
      <c r="A342">
        <v>376</v>
      </c>
      <c r="B342" t="s">
        <v>7</v>
      </c>
      <c r="C342" t="s">
        <v>8</v>
      </c>
      <c r="D342">
        <v>146.85</v>
      </c>
      <c r="E342">
        <v>91.39</v>
      </c>
      <c r="F342">
        <v>18543</v>
      </c>
      <c r="G342" t="s">
        <v>15</v>
      </c>
      <c r="H342">
        <v>50</v>
      </c>
      <c r="I342" t="s">
        <v>90</v>
      </c>
    </row>
    <row r="343" spans="1:9" x14ac:dyDescent="0.6">
      <c r="A343">
        <v>400</v>
      </c>
      <c r="B343" t="s">
        <v>7</v>
      </c>
      <c r="C343" t="s">
        <v>8</v>
      </c>
      <c r="D343">
        <v>254.85</v>
      </c>
      <c r="E343">
        <v>195.72</v>
      </c>
      <c r="F343">
        <v>12373</v>
      </c>
      <c r="G343" t="s">
        <v>9</v>
      </c>
      <c r="H343">
        <v>60</v>
      </c>
      <c r="I343" t="s">
        <v>90</v>
      </c>
    </row>
    <row r="344" spans="1:9" x14ac:dyDescent="0.6">
      <c r="A344">
        <v>355</v>
      </c>
      <c r="B344" t="s">
        <v>14</v>
      </c>
      <c r="C344" t="s">
        <v>8</v>
      </c>
      <c r="D344">
        <v>153.59</v>
      </c>
      <c r="E344">
        <v>112.89</v>
      </c>
      <c r="F344">
        <v>18911</v>
      </c>
      <c r="G344" t="s">
        <v>15</v>
      </c>
      <c r="H344">
        <v>56</v>
      </c>
      <c r="I344" t="s">
        <v>90</v>
      </c>
    </row>
    <row r="345" spans="1:9" x14ac:dyDescent="0.6">
      <c r="A345">
        <v>371</v>
      </c>
      <c r="B345" t="s">
        <v>14</v>
      </c>
      <c r="C345" t="s">
        <v>8</v>
      </c>
      <c r="D345">
        <v>147.99</v>
      </c>
      <c r="E345">
        <v>153.53</v>
      </c>
      <c r="F345">
        <v>17976</v>
      </c>
      <c r="G345" t="s">
        <v>15</v>
      </c>
      <c r="H345">
        <v>66</v>
      </c>
      <c r="I345" t="s">
        <v>90</v>
      </c>
    </row>
    <row r="346" spans="1:9" x14ac:dyDescent="0.6">
      <c r="A346">
        <v>358</v>
      </c>
      <c r="B346" t="s">
        <v>14</v>
      </c>
      <c r="C346" t="s">
        <v>8</v>
      </c>
      <c r="D346">
        <v>245.85</v>
      </c>
      <c r="E346">
        <v>180.35</v>
      </c>
      <c r="F346">
        <v>57611</v>
      </c>
      <c r="G346" t="s">
        <v>9</v>
      </c>
      <c r="H346">
        <v>57</v>
      </c>
      <c r="I346" t="s">
        <v>108</v>
      </c>
    </row>
    <row r="347" spans="1:9" x14ac:dyDescent="0.6">
      <c r="A347">
        <v>346</v>
      </c>
      <c r="B347" t="s">
        <v>7</v>
      </c>
      <c r="C347" t="s">
        <v>8</v>
      </c>
      <c r="D347">
        <v>207.47</v>
      </c>
      <c r="E347">
        <v>209.37</v>
      </c>
      <c r="F347">
        <v>36129</v>
      </c>
      <c r="G347" t="s">
        <v>9</v>
      </c>
      <c r="H347">
        <v>70</v>
      </c>
      <c r="I347" t="s">
        <v>108</v>
      </c>
    </row>
    <row r="348" spans="1:9" x14ac:dyDescent="0.6">
      <c r="A348">
        <v>369</v>
      </c>
      <c r="B348" t="s">
        <v>14</v>
      </c>
      <c r="C348" t="s">
        <v>8</v>
      </c>
      <c r="D348">
        <v>257.33</v>
      </c>
      <c r="E348">
        <v>157.96</v>
      </c>
      <c r="F348">
        <v>23807</v>
      </c>
      <c r="G348" t="s">
        <v>9</v>
      </c>
      <c r="H348">
        <v>63</v>
      </c>
      <c r="I348" t="s">
        <v>90</v>
      </c>
    </row>
    <row r="349" spans="1:9" x14ac:dyDescent="0.6">
      <c r="A349">
        <v>367</v>
      </c>
      <c r="B349" t="s">
        <v>14</v>
      </c>
      <c r="C349" t="s">
        <v>8</v>
      </c>
      <c r="D349">
        <v>222.66</v>
      </c>
      <c r="E349">
        <v>203.92</v>
      </c>
      <c r="F349">
        <v>29591</v>
      </c>
      <c r="G349" t="s">
        <v>9</v>
      </c>
      <c r="H349">
        <v>50</v>
      </c>
      <c r="I349" t="s">
        <v>108</v>
      </c>
    </row>
    <row r="350" spans="1:9" x14ac:dyDescent="0.6">
      <c r="A350">
        <v>381</v>
      </c>
      <c r="B350" t="s">
        <v>7</v>
      </c>
      <c r="C350" t="s">
        <v>8</v>
      </c>
      <c r="D350">
        <v>235.54</v>
      </c>
      <c r="E350">
        <v>134.94</v>
      </c>
      <c r="F350">
        <v>18644</v>
      </c>
      <c r="G350" t="s">
        <v>9</v>
      </c>
      <c r="H350">
        <v>53</v>
      </c>
      <c r="I350" t="s">
        <v>90</v>
      </c>
    </row>
    <row r="351" spans="1:9" x14ac:dyDescent="0.6">
      <c r="A351">
        <v>363</v>
      </c>
      <c r="B351" t="s">
        <v>14</v>
      </c>
      <c r="C351" t="s">
        <v>8</v>
      </c>
      <c r="D351">
        <v>144.18</v>
      </c>
      <c r="E351">
        <v>82.55</v>
      </c>
      <c r="F351">
        <v>35215</v>
      </c>
      <c r="G351" t="s">
        <v>15</v>
      </c>
      <c r="H351">
        <v>65</v>
      </c>
      <c r="I351" t="s">
        <v>90</v>
      </c>
    </row>
    <row r="352" spans="1:9" x14ac:dyDescent="0.6">
      <c r="A352">
        <v>374</v>
      </c>
      <c r="B352" t="s">
        <v>14</v>
      </c>
      <c r="C352" t="s">
        <v>8</v>
      </c>
      <c r="D352">
        <v>207.98</v>
      </c>
      <c r="E352">
        <v>164.54</v>
      </c>
      <c r="F352">
        <v>33060</v>
      </c>
      <c r="G352" t="s">
        <v>9</v>
      </c>
      <c r="H352">
        <v>59</v>
      </c>
      <c r="I352" t="s">
        <v>108</v>
      </c>
    </row>
    <row r="353" spans="1:9" x14ac:dyDescent="0.6">
      <c r="A353">
        <v>372</v>
      </c>
      <c r="B353" t="s">
        <v>7</v>
      </c>
      <c r="C353" t="s">
        <v>8</v>
      </c>
      <c r="D353">
        <v>203.76</v>
      </c>
      <c r="E353">
        <v>180.89</v>
      </c>
      <c r="F353">
        <v>46728</v>
      </c>
      <c r="G353" t="s">
        <v>9</v>
      </c>
      <c r="H353">
        <v>54</v>
      </c>
      <c r="I353" t="s">
        <v>108</v>
      </c>
    </row>
    <row r="354" spans="1:9" x14ac:dyDescent="0.6">
      <c r="A354">
        <v>382</v>
      </c>
      <c r="B354" t="s">
        <v>7</v>
      </c>
      <c r="C354" t="s">
        <v>8</v>
      </c>
      <c r="D354">
        <v>169.14</v>
      </c>
      <c r="E354">
        <v>126.56</v>
      </c>
      <c r="F354">
        <v>17472</v>
      </c>
      <c r="G354" t="s">
        <v>9</v>
      </c>
      <c r="H354">
        <v>50</v>
      </c>
      <c r="I354" t="s">
        <v>90</v>
      </c>
    </row>
    <row r="355" spans="1:9" x14ac:dyDescent="0.6">
      <c r="A355">
        <v>365</v>
      </c>
      <c r="B355" t="s">
        <v>7</v>
      </c>
      <c r="C355" t="s">
        <v>8</v>
      </c>
      <c r="D355">
        <v>163.63</v>
      </c>
      <c r="E355">
        <v>76.84</v>
      </c>
      <c r="F355">
        <v>29020</v>
      </c>
      <c r="G355" t="s">
        <v>9</v>
      </c>
      <c r="H355">
        <v>52</v>
      </c>
      <c r="I355" t="s">
        <v>90</v>
      </c>
    </row>
    <row r="356" spans="1:9" x14ac:dyDescent="0.6">
      <c r="A356">
        <v>388</v>
      </c>
      <c r="B356" t="s">
        <v>7</v>
      </c>
      <c r="C356" t="s">
        <v>8</v>
      </c>
      <c r="D356">
        <v>196.79</v>
      </c>
      <c r="E356">
        <v>105.1</v>
      </c>
      <c r="F356">
        <v>24874</v>
      </c>
      <c r="G356" t="s">
        <v>9</v>
      </c>
      <c r="H356">
        <v>50</v>
      </c>
      <c r="I356" t="s">
        <v>108</v>
      </c>
    </row>
    <row r="357" spans="1:9" x14ac:dyDescent="0.6">
      <c r="A357">
        <v>386</v>
      </c>
      <c r="B357" t="s">
        <v>14</v>
      </c>
      <c r="C357" t="s">
        <v>8</v>
      </c>
      <c r="D357">
        <v>217.32</v>
      </c>
      <c r="E357">
        <v>220.16</v>
      </c>
      <c r="F357">
        <v>27705</v>
      </c>
      <c r="G357" t="s">
        <v>9</v>
      </c>
      <c r="H357">
        <v>56</v>
      </c>
      <c r="I357" t="s">
        <v>90</v>
      </c>
    </row>
    <row r="358" spans="1:9" x14ac:dyDescent="0.6">
      <c r="A358">
        <v>384</v>
      </c>
      <c r="B358" t="s">
        <v>14</v>
      </c>
      <c r="C358" t="s">
        <v>8</v>
      </c>
      <c r="D358">
        <v>113.02</v>
      </c>
      <c r="E358">
        <v>102.59</v>
      </c>
      <c r="F358">
        <v>33195</v>
      </c>
      <c r="G358" t="s">
        <v>15</v>
      </c>
      <c r="H358">
        <v>89</v>
      </c>
      <c r="I358" t="s">
        <v>108</v>
      </c>
    </row>
    <row r="359" spans="1:9" x14ac:dyDescent="0.6">
      <c r="A359">
        <v>385</v>
      </c>
      <c r="B359" t="s">
        <v>7</v>
      </c>
      <c r="C359" t="s">
        <v>8</v>
      </c>
      <c r="D359">
        <v>228.61</v>
      </c>
      <c r="E359">
        <v>151.71</v>
      </c>
      <c r="F359">
        <v>52981</v>
      </c>
      <c r="G359" t="s">
        <v>9</v>
      </c>
      <c r="H359">
        <v>64</v>
      </c>
      <c r="I359" t="s">
        <v>108</v>
      </c>
    </row>
    <row r="360" spans="1:9" x14ac:dyDescent="0.6">
      <c r="A360">
        <v>378</v>
      </c>
      <c r="B360" t="s">
        <v>14</v>
      </c>
      <c r="C360" t="s">
        <v>8</v>
      </c>
      <c r="D360">
        <v>311.94</v>
      </c>
      <c r="E360">
        <v>167.41</v>
      </c>
      <c r="F360">
        <v>21845</v>
      </c>
      <c r="G360" t="s">
        <v>9</v>
      </c>
      <c r="H360">
        <v>54</v>
      </c>
      <c r="I360" t="s">
        <v>108</v>
      </c>
    </row>
    <row r="361" spans="1:9" x14ac:dyDescent="0.6">
      <c r="A361">
        <v>370</v>
      </c>
      <c r="B361" t="s">
        <v>7</v>
      </c>
      <c r="C361" t="s">
        <v>8</v>
      </c>
      <c r="D361">
        <v>252.45</v>
      </c>
      <c r="E361">
        <v>194.21</v>
      </c>
      <c r="F361">
        <v>40338</v>
      </c>
      <c r="G361" t="s">
        <v>9</v>
      </c>
      <c r="H361">
        <v>50</v>
      </c>
      <c r="I361" t="s">
        <v>108</v>
      </c>
    </row>
    <row r="362" spans="1:9" x14ac:dyDescent="0.6">
      <c r="A362">
        <v>364</v>
      </c>
      <c r="B362" t="s">
        <v>14</v>
      </c>
      <c r="C362" t="s">
        <v>8</v>
      </c>
      <c r="D362">
        <v>186.53</v>
      </c>
      <c r="E362">
        <v>154.35</v>
      </c>
      <c r="F362">
        <v>28619</v>
      </c>
      <c r="G362" t="s">
        <v>9</v>
      </c>
      <c r="H362">
        <v>72</v>
      </c>
      <c r="I362" t="s">
        <v>90</v>
      </c>
    </row>
    <row r="363" spans="1:9" x14ac:dyDescent="0.6">
      <c r="A363">
        <v>395</v>
      </c>
      <c r="B363" t="s">
        <v>14</v>
      </c>
      <c r="C363" t="s">
        <v>8</v>
      </c>
      <c r="D363">
        <v>214.17</v>
      </c>
      <c r="E363">
        <v>159.75</v>
      </c>
      <c r="F363">
        <v>34826</v>
      </c>
      <c r="G363" t="s">
        <v>9</v>
      </c>
      <c r="H363">
        <v>55</v>
      </c>
      <c r="I363" t="s">
        <v>90</v>
      </c>
    </row>
    <row r="364" spans="1:9" x14ac:dyDescent="0.6">
      <c r="A364">
        <v>392</v>
      </c>
      <c r="B364" t="s">
        <v>14</v>
      </c>
      <c r="C364" t="s">
        <v>8</v>
      </c>
      <c r="D364">
        <v>128.88999999999999</v>
      </c>
      <c r="E364">
        <v>99.94</v>
      </c>
      <c r="F364">
        <v>45312</v>
      </c>
      <c r="G364" t="s">
        <v>15</v>
      </c>
      <c r="H364">
        <v>59</v>
      </c>
      <c r="I364" t="s">
        <v>108</v>
      </c>
    </row>
    <row r="365" spans="1:9" x14ac:dyDescent="0.6">
      <c r="A365">
        <v>387</v>
      </c>
      <c r="B365" t="s">
        <v>14</v>
      </c>
      <c r="C365" t="s">
        <v>8</v>
      </c>
      <c r="D365">
        <v>395.29</v>
      </c>
      <c r="E365">
        <v>215.3</v>
      </c>
      <c r="F365">
        <v>22417</v>
      </c>
      <c r="G365" t="s">
        <v>9</v>
      </c>
      <c r="H365">
        <v>55</v>
      </c>
      <c r="I365" t="s">
        <v>90</v>
      </c>
    </row>
    <row r="366" spans="1:9" x14ac:dyDescent="0.6">
      <c r="A366">
        <v>375</v>
      </c>
      <c r="B366" t="s">
        <v>7</v>
      </c>
      <c r="C366" t="s">
        <v>8</v>
      </c>
      <c r="D366">
        <v>225.57</v>
      </c>
      <c r="E366">
        <v>174.09</v>
      </c>
      <c r="F366">
        <v>31659</v>
      </c>
      <c r="G366" t="s">
        <v>9</v>
      </c>
      <c r="H366" t="s">
        <v>4732</v>
      </c>
      <c r="I366" t="s">
        <v>108</v>
      </c>
    </row>
    <row r="367" spans="1:9" x14ac:dyDescent="0.6">
      <c r="A367">
        <v>393</v>
      </c>
      <c r="B367" t="s">
        <v>14</v>
      </c>
      <c r="C367" t="s">
        <v>8</v>
      </c>
      <c r="D367">
        <v>235.74</v>
      </c>
      <c r="E367">
        <v>161.78</v>
      </c>
      <c r="F367">
        <v>28336</v>
      </c>
      <c r="G367" t="s">
        <v>9</v>
      </c>
      <c r="H367">
        <v>62</v>
      </c>
      <c r="I367" t="s">
        <v>90</v>
      </c>
    </row>
    <row r="368" spans="1:9" x14ac:dyDescent="0.6">
      <c r="A368">
        <v>379</v>
      </c>
      <c r="B368" t="s">
        <v>7</v>
      </c>
      <c r="C368" t="s">
        <v>8</v>
      </c>
      <c r="D368">
        <v>159.09</v>
      </c>
      <c r="E368">
        <v>120.61</v>
      </c>
      <c r="F368">
        <v>31305</v>
      </c>
      <c r="G368" t="s">
        <v>15</v>
      </c>
      <c r="H368">
        <v>57</v>
      </c>
      <c r="I368" t="s">
        <v>90</v>
      </c>
    </row>
    <row r="369" spans="1:9" x14ac:dyDescent="0.6">
      <c r="A369">
        <v>389</v>
      </c>
      <c r="B369" t="s">
        <v>7</v>
      </c>
      <c r="C369" t="s">
        <v>8</v>
      </c>
      <c r="D369">
        <v>219.42</v>
      </c>
      <c r="E369">
        <v>85.61</v>
      </c>
      <c r="F369">
        <v>30612</v>
      </c>
      <c r="G369" t="s">
        <v>9</v>
      </c>
      <c r="H369">
        <v>54</v>
      </c>
      <c r="I369" t="s">
        <v>90</v>
      </c>
    </row>
    <row r="370" spans="1:9" x14ac:dyDescent="0.6">
      <c r="A370">
        <v>411</v>
      </c>
      <c r="B370" t="s">
        <v>14</v>
      </c>
      <c r="C370" t="s">
        <v>8</v>
      </c>
      <c r="D370">
        <v>393.34</v>
      </c>
      <c r="E370">
        <v>265.08</v>
      </c>
      <c r="F370">
        <v>27883</v>
      </c>
      <c r="G370" t="s">
        <v>9</v>
      </c>
      <c r="H370" t="s">
        <v>4732</v>
      </c>
      <c r="I370" t="s">
        <v>90</v>
      </c>
    </row>
    <row r="371" spans="1:9" x14ac:dyDescent="0.6">
      <c r="A371">
        <v>404</v>
      </c>
      <c r="B371" t="s">
        <v>14</v>
      </c>
      <c r="C371" t="s">
        <v>8</v>
      </c>
      <c r="D371">
        <v>211.25</v>
      </c>
      <c r="E371">
        <v>139.03</v>
      </c>
      <c r="F371">
        <v>51309</v>
      </c>
      <c r="G371" t="s">
        <v>9</v>
      </c>
      <c r="H371">
        <v>60</v>
      </c>
      <c r="I371" t="s">
        <v>108</v>
      </c>
    </row>
    <row r="372" spans="1:9" x14ac:dyDescent="0.6">
      <c r="A372">
        <v>391</v>
      </c>
      <c r="B372" t="s">
        <v>7</v>
      </c>
      <c r="C372" t="s">
        <v>8</v>
      </c>
      <c r="D372">
        <v>213.91</v>
      </c>
      <c r="E372">
        <v>116.62</v>
      </c>
      <c r="F372">
        <v>40036</v>
      </c>
      <c r="G372" t="s">
        <v>9</v>
      </c>
      <c r="H372">
        <v>62</v>
      </c>
      <c r="I372" t="s">
        <v>108</v>
      </c>
    </row>
    <row r="373" spans="1:9" x14ac:dyDescent="0.6">
      <c r="A373">
        <v>390</v>
      </c>
      <c r="B373" t="s">
        <v>7</v>
      </c>
      <c r="C373" t="s">
        <v>8</v>
      </c>
      <c r="D373">
        <v>60.98</v>
      </c>
      <c r="E373">
        <v>117.71</v>
      </c>
      <c r="F373">
        <v>49552</v>
      </c>
      <c r="G373" t="s">
        <v>17</v>
      </c>
      <c r="H373">
        <v>77</v>
      </c>
      <c r="I373" t="s">
        <v>90</v>
      </c>
    </row>
    <row r="374" spans="1:9" x14ac:dyDescent="0.6">
      <c r="A374">
        <v>377</v>
      </c>
      <c r="B374" t="s">
        <v>7</v>
      </c>
      <c r="C374" t="s">
        <v>8</v>
      </c>
      <c r="D374">
        <v>192.95</v>
      </c>
      <c r="E374">
        <v>126.26</v>
      </c>
      <c r="F374">
        <v>42556</v>
      </c>
      <c r="G374" t="s">
        <v>9</v>
      </c>
      <c r="H374">
        <v>54</v>
      </c>
      <c r="I374" t="s">
        <v>108</v>
      </c>
    </row>
    <row r="375" spans="1:9" x14ac:dyDescent="0.6">
      <c r="A375">
        <v>408</v>
      </c>
      <c r="B375" t="s">
        <v>14</v>
      </c>
      <c r="C375" t="s">
        <v>8</v>
      </c>
      <c r="D375">
        <v>187.89</v>
      </c>
      <c r="E375">
        <v>118.02</v>
      </c>
      <c r="F375">
        <v>23151</v>
      </c>
      <c r="G375" t="s">
        <v>9</v>
      </c>
      <c r="H375">
        <v>60</v>
      </c>
      <c r="I375" t="s">
        <v>90</v>
      </c>
    </row>
    <row r="376" spans="1:9" x14ac:dyDescent="0.6">
      <c r="A376">
        <v>397</v>
      </c>
      <c r="B376" t="s">
        <v>7</v>
      </c>
      <c r="C376" t="s">
        <v>8</v>
      </c>
      <c r="D376">
        <v>185.92</v>
      </c>
      <c r="E376">
        <v>134.49</v>
      </c>
      <c r="F376">
        <v>31369</v>
      </c>
      <c r="G376" t="s">
        <v>9</v>
      </c>
      <c r="H376">
        <v>52</v>
      </c>
      <c r="I376" t="s">
        <v>90</v>
      </c>
    </row>
    <row r="377" spans="1:9" x14ac:dyDescent="0.6">
      <c r="A377">
        <v>412</v>
      </c>
      <c r="B377" t="s">
        <v>14</v>
      </c>
      <c r="C377" t="s">
        <v>8</v>
      </c>
      <c r="D377">
        <v>216.57</v>
      </c>
      <c r="E377">
        <v>145</v>
      </c>
      <c r="F377">
        <v>38076</v>
      </c>
      <c r="G377" t="s">
        <v>9</v>
      </c>
      <c r="H377" t="s">
        <v>4732</v>
      </c>
      <c r="I377" t="s">
        <v>108</v>
      </c>
    </row>
    <row r="378" spans="1:9" x14ac:dyDescent="0.6">
      <c r="A378">
        <v>406</v>
      </c>
      <c r="B378" t="s">
        <v>7</v>
      </c>
      <c r="C378" t="s">
        <v>8</v>
      </c>
      <c r="D378">
        <v>292.07</v>
      </c>
      <c r="E378">
        <v>205.57</v>
      </c>
      <c r="F378">
        <v>30691</v>
      </c>
      <c r="G378" t="s">
        <v>9</v>
      </c>
      <c r="H378" t="s">
        <v>4732</v>
      </c>
      <c r="I378" t="s">
        <v>108</v>
      </c>
    </row>
    <row r="379" spans="1:9" x14ac:dyDescent="0.6">
      <c r="A379">
        <v>403</v>
      </c>
      <c r="B379" t="s">
        <v>7</v>
      </c>
      <c r="C379" t="s">
        <v>8</v>
      </c>
      <c r="D379">
        <v>244.19</v>
      </c>
      <c r="E379">
        <v>111.39</v>
      </c>
      <c r="F379">
        <v>11221</v>
      </c>
      <c r="G379" t="s">
        <v>9</v>
      </c>
      <c r="H379" t="s">
        <v>4732</v>
      </c>
      <c r="I379" t="s">
        <v>90</v>
      </c>
    </row>
    <row r="380" spans="1:9" x14ac:dyDescent="0.6">
      <c r="A380">
        <v>426</v>
      </c>
      <c r="B380" t="s">
        <v>14</v>
      </c>
      <c r="C380" t="s">
        <v>8</v>
      </c>
      <c r="D380">
        <v>207.85</v>
      </c>
      <c r="E380">
        <v>201.79</v>
      </c>
      <c r="F380">
        <v>22607</v>
      </c>
      <c r="G380" t="s">
        <v>9</v>
      </c>
      <c r="H380">
        <v>70</v>
      </c>
      <c r="I380" t="s">
        <v>90</v>
      </c>
    </row>
    <row r="381" spans="1:9" x14ac:dyDescent="0.6">
      <c r="A381">
        <v>413</v>
      </c>
      <c r="B381" t="s">
        <v>7</v>
      </c>
      <c r="C381" t="s">
        <v>8</v>
      </c>
      <c r="D381">
        <v>244.59</v>
      </c>
      <c r="E381">
        <v>181.47</v>
      </c>
      <c r="F381">
        <v>25574</v>
      </c>
      <c r="G381" t="s">
        <v>9</v>
      </c>
      <c r="H381" t="s">
        <v>4732</v>
      </c>
      <c r="I381" t="s">
        <v>90</v>
      </c>
    </row>
    <row r="382" spans="1:9" x14ac:dyDescent="0.6">
      <c r="A382">
        <v>396</v>
      </c>
      <c r="B382" t="s">
        <v>7</v>
      </c>
      <c r="C382" t="s">
        <v>8</v>
      </c>
      <c r="D382">
        <v>218.7</v>
      </c>
      <c r="E382">
        <v>138.41</v>
      </c>
      <c r="F382">
        <v>36140</v>
      </c>
      <c r="G382" t="s">
        <v>9</v>
      </c>
      <c r="H382">
        <v>59</v>
      </c>
      <c r="I382" t="s">
        <v>108</v>
      </c>
    </row>
    <row r="383" spans="1:9" x14ac:dyDescent="0.6">
      <c r="A383">
        <v>398</v>
      </c>
      <c r="B383" t="s">
        <v>7</v>
      </c>
      <c r="C383" t="s">
        <v>8</v>
      </c>
      <c r="D383">
        <v>142.54</v>
      </c>
      <c r="E383">
        <v>135.12</v>
      </c>
      <c r="F383">
        <v>29370</v>
      </c>
      <c r="G383" t="s">
        <v>15</v>
      </c>
      <c r="H383">
        <v>66</v>
      </c>
      <c r="I383" t="s">
        <v>90</v>
      </c>
    </row>
    <row r="384" spans="1:9" x14ac:dyDescent="0.6">
      <c r="A384">
        <v>424</v>
      </c>
      <c r="B384" t="s">
        <v>14</v>
      </c>
      <c r="C384" t="s">
        <v>8</v>
      </c>
      <c r="D384">
        <v>273.2</v>
      </c>
      <c r="E384">
        <v>201.68</v>
      </c>
      <c r="F384">
        <v>23933</v>
      </c>
      <c r="G384" t="s">
        <v>9</v>
      </c>
      <c r="H384">
        <v>50</v>
      </c>
      <c r="I384" t="s">
        <v>90</v>
      </c>
    </row>
    <row r="385" spans="1:9" x14ac:dyDescent="0.6">
      <c r="A385">
        <v>414</v>
      </c>
      <c r="B385" t="s">
        <v>14</v>
      </c>
      <c r="C385" t="s">
        <v>8</v>
      </c>
      <c r="D385">
        <v>242.17</v>
      </c>
      <c r="E385">
        <v>279.8</v>
      </c>
      <c r="F385">
        <v>35391</v>
      </c>
      <c r="G385" t="s">
        <v>9</v>
      </c>
      <c r="H385" t="s">
        <v>4732</v>
      </c>
      <c r="I385" t="s">
        <v>90</v>
      </c>
    </row>
    <row r="386" spans="1:9" x14ac:dyDescent="0.6">
      <c r="A386">
        <v>405</v>
      </c>
      <c r="B386" t="s">
        <v>14</v>
      </c>
      <c r="C386" t="s">
        <v>8</v>
      </c>
      <c r="D386">
        <v>258.18</v>
      </c>
      <c r="E386">
        <v>176.26</v>
      </c>
      <c r="F386">
        <v>29914</v>
      </c>
      <c r="G386" t="s">
        <v>9</v>
      </c>
      <c r="H386">
        <v>60</v>
      </c>
      <c r="I386" t="s">
        <v>108</v>
      </c>
    </row>
    <row r="387" spans="1:9" x14ac:dyDescent="0.6">
      <c r="A387">
        <v>399</v>
      </c>
      <c r="B387" t="s">
        <v>14</v>
      </c>
      <c r="C387" t="s">
        <v>8</v>
      </c>
      <c r="D387">
        <v>218.85</v>
      </c>
      <c r="E387">
        <v>142.37</v>
      </c>
      <c r="F387">
        <v>25837</v>
      </c>
      <c r="G387" t="s">
        <v>9</v>
      </c>
      <c r="H387">
        <v>55</v>
      </c>
      <c r="I387" t="s">
        <v>90</v>
      </c>
    </row>
    <row r="388" spans="1:9" x14ac:dyDescent="0.6">
      <c r="A388">
        <v>410</v>
      </c>
      <c r="B388" t="s">
        <v>7</v>
      </c>
      <c r="C388" t="s">
        <v>8</v>
      </c>
      <c r="D388">
        <v>326.3</v>
      </c>
      <c r="E388">
        <v>151.63</v>
      </c>
      <c r="F388">
        <v>39362</v>
      </c>
      <c r="G388" t="s">
        <v>9</v>
      </c>
      <c r="H388" t="s">
        <v>4732</v>
      </c>
      <c r="I388" t="s">
        <v>108</v>
      </c>
    </row>
    <row r="389" spans="1:9" x14ac:dyDescent="0.6">
      <c r="A389">
        <v>394</v>
      </c>
      <c r="B389" t="s">
        <v>7</v>
      </c>
      <c r="C389" t="s">
        <v>8</v>
      </c>
      <c r="D389">
        <v>213.22</v>
      </c>
      <c r="E389">
        <v>149.38999999999999</v>
      </c>
      <c r="F389">
        <v>35082</v>
      </c>
      <c r="G389" t="s">
        <v>9</v>
      </c>
      <c r="H389">
        <v>55</v>
      </c>
      <c r="I389" t="s">
        <v>108</v>
      </c>
    </row>
    <row r="390" spans="1:9" x14ac:dyDescent="0.6">
      <c r="A390">
        <v>418</v>
      </c>
      <c r="B390" t="s">
        <v>7</v>
      </c>
      <c r="C390" t="s">
        <v>8</v>
      </c>
      <c r="D390">
        <v>302.79000000000002</v>
      </c>
      <c r="E390">
        <v>232.33</v>
      </c>
      <c r="F390">
        <v>33049</v>
      </c>
      <c r="G390" t="s">
        <v>9</v>
      </c>
      <c r="H390">
        <v>50</v>
      </c>
      <c r="I390" t="s">
        <v>90</v>
      </c>
    </row>
    <row r="391" spans="1:9" x14ac:dyDescent="0.6">
      <c r="A391">
        <v>416</v>
      </c>
      <c r="B391" t="s">
        <v>7</v>
      </c>
      <c r="C391" t="s">
        <v>8</v>
      </c>
      <c r="D391">
        <v>214.17</v>
      </c>
      <c r="E391">
        <v>161.58000000000001</v>
      </c>
      <c r="F391">
        <v>49493</v>
      </c>
      <c r="G391" t="s">
        <v>9</v>
      </c>
      <c r="H391">
        <v>50</v>
      </c>
      <c r="I391" t="s">
        <v>108</v>
      </c>
    </row>
    <row r="392" spans="1:9" x14ac:dyDescent="0.6">
      <c r="A392">
        <v>420</v>
      </c>
      <c r="B392" t="s">
        <v>7</v>
      </c>
      <c r="C392" t="s">
        <v>8</v>
      </c>
      <c r="D392">
        <v>262.14999999999998</v>
      </c>
      <c r="E392">
        <v>173.16</v>
      </c>
      <c r="F392">
        <v>19033</v>
      </c>
      <c r="G392" t="s">
        <v>9</v>
      </c>
      <c r="H392">
        <v>50</v>
      </c>
      <c r="I392" t="s">
        <v>90</v>
      </c>
    </row>
    <row r="393" spans="1:9" x14ac:dyDescent="0.6">
      <c r="A393">
        <v>423</v>
      </c>
      <c r="B393" t="s">
        <v>7</v>
      </c>
      <c r="C393" t="s">
        <v>8</v>
      </c>
      <c r="D393">
        <v>268.88</v>
      </c>
      <c r="E393">
        <v>163.4</v>
      </c>
      <c r="F393">
        <v>49002</v>
      </c>
      <c r="G393" t="s">
        <v>9</v>
      </c>
      <c r="H393">
        <v>50</v>
      </c>
      <c r="I393" t="s">
        <v>108</v>
      </c>
    </row>
    <row r="394" spans="1:9" x14ac:dyDescent="0.6">
      <c r="A394">
        <v>417</v>
      </c>
      <c r="B394" t="s">
        <v>7</v>
      </c>
      <c r="C394" t="s">
        <v>8</v>
      </c>
      <c r="D394">
        <v>150.81</v>
      </c>
      <c r="E394">
        <v>91.54</v>
      </c>
      <c r="F394">
        <v>17146</v>
      </c>
      <c r="G394" t="s">
        <v>15</v>
      </c>
      <c r="H394">
        <v>60</v>
      </c>
      <c r="I394" t="s">
        <v>108</v>
      </c>
    </row>
    <row r="395" spans="1:9" x14ac:dyDescent="0.6">
      <c r="A395">
        <v>402</v>
      </c>
      <c r="B395" t="s">
        <v>7</v>
      </c>
      <c r="C395" t="s">
        <v>8</v>
      </c>
      <c r="D395">
        <v>218.49</v>
      </c>
      <c r="E395">
        <v>181.9</v>
      </c>
      <c r="F395">
        <v>17543</v>
      </c>
      <c r="G395" t="s">
        <v>9</v>
      </c>
      <c r="H395">
        <v>60</v>
      </c>
      <c r="I395" t="s">
        <v>90</v>
      </c>
    </row>
    <row r="396" spans="1:9" x14ac:dyDescent="0.6">
      <c r="A396">
        <v>401</v>
      </c>
      <c r="B396" t="s">
        <v>14</v>
      </c>
      <c r="C396" t="s">
        <v>8</v>
      </c>
      <c r="D396">
        <v>156.26</v>
      </c>
      <c r="E396">
        <v>84.8</v>
      </c>
      <c r="F396">
        <v>40258</v>
      </c>
      <c r="G396" t="s">
        <v>15</v>
      </c>
      <c r="H396">
        <v>57</v>
      </c>
      <c r="I396" t="s">
        <v>90</v>
      </c>
    </row>
    <row r="397" spans="1:9" x14ac:dyDescent="0.6">
      <c r="A397">
        <v>409</v>
      </c>
      <c r="B397" t="s">
        <v>7</v>
      </c>
      <c r="C397" t="s">
        <v>8</v>
      </c>
      <c r="D397">
        <v>260.05</v>
      </c>
      <c r="E397">
        <v>191.55</v>
      </c>
      <c r="F397">
        <v>23146</v>
      </c>
      <c r="G397" t="s">
        <v>9</v>
      </c>
      <c r="H397">
        <v>50</v>
      </c>
      <c r="I397" t="s">
        <v>90</v>
      </c>
    </row>
    <row r="398" spans="1:9" x14ac:dyDescent="0.6">
      <c r="A398">
        <v>429</v>
      </c>
      <c r="B398" t="s">
        <v>14</v>
      </c>
      <c r="C398" t="s">
        <v>8</v>
      </c>
      <c r="D398">
        <v>108.59</v>
      </c>
      <c r="E398">
        <v>94.77</v>
      </c>
      <c r="F398">
        <v>20397</v>
      </c>
      <c r="G398" t="s">
        <v>17</v>
      </c>
      <c r="H398">
        <v>70</v>
      </c>
      <c r="I398" t="s">
        <v>90</v>
      </c>
    </row>
    <row r="399" spans="1:9" x14ac:dyDescent="0.6">
      <c r="A399">
        <v>441</v>
      </c>
      <c r="B399" t="s">
        <v>14</v>
      </c>
      <c r="C399" t="s">
        <v>8</v>
      </c>
      <c r="D399">
        <v>163.89</v>
      </c>
      <c r="E399">
        <v>117</v>
      </c>
      <c r="F399">
        <v>24551</v>
      </c>
      <c r="G399" t="s">
        <v>9</v>
      </c>
      <c r="H399">
        <v>70</v>
      </c>
      <c r="I399" t="s">
        <v>108</v>
      </c>
    </row>
    <row r="400" spans="1:9" x14ac:dyDescent="0.6">
      <c r="A400">
        <v>433</v>
      </c>
      <c r="B400" t="s">
        <v>14</v>
      </c>
      <c r="C400" t="s">
        <v>8</v>
      </c>
      <c r="D400">
        <v>169.62</v>
      </c>
      <c r="E400">
        <v>129.41</v>
      </c>
      <c r="F400">
        <v>34333</v>
      </c>
      <c r="G400" t="s">
        <v>9</v>
      </c>
      <c r="H400">
        <v>60</v>
      </c>
      <c r="I400" t="s">
        <v>90</v>
      </c>
    </row>
    <row r="401" spans="1:9" x14ac:dyDescent="0.6">
      <c r="A401">
        <v>430</v>
      </c>
      <c r="B401" t="s">
        <v>14</v>
      </c>
      <c r="C401" t="s">
        <v>8</v>
      </c>
      <c r="D401">
        <v>90.49</v>
      </c>
      <c r="E401">
        <v>84.35</v>
      </c>
      <c r="F401">
        <v>21614</v>
      </c>
      <c r="G401" t="s">
        <v>17</v>
      </c>
      <c r="H401">
        <v>89</v>
      </c>
      <c r="I401" t="s">
        <v>154</v>
      </c>
    </row>
    <row r="402" spans="1:9" x14ac:dyDescent="0.6">
      <c r="A402">
        <v>431</v>
      </c>
      <c r="B402" t="s">
        <v>7</v>
      </c>
      <c r="C402" t="s">
        <v>8</v>
      </c>
      <c r="D402">
        <v>156.53</v>
      </c>
      <c r="E402">
        <v>86.49</v>
      </c>
      <c r="F402">
        <v>21201</v>
      </c>
      <c r="G402" t="s">
        <v>15</v>
      </c>
      <c r="H402">
        <v>70</v>
      </c>
      <c r="I402" t="s">
        <v>90</v>
      </c>
    </row>
    <row r="403" spans="1:9" x14ac:dyDescent="0.6">
      <c r="A403">
        <v>421</v>
      </c>
      <c r="B403" t="s">
        <v>14</v>
      </c>
      <c r="C403" t="s">
        <v>8</v>
      </c>
      <c r="D403">
        <v>228.22</v>
      </c>
      <c r="E403">
        <v>194.02</v>
      </c>
      <c r="F403">
        <v>50758</v>
      </c>
      <c r="G403" t="s">
        <v>9</v>
      </c>
      <c r="H403">
        <v>50</v>
      </c>
      <c r="I403" t="s">
        <v>90</v>
      </c>
    </row>
    <row r="404" spans="1:9" x14ac:dyDescent="0.6">
      <c r="A404">
        <v>439</v>
      </c>
      <c r="B404" t="s">
        <v>14</v>
      </c>
      <c r="C404" t="s">
        <v>8</v>
      </c>
      <c r="D404">
        <v>239.08</v>
      </c>
      <c r="E404">
        <v>149.99</v>
      </c>
      <c r="F404">
        <v>29501</v>
      </c>
      <c r="G404" t="s">
        <v>9</v>
      </c>
      <c r="H404">
        <v>60</v>
      </c>
      <c r="I404" t="s">
        <v>90</v>
      </c>
    </row>
    <row r="405" spans="1:9" x14ac:dyDescent="0.6">
      <c r="A405">
        <v>407</v>
      </c>
      <c r="B405" t="s">
        <v>7</v>
      </c>
      <c r="C405" t="s">
        <v>8</v>
      </c>
      <c r="D405">
        <v>265.92</v>
      </c>
      <c r="E405">
        <v>196.25</v>
      </c>
      <c r="F405">
        <v>31161</v>
      </c>
      <c r="G405" t="s">
        <v>9</v>
      </c>
      <c r="H405">
        <v>60</v>
      </c>
      <c r="I405" t="s">
        <v>108</v>
      </c>
    </row>
    <row r="406" spans="1:9" x14ac:dyDescent="0.6">
      <c r="A406">
        <v>437</v>
      </c>
      <c r="B406" t="s">
        <v>14</v>
      </c>
      <c r="C406" t="s">
        <v>8</v>
      </c>
      <c r="D406">
        <v>168.34</v>
      </c>
      <c r="E406">
        <v>146.33000000000001</v>
      </c>
      <c r="F406">
        <v>39943</v>
      </c>
      <c r="G406" t="s">
        <v>9</v>
      </c>
      <c r="H406">
        <v>60</v>
      </c>
      <c r="I406" t="s">
        <v>90</v>
      </c>
    </row>
    <row r="407" spans="1:9" x14ac:dyDescent="0.6">
      <c r="A407">
        <v>422</v>
      </c>
      <c r="B407" t="s">
        <v>14</v>
      </c>
      <c r="C407" t="s">
        <v>8</v>
      </c>
      <c r="D407">
        <v>233.86</v>
      </c>
      <c r="E407">
        <v>217.03</v>
      </c>
      <c r="F407">
        <v>24179</v>
      </c>
      <c r="G407" t="s">
        <v>9</v>
      </c>
      <c r="H407">
        <v>60</v>
      </c>
      <c r="I407" t="s">
        <v>90</v>
      </c>
    </row>
    <row r="408" spans="1:9" x14ac:dyDescent="0.6">
      <c r="A408">
        <v>434</v>
      </c>
      <c r="B408" t="s">
        <v>7</v>
      </c>
      <c r="C408" t="s">
        <v>8</v>
      </c>
      <c r="D408">
        <v>227.57</v>
      </c>
      <c r="E408">
        <v>144.96</v>
      </c>
      <c r="F408">
        <v>33876</v>
      </c>
      <c r="G408" t="s">
        <v>9</v>
      </c>
      <c r="H408">
        <v>50</v>
      </c>
      <c r="I408" t="s">
        <v>108</v>
      </c>
    </row>
    <row r="409" spans="1:9" x14ac:dyDescent="0.6">
      <c r="A409">
        <v>425</v>
      </c>
      <c r="B409" t="s">
        <v>7</v>
      </c>
      <c r="C409" t="s">
        <v>8</v>
      </c>
      <c r="D409">
        <v>167.05</v>
      </c>
      <c r="E409">
        <v>188.12</v>
      </c>
      <c r="F409">
        <v>44107</v>
      </c>
      <c r="G409" t="s">
        <v>9</v>
      </c>
      <c r="H409">
        <v>60</v>
      </c>
      <c r="I409" t="s">
        <v>90</v>
      </c>
    </row>
    <row r="410" spans="1:9" x14ac:dyDescent="0.6">
      <c r="A410">
        <v>427</v>
      </c>
      <c r="B410" t="s">
        <v>14</v>
      </c>
      <c r="C410" t="s">
        <v>8</v>
      </c>
      <c r="D410">
        <v>254.8</v>
      </c>
      <c r="E410">
        <v>209.59</v>
      </c>
      <c r="F410">
        <v>26186</v>
      </c>
      <c r="G410" t="s">
        <v>9</v>
      </c>
      <c r="H410">
        <v>60</v>
      </c>
      <c r="I410" t="s">
        <v>90</v>
      </c>
    </row>
    <row r="411" spans="1:9" x14ac:dyDescent="0.6">
      <c r="A411">
        <v>442</v>
      </c>
      <c r="B411" t="s">
        <v>14</v>
      </c>
      <c r="C411" t="s">
        <v>8</v>
      </c>
      <c r="D411">
        <v>143.44999999999999</v>
      </c>
      <c r="E411">
        <v>90.2</v>
      </c>
      <c r="F411">
        <v>33311</v>
      </c>
      <c r="G411" t="s">
        <v>15</v>
      </c>
      <c r="H411">
        <v>50</v>
      </c>
      <c r="I411" t="s">
        <v>90</v>
      </c>
    </row>
    <row r="412" spans="1:9" x14ac:dyDescent="0.6">
      <c r="A412">
        <v>438</v>
      </c>
      <c r="B412" t="s">
        <v>14</v>
      </c>
      <c r="C412" t="s">
        <v>8</v>
      </c>
      <c r="D412">
        <v>225.41</v>
      </c>
      <c r="E412">
        <v>156.28</v>
      </c>
      <c r="F412">
        <v>24444</v>
      </c>
      <c r="G412" t="s">
        <v>9</v>
      </c>
      <c r="H412">
        <v>60</v>
      </c>
      <c r="I412" t="s">
        <v>90</v>
      </c>
    </row>
    <row r="413" spans="1:9" x14ac:dyDescent="0.6">
      <c r="A413">
        <v>443</v>
      </c>
      <c r="B413" t="s">
        <v>7</v>
      </c>
      <c r="C413" t="s">
        <v>8</v>
      </c>
      <c r="D413">
        <v>240.56</v>
      </c>
      <c r="E413">
        <v>136.76</v>
      </c>
      <c r="F413">
        <v>28030</v>
      </c>
      <c r="G413" t="s">
        <v>9</v>
      </c>
      <c r="H413">
        <v>50</v>
      </c>
      <c r="I413" t="s">
        <v>90</v>
      </c>
    </row>
    <row r="414" spans="1:9" x14ac:dyDescent="0.6">
      <c r="A414">
        <v>447</v>
      </c>
      <c r="B414" t="s">
        <v>14</v>
      </c>
      <c r="C414" t="s">
        <v>8</v>
      </c>
      <c r="D414">
        <v>224.65</v>
      </c>
      <c r="E414">
        <v>121.88</v>
      </c>
      <c r="F414">
        <v>36882</v>
      </c>
      <c r="G414" t="s">
        <v>9</v>
      </c>
      <c r="H414">
        <v>60</v>
      </c>
      <c r="I414" t="s">
        <v>90</v>
      </c>
    </row>
    <row r="415" spans="1:9" x14ac:dyDescent="0.6">
      <c r="A415">
        <v>419</v>
      </c>
      <c r="B415" t="s">
        <v>7</v>
      </c>
      <c r="C415" t="s">
        <v>8</v>
      </c>
      <c r="D415">
        <v>269.36</v>
      </c>
      <c r="E415">
        <v>169.84</v>
      </c>
      <c r="F415">
        <v>45785</v>
      </c>
      <c r="G415" t="s">
        <v>9</v>
      </c>
      <c r="H415">
        <v>50</v>
      </c>
      <c r="I415" t="s">
        <v>108</v>
      </c>
    </row>
    <row r="416" spans="1:9" x14ac:dyDescent="0.6">
      <c r="A416">
        <v>428</v>
      </c>
      <c r="B416" t="s">
        <v>7</v>
      </c>
      <c r="C416" t="s">
        <v>8</v>
      </c>
      <c r="D416">
        <v>199.27</v>
      </c>
      <c r="E416">
        <v>124.01</v>
      </c>
      <c r="F416">
        <v>42235</v>
      </c>
      <c r="G416" t="s">
        <v>9</v>
      </c>
      <c r="H416">
        <v>50</v>
      </c>
      <c r="I416" t="s">
        <v>108</v>
      </c>
    </row>
    <row r="417" spans="1:9" x14ac:dyDescent="0.6">
      <c r="A417">
        <v>474</v>
      </c>
      <c r="B417" t="s">
        <v>14</v>
      </c>
      <c r="C417" t="s">
        <v>8</v>
      </c>
      <c r="D417">
        <v>261.19</v>
      </c>
      <c r="E417">
        <v>116.6</v>
      </c>
      <c r="F417">
        <v>6193</v>
      </c>
      <c r="G417" t="s">
        <v>9</v>
      </c>
      <c r="H417">
        <v>50</v>
      </c>
      <c r="I417" t="s">
        <v>108</v>
      </c>
    </row>
    <row r="418" spans="1:9" x14ac:dyDescent="0.6">
      <c r="A418">
        <v>432</v>
      </c>
      <c r="B418" t="s">
        <v>14</v>
      </c>
      <c r="C418" t="s">
        <v>8</v>
      </c>
      <c r="D418">
        <v>169.7</v>
      </c>
      <c r="E418">
        <v>101.87</v>
      </c>
      <c r="F418">
        <v>31391</v>
      </c>
      <c r="G418" t="s">
        <v>9</v>
      </c>
      <c r="H418">
        <v>60</v>
      </c>
      <c r="I418" t="s">
        <v>108</v>
      </c>
    </row>
    <row r="419" spans="1:9" x14ac:dyDescent="0.6">
      <c r="A419">
        <v>477</v>
      </c>
      <c r="B419" t="s">
        <v>14</v>
      </c>
      <c r="C419" t="s">
        <v>8</v>
      </c>
      <c r="D419">
        <v>144.33000000000001</v>
      </c>
      <c r="E419">
        <v>117.34</v>
      </c>
      <c r="F419">
        <v>11084</v>
      </c>
      <c r="G419" t="s">
        <v>15</v>
      </c>
      <c r="H419">
        <v>60</v>
      </c>
      <c r="I419" t="s">
        <v>108</v>
      </c>
    </row>
    <row r="420" spans="1:9" x14ac:dyDescent="0.6">
      <c r="A420">
        <v>445</v>
      </c>
      <c r="B420" t="s">
        <v>14</v>
      </c>
      <c r="C420" t="s">
        <v>8</v>
      </c>
      <c r="D420">
        <v>365.36</v>
      </c>
      <c r="E420">
        <v>237.28</v>
      </c>
      <c r="F420">
        <v>9025</v>
      </c>
      <c r="G420" t="s">
        <v>9</v>
      </c>
      <c r="H420">
        <v>50</v>
      </c>
      <c r="I420" t="s">
        <v>90</v>
      </c>
    </row>
    <row r="421" spans="1:9" x14ac:dyDescent="0.6">
      <c r="A421">
        <v>440</v>
      </c>
      <c r="B421" t="s">
        <v>14</v>
      </c>
      <c r="C421" t="s">
        <v>8</v>
      </c>
      <c r="D421">
        <v>228.91</v>
      </c>
      <c r="E421">
        <v>199.14</v>
      </c>
      <c r="F421">
        <v>33614</v>
      </c>
      <c r="G421" t="s">
        <v>9</v>
      </c>
      <c r="H421">
        <v>70</v>
      </c>
      <c r="I421" t="s">
        <v>108</v>
      </c>
    </row>
    <row r="422" spans="1:9" x14ac:dyDescent="0.6">
      <c r="A422">
        <v>455</v>
      </c>
      <c r="B422" t="s">
        <v>14</v>
      </c>
      <c r="C422" t="s">
        <v>8</v>
      </c>
      <c r="D422">
        <v>178.74</v>
      </c>
      <c r="E422">
        <v>152.51</v>
      </c>
      <c r="F422">
        <v>43494</v>
      </c>
      <c r="G422" t="s">
        <v>9</v>
      </c>
      <c r="H422">
        <v>50</v>
      </c>
      <c r="I422" t="s">
        <v>108</v>
      </c>
    </row>
    <row r="423" spans="1:9" x14ac:dyDescent="0.6">
      <c r="A423">
        <v>454</v>
      </c>
      <c r="B423" t="s">
        <v>14</v>
      </c>
      <c r="C423" t="s">
        <v>8</v>
      </c>
      <c r="D423">
        <v>237.36</v>
      </c>
      <c r="E423">
        <v>155.53</v>
      </c>
      <c r="F423">
        <v>22119</v>
      </c>
      <c r="G423" t="s">
        <v>9</v>
      </c>
      <c r="H423">
        <v>60</v>
      </c>
      <c r="I423" t="s">
        <v>90</v>
      </c>
    </row>
    <row r="424" spans="1:9" x14ac:dyDescent="0.6">
      <c r="A424">
        <v>435</v>
      </c>
      <c r="B424" t="s">
        <v>7</v>
      </c>
      <c r="C424" t="s">
        <v>8</v>
      </c>
      <c r="D424">
        <v>297.32</v>
      </c>
      <c r="E424">
        <v>163.62</v>
      </c>
      <c r="F424">
        <v>32324</v>
      </c>
      <c r="G424" t="s">
        <v>9</v>
      </c>
      <c r="H424">
        <v>50</v>
      </c>
      <c r="I424" t="s">
        <v>90</v>
      </c>
    </row>
    <row r="425" spans="1:9" x14ac:dyDescent="0.6">
      <c r="A425">
        <v>444</v>
      </c>
      <c r="B425" t="s">
        <v>14</v>
      </c>
      <c r="C425" t="s">
        <v>8</v>
      </c>
      <c r="D425">
        <v>170.82</v>
      </c>
      <c r="E425">
        <v>121.66</v>
      </c>
      <c r="F425">
        <v>32696</v>
      </c>
      <c r="G425" t="s">
        <v>9</v>
      </c>
      <c r="H425">
        <v>50</v>
      </c>
      <c r="I425" t="s">
        <v>90</v>
      </c>
    </row>
    <row r="426" spans="1:9" x14ac:dyDescent="0.6">
      <c r="A426">
        <v>436</v>
      </c>
      <c r="B426" t="s">
        <v>14</v>
      </c>
      <c r="C426" t="s">
        <v>8</v>
      </c>
      <c r="D426">
        <v>225.77</v>
      </c>
      <c r="E426">
        <v>154.37</v>
      </c>
      <c r="F426">
        <v>31803</v>
      </c>
      <c r="G426" t="s">
        <v>9</v>
      </c>
      <c r="H426">
        <v>60</v>
      </c>
      <c r="I426" t="s">
        <v>90</v>
      </c>
    </row>
    <row r="427" spans="1:9" x14ac:dyDescent="0.6">
      <c r="A427">
        <v>449</v>
      </c>
      <c r="B427" t="s">
        <v>7</v>
      </c>
      <c r="C427" t="s">
        <v>8</v>
      </c>
      <c r="D427">
        <v>158.31</v>
      </c>
      <c r="E427">
        <v>163.86</v>
      </c>
      <c r="F427">
        <v>60160</v>
      </c>
      <c r="G427" t="s">
        <v>15</v>
      </c>
      <c r="H427">
        <v>70</v>
      </c>
      <c r="I427" t="s">
        <v>108</v>
      </c>
    </row>
    <row r="428" spans="1:9" x14ac:dyDescent="0.6">
      <c r="A428">
        <v>458</v>
      </c>
      <c r="B428" t="s">
        <v>7</v>
      </c>
      <c r="C428" t="s">
        <v>8</v>
      </c>
      <c r="D428">
        <v>231.88</v>
      </c>
      <c r="E428">
        <v>144.31</v>
      </c>
      <c r="F428">
        <v>38754</v>
      </c>
      <c r="G428" t="s">
        <v>9</v>
      </c>
      <c r="H428">
        <v>50</v>
      </c>
      <c r="I428" t="s">
        <v>108</v>
      </c>
    </row>
    <row r="429" spans="1:9" x14ac:dyDescent="0.6">
      <c r="A429">
        <v>453</v>
      </c>
      <c r="B429" t="s">
        <v>7</v>
      </c>
      <c r="C429" t="s">
        <v>8</v>
      </c>
      <c r="D429">
        <v>139.81</v>
      </c>
      <c r="E429">
        <v>108.43</v>
      </c>
      <c r="F429">
        <v>34367</v>
      </c>
      <c r="G429" t="s">
        <v>15</v>
      </c>
      <c r="H429">
        <v>50</v>
      </c>
      <c r="I429" t="s">
        <v>90</v>
      </c>
    </row>
    <row r="430" spans="1:9" x14ac:dyDescent="0.6">
      <c r="A430">
        <v>452</v>
      </c>
      <c r="B430" t="s">
        <v>14</v>
      </c>
      <c r="C430" t="s">
        <v>8</v>
      </c>
      <c r="D430">
        <v>181.47</v>
      </c>
      <c r="E430">
        <v>118.59</v>
      </c>
      <c r="F430">
        <v>42994</v>
      </c>
      <c r="G430" t="s">
        <v>9</v>
      </c>
      <c r="H430">
        <v>60</v>
      </c>
      <c r="I430" t="s">
        <v>90</v>
      </c>
    </row>
    <row r="431" spans="1:9" x14ac:dyDescent="0.6">
      <c r="A431">
        <v>460</v>
      </c>
      <c r="B431" t="s">
        <v>7</v>
      </c>
      <c r="C431" t="s">
        <v>8</v>
      </c>
      <c r="D431">
        <v>144.02000000000001</v>
      </c>
      <c r="E431">
        <v>126.81</v>
      </c>
      <c r="F431">
        <v>27182</v>
      </c>
      <c r="G431" t="s">
        <v>15</v>
      </c>
      <c r="H431">
        <v>70</v>
      </c>
      <c r="I431" t="s">
        <v>90</v>
      </c>
    </row>
    <row r="432" spans="1:9" x14ac:dyDescent="0.6">
      <c r="A432">
        <v>451</v>
      </c>
      <c r="B432" t="s">
        <v>7</v>
      </c>
      <c r="C432" t="s">
        <v>8</v>
      </c>
      <c r="D432">
        <v>263.45</v>
      </c>
      <c r="E432">
        <v>156.76</v>
      </c>
      <c r="F432">
        <v>34602</v>
      </c>
      <c r="G432" t="s">
        <v>9</v>
      </c>
      <c r="H432">
        <v>60</v>
      </c>
      <c r="I432" t="s">
        <v>108</v>
      </c>
    </row>
    <row r="433" spans="1:9" x14ac:dyDescent="0.6">
      <c r="A433">
        <v>448</v>
      </c>
      <c r="B433" t="s">
        <v>7</v>
      </c>
      <c r="C433" t="s">
        <v>8</v>
      </c>
      <c r="D433">
        <v>243.99</v>
      </c>
      <c r="E433">
        <v>152.53</v>
      </c>
      <c r="F433">
        <v>18026</v>
      </c>
      <c r="G433" t="s">
        <v>9</v>
      </c>
      <c r="H433">
        <v>50</v>
      </c>
      <c r="I433" t="s">
        <v>90</v>
      </c>
    </row>
    <row r="434" spans="1:9" x14ac:dyDescent="0.6">
      <c r="A434">
        <v>462</v>
      </c>
      <c r="B434" t="s">
        <v>7</v>
      </c>
      <c r="C434" t="s">
        <v>8</v>
      </c>
      <c r="D434">
        <v>337.64</v>
      </c>
      <c r="E434">
        <v>196.09</v>
      </c>
      <c r="F434">
        <v>20517</v>
      </c>
      <c r="G434" t="s">
        <v>9</v>
      </c>
      <c r="H434">
        <v>60</v>
      </c>
      <c r="I434" t="s">
        <v>90</v>
      </c>
    </row>
    <row r="435" spans="1:9" x14ac:dyDescent="0.6">
      <c r="A435">
        <v>450</v>
      </c>
      <c r="B435" t="s">
        <v>7</v>
      </c>
      <c r="C435" t="s">
        <v>8</v>
      </c>
      <c r="D435">
        <v>218.73</v>
      </c>
      <c r="E435">
        <v>151.09</v>
      </c>
      <c r="F435">
        <v>28616</v>
      </c>
      <c r="G435" t="s">
        <v>9</v>
      </c>
      <c r="H435">
        <v>60</v>
      </c>
      <c r="I435" t="s">
        <v>108</v>
      </c>
    </row>
    <row r="436" spans="1:9" x14ac:dyDescent="0.6">
      <c r="A436">
        <v>457</v>
      </c>
      <c r="B436" t="s">
        <v>14</v>
      </c>
      <c r="C436" t="s">
        <v>8</v>
      </c>
      <c r="D436">
        <v>122.69</v>
      </c>
      <c r="E436">
        <v>96.8</v>
      </c>
      <c r="F436">
        <v>30363</v>
      </c>
      <c r="G436" t="s">
        <v>15</v>
      </c>
      <c r="H436">
        <v>50</v>
      </c>
      <c r="I436" t="s">
        <v>108</v>
      </c>
    </row>
    <row r="437" spans="1:9" x14ac:dyDescent="0.6">
      <c r="A437">
        <v>461</v>
      </c>
      <c r="B437" t="s">
        <v>14</v>
      </c>
      <c r="C437" t="s">
        <v>8</v>
      </c>
      <c r="D437">
        <v>276.27</v>
      </c>
      <c r="E437">
        <v>140.22</v>
      </c>
      <c r="F437">
        <v>23067</v>
      </c>
      <c r="G437" t="s">
        <v>9</v>
      </c>
      <c r="H437">
        <v>60</v>
      </c>
      <c r="I437" t="s">
        <v>90</v>
      </c>
    </row>
    <row r="438" spans="1:9" x14ac:dyDescent="0.6">
      <c r="A438">
        <v>459</v>
      </c>
      <c r="B438" t="s">
        <v>14</v>
      </c>
      <c r="C438" t="s">
        <v>8</v>
      </c>
      <c r="D438">
        <v>190.92</v>
      </c>
      <c r="E438">
        <v>154.25</v>
      </c>
      <c r="F438">
        <v>49222</v>
      </c>
      <c r="G438" t="s">
        <v>9</v>
      </c>
      <c r="H438">
        <v>50</v>
      </c>
      <c r="I438" t="s">
        <v>108</v>
      </c>
    </row>
    <row r="439" spans="1:9" x14ac:dyDescent="0.6">
      <c r="A439">
        <v>481</v>
      </c>
      <c r="B439" t="s">
        <v>7</v>
      </c>
      <c r="C439" t="s">
        <v>8</v>
      </c>
      <c r="D439">
        <v>188.02</v>
      </c>
      <c r="E439">
        <v>106.64</v>
      </c>
      <c r="F439">
        <v>29089</v>
      </c>
      <c r="G439" t="s">
        <v>9</v>
      </c>
      <c r="H439">
        <v>50</v>
      </c>
      <c r="I439" t="s">
        <v>90</v>
      </c>
    </row>
    <row r="440" spans="1:9" x14ac:dyDescent="0.6">
      <c r="A440">
        <v>485</v>
      </c>
      <c r="B440" t="s">
        <v>14</v>
      </c>
      <c r="C440" t="s">
        <v>8</v>
      </c>
      <c r="D440">
        <v>81.64</v>
      </c>
      <c r="E440">
        <v>82.66</v>
      </c>
      <c r="F440">
        <v>20342</v>
      </c>
      <c r="G440" t="s">
        <v>17</v>
      </c>
      <c r="H440" t="s">
        <v>4732</v>
      </c>
      <c r="I440" t="s">
        <v>90</v>
      </c>
    </row>
    <row r="441" spans="1:9" x14ac:dyDescent="0.6">
      <c r="A441">
        <v>464</v>
      </c>
      <c r="B441" t="s">
        <v>14</v>
      </c>
      <c r="C441" t="s">
        <v>8</v>
      </c>
      <c r="D441">
        <v>175.55</v>
      </c>
      <c r="E441">
        <v>120.44</v>
      </c>
      <c r="F441">
        <v>36948</v>
      </c>
      <c r="G441" t="s">
        <v>9</v>
      </c>
      <c r="H441">
        <v>70</v>
      </c>
      <c r="I441" t="s">
        <v>90</v>
      </c>
    </row>
    <row r="442" spans="1:9" x14ac:dyDescent="0.6">
      <c r="A442">
        <v>466</v>
      </c>
      <c r="B442" t="s">
        <v>7</v>
      </c>
      <c r="C442" t="s">
        <v>8</v>
      </c>
      <c r="D442">
        <v>178.12</v>
      </c>
      <c r="E442">
        <v>172.65</v>
      </c>
      <c r="F442">
        <v>32087</v>
      </c>
      <c r="G442" t="s">
        <v>9</v>
      </c>
      <c r="H442">
        <v>60</v>
      </c>
      <c r="I442" t="s">
        <v>108</v>
      </c>
    </row>
    <row r="443" spans="1:9" x14ac:dyDescent="0.6">
      <c r="A443">
        <v>465</v>
      </c>
      <c r="B443" t="s">
        <v>14</v>
      </c>
      <c r="C443" t="s">
        <v>8</v>
      </c>
      <c r="D443">
        <v>288.47000000000003</v>
      </c>
      <c r="E443">
        <v>165.11</v>
      </c>
      <c r="F443">
        <v>41504</v>
      </c>
      <c r="G443" t="s">
        <v>9</v>
      </c>
      <c r="H443">
        <v>70</v>
      </c>
      <c r="I443" t="s">
        <v>90</v>
      </c>
    </row>
    <row r="444" spans="1:9" x14ac:dyDescent="0.6">
      <c r="A444">
        <v>467</v>
      </c>
      <c r="B444" t="s">
        <v>14</v>
      </c>
      <c r="C444" t="s">
        <v>8</v>
      </c>
      <c r="D444">
        <v>154.65</v>
      </c>
      <c r="E444">
        <v>87.08</v>
      </c>
      <c r="F444">
        <v>17047</v>
      </c>
      <c r="G444" t="s">
        <v>15</v>
      </c>
      <c r="H444">
        <v>60</v>
      </c>
      <c r="I444" t="s">
        <v>90</v>
      </c>
    </row>
    <row r="445" spans="1:9" x14ac:dyDescent="0.6">
      <c r="A445">
        <v>472</v>
      </c>
      <c r="B445" t="s">
        <v>14</v>
      </c>
      <c r="C445" t="s">
        <v>8</v>
      </c>
      <c r="D445">
        <v>165.86</v>
      </c>
      <c r="E445">
        <v>99.65</v>
      </c>
      <c r="F445">
        <v>29748</v>
      </c>
      <c r="G445" t="s">
        <v>9</v>
      </c>
      <c r="H445">
        <v>50</v>
      </c>
      <c r="I445" t="s">
        <v>90</v>
      </c>
    </row>
    <row r="446" spans="1:9" x14ac:dyDescent="0.6">
      <c r="A446">
        <v>479</v>
      </c>
      <c r="B446" t="s">
        <v>7</v>
      </c>
      <c r="C446" t="s">
        <v>8</v>
      </c>
      <c r="D446">
        <v>375.33</v>
      </c>
      <c r="E446">
        <v>147.15</v>
      </c>
      <c r="F446">
        <v>17537</v>
      </c>
      <c r="G446" t="s">
        <v>9</v>
      </c>
      <c r="H446">
        <v>50</v>
      </c>
      <c r="I446" t="s">
        <v>90</v>
      </c>
    </row>
    <row r="447" spans="1:9" x14ac:dyDescent="0.6">
      <c r="A447">
        <v>473</v>
      </c>
      <c r="B447" t="s">
        <v>14</v>
      </c>
      <c r="C447" t="s">
        <v>8</v>
      </c>
      <c r="D447">
        <v>163.06</v>
      </c>
      <c r="E447">
        <v>123.42</v>
      </c>
      <c r="F447">
        <v>24277</v>
      </c>
      <c r="G447" t="s">
        <v>9</v>
      </c>
      <c r="H447">
        <v>60</v>
      </c>
      <c r="I447" t="s">
        <v>90</v>
      </c>
    </row>
    <row r="448" spans="1:9" x14ac:dyDescent="0.6">
      <c r="A448">
        <v>513</v>
      </c>
      <c r="B448" t="s">
        <v>14</v>
      </c>
      <c r="C448" t="s">
        <v>8</v>
      </c>
      <c r="D448">
        <v>203.99</v>
      </c>
      <c r="E448">
        <v>131.63999999999999</v>
      </c>
      <c r="F448">
        <v>3795</v>
      </c>
      <c r="G448" t="s">
        <v>9</v>
      </c>
      <c r="H448">
        <v>70</v>
      </c>
      <c r="I448" t="s">
        <v>108</v>
      </c>
    </row>
    <row r="449" spans="1:9" x14ac:dyDescent="0.6">
      <c r="A449">
        <v>483</v>
      </c>
      <c r="B449" t="s">
        <v>14</v>
      </c>
      <c r="C449" t="s">
        <v>8</v>
      </c>
      <c r="D449">
        <v>220.2</v>
      </c>
      <c r="E449">
        <v>150.49</v>
      </c>
      <c r="F449">
        <v>23036</v>
      </c>
      <c r="G449" t="s">
        <v>9</v>
      </c>
      <c r="H449">
        <v>50</v>
      </c>
      <c r="I449" t="s">
        <v>90</v>
      </c>
    </row>
    <row r="450" spans="1:9" x14ac:dyDescent="0.6">
      <c r="A450">
        <v>463</v>
      </c>
      <c r="B450" t="s">
        <v>7</v>
      </c>
      <c r="C450" t="s">
        <v>8</v>
      </c>
      <c r="D450">
        <v>217.86</v>
      </c>
      <c r="E450">
        <v>132.25</v>
      </c>
      <c r="F450">
        <v>27905</v>
      </c>
      <c r="G450" t="s">
        <v>9</v>
      </c>
      <c r="H450">
        <v>60</v>
      </c>
      <c r="I450" t="s">
        <v>108</v>
      </c>
    </row>
    <row r="451" spans="1:9" x14ac:dyDescent="0.6">
      <c r="A451">
        <v>476</v>
      </c>
      <c r="B451" t="s">
        <v>14</v>
      </c>
      <c r="C451" t="s">
        <v>8</v>
      </c>
      <c r="D451">
        <v>285.72000000000003</v>
      </c>
      <c r="E451">
        <v>168.36</v>
      </c>
      <c r="F451">
        <v>27746</v>
      </c>
      <c r="G451" t="s">
        <v>9</v>
      </c>
      <c r="H451">
        <v>50</v>
      </c>
      <c r="I451" t="s">
        <v>108</v>
      </c>
    </row>
    <row r="452" spans="1:9" x14ac:dyDescent="0.6">
      <c r="A452">
        <v>469</v>
      </c>
      <c r="B452" t="s">
        <v>7</v>
      </c>
      <c r="C452" t="s">
        <v>8</v>
      </c>
      <c r="D452">
        <v>170.67</v>
      </c>
      <c r="E452">
        <v>144.74</v>
      </c>
      <c r="F452">
        <v>17687</v>
      </c>
      <c r="G452" t="s">
        <v>9</v>
      </c>
      <c r="H452">
        <v>70</v>
      </c>
      <c r="I452" t="s">
        <v>90</v>
      </c>
    </row>
    <row r="453" spans="1:9" x14ac:dyDescent="0.6">
      <c r="A453">
        <v>482</v>
      </c>
      <c r="B453" t="s">
        <v>7</v>
      </c>
      <c r="C453" t="s">
        <v>8</v>
      </c>
      <c r="D453">
        <v>178.44</v>
      </c>
      <c r="E453">
        <v>85.87</v>
      </c>
      <c r="F453">
        <v>27968</v>
      </c>
      <c r="G453" t="s">
        <v>9</v>
      </c>
      <c r="H453">
        <v>50</v>
      </c>
      <c r="I453" t="s">
        <v>90</v>
      </c>
    </row>
    <row r="454" spans="1:9" x14ac:dyDescent="0.6">
      <c r="A454">
        <v>475</v>
      </c>
      <c r="B454" t="s">
        <v>14</v>
      </c>
      <c r="C454" t="s">
        <v>8</v>
      </c>
      <c r="D454">
        <v>206.71</v>
      </c>
      <c r="E454">
        <v>178.63</v>
      </c>
      <c r="F454">
        <v>32920</v>
      </c>
      <c r="G454" t="s">
        <v>9</v>
      </c>
      <c r="H454">
        <v>60</v>
      </c>
      <c r="I454" t="s">
        <v>108</v>
      </c>
    </row>
    <row r="455" spans="1:9" x14ac:dyDescent="0.6">
      <c r="A455">
        <v>486</v>
      </c>
      <c r="B455" t="s">
        <v>14</v>
      </c>
      <c r="C455" t="s">
        <v>8</v>
      </c>
      <c r="D455">
        <v>211.42</v>
      </c>
      <c r="E455">
        <v>158.58000000000001</v>
      </c>
      <c r="F455">
        <v>31969</v>
      </c>
      <c r="G455" t="s">
        <v>9</v>
      </c>
      <c r="H455">
        <v>50</v>
      </c>
      <c r="I455" t="s">
        <v>108</v>
      </c>
    </row>
    <row r="456" spans="1:9" x14ac:dyDescent="0.6">
      <c r="A456">
        <v>499</v>
      </c>
      <c r="B456" t="s">
        <v>14</v>
      </c>
      <c r="C456" t="s">
        <v>8</v>
      </c>
      <c r="D456">
        <v>210.47</v>
      </c>
      <c r="E456">
        <v>162</v>
      </c>
      <c r="F456">
        <v>23425</v>
      </c>
      <c r="G456" t="s">
        <v>9</v>
      </c>
      <c r="H456">
        <v>70</v>
      </c>
      <c r="I456" t="s">
        <v>108</v>
      </c>
    </row>
    <row r="457" spans="1:9" x14ac:dyDescent="0.6">
      <c r="A457">
        <v>495</v>
      </c>
      <c r="B457" t="s">
        <v>7</v>
      </c>
      <c r="C457" t="s">
        <v>8</v>
      </c>
      <c r="D457">
        <v>179.73</v>
      </c>
      <c r="E457">
        <v>96.56</v>
      </c>
      <c r="F457">
        <v>29015</v>
      </c>
      <c r="G457" t="s">
        <v>9</v>
      </c>
      <c r="H457">
        <v>60</v>
      </c>
      <c r="I457" t="s">
        <v>108</v>
      </c>
    </row>
    <row r="458" spans="1:9" x14ac:dyDescent="0.6">
      <c r="A458">
        <v>484</v>
      </c>
      <c r="B458" t="s">
        <v>14</v>
      </c>
      <c r="C458" t="s">
        <v>8</v>
      </c>
      <c r="D458">
        <v>176.83</v>
      </c>
      <c r="E458">
        <v>129.69</v>
      </c>
      <c r="F458">
        <v>24746</v>
      </c>
      <c r="G458" t="s">
        <v>9</v>
      </c>
      <c r="H458" t="s">
        <v>4732</v>
      </c>
      <c r="I458" t="s">
        <v>90</v>
      </c>
    </row>
    <row r="459" spans="1:9" x14ac:dyDescent="0.6">
      <c r="A459">
        <v>468</v>
      </c>
      <c r="B459" t="s">
        <v>7</v>
      </c>
      <c r="C459" t="s">
        <v>8</v>
      </c>
      <c r="D459">
        <v>135.59</v>
      </c>
      <c r="E459">
        <v>123.79</v>
      </c>
      <c r="F459">
        <v>25160</v>
      </c>
      <c r="G459" t="s">
        <v>15</v>
      </c>
      <c r="H459">
        <v>70</v>
      </c>
      <c r="I459" t="s">
        <v>108</v>
      </c>
    </row>
    <row r="460" spans="1:9" x14ac:dyDescent="0.6">
      <c r="A460">
        <v>490</v>
      </c>
      <c r="B460" t="s">
        <v>14</v>
      </c>
      <c r="C460" t="s">
        <v>8</v>
      </c>
      <c r="D460">
        <v>196.12</v>
      </c>
      <c r="E460">
        <v>131.02000000000001</v>
      </c>
      <c r="F460">
        <v>52160</v>
      </c>
      <c r="G460" t="s">
        <v>9</v>
      </c>
      <c r="H460">
        <v>50</v>
      </c>
      <c r="I460" t="s">
        <v>90</v>
      </c>
    </row>
    <row r="461" spans="1:9" x14ac:dyDescent="0.6">
      <c r="A461">
        <v>470</v>
      </c>
      <c r="B461" t="s">
        <v>7</v>
      </c>
      <c r="C461" t="s">
        <v>8</v>
      </c>
      <c r="D461">
        <v>206.5</v>
      </c>
      <c r="E461">
        <v>161.44</v>
      </c>
      <c r="F461">
        <v>33933</v>
      </c>
      <c r="G461" t="s">
        <v>9</v>
      </c>
      <c r="H461">
        <v>60</v>
      </c>
      <c r="I461" t="s">
        <v>108</v>
      </c>
    </row>
    <row r="462" spans="1:9" x14ac:dyDescent="0.6">
      <c r="A462">
        <v>478</v>
      </c>
      <c r="B462" t="s">
        <v>7</v>
      </c>
      <c r="C462" t="s">
        <v>8</v>
      </c>
      <c r="D462">
        <v>147.34</v>
      </c>
      <c r="E462">
        <v>100.39</v>
      </c>
      <c r="F462">
        <v>24699</v>
      </c>
      <c r="G462" t="s">
        <v>15</v>
      </c>
      <c r="H462">
        <v>60</v>
      </c>
      <c r="I462" t="s">
        <v>90</v>
      </c>
    </row>
    <row r="463" spans="1:9" x14ac:dyDescent="0.6">
      <c r="A463">
        <v>502</v>
      </c>
      <c r="B463" t="s">
        <v>7</v>
      </c>
      <c r="C463" t="s">
        <v>8</v>
      </c>
      <c r="D463">
        <v>198.31</v>
      </c>
      <c r="E463">
        <v>151.28</v>
      </c>
      <c r="F463">
        <v>24256</v>
      </c>
      <c r="G463" t="s">
        <v>9</v>
      </c>
      <c r="H463">
        <v>60</v>
      </c>
      <c r="I463" t="s">
        <v>90</v>
      </c>
    </row>
    <row r="464" spans="1:9" x14ac:dyDescent="0.6">
      <c r="A464">
        <v>471</v>
      </c>
      <c r="B464" t="s">
        <v>7</v>
      </c>
      <c r="C464" t="s">
        <v>8</v>
      </c>
      <c r="D464">
        <v>173.69</v>
      </c>
      <c r="E464">
        <v>92.41</v>
      </c>
      <c r="F464">
        <v>43918</v>
      </c>
      <c r="G464" t="s">
        <v>9</v>
      </c>
      <c r="H464">
        <v>89</v>
      </c>
      <c r="I464" t="s">
        <v>4732</v>
      </c>
    </row>
    <row r="465" spans="1:9" x14ac:dyDescent="0.6">
      <c r="A465">
        <v>489</v>
      </c>
      <c r="B465" t="s">
        <v>14</v>
      </c>
      <c r="C465" t="s">
        <v>8</v>
      </c>
      <c r="D465">
        <v>219.6</v>
      </c>
      <c r="E465">
        <v>142.79</v>
      </c>
      <c r="F465">
        <v>44813</v>
      </c>
      <c r="G465" t="s">
        <v>9</v>
      </c>
      <c r="H465">
        <v>50</v>
      </c>
      <c r="I465" t="s">
        <v>108</v>
      </c>
    </row>
    <row r="466" spans="1:9" x14ac:dyDescent="0.6">
      <c r="A466">
        <v>493</v>
      </c>
      <c r="B466" t="s">
        <v>7</v>
      </c>
      <c r="C466" t="s">
        <v>8</v>
      </c>
      <c r="D466">
        <v>185.28</v>
      </c>
      <c r="E466">
        <v>159.01</v>
      </c>
      <c r="F466">
        <v>21524</v>
      </c>
      <c r="G466" t="s">
        <v>9</v>
      </c>
      <c r="H466">
        <v>70</v>
      </c>
      <c r="I466" t="s">
        <v>108</v>
      </c>
    </row>
    <row r="467" spans="1:9" x14ac:dyDescent="0.6">
      <c r="A467">
        <v>488</v>
      </c>
      <c r="B467" t="s">
        <v>14</v>
      </c>
      <c r="C467" t="s">
        <v>8</v>
      </c>
      <c r="D467">
        <v>238.45</v>
      </c>
      <c r="E467">
        <v>169.14</v>
      </c>
      <c r="F467">
        <v>24049</v>
      </c>
      <c r="G467" t="s">
        <v>9</v>
      </c>
      <c r="H467">
        <v>50</v>
      </c>
      <c r="I467" t="s">
        <v>108</v>
      </c>
    </row>
    <row r="468" spans="1:9" x14ac:dyDescent="0.6">
      <c r="A468">
        <v>480</v>
      </c>
      <c r="B468" t="s">
        <v>7</v>
      </c>
      <c r="C468" t="s">
        <v>8</v>
      </c>
      <c r="D468">
        <v>257.44</v>
      </c>
      <c r="E468">
        <v>139.51</v>
      </c>
      <c r="F468">
        <v>30352</v>
      </c>
      <c r="G468" t="s">
        <v>9</v>
      </c>
      <c r="H468">
        <v>60</v>
      </c>
      <c r="I468" t="s">
        <v>108</v>
      </c>
    </row>
    <row r="469" spans="1:9" x14ac:dyDescent="0.6">
      <c r="A469">
        <v>491</v>
      </c>
      <c r="B469" t="s">
        <v>14</v>
      </c>
      <c r="C469" t="s">
        <v>8</v>
      </c>
      <c r="D469">
        <v>392.27</v>
      </c>
      <c r="E469">
        <v>226.56</v>
      </c>
      <c r="F469">
        <v>1342</v>
      </c>
      <c r="G469" t="s">
        <v>9</v>
      </c>
      <c r="H469">
        <v>50</v>
      </c>
      <c r="I469" t="s">
        <v>90</v>
      </c>
    </row>
    <row r="470" spans="1:9" x14ac:dyDescent="0.6">
      <c r="A470">
        <v>501</v>
      </c>
      <c r="B470" t="s">
        <v>7</v>
      </c>
      <c r="C470" t="s">
        <v>8</v>
      </c>
      <c r="D470">
        <v>233.85</v>
      </c>
      <c r="E470">
        <v>81.709999999999994</v>
      </c>
      <c r="F470">
        <v>19163</v>
      </c>
      <c r="G470" t="s">
        <v>9</v>
      </c>
      <c r="H470">
        <v>50</v>
      </c>
      <c r="I470" t="s">
        <v>90</v>
      </c>
    </row>
    <row r="471" spans="1:9" x14ac:dyDescent="0.6">
      <c r="A471">
        <v>504</v>
      </c>
      <c r="B471" t="s">
        <v>14</v>
      </c>
      <c r="C471" t="s">
        <v>8</v>
      </c>
      <c r="D471">
        <v>126.39</v>
      </c>
      <c r="E471">
        <v>96.03</v>
      </c>
      <c r="F471">
        <v>18896</v>
      </c>
      <c r="G471" t="s">
        <v>15</v>
      </c>
      <c r="H471">
        <v>50</v>
      </c>
      <c r="I471" t="s">
        <v>90</v>
      </c>
    </row>
    <row r="472" spans="1:9" x14ac:dyDescent="0.6">
      <c r="A472">
        <v>521</v>
      </c>
      <c r="B472" t="s">
        <v>14</v>
      </c>
      <c r="C472" t="s">
        <v>8</v>
      </c>
      <c r="D472">
        <v>238.13</v>
      </c>
      <c r="E472">
        <v>164.38</v>
      </c>
      <c r="F472">
        <v>26342</v>
      </c>
      <c r="G472" t="s">
        <v>9</v>
      </c>
      <c r="H472">
        <v>50</v>
      </c>
      <c r="I472" t="s">
        <v>90</v>
      </c>
    </row>
    <row r="473" spans="1:9" x14ac:dyDescent="0.6">
      <c r="A473">
        <v>503</v>
      </c>
      <c r="B473" t="s">
        <v>7</v>
      </c>
      <c r="C473" t="s">
        <v>8</v>
      </c>
      <c r="D473">
        <v>251.63</v>
      </c>
      <c r="E473">
        <v>128.71</v>
      </c>
      <c r="F473">
        <v>32282</v>
      </c>
      <c r="G473" t="s">
        <v>9</v>
      </c>
      <c r="H473">
        <v>60</v>
      </c>
      <c r="I473" t="s">
        <v>108</v>
      </c>
    </row>
    <row r="474" spans="1:9" x14ac:dyDescent="0.6">
      <c r="A474">
        <v>508</v>
      </c>
      <c r="B474" t="s">
        <v>7</v>
      </c>
      <c r="C474" t="s">
        <v>8</v>
      </c>
      <c r="D474">
        <v>257.02</v>
      </c>
      <c r="E474">
        <v>153.75</v>
      </c>
      <c r="F474">
        <v>24171</v>
      </c>
      <c r="G474" t="s">
        <v>9</v>
      </c>
      <c r="H474">
        <v>60</v>
      </c>
      <c r="I474" t="s">
        <v>90</v>
      </c>
    </row>
    <row r="475" spans="1:9" x14ac:dyDescent="0.6">
      <c r="A475">
        <v>498</v>
      </c>
      <c r="B475" t="s">
        <v>14</v>
      </c>
      <c r="C475" t="s">
        <v>8</v>
      </c>
      <c r="D475">
        <v>257.41000000000003</v>
      </c>
      <c r="E475">
        <v>250.26</v>
      </c>
      <c r="F475">
        <v>25148</v>
      </c>
      <c r="G475" t="s">
        <v>9</v>
      </c>
      <c r="H475">
        <v>60</v>
      </c>
      <c r="I475" t="s">
        <v>90</v>
      </c>
    </row>
    <row r="476" spans="1:9" x14ac:dyDescent="0.6">
      <c r="A476">
        <v>492</v>
      </c>
      <c r="B476" t="s">
        <v>7</v>
      </c>
      <c r="C476" t="s">
        <v>8</v>
      </c>
      <c r="D476">
        <v>194.18</v>
      </c>
      <c r="E476">
        <v>134.78</v>
      </c>
      <c r="F476">
        <v>35564</v>
      </c>
      <c r="G476" t="s">
        <v>9</v>
      </c>
      <c r="H476">
        <v>60</v>
      </c>
      <c r="I476" t="s">
        <v>108</v>
      </c>
    </row>
    <row r="477" spans="1:9" x14ac:dyDescent="0.6">
      <c r="A477">
        <v>487</v>
      </c>
      <c r="B477" t="s">
        <v>7</v>
      </c>
      <c r="C477" t="s">
        <v>8</v>
      </c>
      <c r="D477">
        <v>157.04</v>
      </c>
      <c r="E477">
        <v>119.31</v>
      </c>
      <c r="F477">
        <v>41828</v>
      </c>
      <c r="G477" t="s">
        <v>15</v>
      </c>
      <c r="H477">
        <v>60</v>
      </c>
      <c r="I477" t="s">
        <v>108</v>
      </c>
    </row>
    <row r="478" spans="1:9" x14ac:dyDescent="0.6">
      <c r="A478">
        <v>497</v>
      </c>
      <c r="B478" t="s">
        <v>14</v>
      </c>
      <c r="C478" t="s">
        <v>8</v>
      </c>
      <c r="D478">
        <v>185.84</v>
      </c>
      <c r="E478">
        <v>203.59</v>
      </c>
      <c r="F478">
        <v>49961</v>
      </c>
      <c r="G478" t="s">
        <v>9</v>
      </c>
      <c r="H478">
        <v>70</v>
      </c>
      <c r="I478" t="s">
        <v>108</v>
      </c>
    </row>
    <row r="479" spans="1:9" x14ac:dyDescent="0.6">
      <c r="A479">
        <v>525</v>
      </c>
      <c r="B479" t="s">
        <v>14</v>
      </c>
      <c r="C479" t="s">
        <v>8</v>
      </c>
      <c r="D479">
        <v>206.87</v>
      </c>
      <c r="E479">
        <v>164.87</v>
      </c>
      <c r="F479">
        <v>30175</v>
      </c>
      <c r="G479" t="s">
        <v>9</v>
      </c>
      <c r="H479">
        <v>50</v>
      </c>
      <c r="I479" t="s">
        <v>108</v>
      </c>
    </row>
    <row r="480" spans="1:9" x14ac:dyDescent="0.6">
      <c r="A480">
        <v>505</v>
      </c>
      <c r="B480" t="s">
        <v>7</v>
      </c>
      <c r="C480" t="s">
        <v>8</v>
      </c>
      <c r="D480">
        <v>102.5</v>
      </c>
      <c r="E480">
        <v>134.65</v>
      </c>
      <c r="F480">
        <v>28865</v>
      </c>
      <c r="G480" t="s">
        <v>17</v>
      </c>
      <c r="H480">
        <v>70</v>
      </c>
      <c r="I480" t="s">
        <v>90</v>
      </c>
    </row>
    <row r="481" spans="1:9" x14ac:dyDescent="0.6">
      <c r="A481">
        <v>507</v>
      </c>
      <c r="B481" t="s">
        <v>7</v>
      </c>
      <c r="C481" t="s">
        <v>8</v>
      </c>
      <c r="D481">
        <v>274.77999999999997</v>
      </c>
      <c r="E481">
        <v>176.63</v>
      </c>
      <c r="F481">
        <v>20155</v>
      </c>
      <c r="G481" t="s">
        <v>9</v>
      </c>
      <c r="H481">
        <v>50</v>
      </c>
      <c r="I481" t="s">
        <v>108</v>
      </c>
    </row>
    <row r="482" spans="1:9" x14ac:dyDescent="0.6">
      <c r="A482">
        <v>516</v>
      </c>
      <c r="B482" t="s">
        <v>14</v>
      </c>
      <c r="C482" t="s">
        <v>8</v>
      </c>
      <c r="D482">
        <v>147.74</v>
      </c>
      <c r="E482">
        <v>166.53</v>
      </c>
      <c r="F482">
        <v>27217</v>
      </c>
      <c r="G482" t="s">
        <v>15</v>
      </c>
      <c r="H482">
        <v>60</v>
      </c>
      <c r="I482" t="s">
        <v>90</v>
      </c>
    </row>
    <row r="483" spans="1:9" x14ac:dyDescent="0.6">
      <c r="A483">
        <v>500</v>
      </c>
      <c r="B483" t="s">
        <v>7</v>
      </c>
      <c r="C483" t="s">
        <v>8</v>
      </c>
      <c r="D483">
        <v>330.8</v>
      </c>
      <c r="E483">
        <v>266.99</v>
      </c>
      <c r="F483">
        <v>16109</v>
      </c>
      <c r="G483" t="s">
        <v>9</v>
      </c>
      <c r="H483">
        <v>50</v>
      </c>
      <c r="I483" t="s">
        <v>90</v>
      </c>
    </row>
    <row r="484" spans="1:9" x14ac:dyDescent="0.6">
      <c r="A484">
        <v>494</v>
      </c>
      <c r="B484" t="s">
        <v>14</v>
      </c>
      <c r="C484" t="s">
        <v>8</v>
      </c>
      <c r="D484">
        <v>198.13</v>
      </c>
      <c r="E484">
        <v>171.97</v>
      </c>
      <c r="F484">
        <v>45953</v>
      </c>
      <c r="G484" t="s">
        <v>9</v>
      </c>
      <c r="H484">
        <v>70</v>
      </c>
      <c r="I484" t="s">
        <v>108</v>
      </c>
    </row>
    <row r="485" spans="1:9" x14ac:dyDescent="0.6">
      <c r="A485">
        <v>514</v>
      </c>
      <c r="B485" t="s">
        <v>7</v>
      </c>
      <c r="C485" t="s">
        <v>8</v>
      </c>
      <c r="D485">
        <v>165.21</v>
      </c>
      <c r="E485">
        <v>142.27000000000001</v>
      </c>
      <c r="F485">
        <v>36806</v>
      </c>
      <c r="G485" t="s">
        <v>9</v>
      </c>
      <c r="H485">
        <v>60</v>
      </c>
      <c r="I485" t="s">
        <v>108</v>
      </c>
    </row>
    <row r="486" spans="1:9" x14ac:dyDescent="0.6">
      <c r="A486">
        <v>519</v>
      </c>
      <c r="B486" t="s">
        <v>7</v>
      </c>
      <c r="C486" t="s">
        <v>8</v>
      </c>
      <c r="D486">
        <v>226.07</v>
      </c>
      <c r="E486">
        <v>170.27</v>
      </c>
      <c r="F486">
        <v>26705</v>
      </c>
      <c r="G486" t="s">
        <v>9</v>
      </c>
      <c r="H486">
        <v>60</v>
      </c>
      <c r="I486" t="s">
        <v>90</v>
      </c>
    </row>
    <row r="487" spans="1:9" x14ac:dyDescent="0.6">
      <c r="A487">
        <v>509</v>
      </c>
      <c r="B487" t="s">
        <v>14</v>
      </c>
      <c r="C487" t="s">
        <v>8</v>
      </c>
      <c r="D487">
        <v>187.41</v>
      </c>
      <c r="E487">
        <v>118.02</v>
      </c>
      <c r="F487">
        <v>44587</v>
      </c>
      <c r="G487" t="s">
        <v>9</v>
      </c>
      <c r="H487">
        <v>60</v>
      </c>
      <c r="I487" t="s">
        <v>108</v>
      </c>
    </row>
    <row r="488" spans="1:9" x14ac:dyDescent="0.6">
      <c r="A488">
        <v>515</v>
      </c>
      <c r="B488" t="s">
        <v>14</v>
      </c>
      <c r="C488" t="s">
        <v>8</v>
      </c>
      <c r="D488">
        <v>165.21</v>
      </c>
      <c r="E488">
        <v>122.47</v>
      </c>
      <c r="F488">
        <v>43176</v>
      </c>
      <c r="G488" t="s">
        <v>9</v>
      </c>
      <c r="H488">
        <v>50</v>
      </c>
      <c r="I488" t="s">
        <v>108</v>
      </c>
    </row>
    <row r="489" spans="1:9" x14ac:dyDescent="0.6">
      <c r="A489">
        <v>510</v>
      </c>
      <c r="B489" t="s">
        <v>7</v>
      </c>
      <c r="C489" t="s">
        <v>8</v>
      </c>
      <c r="D489">
        <v>261.61</v>
      </c>
      <c r="E489">
        <v>178.31</v>
      </c>
      <c r="F489">
        <v>26893</v>
      </c>
      <c r="G489" t="s">
        <v>9</v>
      </c>
      <c r="H489">
        <v>60</v>
      </c>
      <c r="I489" t="s">
        <v>108</v>
      </c>
    </row>
    <row r="490" spans="1:9" x14ac:dyDescent="0.6">
      <c r="A490">
        <v>522</v>
      </c>
      <c r="B490" t="s">
        <v>14</v>
      </c>
      <c r="C490" t="s">
        <v>8</v>
      </c>
      <c r="D490">
        <v>185.52</v>
      </c>
      <c r="E490">
        <v>152.04</v>
      </c>
      <c r="F490">
        <v>63746</v>
      </c>
      <c r="G490" t="s">
        <v>9</v>
      </c>
      <c r="H490">
        <v>60</v>
      </c>
      <c r="I490" t="s">
        <v>108</v>
      </c>
    </row>
    <row r="491" spans="1:9" x14ac:dyDescent="0.6">
      <c r="A491">
        <v>528</v>
      </c>
      <c r="B491" t="s">
        <v>14</v>
      </c>
      <c r="C491" t="s">
        <v>8</v>
      </c>
      <c r="D491">
        <v>245.38</v>
      </c>
      <c r="E491">
        <v>173.62</v>
      </c>
      <c r="F491">
        <v>43233</v>
      </c>
      <c r="G491" t="s">
        <v>9</v>
      </c>
      <c r="H491">
        <v>50</v>
      </c>
      <c r="I491" t="s">
        <v>108</v>
      </c>
    </row>
    <row r="492" spans="1:9" x14ac:dyDescent="0.6">
      <c r="A492">
        <v>535</v>
      </c>
      <c r="B492" t="s">
        <v>14</v>
      </c>
      <c r="C492" t="s">
        <v>8</v>
      </c>
      <c r="D492">
        <v>268.55</v>
      </c>
      <c r="E492">
        <v>183.18</v>
      </c>
      <c r="F492">
        <v>38417</v>
      </c>
      <c r="G492" t="s">
        <v>9</v>
      </c>
      <c r="H492">
        <v>50</v>
      </c>
      <c r="I492" t="s">
        <v>108</v>
      </c>
    </row>
    <row r="493" spans="1:9" x14ac:dyDescent="0.6">
      <c r="A493">
        <v>511</v>
      </c>
      <c r="B493" t="s">
        <v>14</v>
      </c>
      <c r="C493" t="s">
        <v>8</v>
      </c>
      <c r="D493">
        <v>166.21</v>
      </c>
      <c r="E493">
        <v>120.27</v>
      </c>
      <c r="F493">
        <v>50660</v>
      </c>
      <c r="G493" t="s">
        <v>9</v>
      </c>
      <c r="H493">
        <v>60</v>
      </c>
      <c r="I493" t="s">
        <v>108</v>
      </c>
    </row>
    <row r="494" spans="1:9" x14ac:dyDescent="0.6">
      <c r="A494">
        <v>506</v>
      </c>
      <c r="B494" t="s">
        <v>7</v>
      </c>
      <c r="C494" t="s">
        <v>8</v>
      </c>
      <c r="D494">
        <v>121.52</v>
      </c>
      <c r="E494">
        <v>93.11</v>
      </c>
      <c r="F494">
        <v>24032</v>
      </c>
      <c r="G494" t="s">
        <v>15</v>
      </c>
      <c r="H494">
        <v>60</v>
      </c>
      <c r="I494" t="s">
        <v>90</v>
      </c>
    </row>
    <row r="495" spans="1:9" x14ac:dyDescent="0.6">
      <c r="A495">
        <v>531</v>
      </c>
      <c r="B495" t="s">
        <v>14</v>
      </c>
      <c r="C495" t="s">
        <v>8</v>
      </c>
      <c r="D495">
        <v>157.13</v>
      </c>
      <c r="E495">
        <v>146.82</v>
      </c>
      <c r="F495">
        <v>28153</v>
      </c>
      <c r="G495" t="s">
        <v>15</v>
      </c>
      <c r="H495">
        <v>60</v>
      </c>
      <c r="I495" t="s">
        <v>90</v>
      </c>
    </row>
    <row r="496" spans="1:9" x14ac:dyDescent="0.6">
      <c r="A496">
        <v>524</v>
      </c>
      <c r="B496" t="s">
        <v>14</v>
      </c>
      <c r="C496" t="s">
        <v>8</v>
      </c>
      <c r="D496">
        <v>197.14</v>
      </c>
      <c r="E496">
        <v>136.85</v>
      </c>
      <c r="F496">
        <v>40222</v>
      </c>
      <c r="G496" t="s">
        <v>9</v>
      </c>
      <c r="H496">
        <v>60</v>
      </c>
      <c r="I496" t="s">
        <v>108</v>
      </c>
    </row>
    <row r="497" spans="1:9" x14ac:dyDescent="0.6">
      <c r="A497">
        <v>527</v>
      </c>
      <c r="B497" t="s">
        <v>14</v>
      </c>
      <c r="C497" t="s">
        <v>8</v>
      </c>
      <c r="D497">
        <v>211.75</v>
      </c>
      <c r="E497">
        <v>143.08000000000001</v>
      </c>
      <c r="F497">
        <v>21118</v>
      </c>
      <c r="G497" t="s">
        <v>9</v>
      </c>
      <c r="H497">
        <v>70</v>
      </c>
      <c r="I497" t="s">
        <v>90</v>
      </c>
    </row>
    <row r="498" spans="1:9" x14ac:dyDescent="0.6">
      <c r="A498">
        <v>533</v>
      </c>
      <c r="B498" t="s">
        <v>7</v>
      </c>
      <c r="C498" t="s">
        <v>8</v>
      </c>
      <c r="D498">
        <v>258.58</v>
      </c>
      <c r="E498">
        <v>121.16</v>
      </c>
      <c r="F498">
        <v>25985</v>
      </c>
      <c r="G498" t="s">
        <v>9</v>
      </c>
      <c r="H498">
        <v>70</v>
      </c>
      <c r="I498" t="s">
        <v>90</v>
      </c>
    </row>
    <row r="499" spans="1:9" x14ac:dyDescent="0.6">
      <c r="A499">
        <v>517</v>
      </c>
      <c r="B499" t="s">
        <v>14</v>
      </c>
      <c r="C499" t="s">
        <v>8</v>
      </c>
      <c r="D499">
        <v>186.33</v>
      </c>
      <c r="E499">
        <v>160.6</v>
      </c>
      <c r="F499">
        <v>45492</v>
      </c>
      <c r="G499" t="s">
        <v>9</v>
      </c>
      <c r="H499">
        <v>50</v>
      </c>
      <c r="I499" t="s">
        <v>108</v>
      </c>
    </row>
    <row r="500" spans="1:9" x14ac:dyDescent="0.6">
      <c r="A500">
        <v>536</v>
      </c>
      <c r="B500" t="s">
        <v>14</v>
      </c>
      <c r="C500" t="s">
        <v>8</v>
      </c>
      <c r="D500">
        <v>175.53</v>
      </c>
      <c r="E500">
        <v>152.38999999999999</v>
      </c>
      <c r="F500">
        <v>42518</v>
      </c>
      <c r="G500" t="s">
        <v>9</v>
      </c>
      <c r="H500">
        <v>50</v>
      </c>
      <c r="I500" t="s">
        <v>90</v>
      </c>
    </row>
    <row r="501" spans="1:9" x14ac:dyDescent="0.6">
      <c r="A501">
        <v>547</v>
      </c>
      <c r="B501" t="s">
        <v>14</v>
      </c>
      <c r="C501" t="s">
        <v>8</v>
      </c>
      <c r="D501">
        <v>194.73</v>
      </c>
      <c r="E501">
        <v>140.19</v>
      </c>
      <c r="F501">
        <v>25324</v>
      </c>
      <c r="G501" t="s">
        <v>9</v>
      </c>
      <c r="H501">
        <v>70</v>
      </c>
      <c r="I501" t="s">
        <v>90</v>
      </c>
    </row>
    <row r="502" spans="1:9" x14ac:dyDescent="0.6">
      <c r="A502">
        <v>526</v>
      </c>
      <c r="B502" t="s">
        <v>14</v>
      </c>
      <c r="C502" t="s">
        <v>8</v>
      </c>
      <c r="D502">
        <v>186.71</v>
      </c>
      <c r="E502">
        <v>111.12</v>
      </c>
      <c r="F502">
        <v>32444</v>
      </c>
      <c r="G502" t="s">
        <v>9</v>
      </c>
      <c r="H502">
        <v>50</v>
      </c>
      <c r="I502" t="s">
        <v>90</v>
      </c>
    </row>
    <row r="503" spans="1:9" x14ac:dyDescent="0.6">
      <c r="A503">
        <v>539</v>
      </c>
      <c r="B503" t="s">
        <v>14</v>
      </c>
      <c r="C503" t="s">
        <v>8</v>
      </c>
      <c r="D503">
        <v>209.63</v>
      </c>
      <c r="E503">
        <v>110.67</v>
      </c>
      <c r="F503">
        <v>20542</v>
      </c>
      <c r="G503" t="s">
        <v>9</v>
      </c>
      <c r="H503">
        <v>60</v>
      </c>
      <c r="I503" t="s">
        <v>90</v>
      </c>
    </row>
    <row r="504" spans="1:9" x14ac:dyDescent="0.6">
      <c r="A504">
        <v>523</v>
      </c>
      <c r="B504" t="s">
        <v>7</v>
      </c>
      <c r="C504" t="s">
        <v>8</v>
      </c>
      <c r="D504">
        <v>166.63</v>
      </c>
      <c r="E504">
        <v>93.11</v>
      </c>
      <c r="F504">
        <v>36572</v>
      </c>
      <c r="G504" t="s">
        <v>9</v>
      </c>
      <c r="H504">
        <v>50</v>
      </c>
      <c r="I504" t="s">
        <v>90</v>
      </c>
    </row>
    <row r="505" spans="1:9" x14ac:dyDescent="0.6">
      <c r="A505">
        <v>538</v>
      </c>
      <c r="B505" t="s">
        <v>7</v>
      </c>
      <c r="C505" t="s">
        <v>8</v>
      </c>
      <c r="D505">
        <v>152.41999999999999</v>
      </c>
      <c r="E505">
        <v>128.1</v>
      </c>
      <c r="F505">
        <v>27592</v>
      </c>
      <c r="G505" t="s">
        <v>15</v>
      </c>
      <c r="H505">
        <v>60</v>
      </c>
      <c r="I505" t="s">
        <v>90</v>
      </c>
    </row>
    <row r="506" spans="1:9" x14ac:dyDescent="0.6">
      <c r="A506">
        <v>541</v>
      </c>
      <c r="B506" t="s">
        <v>14</v>
      </c>
      <c r="C506" t="s">
        <v>8</v>
      </c>
      <c r="D506">
        <v>176.32</v>
      </c>
      <c r="E506">
        <v>77</v>
      </c>
      <c r="F506">
        <v>28446</v>
      </c>
      <c r="G506" t="s">
        <v>9</v>
      </c>
      <c r="H506">
        <v>60</v>
      </c>
      <c r="I506" t="s">
        <v>108</v>
      </c>
    </row>
    <row r="507" spans="1:9" x14ac:dyDescent="0.6">
      <c r="A507">
        <v>532</v>
      </c>
      <c r="B507" t="s">
        <v>14</v>
      </c>
      <c r="C507" t="s">
        <v>8</v>
      </c>
      <c r="D507">
        <v>304.49</v>
      </c>
      <c r="E507">
        <v>161.16</v>
      </c>
      <c r="F507">
        <v>21856</v>
      </c>
      <c r="G507" t="s">
        <v>9</v>
      </c>
      <c r="H507">
        <v>60</v>
      </c>
      <c r="I507" t="s">
        <v>90</v>
      </c>
    </row>
    <row r="508" spans="1:9" x14ac:dyDescent="0.6">
      <c r="A508">
        <v>529</v>
      </c>
      <c r="B508" t="s">
        <v>14</v>
      </c>
      <c r="C508" t="s">
        <v>8</v>
      </c>
      <c r="D508">
        <v>188.23</v>
      </c>
      <c r="E508">
        <v>116.61</v>
      </c>
      <c r="F508">
        <v>32155</v>
      </c>
      <c r="G508" t="s">
        <v>9</v>
      </c>
      <c r="H508">
        <v>60</v>
      </c>
      <c r="I508" t="s">
        <v>108</v>
      </c>
    </row>
    <row r="509" spans="1:9" x14ac:dyDescent="0.6">
      <c r="A509">
        <v>520</v>
      </c>
      <c r="B509" t="s">
        <v>7</v>
      </c>
      <c r="C509" t="s">
        <v>8</v>
      </c>
      <c r="D509">
        <v>112.64</v>
      </c>
      <c r="E509">
        <v>106.65</v>
      </c>
      <c r="F509">
        <v>31879</v>
      </c>
      <c r="G509" t="s">
        <v>15</v>
      </c>
      <c r="H509">
        <v>60</v>
      </c>
      <c r="I509" t="s">
        <v>108</v>
      </c>
    </row>
    <row r="510" spans="1:9" x14ac:dyDescent="0.6">
      <c r="A510">
        <v>537</v>
      </c>
      <c r="B510" t="s">
        <v>14</v>
      </c>
      <c r="C510" t="s">
        <v>8</v>
      </c>
      <c r="D510">
        <v>191.44</v>
      </c>
      <c r="E510">
        <v>150.32</v>
      </c>
      <c r="F510">
        <v>43024</v>
      </c>
      <c r="G510" t="s">
        <v>9</v>
      </c>
      <c r="H510">
        <v>60</v>
      </c>
      <c r="I510" t="s">
        <v>108</v>
      </c>
    </row>
    <row r="511" spans="1:9" x14ac:dyDescent="0.6">
      <c r="A511">
        <v>550</v>
      </c>
      <c r="B511" t="s">
        <v>7</v>
      </c>
      <c r="C511" t="s">
        <v>8</v>
      </c>
      <c r="D511">
        <v>100.95</v>
      </c>
      <c r="E511">
        <v>117.22</v>
      </c>
      <c r="F511">
        <v>30307</v>
      </c>
      <c r="G511" t="s">
        <v>17</v>
      </c>
      <c r="H511">
        <v>89</v>
      </c>
      <c r="I511" t="s">
        <v>154</v>
      </c>
    </row>
    <row r="512" spans="1:9" x14ac:dyDescent="0.6">
      <c r="A512">
        <v>554</v>
      </c>
      <c r="B512" t="s">
        <v>14</v>
      </c>
      <c r="C512" t="s">
        <v>8</v>
      </c>
      <c r="D512">
        <v>220.31</v>
      </c>
      <c r="E512">
        <v>157.63</v>
      </c>
      <c r="F512">
        <v>24552</v>
      </c>
      <c r="G512" t="s">
        <v>9</v>
      </c>
      <c r="H512">
        <v>50</v>
      </c>
      <c r="I512" t="s">
        <v>90</v>
      </c>
    </row>
    <row r="513" spans="1:9" x14ac:dyDescent="0.6">
      <c r="A513">
        <v>545</v>
      </c>
      <c r="B513" t="s">
        <v>14</v>
      </c>
      <c r="C513" t="s">
        <v>8</v>
      </c>
      <c r="D513">
        <v>182.47</v>
      </c>
      <c r="E513">
        <v>135.30000000000001</v>
      </c>
      <c r="F513">
        <v>51939</v>
      </c>
      <c r="G513" t="s">
        <v>9</v>
      </c>
      <c r="H513">
        <v>50</v>
      </c>
      <c r="I513" t="s">
        <v>108</v>
      </c>
    </row>
    <row r="514" spans="1:9" x14ac:dyDescent="0.6">
      <c r="A514">
        <v>549</v>
      </c>
      <c r="B514" t="s">
        <v>7</v>
      </c>
      <c r="C514" t="s">
        <v>8</v>
      </c>
      <c r="D514">
        <v>219.38</v>
      </c>
      <c r="E514">
        <v>197.6</v>
      </c>
      <c r="F514">
        <v>20998</v>
      </c>
      <c r="G514" t="s">
        <v>9</v>
      </c>
      <c r="H514">
        <v>50</v>
      </c>
      <c r="I514" t="s">
        <v>90</v>
      </c>
    </row>
    <row r="515" spans="1:9" x14ac:dyDescent="0.6">
      <c r="A515">
        <v>546</v>
      </c>
      <c r="B515" t="s">
        <v>14</v>
      </c>
      <c r="C515" t="s">
        <v>8</v>
      </c>
      <c r="D515">
        <v>223.1</v>
      </c>
      <c r="E515">
        <v>144.74</v>
      </c>
      <c r="F515">
        <v>26232</v>
      </c>
      <c r="G515" t="s">
        <v>9</v>
      </c>
      <c r="H515">
        <v>70</v>
      </c>
      <c r="I515" t="s">
        <v>108</v>
      </c>
    </row>
    <row r="516" spans="1:9" x14ac:dyDescent="0.6">
      <c r="A516">
        <v>530</v>
      </c>
      <c r="B516" t="s">
        <v>14</v>
      </c>
      <c r="C516" t="s">
        <v>8</v>
      </c>
      <c r="D516">
        <v>204.06</v>
      </c>
      <c r="E516">
        <v>166.08</v>
      </c>
      <c r="F516">
        <v>19229</v>
      </c>
      <c r="G516" t="s">
        <v>9</v>
      </c>
      <c r="H516">
        <v>60</v>
      </c>
      <c r="I516" t="s">
        <v>90</v>
      </c>
    </row>
    <row r="517" spans="1:9" x14ac:dyDescent="0.6">
      <c r="A517">
        <v>551</v>
      </c>
      <c r="B517" t="s">
        <v>7</v>
      </c>
      <c r="C517" t="s">
        <v>8</v>
      </c>
      <c r="D517">
        <v>155.87</v>
      </c>
      <c r="E517">
        <v>116.78</v>
      </c>
      <c r="F517">
        <v>27966</v>
      </c>
      <c r="G517" t="s">
        <v>15</v>
      </c>
      <c r="H517">
        <v>60</v>
      </c>
      <c r="I517" t="s">
        <v>90</v>
      </c>
    </row>
    <row r="518" spans="1:9" x14ac:dyDescent="0.6">
      <c r="A518">
        <v>561</v>
      </c>
      <c r="B518" t="s">
        <v>14</v>
      </c>
      <c r="C518" t="s">
        <v>8</v>
      </c>
      <c r="D518">
        <v>249.95</v>
      </c>
      <c r="E518">
        <v>193.71</v>
      </c>
      <c r="F518">
        <v>50598</v>
      </c>
      <c r="G518" t="s">
        <v>9</v>
      </c>
      <c r="H518">
        <v>60</v>
      </c>
      <c r="I518" t="s">
        <v>108</v>
      </c>
    </row>
    <row r="519" spans="1:9" x14ac:dyDescent="0.6">
      <c r="A519">
        <v>555</v>
      </c>
      <c r="B519" t="s">
        <v>14</v>
      </c>
      <c r="C519" t="s">
        <v>8</v>
      </c>
      <c r="D519">
        <v>166.71</v>
      </c>
      <c r="E519">
        <v>106.85</v>
      </c>
      <c r="F519">
        <v>39502</v>
      </c>
      <c r="G519" t="s">
        <v>9</v>
      </c>
      <c r="H519">
        <v>60</v>
      </c>
      <c r="I519" t="s">
        <v>90</v>
      </c>
    </row>
    <row r="520" spans="1:9" x14ac:dyDescent="0.6">
      <c r="A520">
        <v>540</v>
      </c>
      <c r="B520" t="s">
        <v>7</v>
      </c>
      <c r="C520" t="s">
        <v>8</v>
      </c>
      <c r="D520">
        <v>323.01</v>
      </c>
      <c r="E520">
        <v>217.65</v>
      </c>
      <c r="F520">
        <v>34642</v>
      </c>
      <c r="G520" t="s">
        <v>9</v>
      </c>
      <c r="H520">
        <v>50</v>
      </c>
      <c r="I520" t="s">
        <v>108</v>
      </c>
    </row>
    <row r="521" spans="1:9" x14ac:dyDescent="0.6">
      <c r="A521">
        <v>543</v>
      </c>
      <c r="B521" t="s">
        <v>14</v>
      </c>
      <c r="C521" t="s">
        <v>8</v>
      </c>
      <c r="D521">
        <v>208.11</v>
      </c>
      <c r="E521">
        <v>155.35</v>
      </c>
      <c r="F521">
        <v>23908</v>
      </c>
      <c r="G521" t="s">
        <v>9</v>
      </c>
      <c r="H521">
        <v>50</v>
      </c>
      <c r="I521" t="s">
        <v>90</v>
      </c>
    </row>
    <row r="522" spans="1:9" x14ac:dyDescent="0.6">
      <c r="A522">
        <v>556</v>
      </c>
      <c r="B522" t="s">
        <v>14</v>
      </c>
      <c r="C522" t="s">
        <v>8</v>
      </c>
      <c r="D522">
        <v>146.22</v>
      </c>
      <c r="E522">
        <v>121.6</v>
      </c>
      <c r="F522">
        <v>37105</v>
      </c>
      <c r="G522" t="s">
        <v>15</v>
      </c>
      <c r="H522">
        <v>60</v>
      </c>
      <c r="I522" t="s">
        <v>90</v>
      </c>
    </row>
    <row r="523" spans="1:9" x14ac:dyDescent="0.6">
      <c r="A523">
        <v>560</v>
      </c>
      <c r="B523" t="s">
        <v>7</v>
      </c>
      <c r="C523" t="s">
        <v>8</v>
      </c>
      <c r="D523">
        <v>195.62</v>
      </c>
      <c r="E523">
        <v>115.81</v>
      </c>
      <c r="F523">
        <v>26705</v>
      </c>
      <c r="G523" t="s">
        <v>9</v>
      </c>
      <c r="H523">
        <v>60</v>
      </c>
      <c r="I523" t="s">
        <v>90</v>
      </c>
    </row>
    <row r="524" spans="1:9" x14ac:dyDescent="0.6">
      <c r="A524">
        <v>562</v>
      </c>
      <c r="B524" t="s">
        <v>14</v>
      </c>
      <c r="C524" t="s">
        <v>8</v>
      </c>
      <c r="D524">
        <v>218.82</v>
      </c>
      <c r="E524">
        <v>147.5</v>
      </c>
      <c r="F524">
        <v>21550</v>
      </c>
      <c r="G524" t="s">
        <v>9</v>
      </c>
      <c r="H524">
        <v>50</v>
      </c>
      <c r="I524" t="s">
        <v>90</v>
      </c>
    </row>
    <row r="525" spans="1:9" x14ac:dyDescent="0.6">
      <c r="A525">
        <v>534</v>
      </c>
      <c r="B525" t="s">
        <v>14</v>
      </c>
      <c r="C525" t="s">
        <v>8</v>
      </c>
      <c r="D525">
        <v>178.81</v>
      </c>
      <c r="E525">
        <v>181.9</v>
      </c>
      <c r="F525">
        <v>27165</v>
      </c>
      <c r="G525" t="s">
        <v>9</v>
      </c>
      <c r="H525">
        <v>70</v>
      </c>
      <c r="I525" t="s">
        <v>90</v>
      </c>
    </row>
    <row r="526" spans="1:9" x14ac:dyDescent="0.6">
      <c r="A526">
        <v>558</v>
      </c>
      <c r="B526" t="s">
        <v>7</v>
      </c>
      <c r="C526" t="s">
        <v>8</v>
      </c>
      <c r="D526">
        <v>221.84</v>
      </c>
      <c r="E526">
        <v>143.44</v>
      </c>
      <c r="F526">
        <v>43241</v>
      </c>
      <c r="G526" t="s">
        <v>9</v>
      </c>
      <c r="H526">
        <v>50</v>
      </c>
      <c r="I526" t="s">
        <v>108</v>
      </c>
    </row>
    <row r="527" spans="1:9" x14ac:dyDescent="0.6">
      <c r="A527">
        <v>542</v>
      </c>
      <c r="B527" t="s">
        <v>7</v>
      </c>
      <c r="C527" t="s">
        <v>8</v>
      </c>
      <c r="D527">
        <v>212.16</v>
      </c>
      <c r="E527">
        <v>155.91</v>
      </c>
      <c r="F527">
        <v>45991</v>
      </c>
      <c r="G527" t="s">
        <v>9</v>
      </c>
      <c r="H527">
        <v>50</v>
      </c>
      <c r="I527" t="s">
        <v>108</v>
      </c>
    </row>
    <row r="528" spans="1:9" x14ac:dyDescent="0.6">
      <c r="A528">
        <v>557</v>
      </c>
      <c r="B528" t="s">
        <v>14</v>
      </c>
      <c r="C528" t="s">
        <v>8</v>
      </c>
      <c r="D528">
        <v>209.49</v>
      </c>
      <c r="E528">
        <v>133.07</v>
      </c>
      <c r="F528">
        <v>32945</v>
      </c>
      <c r="G528" t="s">
        <v>9</v>
      </c>
      <c r="H528">
        <v>50</v>
      </c>
      <c r="I528" t="s">
        <v>108</v>
      </c>
    </row>
    <row r="529" spans="1:9" x14ac:dyDescent="0.6">
      <c r="A529">
        <v>544</v>
      </c>
      <c r="B529" t="s">
        <v>14</v>
      </c>
      <c r="C529" t="s">
        <v>8</v>
      </c>
      <c r="D529">
        <v>267.41000000000003</v>
      </c>
      <c r="E529">
        <v>133.32</v>
      </c>
      <c r="F529">
        <v>17286</v>
      </c>
      <c r="G529" t="s">
        <v>9</v>
      </c>
      <c r="H529">
        <v>60</v>
      </c>
      <c r="I529" t="s">
        <v>90</v>
      </c>
    </row>
    <row r="530" spans="1:9" x14ac:dyDescent="0.6">
      <c r="A530">
        <v>565</v>
      </c>
      <c r="B530" t="s">
        <v>14</v>
      </c>
      <c r="C530" t="s">
        <v>8</v>
      </c>
      <c r="D530">
        <v>415.73</v>
      </c>
      <c r="E530">
        <v>271.01</v>
      </c>
      <c r="F530">
        <v>25914</v>
      </c>
      <c r="G530" t="s">
        <v>9</v>
      </c>
      <c r="H530">
        <v>60</v>
      </c>
      <c r="I530" t="s">
        <v>90</v>
      </c>
    </row>
    <row r="531" spans="1:9" x14ac:dyDescent="0.6">
      <c r="A531">
        <v>552</v>
      </c>
      <c r="B531" t="s">
        <v>14</v>
      </c>
      <c r="C531" t="s">
        <v>8</v>
      </c>
      <c r="D531">
        <v>147.58000000000001</v>
      </c>
      <c r="E531">
        <v>117.45</v>
      </c>
      <c r="F531">
        <v>40440</v>
      </c>
      <c r="G531" t="s">
        <v>15</v>
      </c>
      <c r="H531">
        <v>70</v>
      </c>
      <c r="I531" t="s">
        <v>90</v>
      </c>
    </row>
    <row r="532" spans="1:9" x14ac:dyDescent="0.6">
      <c r="A532">
        <v>564</v>
      </c>
      <c r="B532" t="s">
        <v>14</v>
      </c>
      <c r="C532" t="s">
        <v>8</v>
      </c>
      <c r="D532">
        <v>361.75</v>
      </c>
      <c r="E532">
        <v>229.11</v>
      </c>
      <c r="F532">
        <v>16459</v>
      </c>
      <c r="G532" t="s">
        <v>9</v>
      </c>
      <c r="H532">
        <v>50</v>
      </c>
      <c r="I532" t="s">
        <v>90</v>
      </c>
    </row>
    <row r="533" spans="1:9" x14ac:dyDescent="0.6">
      <c r="A533">
        <v>574</v>
      </c>
      <c r="B533" t="s">
        <v>14</v>
      </c>
      <c r="C533" t="s">
        <v>8</v>
      </c>
      <c r="D533">
        <v>100.84</v>
      </c>
      <c r="E533">
        <v>100.9</v>
      </c>
      <c r="F533">
        <v>27568</v>
      </c>
      <c r="G533" t="s">
        <v>17</v>
      </c>
      <c r="H533">
        <v>60</v>
      </c>
      <c r="I533" t="s">
        <v>90</v>
      </c>
    </row>
    <row r="534" spans="1:9" x14ac:dyDescent="0.6">
      <c r="A534">
        <v>566</v>
      </c>
      <c r="B534" t="s">
        <v>7</v>
      </c>
      <c r="C534" t="s">
        <v>8</v>
      </c>
      <c r="D534">
        <v>169.75</v>
      </c>
      <c r="E534">
        <v>102.54</v>
      </c>
      <c r="F534">
        <v>31195</v>
      </c>
      <c r="G534" t="s">
        <v>9</v>
      </c>
      <c r="H534">
        <v>70</v>
      </c>
      <c r="I534" t="s">
        <v>90</v>
      </c>
    </row>
    <row r="535" spans="1:9" x14ac:dyDescent="0.6">
      <c r="A535">
        <v>573</v>
      </c>
      <c r="B535" t="s">
        <v>14</v>
      </c>
      <c r="C535" t="s">
        <v>8</v>
      </c>
      <c r="D535">
        <v>225.48</v>
      </c>
      <c r="E535">
        <v>148.35</v>
      </c>
      <c r="F535">
        <v>21357</v>
      </c>
      <c r="G535" t="s">
        <v>9</v>
      </c>
      <c r="H535">
        <v>60</v>
      </c>
      <c r="I535" t="s">
        <v>90</v>
      </c>
    </row>
    <row r="536" spans="1:9" x14ac:dyDescent="0.6">
      <c r="A536">
        <v>569</v>
      </c>
      <c r="B536" t="s">
        <v>7</v>
      </c>
      <c r="C536" t="s">
        <v>8</v>
      </c>
      <c r="D536">
        <v>171.69</v>
      </c>
      <c r="E536">
        <v>142.80000000000001</v>
      </c>
      <c r="F536">
        <v>35845</v>
      </c>
      <c r="G536" t="s">
        <v>9</v>
      </c>
      <c r="H536">
        <v>80</v>
      </c>
      <c r="I536" t="s">
        <v>108</v>
      </c>
    </row>
    <row r="537" spans="1:9" x14ac:dyDescent="0.6">
      <c r="A537">
        <v>548</v>
      </c>
      <c r="B537" t="s">
        <v>14</v>
      </c>
      <c r="C537" t="s">
        <v>8</v>
      </c>
      <c r="D537">
        <v>204.91</v>
      </c>
      <c r="E537">
        <v>181.49</v>
      </c>
      <c r="F537">
        <v>24682</v>
      </c>
      <c r="G537" t="s">
        <v>9</v>
      </c>
      <c r="H537">
        <v>50</v>
      </c>
      <c r="I537" t="s">
        <v>108</v>
      </c>
    </row>
    <row r="538" spans="1:9" x14ac:dyDescent="0.6">
      <c r="A538">
        <v>571</v>
      </c>
      <c r="B538" t="s">
        <v>14</v>
      </c>
      <c r="C538" t="s">
        <v>8</v>
      </c>
      <c r="D538">
        <v>139.53</v>
      </c>
      <c r="E538">
        <v>133.9</v>
      </c>
      <c r="F538">
        <v>44642</v>
      </c>
      <c r="G538" t="s">
        <v>15</v>
      </c>
      <c r="H538">
        <v>60</v>
      </c>
      <c r="I538" t="s">
        <v>108</v>
      </c>
    </row>
    <row r="539" spans="1:9" x14ac:dyDescent="0.6">
      <c r="A539">
        <v>568</v>
      </c>
      <c r="B539" t="s">
        <v>7</v>
      </c>
      <c r="C539" t="s">
        <v>8</v>
      </c>
      <c r="D539">
        <v>236.59</v>
      </c>
      <c r="E539">
        <v>165.6</v>
      </c>
      <c r="F539">
        <v>43486</v>
      </c>
      <c r="G539" t="s">
        <v>9</v>
      </c>
      <c r="H539">
        <v>60</v>
      </c>
      <c r="I539" t="s">
        <v>108</v>
      </c>
    </row>
    <row r="540" spans="1:9" x14ac:dyDescent="0.6">
      <c r="A540">
        <v>567</v>
      </c>
      <c r="B540" t="s">
        <v>14</v>
      </c>
      <c r="C540" t="s">
        <v>8</v>
      </c>
      <c r="D540">
        <v>165.45</v>
      </c>
      <c r="E540">
        <v>89.44</v>
      </c>
      <c r="F540">
        <v>28508</v>
      </c>
      <c r="G540" t="s">
        <v>9</v>
      </c>
      <c r="H540">
        <v>60</v>
      </c>
      <c r="I540" t="s">
        <v>90</v>
      </c>
    </row>
    <row r="541" spans="1:9" x14ac:dyDescent="0.6">
      <c r="A541">
        <v>577</v>
      </c>
      <c r="B541" t="s">
        <v>7</v>
      </c>
      <c r="C541" t="s">
        <v>8</v>
      </c>
      <c r="D541">
        <v>244.86</v>
      </c>
      <c r="E541">
        <v>145.96</v>
      </c>
      <c r="F541">
        <v>21190</v>
      </c>
      <c r="G541" t="s">
        <v>9</v>
      </c>
      <c r="H541">
        <v>50</v>
      </c>
      <c r="I541" t="s">
        <v>90</v>
      </c>
    </row>
    <row r="542" spans="1:9" x14ac:dyDescent="0.6">
      <c r="A542">
        <v>572</v>
      </c>
      <c r="B542" t="s">
        <v>14</v>
      </c>
      <c r="C542" t="s">
        <v>8</v>
      </c>
      <c r="D542">
        <v>193.54</v>
      </c>
      <c r="E542">
        <v>127.96</v>
      </c>
      <c r="F542">
        <v>41888</v>
      </c>
      <c r="G542" t="s">
        <v>9</v>
      </c>
      <c r="H542">
        <v>50</v>
      </c>
      <c r="I542" t="s">
        <v>108</v>
      </c>
    </row>
    <row r="543" spans="1:9" x14ac:dyDescent="0.6">
      <c r="A543">
        <v>563</v>
      </c>
      <c r="B543" t="s">
        <v>14</v>
      </c>
      <c r="C543" t="s">
        <v>8</v>
      </c>
      <c r="D543">
        <v>213.5</v>
      </c>
      <c r="E543">
        <v>154.62</v>
      </c>
      <c r="F543">
        <v>38475</v>
      </c>
      <c r="G543" t="s">
        <v>9</v>
      </c>
      <c r="H543">
        <v>60</v>
      </c>
      <c r="I543" t="s">
        <v>108</v>
      </c>
    </row>
    <row r="544" spans="1:9" x14ac:dyDescent="0.6">
      <c r="A544">
        <v>575</v>
      </c>
      <c r="B544" t="s">
        <v>7</v>
      </c>
      <c r="C544" t="s">
        <v>8</v>
      </c>
      <c r="D544">
        <v>202.08</v>
      </c>
      <c r="E544">
        <v>147.69999999999999</v>
      </c>
      <c r="F544">
        <v>41669</v>
      </c>
      <c r="G544" t="s">
        <v>9</v>
      </c>
      <c r="H544">
        <v>60</v>
      </c>
      <c r="I544" t="s">
        <v>108</v>
      </c>
    </row>
    <row r="545" spans="1:9" x14ac:dyDescent="0.6">
      <c r="A545">
        <v>592</v>
      </c>
      <c r="B545" t="s">
        <v>14</v>
      </c>
      <c r="C545" t="s">
        <v>8</v>
      </c>
      <c r="D545">
        <v>176.38</v>
      </c>
      <c r="E545">
        <v>87.3</v>
      </c>
      <c r="F545">
        <v>23166</v>
      </c>
      <c r="G545" t="s">
        <v>9</v>
      </c>
      <c r="H545">
        <v>50</v>
      </c>
      <c r="I545" t="s">
        <v>90</v>
      </c>
    </row>
    <row r="546" spans="1:9" x14ac:dyDescent="0.6">
      <c r="A546">
        <v>580</v>
      </c>
      <c r="B546" t="s">
        <v>7</v>
      </c>
      <c r="C546" t="s">
        <v>8</v>
      </c>
      <c r="D546">
        <v>220.14</v>
      </c>
      <c r="E546">
        <v>149.38</v>
      </c>
      <c r="F546">
        <v>25266</v>
      </c>
      <c r="G546" t="s">
        <v>9</v>
      </c>
      <c r="H546">
        <v>50</v>
      </c>
      <c r="I546" t="s">
        <v>90</v>
      </c>
    </row>
    <row r="547" spans="1:9" x14ac:dyDescent="0.6">
      <c r="A547">
        <v>587</v>
      </c>
      <c r="B547" t="s">
        <v>14</v>
      </c>
      <c r="C547" t="s">
        <v>8</v>
      </c>
      <c r="D547">
        <v>145.22</v>
      </c>
      <c r="E547">
        <v>137.1</v>
      </c>
      <c r="F547">
        <v>71231</v>
      </c>
      <c r="G547" t="s">
        <v>15</v>
      </c>
      <c r="H547">
        <v>80</v>
      </c>
      <c r="I547" t="s">
        <v>108</v>
      </c>
    </row>
    <row r="548" spans="1:9" x14ac:dyDescent="0.6">
      <c r="A548">
        <v>559</v>
      </c>
      <c r="B548" t="s">
        <v>7</v>
      </c>
      <c r="C548" t="s">
        <v>8</v>
      </c>
      <c r="D548">
        <v>308.52999999999997</v>
      </c>
      <c r="E548">
        <v>172.89</v>
      </c>
      <c r="F548">
        <v>19109</v>
      </c>
      <c r="G548" t="s">
        <v>9</v>
      </c>
      <c r="H548">
        <v>50</v>
      </c>
      <c r="I548" t="s">
        <v>90</v>
      </c>
    </row>
    <row r="549" spans="1:9" x14ac:dyDescent="0.6">
      <c r="A549">
        <v>582</v>
      </c>
      <c r="B549" t="s">
        <v>14</v>
      </c>
      <c r="C549" t="s">
        <v>8</v>
      </c>
      <c r="D549">
        <v>196.61</v>
      </c>
      <c r="E549">
        <v>138.58000000000001</v>
      </c>
      <c r="F549">
        <v>22653</v>
      </c>
      <c r="G549" t="s">
        <v>9</v>
      </c>
      <c r="H549">
        <v>50</v>
      </c>
      <c r="I549" t="s">
        <v>90</v>
      </c>
    </row>
    <row r="550" spans="1:9" x14ac:dyDescent="0.6">
      <c r="A550">
        <v>599</v>
      </c>
      <c r="B550" t="s">
        <v>14</v>
      </c>
      <c r="C550" t="s">
        <v>8</v>
      </c>
      <c r="D550">
        <v>226.37</v>
      </c>
      <c r="E550">
        <v>187.5</v>
      </c>
      <c r="F550">
        <v>19857</v>
      </c>
      <c r="G550" t="s">
        <v>9</v>
      </c>
      <c r="H550">
        <v>50</v>
      </c>
      <c r="I550" t="s">
        <v>90</v>
      </c>
    </row>
    <row r="551" spans="1:9" x14ac:dyDescent="0.6">
      <c r="A551">
        <v>584</v>
      </c>
      <c r="B551" t="s">
        <v>7</v>
      </c>
      <c r="C551" t="s">
        <v>8</v>
      </c>
      <c r="D551">
        <v>180.28</v>
      </c>
      <c r="E551">
        <v>140.83000000000001</v>
      </c>
      <c r="F551">
        <v>20542</v>
      </c>
      <c r="G551" t="s">
        <v>9</v>
      </c>
      <c r="H551">
        <v>60</v>
      </c>
      <c r="I551" t="s">
        <v>90</v>
      </c>
    </row>
    <row r="552" spans="1:9" x14ac:dyDescent="0.6">
      <c r="A552">
        <v>578</v>
      </c>
      <c r="B552" t="s">
        <v>7</v>
      </c>
      <c r="C552" t="s">
        <v>8</v>
      </c>
      <c r="D552">
        <v>279.66000000000003</v>
      </c>
      <c r="E552">
        <v>222.42</v>
      </c>
      <c r="F552">
        <v>24360</v>
      </c>
      <c r="G552" t="s">
        <v>9</v>
      </c>
      <c r="H552">
        <v>60</v>
      </c>
      <c r="I552" t="s">
        <v>108</v>
      </c>
    </row>
    <row r="553" spans="1:9" x14ac:dyDescent="0.6">
      <c r="A553">
        <v>588</v>
      </c>
      <c r="B553" t="s">
        <v>14</v>
      </c>
      <c r="C553" t="s">
        <v>8</v>
      </c>
      <c r="D553">
        <v>176.64</v>
      </c>
      <c r="E553">
        <v>160.13999999999999</v>
      </c>
      <c r="F553">
        <v>34183</v>
      </c>
      <c r="G553" t="s">
        <v>9</v>
      </c>
      <c r="H553">
        <v>60</v>
      </c>
      <c r="I553" t="s">
        <v>90</v>
      </c>
    </row>
    <row r="554" spans="1:9" x14ac:dyDescent="0.6">
      <c r="A554">
        <v>590</v>
      </c>
      <c r="B554" t="s">
        <v>14</v>
      </c>
      <c r="C554" t="s">
        <v>8</v>
      </c>
      <c r="D554">
        <v>271.69</v>
      </c>
      <c r="E554">
        <v>247.11</v>
      </c>
      <c r="F554">
        <v>48303</v>
      </c>
      <c r="G554" t="s">
        <v>9</v>
      </c>
      <c r="H554">
        <v>70</v>
      </c>
      <c r="I554" t="s">
        <v>108</v>
      </c>
    </row>
    <row r="555" spans="1:9" x14ac:dyDescent="0.6">
      <c r="A555">
        <v>576</v>
      </c>
      <c r="B555" t="s">
        <v>7</v>
      </c>
      <c r="C555" t="s">
        <v>8</v>
      </c>
      <c r="D555">
        <v>230.71</v>
      </c>
      <c r="E555">
        <v>174.2</v>
      </c>
      <c r="F555">
        <v>24576</v>
      </c>
      <c r="G555" t="s">
        <v>9</v>
      </c>
      <c r="H555">
        <v>60</v>
      </c>
      <c r="I555" t="s">
        <v>90</v>
      </c>
    </row>
    <row r="556" spans="1:9" x14ac:dyDescent="0.6">
      <c r="A556">
        <v>607</v>
      </c>
      <c r="B556" t="s">
        <v>14</v>
      </c>
      <c r="C556" t="s">
        <v>8</v>
      </c>
      <c r="D556">
        <v>206.93</v>
      </c>
      <c r="E556">
        <v>167.44</v>
      </c>
      <c r="F556">
        <v>21287</v>
      </c>
      <c r="G556" t="s">
        <v>9</v>
      </c>
      <c r="H556">
        <v>50</v>
      </c>
      <c r="I556" t="s">
        <v>90</v>
      </c>
    </row>
    <row r="557" spans="1:9" x14ac:dyDescent="0.6">
      <c r="A557">
        <v>604</v>
      </c>
      <c r="B557" t="s">
        <v>14</v>
      </c>
      <c r="C557" t="s">
        <v>8</v>
      </c>
      <c r="D557">
        <v>181.04</v>
      </c>
      <c r="E557">
        <v>97.66</v>
      </c>
      <c r="F557">
        <v>18066</v>
      </c>
      <c r="G557" t="s">
        <v>9</v>
      </c>
      <c r="H557">
        <v>70</v>
      </c>
      <c r="I557" t="s">
        <v>90</v>
      </c>
    </row>
    <row r="558" spans="1:9" x14ac:dyDescent="0.6">
      <c r="A558">
        <v>585</v>
      </c>
      <c r="B558" t="s">
        <v>7</v>
      </c>
      <c r="C558" t="s">
        <v>8</v>
      </c>
      <c r="D558">
        <v>290.82</v>
      </c>
      <c r="E558">
        <v>171.49</v>
      </c>
      <c r="F558">
        <v>30794</v>
      </c>
      <c r="G558" t="s">
        <v>9</v>
      </c>
      <c r="H558">
        <v>50</v>
      </c>
      <c r="I558" t="s">
        <v>90</v>
      </c>
    </row>
    <row r="559" spans="1:9" x14ac:dyDescent="0.6">
      <c r="A559">
        <v>603</v>
      </c>
      <c r="B559" t="s">
        <v>14</v>
      </c>
      <c r="C559" t="s">
        <v>8</v>
      </c>
      <c r="D559">
        <v>153.53</v>
      </c>
      <c r="E559">
        <v>123.33</v>
      </c>
      <c r="F559">
        <v>19252</v>
      </c>
      <c r="G559" t="s">
        <v>15</v>
      </c>
      <c r="H559">
        <v>60</v>
      </c>
      <c r="I559" t="s">
        <v>90</v>
      </c>
    </row>
    <row r="560" spans="1:9" x14ac:dyDescent="0.6">
      <c r="A560">
        <v>610</v>
      </c>
      <c r="B560" t="s">
        <v>14</v>
      </c>
      <c r="C560" t="s">
        <v>8</v>
      </c>
      <c r="D560">
        <v>166.66</v>
      </c>
      <c r="E560">
        <v>161.27000000000001</v>
      </c>
      <c r="F560">
        <v>59136</v>
      </c>
      <c r="G560" t="s">
        <v>9</v>
      </c>
      <c r="H560">
        <v>70</v>
      </c>
      <c r="I560" t="s">
        <v>108</v>
      </c>
    </row>
    <row r="561" spans="1:9" x14ac:dyDescent="0.6">
      <c r="A561">
        <v>596</v>
      </c>
      <c r="B561" t="s">
        <v>14</v>
      </c>
      <c r="C561" t="s">
        <v>8</v>
      </c>
      <c r="D561">
        <v>236.16</v>
      </c>
      <c r="E561">
        <v>130.79</v>
      </c>
      <c r="F561">
        <v>16058</v>
      </c>
      <c r="G561" t="s">
        <v>9</v>
      </c>
      <c r="H561">
        <v>60</v>
      </c>
      <c r="I561" t="s">
        <v>90</v>
      </c>
    </row>
    <row r="562" spans="1:9" x14ac:dyDescent="0.6">
      <c r="A562">
        <v>581</v>
      </c>
      <c r="B562" t="s">
        <v>7</v>
      </c>
      <c r="C562" t="s">
        <v>8</v>
      </c>
      <c r="D562">
        <v>202.75</v>
      </c>
      <c r="E562">
        <v>118.52</v>
      </c>
      <c r="F562">
        <v>33916</v>
      </c>
      <c r="G562" t="s">
        <v>9</v>
      </c>
      <c r="H562">
        <v>70</v>
      </c>
      <c r="I562" t="s">
        <v>90</v>
      </c>
    </row>
    <row r="563" spans="1:9" x14ac:dyDescent="0.6">
      <c r="A563">
        <v>586</v>
      </c>
      <c r="B563" t="s">
        <v>14</v>
      </c>
      <c r="C563" t="s">
        <v>8</v>
      </c>
      <c r="D563">
        <v>221.02</v>
      </c>
      <c r="E563">
        <v>194.61</v>
      </c>
      <c r="F563">
        <v>31672</v>
      </c>
      <c r="G563" t="s">
        <v>9</v>
      </c>
      <c r="H563">
        <v>80</v>
      </c>
      <c r="I563" t="s">
        <v>108</v>
      </c>
    </row>
    <row r="564" spans="1:9" x14ac:dyDescent="0.6">
      <c r="A564">
        <v>608</v>
      </c>
      <c r="B564" t="s">
        <v>7</v>
      </c>
      <c r="C564" t="s">
        <v>8</v>
      </c>
      <c r="D564">
        <v>137.07</v>
      </c>
      <c r="E564">
        <v>159.88</v>
      </c>
      <c r="F564">
        <v>17764</v>
      </c>
      <c r="G564" t="s">
        <v>15</v>
      </c>
      <c r="H564">
        <v>70</v>
      </c>
      <c r="I564" t="s">
        <v>90</v>
      </c>
    </row>
    <row r="565" spans="1:9" x14ac:dyDescent="0.6">
      <c r="A565">
        <v>570</v>
      </c>
      <c r="B565" t="s">
        <v>14</v>
      </c>
      <c r="C565" t="s">
        <v>8</v>
      </c>
      <c r="D565">
        <v>116.08</v>
      </c>
      <c r="E565">
        <v>139.63999999999999</v>
      </c>
      <c r="F565">
        <v>66263</v>
      </c>
      <c r="G565" t="s">
        <v>15</v>
      </c>
      <c r="H565">
        <v>50</v>
      </c>
      <c r="I565" t="s">
        <v>108</v>
      </c>
    </row>
    <row r="566" spans="1:9" x14ac:dyDescent="0.6">
      <c r="A566">
        <v>602</v>
      </c>
      <c r="B566" t="s">
        <v>14</v>
      </c>
      <c r="C566" t="s">
        <v>8</v>
      </c>
      <c r="D566">
        <v>176.21</v>
      </c>
      <c r="E566">
        <v>174.72</v>
      </c>
      <c r="F566">
        <v>40703</v>
      </c>
      <c r="G566" t="s">
        <v>9</v>
      </c>
      <c r="H566">
        <v>60</v>
      </c>
      <c r="I566" t="s">
        <v>108</v>
      </c>
    </row>
    <row r="567" spans="1:9" x14ac:dyDescent="0.6">
      <c r="A567">
        <v>621</v>
      </c>
      <c r="B567" t="s">
        <v>7</v>
      </c>
      <c r="C567" t="s">
        <v>8</v>
      </c>
      <c r="D567">
        <v>175.49</v>
      </c>
      <c r="E567">
        <v>99.65</v>
      </c>
      <c r="F567">
        <v>15285</v>
      </c>
      <c r="G567" t="s">
        <v>9</v>
      </c>
      <c r="H567">
        <v>50</v>
      </c>
      <c r="I567" t="s">
        <v>90</v>
      </c>
    </row>
    <row r="568" spans="1:9" x14ac:dyDescent="0.6">
      <c r="A568">
        <v>600</v>
      </c>
      <c r="B568" t="s">
        <v>7</v>
      </c>
      <c r="C568" t="s">
        <v>8</v>
      </c>
      <c r="D568">
        <v>272.54000000000002</v>
      </c>
      <c r="E568">
        <v>190.42</v>
      </c>
      <c r="F568">
        <v>20007</v>
      </c>
      <c r="G568" t="s">
        <v>9</v>
      </c>
      <c r="H568">
        <v>50</v>
      </c>
      <c r="I568" t="s">
        <v>108</v>
      </c>
    </row>
    <row r="569" spans="1:9" x14ac:dyDescent="0.6">
      <c r="A569">
        <v>597</v>
      </c>
      <c r="B569" t="s">
        <v>14</v>
      </c>
      <c r="C569" t="s">
        <v>8</v>
      </c>
      <c r="D569">
        <v>129.07</v>
      </c>
      <c r="E569">
        <v>85.34</v>
      </c>
      <c r="F569">
        <v>28544</v>
      </c>
      <c r="G569" t="s">
        <v>15</v>
      </c>
      <c r="H569">
        <v>60</v>
      </c>
      <c r="I569" t="s">
        <v>90</v>
      </c>
    </row>
    <row r="570" spans="1:9" x14ac:dyDescent="0.6">
      <c r="A570">
        <v>627</v>
      </c>
      <c r="B570" t="s">
        <v>14</v>
      </c>
      <c r="C570" t="s">
        <v>8</v>
      </c>
      <c r="D570">
        <v>252.73</v>
      </c>
      <c r="E570">
        <v>234.59</v>
      </c>
      <c r="F570">
        <v>17666</v>
      </c>
      <c r="G570" t="s">
        <v>9</v>
      </c>
      <c r="H570">
        <v>80</v>
      </c>
      <c r="I570" t="s">
        <v>90</v>
      </c>
    </row>
    <row r="571" spans="1:9" x14ac:dyDescent="0.6">
      <c r="A571">
        <v>594</v>
      </c>
      <c r="B571" t="s">
        <v>7</v>
      </c>
      <c r="C571" t="s">
        <v>8</v>
      </c>
      <c r="D571">
        <v>152.44999999999999</v>
      </c>
      <c r="E571">
        <v>100.74</v>
      </c>
      <c r="F571">
        <v>27881</v>
      </c>
      <c r="G571" t="s">
        <v>15</v>
      </c>
      <c r="H571">
        <v>60</v>
      </c>
      <c r="I571" t="s">
        <v>108</v>
      </c>
    </row>
    <row r="572" spans="1:9" x14ac:dyDescent="0.6">
      <c r="A572">
        <v>583</v>
      </c>
      <c r="B572" t="s">
        <v>7</v>
      </c>
      <c r="C572" t="s">
        <v>8</v>
      </c>
      <c r="D572">
        <v>189.29</v>
      </c>
      <c r="E572">
        <v>146.02000000000001</v>
      </c>
      <c r="F572">
        <v>23370</v>
      </c>
      <c r="G572" t="s">
        <v>9</v>
      </c>
      <c r="H572">
        <v>60</v>
      </c>
      <c r="I572" t="s">
        <v>90</v>
      </c>
    </row>
    <row r="573" spans="1:9" x14ac:dyDescent="0.6">
      <c r="A573">
        <v>606</v>
      </c>
      <c r="B573" t="s">
        <v>14</v>
      </c>
      <c r="C573" t="s">
        <v>8</v>
      </c>
      <c r="D573">
        <v>186.16</v>
      </c>
      <c r="E573">
        <v>156.11000000000001</v>
      </c>
      <c r="F573">
        <v>41940</v>
      </c>
      <c r="G573" t="s">
        <v>9</v>
      </c>
      <c r="H573">
        <v>50</v>
      </c>
      <c r="I573" t="s">
        <v>108</v>
      </c>
    </row>
    <row r="574" spans="1:9" x14ac:dyDescent="0.6">
      <c r="A574">
        <v>593</v>
      </c>
      <c r="B574" t="s">
        <v>14</v>
      </c>
      <c r="C574" t="s">
        <v>8</v>
      </c>
      <c r="D574">
        <v>124.84</v>
      </c>
      <c r="E574">
        <v>116.31</v>
      </c>
      <c r="F574">
        <v>52792</v>
      </c>
      <c r="G574" t="s">
        <v>15</v>
      </c>
      <c r="H574">
        <v>50</v>
      </c>
      <c r="I574" t="s">
        <v>108</v>
      </c>
    </row>
    <row r="575" spans="1:9" x14ac:dyDescent="0.6">
      <c r="A575">
        <v>609</v>
      </c>
      <c r="B575" t="s">
        <v>7</v>
      </c>
      <c r="C575" t="s">
        <v>8</v>
      </c>
      <c r="D575">
        <v>142.57</v>
      </c>
      <c r="E575">
        <v>106.01</v>
      </c>
      <c r="F575">
        <v>43933</v>
      </c>
      <c r="G575" t="s">
        <v>15</v>
      </c>
      <c r="H575">
        <v>60</v>
      </c>
      <c r="I575" t="s">
        <v>108</v>
      </c>
    </row>
    <row r="576" spans="1:9" x14ac:dyDescent="0.6">
      <c r="A576">
        <v>591</v>
      </c>
      <c r="B576" t="s">
        <v>14</v>
      </c>
      <c r="C576" t="s">
        <v>8</v>
      </c>
      <c r="D576">
        <v>250.87</v>
      </c>
      <c r="E576">
        <v>146.13</v>
      </c>
      <c r="F576">
        <v>42849</v>
      </c>
      <c r="G576" t="s">
        <v>9</v>
      </c>
      <c r="H576">
        <v>50</v>
      </c>
      <c r="I576" t="s">
        <v>108</v>
      </c>
    </row>
    <row r="577" spans="1:9" x14ac:dyDescent="0.6">
      <c r="A577">
        <v>614</v>
      </c>
      <c r="B577" t="s">
        <v>7</v>
      </c>
      <c r="C577" t="s">
        <v>8</v>
      </c>
      <c r="D577">
        <v>214.13</v>
      </c>
      <c r="E577">
        <v>132.56</v>
      </c>
      <c r="F577">
        <v>29737</v>
      </c>
      <c r="G577" t="s">
        <v>9</v>
      </c>
      <c r="H577">
        <v>60</v>
      </c>
      <c r="I577" t="s">
        <v>108</v>
      </c>
    </row>
    <row r="578" spans="1:9" x14ac:dyDescent="0.6">
      <c r="A578">
        <v>613</v>
      </c>
      <c r="B578" t="s">
        <v>7</v>
      </c>
      <c r="C578" t="s">
        <v>8</v>
      </c>
      <c r="D578">
        <v>220.86</v>
      </c>
      <c r="E578">
        <v>117.33</v>
      </c>
      <c r="F578">
        <v>33343</v>
      </c>
      <c r="G578" t="s">
        <v>9</v>
      </c>
      <c r="H578">
        <v>50</v>
      </c>
      <c r="I578" t="s">
        <v>108</v>
      </c>
    </row>
    <row r="579" spans="1:9" x14ac:dyDescent="0.6">
      <c r="A579">
        <v>620</v>
      </c>
      <c r="B579" t="s">
        <v>14</v>
      </c>
      <c r="C579" t="s">
        <v>8</v>
      </c>
      <c r="D579">
        <v>148.49</v>
      </c>
      <c r="E579">
        <v>123.75</v>
      </c>
      <c r="F579">
        <v>18825</v>
      </c>
      <c r="G579" t="s">
        <v>15</v>
      </c>
      <c r="H579">
        <v>60</v>
      </c>
      <c r="I579" t="s">
        <v>90</v>
      </c>
    </row>
    <row r="580" spans="1:9" x14ac:dyDescent="0.6">
      <c r="A580">
        <v>612</v>
      </c>
      <c r="B580" t="s">
        <v>14</v>
      </c>
      <c r="C580" t="s">
        <v>8</v>
      </c>
      <c r="D580">
        <v>223.84</v>
      </c>
      <c r="E580">
        <v>115.19</v>
      </c>
      <c r="F580">
        <v>35795</v>
      </c>
      <c r="G580" t="s">
        <v>9</v>
      </c>
      <c r="H580">
        <v>50</v>
      </c>
      <c r="I580" t="s">
        <v>108</v>
      </c>
    </row>
    <row r="581" spans="1:9" x14ac:dyDescent="0.6">
      <c r="A581">
        <v>622</v>
      </c>
      <c r="B581" t="s">
        <v>7</v>
      </c>
      <c r="C581" t="s">
        <v>8</v>
      </c>
      <c r="D581">
        <v>220.9</v>
      </c>
      <c r="E581">
        <v>165</v>
      </c>
      <c r="F581">
        <v>20756</v>
      </c>
      <c r="G581" t="s">
        <v>9</v>
      </c>
      <c r="H581">
        <v>50</v>
      </c>
      <c r="I581" t="s">
        <v>90</v>
      </c>
    </row>
    <row r="582" spans="1:9" x14ac:dyDescent="0.6">
      <c r="A582">
        <v>619</v>
      </c>
      <c r="B582" t="s">
        <v>14</v>
      </c>
      <c r="C582" t="s">
        <v>8</v>
      </c>
      <c r="D582">
        <v>205.29</v>
      </c>
      <c r="E582">
        <v>120.27</v>
      </c>
      <c r="F582">
        <v>31180</v>
      </c>
      <c r="G582" t="s">
        <v>9</v>
      </c>
      <c r="H582">
        <v>60</v>
      </c>
      <c r="I582" t="s">
        <v>90</v>
      </c>
    </row>
    <row r="583" spans="1:9" x14ac:dyDescent="0.6">
      <c r="A583">
        <v>598</v>
      </c>
      <c r="B583" t="s">
        <v>14</v>
      </c>
      <c r="C583" t="s">
        <v>8</v>
      </c>
      <c r="D583">
        <v>169.73</v>
      </c>
      <c r="E583">
        <v>189.14</v>
      </c>
      <c r="F583">
        <v>23969</v>
      </c>
      <c r="G583" t="s">
        <v>9</v>
      </c>
      <c r="H583">
        <v>60</v>
      </c>
      <c r="I583" t="s">
        <v>90</v>
      </c>
    </row>
    <row r="584" spans="1:9" x14ac:dyDescent="0.6">
      <c r="A584">
        <v>611</v>
      </c>
      <c r="B584" t="s">
        <v>7</v>
      </c>
      <c r="C584" t="s">
        <v>8</v>
      </c>
      <c r="D584">
        <v>304.86</v>
      </c>
      <c r="E584">
        <v>202.63</v>
      </c>
      <c r="F584">
        <v>34311</v>
      </c>
      <c r="G584" t="s">
        <v>9</v>
      </c>
      <c r="H584">
        <v>60</v>
      </c>
      <c r="I584" t="s">
        <v>90</v>
      </c>
    </row>
    <row r="585" spans="1:9" x14ac:dyDescent="0.6">
      <c r="A585">
        <v>630</v>
      </c>
      <c r="B585" t="s">
        <v>7</v>
      </c>
      <c r="C585" t="s">
        <v>8</v>
      </c>
      <c r="D585">
        <v>169.43</v>
      </c>
      <c r="E585">
        <v>109.96</v>
      </c>
      <c r="F585">
        <v>21850</v>
      </c>
      <c r="G585" t="s">
        <v>9</v>
      </c>
      <c r="H585">
        <v>60</v>
      </c>
      <c r="I585" t="s">
        <v>90</v>
      </c>
    </row>
    <row r="586" spans="1:9" x14ac:dyDescent="0.6">
      <c r="A586">
        <v>589</v>
      </c>
      <c r="B586" t="s">
        <v>14</v>
      </c>
      <c r="C586" t="s">
        <v>8</v>
      </c>
      <c r="D586">
        <v>310.87</v>
      </c>
      <c r="E586">
        <v>240.38</v>
      </c>
      <c r="F586">
        <v>23985</v>
      </c>
      <c r="G586" t="s">
        <v>9</v>
      </c>
      <c r="H586">
        <v>70</v>
      </c>
      <c r="I586" t="s">
        <v>90</v>
      </c>
    </row>
    <row r="587" spans="1:9" x14ac:dyDescent="0.6">
      <c r="A587">
        <v>615</v>
      </c>
      <c r="B587" t="s">
        <v>7</v>
      </c>
      <c r="C587" t="s">
        <v>8</v>
      </c>
      <c r="D587">
        <v>183.21</v>
      </c>
      <c r="E587">
        <v>167.24</v>
      </c>
      <c r="F587">
        <v>50870</v>
      </c>
      <c r="G587" t="s">
        <v>9</v>
      </c>
      <c r="H587">
        <v>50</v>
      </c>
      <c r="I587" t="s">
        <v>108</v>
      </c>
    </row>
    <row r="588" spans="1:9" x14ac:dyDescent="0.6">
      <c r="A588">
        <v>605</v>
      </c>
      <c r="B588" t="s">
        <v>14</v>
      </c>
      <c r="C588" t="s">
        <v>8</v>
      </c>
      <c r="D588">
        <v>174.78</v>
      </c>
      <c r="E588">
        <v>132.69</v>
      </c>
      <c r="F588">
        <v>23322</v>
      </c>
      <c r="G588" t="s">
        <v>9</v>
      </c>
      <c r="H588">
        <v>70</v>
      </c>
      <c r="I588" t="s">
        <v>90</v>
      </c>
    </row>
    <row r="589" spans="1:9" x14ac:dyDescent="0.6">
      <c r="A589">
        <v>601</v>
      </c>
      <c r="B589" t="s">
        <v>14</v>
      </c>
      <c r="C589" t="s">
        <v>8</v>
      </c>
      <c r="D589">
        <v>195.19</v>
      </c>
      <c r="E589">
        <v>92.59</v>
      </c>
      <c r="F589">
        <v>19847</v>
      </c>
      <c r="G589" t="s">
        <v>9</v>
      </c>
      <c r="H589">
        <v>60</v>
      </c>
      <c r="I589" t="s">
        <v>90</v>
      </c>
    </row>
    <row r="590" spans="1:9" x14ac:dyDescent="0.6">
      <c r="A590">
        <v>595</v>
      </c>
      <c r="B590" t="s">
        <v>7</v>
      </c>
      <c r="C590" t="s">
        <v>8</v>
      </c>
      <c r="D590">
        <v>202.46</v>
      </c>
      <c r="E590">
        <v>115.28</v>
      </c>
      <c r="F590">
        <v>24727</v>
      </c>
      <c r="G590" t="s">
        <v>9</v>
      </c>
      <c r="H590">
        <v>60</v>
      </c>
      <c r="I590" t="s">
        <v>108</v>
      </c>
    </row>
    <row r="591" spans="1:9" x14ac:dyDescent="0.6">
      <c r="A591">
        <v>579</v>
      </c>
      <c r="B591" t="s">
        <v>7</v>
      </c>
      <c r="C591" t="s">
        <v>8</v>
      </c>
      <c r="D591">
        <v>124.69</v>
      </c>
      <c r="E591">
        <v>126.9</v>
      </c>
      <c r="F591">
        <v>37839</v>
      </c>
      <c r="G591" t="s">
        <v>15</v>
      </c>
      <c r="H591">
        <v>60</v>
      </c>
      <c r="I591" t="s">
        <v>108</v>
      </c>
    </row>
    <row r="592" spans="1:9" x14ac:dyDescent="0.6">
      <c r="A592">
        <v>634</v>
      </c>
      <c r="B592" t="s">
        <v>7</v>
      </c>
      <c r="C592" t="s">
        <v>8</v>
      </c>
      <c r="D592">
        <v>192.75</v>
      </c>
      <c r="E592">
        <v>139.81</v>
      </c>
      <c r="F592">
        <v>30815</v>
      </c>
      <c r="G592" t="s">
        <v>9</v>
      </c>
      <c r="H592">
        <v>60</v>
      </c>
      <c r="I592" t="s">
        <v>90</v>
      </c>
    </row>
    <row r="593" spans="1:9" x14ac:dyDescent="0.6">
      <c r="A593">
        <v>623</v>
      </c>
      <c r="B593" t="s">
        <v>7</v>
      </c>
      <c r="C593" t="s">
        <v>8</v>
      </c>
      <c r="D593">
        <v>209.1</v>
      </c>
      <c r="E593">
        <v>137.21</v>
      </c>
      <c r="F593">
        <v>31459</v>
      </c>
      <c r="G593" t="s">
        <v>9</v>
      </c>
      <c r="H593">
        <v>60</v>
      </c>
      <c r="I593" t="s">
        <v>108</v>
      </c>
    </row>
    <row r="594" spans="1:9" x14ac:dyDescent="0.6">
      <c r="A594">
        <v>631</v>
      </c>
      <c r="B594" t="s">
        <v>14</v>
      </c>
      <c r="C594" t="s">
        <v>8</v>
      </c>
      <c r="D594">
        <v>215.14</v>
      </c>
      <c r="E594">
        <v>111.37</v>
      </c>
      <c r="F594">
        <v>41357</v>
      </c>
      <c r="G594" t="s">
        <v>9</v>
      </c>
      <c r="H594">
        <v>60</v>
      </c>
      <c r="I594" t="s">
        <v>108</v>
      </c>
    </row>
    <row r="595" spans="1:9" x14ac:dyDescent="0.6">
      <c r="A595">
        <v>628</v>
      </c>
      <c r="B595" t="s">
        <v>14</v>
      </c>
      <c r="C595" t="s">
        <v>8</v>
      </c>
      <c r="D595">
        <v>187.23</v>
      </c>
      <c r="E595">
        <v>154.84</v>
      </c>
      <c r="F595">
        <v>24933</v>
      </c>
      <c r="G595" t="s">
        <v>9</v>
      </c>
      <c r="H595">
        <v>60</v>
      </c>
      <c r="I595" t="s">
        <v>90</v>
      </c>
    </row>
    <row r="596" spans="1:9" x14ac:dyDescent="0.6">
      <c r="A596">
        <v>625</v>
      </c>
      <c r="B596" t="s">
        <v>14</v>
      </c>
      <c r="C596" t="s">
        <v>8</v>
      </c>
      <c r="D596">
        <v>180.26</v>
      </c>
      <c r="E596">
        <v>141.47</v>
      </c>
      <c r="F596">
        <v>33931</v>
      </c>
      <c r="G596" t="s">
        <v>9</v>
      </c>
      <c r="H596">
        <v>70</v>
      </c>
      <c r="I596" t="s">
        <v>90</v>
      </c>
    </row>
    <row r="597" spans="1:9" x14ac:dyDescent="0.6">
      <c r="A597">
        <v>629</v>
      </c>
      <c r="B597" t="s">
        <v>7</v>
      </c>
      <c r="C597" t="s">
        <v>8</v>
      </c>
      <c r="D597">
        <v>264.60000000000002</v>
      </c>
      <c r="E597">
        <v>191.53</v>
      </c>
      <c r="F597">
        <v>42115</v>
      </c>
      <c r="G597" t="s">
        <v>9</v>
      </c>
      <c r="H597">
        <v>60</v>
      </c>
      <c r="I597" t="s">
        <v>90</v>
      </c>
    </row>
    <row r="598" spans="1:9" x14ac:dyDescent="0.6">
      <c r="A598">
        <v>616</v>
      </c>
      <c r="B598" t="s">
        <v>7</v>
      </c>
      <c r="C598" t="s">
        <v>8</v>
      </c>
      <c r="D598">
        <v>296.38</v>
      </c>
      <c r="E598">
        <v>180.2</v>
      </c>
      <c r="F598">
        <v>46356</v>
      </c>
      <c r="G598" t="s">
        <v>9</v>
      </c>
      <c r="H598">
        <v>50</v>
      </c>
      <c r="I598" t="s">
        <v>90</v>
      </c>
    </row>
    <row r="599" spans="1:9" x14ac:dyDescent="0.6">
      <c r="A599">
        <v>645</v>
      </c>
      <c r="B599" t="s">
        <v>14</v>
      </c>
      <c r="C599" t="s">
        <v>8</v>
      </c>
      <c r="D599">
        <v>221.96</v>
      </c>
      <c r="E599">
        <v>155.11000000000001</v>
      </c>
      <c r="F599">
        <v>20834</v>
      </c>
      <c r="G599" t="s">
        <v>9</v>
      </c>
      <c r="H599">
        <v>60</v>
      </c>
      <c r="I599" t="s">
        <v>90</v>
      </c>
    </row>
    <row r="600" spans="1:9" x14ac:dyDescent="0.6">
      <c r="A600">
        <v>637</v>
      </c>
      <c r="B600" t="s">
        <v>14</v>
      </c>
      <c r="C600" t="s">
        <v>8</v>
      </c>
      <c r="D600">
        <v>165.01</v>
      </c>
      <c r="E600">
        <v>137.41</v>
      </c>
      <c r="F600">
        <v>31669</v>
      </c>
      <c r="G600" t="s">
        <v>9</v>
      </c>
      <c r="H600">
        <v>60</v>
      </c>
      <c r="I600" t="s">
        <v>90</v>
      </c>
    </row>
    <row r="601" spans="1:9" x14ac:dyDescent="0.6">
      <c r="A601">
        <v>624</v>
      </c>
      <c r="B601" t="s">
        <v>14</v>
      </c>
      <c r="C601" t="s">
        <v>8</v>
      </c>
      <c r="D601">
        <v>255.01</v>
      </c>
      <c r="E601">
        <v>205.64</v>
      </c>
      <c r="F601">
        <v>22576</v>
      </c>
      <c r="G601" t="s">
        <v>9</v>
      </c>
      <c r="H601">
        <v>50</v>
      </c>
      <c r="I601" t="s">
        <v>90</v>
      </c>
    </row>
    <row r="602" spans="1:9" x14ac:dyDescent="0.6">
      <c r="A602">
        <v>626</v>
      </c>
      <c r="B602" t="s">
        <v>7</v>
      </c>
      <c r="C602" t="s">
        <v>8</v>
      </c>
      <c r="D602">
        <v>273.3</v>
      </c>
      <c r="E602">
        <v>193.76</v>
      </c>
      <c r="F602">
        <v>39929</v>
      </c>
      <c r="G602" t="s">
        <v>9</v>
      </c>
      <c r="H602">
        <v>60</v>
      </c>
      <c r="I602" t="s">
        <v>108</v>
      </c>
    </row>
    <row r="603" spans="1:9" x14ac:dyDescent="0.6">
      <c r="A603">
        <v>648</v>
      </c>
      <c r="B603" t="s">
        <v>14</v>
      </c>
      <c r="C603" t="s">
        <v>8</v>
      </c>
      <c r="D603">
        <v>145.66999999999999</v>
      </c>
      <c r="E603">
        <v>127.01</v>
      </c>
      <c r="F603">
        <v>24154</v>
      </c>
      <c r="G603" t="s">
        <v>15</v>
      </c>
      <c r="H603">
        <v>70</v>
      </c>
      <c r="I603" t="s">
        <v>90</v>
      </c>
    </row>
    <row r="604" spans="1:9" x14ac:dyDescent="0.6">
      <c r="A604">
        <v>641</v>
      </c>
      <c r="B604" t="s">
        <v>14</v>
      </c>
      <c r="C604" t="s">
        <v>8</v>
      </c>
      <c r="D604">
        <v>263.42</v>
      </c>
      <c r="E604">
        <v>136.75</v>
      </c>
      <c r="F604">
        <v>23927</v>
      </c>
      <c r="G604" t="s">
        <v>9</v>
      </c>
      <c r="H604">
        <v>70</v>
      </c>
      <c r="I604" t="s">
        <v>90</v>
      </c>
    </row>
    <row r="605" spans="1:9" x14ac:dyDescent="0.6">
      <c r="A605">
        <v>635</v>
      </c>
      <c r="B605" t="s">
        <v>14</v>
      </c>
      <c r="C605" t="s">
        <v>8</v>
      </c>
      <c r="D605">
        <v>224.79</v>
      </c>
      <c r="E605">
        <v>117.26</v>
      </c>
      <c r="F605">
        <v>52397</v>
      </c>
      <c r="G605" t="s">
        <v>9</v>
      </c>
      <c r="H605">
        <v>50</v>
      </c>
      <c r="I605" t="s">
        <v>108</v>
      </c>
    </row>
    <row r="606" spans="1:9" x14ac:dyDescent="0.6">
      <c r="A606">
        <v>644</v>
      </c>
      <c r="B606" t="s">
        <v>14</v>
      </c>
      <c r="C606" t="s">
        <v>8</v>
      </c>
      <c r="D606">
        <v>152.62</v>
      </c>
      <c r="E606">
        <v>108.15</v>
      </c>
      <c r="F606">
        <v>18264</v>
      </c>
      <c r="G606" t="s">
        <v>15</v>
      </c>
      <c r="H606">
        <v>50</v>
      </c>
      <c r="I606" t="s">
        <v>90</v>
      </c>
    </row>
    <row r="607" spans="1:9" x14ac:dyDescent="0.6">
      <c r="A607">
        <v>633</v>
      </c>
      <c r="B607" t="s">
        <v>14</v>
      </c>
      <c r="C607" t="s">
        <v>8</v>
      </c>
      <c r="D607">
        <v>265.2</v>
      </c>
      <c r="E607">
        <v>176.59</v>
      </c>
      <c r="F607">
        <v>22148</v>
      </c>
      <c r="G607" t="s">
        <v>9</v>
      </c>
      <c r="H607">
        <v>60</v>
      </c>
      <c r="I607" t="s">
        <v>108</v>
      </c>
    </row>
    <row r="608" spans="1:9" x14ac:dyDescent="0.6">
      <c r="A608">
        <v>638</v>
      </c>
      <c r="B608" t="s">
        <v>14</v>
      </c>
      <c r="C608" t="s">
        <v>8</v>
      </c>
      <c r="D608">
        <v>172.83</v>
      </c>
      <c r="E608">
        <v>161.91</v>
      </c>
      <c r="F608">
        <v>31653</v>
      </c>
      <c r="G608" t="s">
        <v>9</v>
      </c>
      <c r="H608">
        <v>50</v>
      </c>
      <c r="I608" t="s">
        <v>90</v>
      </c>
    </row>
    <row r="609" spans="1:9" x14ac:dyDescent="0.6">
      <c r="A609">
        <v>649</v>
      </c>
      <c r="B609" t="s">
        <v>14</v>
      </c>
      <c r="C609" t="s">
        <v>8</v>
      </c>
      <c r="D609">
        <v>224.13</v>
      </c>
      <c r="E609">
        <v>197.11</v>
      </c>
      <c r="F609">
        <v>28000</v>
      </c>
      <c r="G609" t="s">
        <v>9</v>
      </c>
      <c r="H609">
        <v>50</v>
      </c>
      <c r="I609" t="s">
        <v>90</v>
      </c>
    </row>
    <row r="610" spans="1:9" x14ac:dyDescent="0.6">
      <c r="A610">
        <v>636</v>
      </c>
      <c r="B610" t="s">
        <v>14</v>
      </c>
      <c r="C610" t="s">
        <v>8</v>
      </c>
      <c r="D610">
        <v>256.02</v>
      </c>
      <c r="E610">
        <v>138.26</v>
      </c>
      <c r="F610">
        <v>30421</v>
      </c>
      <c r="G610" t="s">
        <v>9</v>
      </c>
      <c r="H610">
        <v>50</v>
      </c>
      <c r="I610" t="s">
        <v>90</v>
      </c>
    </row>
    <row r="611" spans="1:9" x14ac:dyDescent="0.6">
      <c r="A611">
        <v>652</v>
      </c>
      <c r="B611" t="s">
        <v>14</v>
      </c>
      <c r="C611" t="s">
        <v>8</v>
      </c>
      <c r="D611">
        <v>235.02</v>
      </c>
      <c r="E611">
        <v>162.15</v>
      </c>
      <c r="F611">
        <v>36811</v>
      </c>
      <c r="G611" t="s">
        <v>9</v>
      </c>
      <c r="H611">
        <v>50</v>
      </c>
      <c r="I611" t="s">
        <v>90</v>
      </c>
    </row>
    <row r="612" spans="1:9" x14ac:dyDescent="0.6">
      <c r="A612">
        <v>659</v>
      </c>
      <c r="B612" t="s">
        <v>7</v>
      </c>
      <c r="C612" t="s">
        <v>8</v>
      </c>
      <c r="D612">
        <v>150.13</v>
      </c>
      <c r="E612">
        <v>91.07</v>
      </c>
      <c r="F612">
        <v>29648</v>
      </c>
      <c r="G612" t="s">
        <v>15</v>
      </c>
      <c r="H612">
        <v>70</v>
      </c>
      <c r="I612" t="s">
        <v>108</v>
      </c>
    </row>
    <row r="613" spans="1:9" x14ac:dyDescent="0.6">
      <c r="A613">
        <v>640</v>
      </c>
      <c r="B613" t="s">
        <v>7</v>
      </c>
      <c r="C613" t="s">
        <v>8</v>
      </c>
      <c r="D613">
        <v>146.32</v>
      </c>
      <c r="E613">
        <v>120.77</v>
      </c>
      <c r="F613">
        <v>17633</v>
      </c>
      <c r="G613" t="s">
        <v>15</v>
      </c>
      <c r="H613">
        <v>70</v>
      </c>
      <c r="I613" t="s">
        <v>90</v>
      </c>
    </row>
    <row r="614" spans="1:9" x14ac:dyDescent="0.6">
      <c r="A614">
        <v>646</v>
      </c>
      <c r="B614" t="s">
        <v>14</v>
      </c>
      <c r="C614" t="s">
        <v>8</v>
      </c>
      <c r="D614">
        <v>206.06</v>
      </c>
      <c r="E614">
        <v>130.85</v>
      </c>
      <c r="F614">
        <v>13154</v>
      </c>
      <c r="G614" t="s">
        <v>9</v>
      </c>
      <c r="H614">
        <v>50</v>
      </c>
      <c r="I614" t="s">
        <v>90</v>
      </c>
    </row>
    <row r="615" spans="1:9" x14ac:dyDescent="0.6">
      <c r="A615">
        <v>643</v>
      </c>
      <c r="B615" t="s">
        <v>7</v>
      </c>
      <c r="C615" t="s">
        <v>8</v>
      </c>
      <c r="D615">
        <v>180.34</v>
      </c>
      <c r="E615">
        <v>150.63</v>
      </c>
      <c r="F615">
        <v>30382</v>
      </c>
      <c r="G615" t="s">
        <v>9</v>
      </c>
      <c r="H615">
        <v>50</v>
      </c>
      <c r="I615" t="s">
        <v>90</v>
      </c>
    </row>
    <row r="616" spans="1:9" x14ac:dyDescent="0.6">
      <c r="A616">
        <v>632</v>
      </c>
      <c r="B616" t="s">
        <v>7</v>
      </c>
      <c r="C616" t="s">
        <v>8</v>
      </c>
      <c r="D616">
        <v>175.71</v>
      </c>
      <c r="E616">
        <v>102.18</v>
      </c>
      <c r="F616">
        <v>29452</v>
      </c>
      <c r="G616" t="s">
        <v>9</v>
      </c>
      <c r="H616">
        <v>50</v>
      </c>
      <c r="I616" t="s">
        <v>108</v>
      </c>
    </row>
    <row r="617" spans="1:9" x14ac:dyDescent="0.6">
      <c r="A617">
        <v>647</v>
      </c>
      <c r="B617" t="s">
        <v>14</v>
      </c>
      <c r="C617" t="s">
        <v>8</v>
      </c>
      <c r="D617">
        <v>197.95</v>
      </c>
      <c r="E617">
        <v>175.56</v>
      </c>
      <c r="F617">
        <v>40401</v>
      </c>
      <c r="G617" t="s">
        <v>9</v>
      </c>
      <c r="H617">
        <v>70</v>
      </c>
      <c r="I617" t="s">
        <v>108</v>
      </c>
    </row>
    <row r="618" spans="1:9" x14ac:dyDescent="0.6">
      <c r="A618">
        <v>668</v>
      </c>
      <c r="B618" t="s">
        <v>14</v>
      </c>
      <c r="C618" t="s">
        <v>8</v>
      </c>
      <c r="D618">
        <v>225.28</v>
      </c>
      <c r="E618">
        <v>149.58000000000001</v>
      </c>
      <c r="F618">
        <v>47293</v>
      </c>
      <c r="G618" t="s">
        <v>9</v>
      </c>
      <c r="H618">
        <v>50</v>
      </c>
      <c r="I618" t="s">
        <v>108</v>
      </c>
    </row>
    <row r="619" spans="1:9" x14ac:dyDescent="0.6">
      <c r="A619">
        <v>653</v>
      </c>
      <c r="B619" t="s">
        <v>7</v>
      </c>
      <c r="C619" t="s">
        <v>8</v>
      </c>
      <c r="D619">
        <v>145.63</v>
      </c>
      <c r="E619">
        <v>84.29</v>
      </c>
      <c r="F619">
        <v>33568</v>
      </c>
      <c r="G619" t="s">
        <v>15</v>
      </c>
      <c r="H619">
        <v>70</v>
      </c>
      <c r="I619" t="s">
        <v>90</v>
      </c>
    </row>
    <row r="620" spans="1:9" x14ac:dyDescent="0.6">
      <c r="A620">
        <v>639</v>
      </c>
      <c r="B620" t="s">
        <v>7</v>
      </c>
      <c r="C620" t="s">
        <v>8</v>
      </c>
      <c r="D620">
        <v>168.93</v>
      </c>
      <c r="E620">
        <v>185.25</v>
      </c>
      <c r="F620">
        <v>19537</v>
      </c>
      <c r="G620" t="s">
        <v>9</v>
      </c>
      <c r="H620">
        <v>60</v>
      </c>
      <c r="I620" t="s">
        <v>90</v>
      </c>
    </row>
    <row r="621" spans="1:9" x14ac:dyDescent="0.6">
      <c r="A621">
        <v>658</v>
      </c>
      <c r="B621" t="s">
        <v>14</v>
      </c>
      <c r="C621" t="s">
        <v>8</v>
      </c>
      <c r="D621">
        <v>281.97000000000003</v>
      </c>
      <c r="E621">
        <v>174.32</v>
      </c>
      <c r="F621">
        <v>23306</v>
      </c>
      <c r="G621" t="s">
        <v>9</v>
      </c>
      <c r="H621">
        <v>50</v>
      </c>
      <c r="I621" t="s">
        <v>90</v>
      </c>
    </row>
    <row r="622" spans="1:9" x14ac:dyDescent="0.6">
      <c r="A622">
        <v>661</v>
      </c>
      <c r="B622" t="s">
        <v>14</v>
      </c>
      <c r="C622" t="s">
        <v>8</v>
      </c>
      <c r="D622">
        <v>226.18</v>
      </c>
      <c r="E622">
        <v>194.14</v>
      </c>
      <c r="F622">
        <v>29008</v>
      </c>
      <c r="G622" t="s">
        <v>9</v>
      </c>
      <c r="H622">
        <v>70</v>
      </c>
      <c r="I622" t="s">
        <v>90</v>
      </c>
    </row>
    <row r="623" spans="1:9" x14ac:dyDescent="0.6">
      <c r="A623">
        <v>642</v>
      </c>
      <c r="B623" t="s">
        <v>7</v>
      </c>
      <c r="C623" t="s">
        <v>8</v>
      </c>
      <c r="D623">
        <v>97.4</v>
      </c>
      <c r="E623">
        <v>77.48</v>
      </c>
      <c r="F623">
        <v>34180</v>
      </c>
      <c r="G623" t="s">
        <v>17</v>
      </c>
      <c r="H623">
        <v>60</v>
      </c>
      <c r="I623" t="s">
        <v>90</v>
      </c>
    </row>
    <row r="624" spans="1:9" x14ac:dyDescent="0.6">
      <c r="A624">
        <v>660</v>
      </c>
      <c r="B624" t="s">
        <v>14</v>
      </c>
      <c r="C624" t="s">
        <v>8</v>
      </c>
      <c r="D624">
        <v>225.05</v>
      </c>
      <c r="E624">
        <v>138.88999999999999</v>
      </c>
      <c r="F624">
        <v>19552</v>
      </c>
      <c r="G624" t="s">
        <v>9</v>
      </c>
      <c r="H624">
        <v>60</v>
      </c>
      <c r="I624" t="s">
        <v>90</v>
      </c>
    </row>
    <row r="625" spans="1:9" x14ac:dyDescent="0.6">
      <c r="A625">
        <v>666</v>
      </c>
      <c r="B625" t="s">
        <v>14</v>
      </c>
      <c r="C625" t="s">
        <v>8</v>
      </c>
      <c r="D625">
        <v>175.4</v>
      </c>
      <c r="E625">
        <v>118.75</v>
      </c>
      <c r="F625">
        <v>16541</v>
      </c>
      <c r="G625" t="s">
        <v>9</v>
      </c>
      <c r="H625">
        <v>70</v>
      </c>
      <c r="I625" t="s">
        <v>90</v>
      </c>
    </row>
    <row r="626" spans="1:9" x14ac:dyDescent="0.6">
      <c r="A626">
        <v>655</v>
      </c>
      <c r="B626" t="s">
        <v>14</v>
      </c>
      <c r="C626" t="s">
        <v>8</v>
      </c>
      <c r="D626">
        <v>161.31</v>
      </c>
      <c r="E626">
        <v>147.59</v>
      </c>
      <c r="F626">
        <v>44004</v>
      </c>
      <c r="G626" t="s">
        <v>9</v>
      </c>
      <c r="H626">
        <v>80</v>
      </c>
      <c r="I626" t="s">
        <v>108</v>
      </c>
    </row>
    <row r="627" spans="1:9" x14ac:dyDescent="0.6">
      <c r="A627">
        <v>654</v>
      </c>
      <c r="B627" t="s">
        <v>14</v>
      </c>
      <c r="C627" t="s">
        <v>8</v>
      </c>
      <c r="D627">
        <v>143.63</v>
      </c>
      <c r="E627">
        <v>101.52</v>
      </c>
      <c r="F627">
        <v>32444</v>
      </c>
      <c r="G627" t="s">
        <v>15</v>
      </c>
      <c r="H627">
        <v>60</v>
      </c>
      <c r="I627" t="s">
        <v>108</v>
      </c>
    </row>
    <row r="628" spans="1:9" x14ac:dyDescent="0.6">
      <c r="A628">
        <v>675</v>
      </c>
      <c r="B628" t="s">
        <v>14</v>
      </c>
      <c r="C628" t="s">
        <v>8</v>
      </c>
      <c r="D628">
        <v>306.67</v>
      </c>
      <c r="E628">
        <v>164.31</v>
      </c>
      <c r="F628">
        <v>34027</v>
      </c>
      <c r="G628" t="s">
        <v>9</v>
      </c>
      <c r="H628">
        <v>70</v>
      </c>
      <c r="I628" t="s">
        <v>90</v>
      </c>
    </row>
    <row r="629" spans="1:9" x14ac:dyDescent="0.6">
      <c r="A629">
        <v>667</v>
      </c>
      <c r="B629" t="s">
        <v>14</v>
      </c>
      <c r="C629" t="s">
        <v>8</v>
      </c>
      <c r="D629">
        <v>311.36</v>
      </c>
      <c r="E629">
        <v>145.87</v>
      </c>
      <c r="F629">
        <v>20010</v>
      </c>
      <c r="G629" t="s">
        <v>9</v>
      </c>
      <c r="H629">
        <v>50</v>
      </c>
      <c r="I629" t="s">
        <v>90</v>
      </c>
    </row>
    <row r="630" spans="1:9" x14ac:dyDescent="0.6">
      <c r="A630">
        <v>665</v>
      </c>
      <c r="B630" t="s">
        <v>14</v>
      </c>
      <c r="C630" t="s">
        <v>8</v>
      </c>
      <c r="D630">
        <v>175.62</v>
      </c>
      <c r="E630">
        <v>104.53</v>
      </c>
      <c r="F630">
        <v>37500</v>
      </c>
      <c r="G630" t="s">
        <v>9</v>
      </c>
      <c r="H630">
        <v>60</v>
      </c>
      <c r="I630" t="s">
        <v>108</v>
      </c>
    </row>
    <row r="631" spans="1:9" x14ac:dyDescent="0.6">
      <c r="A631">
        <v>688</v>
      </c>
      <c r="B631" t="s">
        <v>14</v>
      </c>
      <c r="C631" t="s">
        <v>8</v>
      </c>
      <c r="D631">
        <v>205.75</v>
      </c>
      <c r="E631">
        <v>112.63</v>
      </c>
      <c r="F631">
        <v>17296</v>
      </c>
      <c r="G631" t="s">
        <v>9</v>
      </c>
      <c r="H631">
        <v>50</v>
      </c>
      <c r="I631" t="s">
        <v>108</v>
      </c>
    </row>
    <row r="632" spans="1:9" x14ac:dyDescent="0.6">
      <c r="A632">
        <v>656</v>
      </c>
      <c r="B632" t="s">
        <v>14</v>
      </c>
      <c r="C632" t="s">
        <v>8</v>
      </c>
      <c r="D632">
        <v>276.94</v>
      </c>
      <c r="E632">
        <v>129.94999999999999</v>
      </c>
      <c r="F632">
        <v>20462</v>
      </c>
      <c r="G632" t="s">
        <v>9</v>
      </c>
      <c r="H632">
        <v>50</v>
      </c>
      <c r="I632" t="s">
        <v>90</v>
      </c>
    </row>
    <row r="633" spans="1:9" x14ac:dyDescent="0.6">
      <c r="A633">
        <v>650</v>
      </c>
      <c r="B633" t="s">
        <v>7</v>
      </c>
      <c r="C633" t="s">
        <v>8</v>
      </c>
      <c r="D633">
        <v>130.5</v>
      </c>
      <c r="E633">
        <v>130.55000000000001</v>
      </c>
      <c r="F633">
        <v>25076</v>
      </c>
      <c r="G633" t="s">
        <v>15</v>
      </c>
      <c r="H633">
        <v>70</v>
      </c>
      <c r="I633" t="s">
        <v>90</v>
      </c>
    </row>
    <row r="634" spans="1:9" x14ac:dyDescent="0.6">
      <c r="A634">
        <v>663</v>
      </c>
      <c r="B634" t="s">
        <v>7</v>
      </c>
      <c r="C634" t="s">
        <v>8</v>
      </c>
      <c r="D634">
        <v>166.64</v>
      </c>
      <c r="E634">
        <v>121.85</v>
      </c>
      <c r="F634">
        <v>33159</v>
      </c>
      <c r="G634" t="s">
        <v>9</v>
      </c>
      <c r="H634">
        <v>60</v>
      </c>
      <c r="I634" t="s">
        <v>108</v>
      </c>
    </row>
    <row r="635" spans="1:9" x14ac:dyDescent="0.6">
      <c r="A635">
        <v>651</v>
      </c>
      <c r="B635" t="s">
        <v>7</v>
      </c>
      <c r="C635" t="s">
        <v>8</v>
      </c>
      <c r="D635">
        <v>147.57</v>
      </c>
      <c r="E635">
        <v>91.86</v>
      </c>
      <c r="F635">
        <v>36537</v>
      </c>
      <c r="G635" t="s">
        <v>15</v>
      </c>
      <c r="H635">
        <v>60</v>
      </c>
      <c r="I635" t="s">
        <v>108</v>
      </c>
    </row>
    <row r="636" spans="1:9" x14ac:dyDescent="0.6">
      <c r="A636">
        <v>657</v>
      </c>
      <c r="B636" t="s">
        <v>7</v>
      </c>
      <c r="C636" t="s">
        <v>8</v>
      </c>
      <c r="D636">
        <v>220.27</v>
      </c>
      <c r="E636">
        <v>157.97</v>
      </c>
      <c r="F636">
        <v>26926</v>
      </c>
      <c r="G636" t="s">
        <v>9</v>
      </c>
      <c r="H636">
        <v>60</v>
      </c>
      <c r="I636" t="s">
        <v>90</v>
      </c>
    </row>
    <row r="637" spans="1:9" x14ac:dyDescent="0.6">
      <c r="A637">
        <v>664</v>
      </c>
      <c r="B637" t="s">
        <v>7</v>
      </c>
      <c r="C637" t="s">
        <v>8</v>
      </c>
      <c r="D637">
        <v>82.75</v>
      </c>
      <c r="E637">
        <v>86.34</v>
      </c>
      <c r="F637">
        <v>20244</v>
      </c>
      <c r="G637" t="s">
        <v>17</v>
      </c>
      <c r="H637">
        <v>80</v>
      </c>
      <c r="I637" t="s">
        <v>90</v>
      </c>
    </row>
    <row r="638" spans="1:9" x14ac:dyDescent="0.6">
      <c r="A638">
        <v>671</v>
      </c>
      <c r="B638" t="s">
        <v>7</v>
      </c>
      <c r="C638" t="s">
        <v>8</v>
      </c>
      <c r="D638">
        <v>260.95999999999998</v>
      </c>
      <c r="E638">
        <v>229.43</v>
      </c>
      <c r="F638">
        <v>36575</v>
      </c>
      <c r="G638" t="s">
        <v>9</v>
      </c>
      <c r="H638">
        <v>70</v>
      </c>
      <c r="I638" t="s">
        <v>108</v>
      </c>
    </row>
    <row r="639" spans="1:9" x14ac:dyDescent="0.6">
      <c r="A639">
        <v>672</v>
      </c>
      <c r="B639" t="s">
        <v>14</v>
      </c>
      <c r="C639" t="s">
        <v>8</v>
      </c>
      <c r="D639">
        <v>199.59</v>
      </c>
      <c r="E639">
        <v>85.83</v>
      </c>
      <c r="F639">
        <v>16498</v>
      </c>
      <c r="G639" t="s">
        <v>9</v>
      </c>
      <c r="H639">
        <v>50</v>
      </c>
      <c r="I639" t="s">
        <v>90</v>
      </c>
    </row>
    <row r="640" spans="1:9" x14ac:dyDescent="0.6">
      <c r="A640">
        <v>684</v>
      </c>
      <c r="B640" t="s">
        <v>14</v>
      </c>
      <c r="C640" t="s">
        <v>8</v>
      </c>
      <c r="D640">
        <v>248.06</v>
      </c>
      <c r="E640">
        <v>115.55</v>
      </c>
      <c r="F640">
        <v>40607</v>
      </c>
      <c r="G640" t="s">
        <v>9</v>
      </c>
      <c r="H640">
        <v>50</v>
      </c>
      <c r="I640" t="s">
        <v>108</v>
      </c>
    </row>
    <row r="641" spans="1:9" x14ac:dyDescent="0.6">
      <c r="A641">
        <v>662</v>
      </c>
      <c r="B641" t="s">
        <v>7</v>
      </c>
      <c r="C641" t="s">
        <v>8</v>
      </c>
      <c r="D641">
        <v>313.45999999999998</v>
      </c>
      <c r="E641">
        <v>192.54</v>
      </c>
      <c r="F641">
        <v>29425</v>
      </c>
      <c r="G641" t="s">
        <v>9</v>
      </c>
      <c r="H641">
        <v>50</v>
      </c>
      <c r="I641" t="s">
        <v>90</v>
      </c>
    </row>
    <row r="642" spans="1:9" x14ac:dyDescent="0.6">
      <c r="A642">
        <v>683</v>
      </c>
      <c r="B642" t="s">
        <v>7</v>
      </c>
      <c r="C642" t="s">
        <v>8</v>
      </c>
      <c r="D642">
        <v>237.18</v>
      </c>
      <c r="E642">
        <v>110.88</v>
      </c>
      <c r="F642">
        <v>18825</v>
      </c>
      <c r="G642" t="s">
        <v>9</v>
      </c>
      <c r="H642">
        <v>60</v>
      </c>
      <c r="I642" t="s">
        <v>90</v>
      </c>
    </row>
    <row r="643" spans="1:9" x14ac:dyDescent="0.6">
      <c r="A643">
        <v>676</v>
      </c>
      <c r="B643" t="s">
        <v>14</v>
      </c>
      <c r="C643" t="s">
        <v>8</v>
      </c>
      <c r="D643">
        <v>285.49</v>
      </c>
      <c r="E643">
        <v>187.72</v>
      </c>
      <c r="F643">
        <v>26148</v>
      </c>
      <c r="G643" t="s">
        <v>9</v>
      </c>
      <c r="H643">
        <v>60</v>
      </c>
      <c r="I643" t="s">
        <v>90</v>
      </c>
    </row>
    <row r="644" spans="1:9" x14ac:dyDescent="0.6">
      <c r="A644">
        <v>673</v>
      </c>
      <c r="B644" t="s">
        <v>14</v>
      </c>
      <c r="C644" t="s">
        <v>8</v>
      </c>
      <c r="D644">
        <v>322.82</v>
      </c>
      <c r="E644">
        <v>191.89</v>
      </c>
      <c r="F644">
        <v>23442</v>
      </c>
      <c r="G644" t="s">
        <v>9</v>
      </c>
      <c r="H644">
        <v>50</v>
      </c>
      <c r="I644" t="s">
        <v>90</v>
      </c>
    </row>
    <row r="645" spans="1:9" x14ac:dyDescent="0.6">
      <c r="A645">
        <v>674</v>
      </c>
      <c r="B645" t="s">
        <v>7</v>
      </c>
      <c r="C645" t="s">
        <v>8</v>
      </c>
      <c r="D645">
        <v>120.59</v>
      </c>
      <c r="E645">
        <v>90.59</v>
      </c>
      <c r="F645">
        <v>27547</v>
      </c>
      <c r="G645" t="s">
        <v>15</v>
      </c>
      <c r="H645">
        <v>60</v>
      </c>
      <c r="I645" t="s">
        <v>90</v>
      </c>
    </row>
    <row r="646" spans="1:9" x14ac:dyDescent="0.6">
      <c r="A646">
        <v>679</v>
      </c>
      <c r="B646" t="s">
        <v>7</v>
      </c>
      <c r="C646" t="s">
        <v>8</v>
      </c>
      <c r="D646">
        <v>225.13</v>
      </c>
      <c r="E646">
        <v>199.72</v>
      </c>
      <c r="F646">
        <v>27894</v>
      </c>
      <c r="G646" t="s">
        <v>9</v>
      </c>
      <c r="H646">
        <v>60</v>
      </c>
      <c r="I646" t="s">
        <v>90</v>
      </c>
    </row>
    <row r="647" spans="1:9" x14ac:dyDescent="0.6">
      <c r="A647">
        <v>682</v>
      </c>
      <c r="B647" t="s">
        <v>14</v>
      </c>
      <c r="C647" t="s">
        <v>8</v>
      </c>
      <c r="D647">
        <v>183.04</v>
      </c>
      <c r="E647">
        <v>157.93</v>
      </c>
      <c r="F647">
        <v>36770</v>
      </c>
      <c r="G647" t="s">
        <v>9</v>
      </c>
      <c r="H647">
        <v>60</v>
      </c>
      <c r="I647" t="s">
        <v>108</v>
      </c>
    </row>
    <row r="648" spans="1:9" x14ac:dyDescent="0.6">
      <c r="A648">
        <v>694</v>
      </c>
      <c r="B648" t="s">
        <v>7</v>
      </c>
      <c r="C648" t="s">
        <v>8</v>
      </c>
      <c r="D648">
        <v>128.18</v>
      </c>
      <c r="E648">
        <v>88.8</v>
      </c>
      <c r="F648">
        <v>20113</v>
      </c>
      <c r="G648" t="s">
        <v>15</v>
      </c>
      <c r="H648">
        <v>70</v>
      </c>
      <c r="I648" t="s">
        <v>90</v>
      </c>
    </row>
    <row r="649" spans="1:9" x14ac:dyDescent="0.6">
      <c r="A649">
        <v>677</v>
      </c>
      <c r="B649" t="s">
        <v>14</v>
      </c>
      <c r="C649" t="s">
        <v>8</v>
      </c>
      <c r="D649">
        <v>287.36</v>
      </c>
      <c r="E649">
        <v>189.71</v>
      </c>
      <c r="F649">
        <v>16011</v>
      </c>
      <c r="G649" t="s">
        <v>9</v>
      </c>
      <c r="H649">
        <v>50</v>
      </c>
      <c r="I649" t="s">
        <v>90</v>
      </c>
    </row>
    <row r="650" spans="1:9" x14ac:dyDescent="0.6">
      <c r="A650">
        <v>678</v>
      </c>
      <c r="B650" t="s">
        <v>7</v>
      </c>
      <c r="C650" t="s">
        <v>8</v>
      </c>
      <c r="D650">
        <v>241.17</v>
      </c>
      <c r="E650">
        <v>111.89</v>
      </c>
      <c r="F650">
        <v>19419</v>
      </c>
      <c r="G650" t="s">
        <v>9</v>
      </c>
      <c r="H650">
        <v>50</v>
      </c>
      <c r="I650" t="s">
        <v>90</v>
      </c>
    </row>
    <row r="651" spans="1:9" x14ac:dyDescent="0.6">
      <c r="A651">
        <v>692</v>
      </c>
      <c r="B651" t="s">
        <v>14</v>
      </c>
      <c r="C651" t="s">
        <v>8</v>
      </c>
      <c r="D651">
        <v>255.97</v>
      </c>
      <c r="E651">
        <v>189.19</v>
      </c>
      <c r="F651">
        <v>48026</v>
      </c>
      <c r="G651" t="s">
        <v>9</v>
      </c>
      <c r="H651">
        <v>60</v>
      </c>
      <c r="I651" t="s">
        <v>90</v>
      </c>
    </row>
    <row r="652" spans="1:9" x14ac:dyDescent="0.6">
      <c r="A652">
        <v>670</v>
      </c>
      <c r="B652" t="s">
        <v>14</v>
      </c>
      <c r="C652" t="s">
        <v>8</v>
      </c>
      <c r="D652">
        <v>240.54</v>
      </c>
      <c r="E652">
        <v>198.38</v>
      </c>
      <c r="F652">
        <v>34788</v>
      </c>
      <c r="G652" t="s">
        <v>9</v>
      </c>
      <c r="H652">
        <v>50</v>
      </c>
      <c r="I652" t="s">
        <v>108</v>
      </c>
    </row>
    <row r="653" spans="1:9" x14ac:dyDescent="0.6">
      <c r="A653">
        <v>685</v>
      </c>
      <c r="B653" t="s">
        <v>14</v>
      </c>
      <c r="C653" t="s">
        <v>8</v>
      </c>
      <c r="D653">
        <v>136.6</v>
      </c>
      <c r="E653">
        <v>134.33000000000001</v>
      </c>
      <c r="F653">
        <v>28346</v>
      </c>
      <c r="G653" t="s">
        <v>15</v>
      </c>
      <c r="H653">
        <v>70</v>
      </c>
      <c r="I653" t="s">
        <v>90</v>
      </c>
    </row>
    <row r="654" spans="1:9" x14ac:dyDescent="0.6">
      <c r="A654">
        <v>681</v>
      </c>
      <c r="B654" t="s">
        <v>7</v>
      </c>
      <c r="C654" t="s">
        <v>8</v>
      </c>
      <c r="D654">
        <v>305.49</v>
      </c>
      <c r="E654">
        <v>164.3</v>
      </c>
      <c r="F654">
        <v>45481</v>
      </c>
      <c r="G654" t="s">
        <v>9</v>
      </c>
      <c r="H654">
        <v>50</v>
      </c>
      <c r="I654" t="s">
        <v>108</v>
      </c>
    </row>
    <row r="655" spans="1:9" x14ac:dyDescent="0.6">
      <c r="A655">
        <v>689</v>
      </c>
      <c r="B655" t="s">
        <v>14</v>
      </c>
      <c r="C655" t="s">
        <v>8</v>
      </c>
      <c r="D655">
        <v>153.36000000000001</v>
      </c>
      <c r="E655">
        <v>113</v>
      </c>
      <c r="F655">
        <v>34215</v>
      </c>
      <c r="G655" t="s">
        <v>15</v>
      </c>
      <c r="H655">
        <v>60</v>
      </c>
      <c r="I655" t="s">
        <v>90</v>
      </c>
    </row>
    <row r="656" spans="1:9" x14ac:dyDescent="0.6">
      <c r="A656">
        <v>693</v>
      </c>
      <c r="B656" t="s">
        <v>14</v>
      </c>
      <c r="C656" t="s">
        <v>8</v>
      </c>
      <c r="D656">
        <v>140.22999999999999</v>
      </c>
      <c r="E656">
        <v>90.43</v>
      </c>
      <c r="F656">
        <v>40757</v>
      </c>
      <c r="G656" t="s">
        <v>15</v>
      </c>
      <c r="H656" t="s">
        <v>4732</v>
      </c>
      <c r="I656" t="s">
        <v>108</v>
      </c>
    </row>
    <row r="657" spans="1:9" x14ac:dyDescent="0.6">
      <c r="A657">
        <v>669</v>
      </c>
      <c r="B657" t="s">
        <v>7</v>
      </c>
      <c r="C657" t="s">
        <v>8</v>
      </c>
      <c r="D657">
        <v>192.86</v>
      </c>
      <c r="E657">
        <v>172.76</v>
      </c>
      <c r="F657">
        <v>42600</v>
      </c>
      <c r="G657" t="s">
        <v>9</v>
      </c>
      <c r="H657">
        <v>50</v>
      </c>
      <c r="I657" t="s">
        <v>108</v>
      </c>
    </row>
    <row r="658" spans="1:9" x14ac:dyDescent="0.6">
      <c r="A658">
        <v>702</v>
      </c>
      <c r="B658" t="s">
        <v>14</v>
      </c>
      <c r="C658" t="s">
        <v>8</v>
      </c>
      <c r="D658">
        <v>158.81</v>
      </c>
      <c r="E658">
        <v>122.42</v>
      </c>
      <c r="F658">
        <v>32408</v>
      </c>
      <c r="G658" t="s">
        <v>15</v>
      </c>
      <c r="H658">
        <v>89</v>
      </c>
      <c r="I658" t="s">
        <v>4732</v>
      </c>
    </row>
    <row r="659" spans="1:9" x14ac:dyDescent="0.6">
      <c r="A659">
        <v>696</v>
      </c>
      <c r="B659" t="s">
        <v>14</v>
      </c>
      <c r="C659" t="s">
        <v>8</v>
      </c>
      <c r="D659">
        <v>171.92</v>
      </c>
      <c r="E659">
        <v>134.59</v>
      </c>
      <c r="F659">
        <v>41737</v>
      </c>
      <c r="G659" t="s">
        <v>9</v>
      </c>
      <c r="H659">
        <v>60</v>
      </c>
      <c r="I659" t="s">
        <v>108</v>
      </c>
    </row>
    <row r="660" spans="1:9" x14ac:dyDescent="0.6">
      <c r="A660">
        <v>701</v>
      </c>
      <c r="B660" t="s">
        <v>14</v>
      </c>
      <c r="C660" t="s">
        <v>8</v>
      </c>
      <c r="D660">
        <v>278.45</v>
      </c>
      <c r="E660">
        <v>185.25</v>
      </c>
      <c r="F660">
        <v>15827</v>
      </c>
      <c r="G660" t="s">
        <v>9</v>
      </c>
      <c r="H660">
        <v>50</v>
      </c>
      <c r="I660" t="s">
        <v>90</v>
      </c>
    </row>
    <row r="661" spans="1:9" x14ac:dyDescent="0.6">
      <c r="A661">
        <v>691</v>
      </c>
      <c r="B661" t="s">
        <v>14</v>
      </c>
      <c r="C661" t="s">
        <v>8</v>
      </c>
      <c r="D661">
        <v>225.85</v>
      </c>
      <c r="E661">
        <v>181.41</v>
      </c>
      <c r="F661">
        <v>38094</v>
      </c>
      <c r="G661" t="s">
        <v>9</v>
      </c>
      <c r="H661">
        <v>60</v>
      </c>
      <c r="I661" t="s">
        <v>90</v>
      </c>
    </row>
    <row r="662" spans="1:9" x14ac:dyDescent="0.6">
      <c r="A662">
        <v>700</v>
      </c>
      <c r="B662" t="s">
        <v>14</v>
      </c>
      <c r="C662" t="s">
        <v>8</v>
      </c>
      <c r="D662">
        <v>220.36</v>
      </c>
      <c r="E662">
        <v>221.91</v>
      </c>
      <c r="F662">
        <v>18758</v>
      </c>
      <c r="G662" t="s">
        <v>9</v>
      </c>
      <c r="H662">
        <v>60</v>
      </c>
      <c r="I662" t="s">
        <v>90</v>
      </c>
    </row>
    <row r="663" spans="1:9" x14ac:dyDescent="0.6">
      <c r="A663">
        <v>695</v>
      </c>
      <c r="B663" t="s">
        <v>7</v>
      </c>
      <c r="C663" t="s">
        <v>8</v>
      </c>
      <c r="D663">
        <v>186.36</v>
      </c>
      <c r="E663">
        <v>119.8</v>
      </c>
      <c r="F663">
        <v>24298</v>
      </c>
      <c r="G663" t="s">
        <v>9</v>
      </c>
      <c r="H663">
        <v>70</v>
      </c>
      <c r="I663" t="s">
        <v>108</v>
      </c>
    </row>
    <row r="664" spans="1:9" x14ac:dyDescent="0.6">
      <c r="A664">
        <v>708</v>
      </c>
      <c r="B664" t="s">
        <v>14</v>
      </c>
      <c r="C664" t="s">
        <v>8</v>
      </c>
      <c r="D664">
        <v>287</v>
      </c>
      <c r="E664">
        <v>130.72</v>
      </c>
      <c r="F664">
        <v>27635</v>
      </c>
      <c r="G664" t="s">
        <v>9</v>
      </c>
      <c r="H664">
        <v>50</v>
      </c>
      <c r="I664" t="s">
        <v>90</v>
      </c>
    </row>
    <row r="665" spans="1:9" x14ac:dyDescent="0.6">
      <c r="A665">
        <v>687</v>
      </c>
      <c r="B665" t="s">
        <v>7</v>
      </c>
      <c r="C665" t="s">
        <v>8</v>
      </c>
      <c r="D665">
        <v>142.59</v>
      </c>
      <c r="E665">
        <v>141.72</v>
      </c>
      <c r="F665">
        <v>35024</v>
      </c>
      <c r="G665" t="s">
        <v>15</v>
      </c>
      <c r="H665">
        <v>60</v>
      </c>
      <c r="I665" t="s">
        <v>108</v>
      </c>
    </row>
    <row r="666" spans="1:9" x14ac:dyDescent="0.6">
      <c r="A666">
        <v>719</v>
      </c>
      <c r="B666" t="s">
        <v>14</v>
      </c>
      <c r="C666" t="s">
        <v>8</v>
      </c>
      <c r="D666">
        <v>152.15</v>
      </c>
      <c r="E666">
        <v>149.47</v>
      </c>
      <c r="F666">
        <v>25258</v>
      </c>
      <c r="G666" t="s">
        <v>15</v>
      </c>
      <c r="H666">
        <v>73</v>
      </c>
      <c r="I666" t="s">
        <v>90</v>
      </c>
    </row>
    <row r="667" spans="1:9" x14ac:dyDescent="0.6">
      <c r="A667">
        <v>721</v>
      </c>
      <c r="B667" t="s">
        <v>14</v>
      </c>
      <c r="C667" t="s">
        <v>8</v>
      </c>
      <c r="D667">
        <v>151.35</v>
      </c>
      <c r="E667">
        <v>104.7</v>
      </c>
      <c r="F667">
        <v>20748</v>
      </c>
      <c r="G667" t="s">
        <v>15</v>
      </c>
      <c r="H667">
        <v>58</v>
      </c>
      <c r="I667" t="s">
        <v>90</v>
      </c>
    </row>
    <row r="668" spans="1:9" x14ac:dyDescent="0.6">
      <c r="A668">
        <v>686</v>
      </c>
      <c r="B668" t="s">
        <v>7</v>
      </c>
      <c r="C668" t="s">
        <v>8</v>
      </c>
      <c r="D668">
        <v>227.48</v>
      </c>
      <c r="E668">
        <v>144.59</v>
      </c>
      <c r="F668">
        <v>19611</v>
      </c>
      <c r="G668" t="s">
        <v>9</v>
      </c>
      <c r="H668">
        <v>50</v>
      </c>
      <c r="I668" t="s">
        <v>90</v>
      </c>
    </row>
    <row r="669" spans="1:9" x14ac:dyDescent="0.6">
      <c r="A669">
        <v>690</v>
      </c>
      <c r="B669" t="s">
        <v>7</v>
      </c>
      <c r="C669" t="s">
        <v>8</v>
      </c>
      <c r="D669">
        <v>338.37</v>
      </c>
      <c r="E669">
        <v>187.93</v>
      </c>
      <c r="F669">
        <v>26131</v>
      </c>
      <c r="G669" t="s">
        <v>9</v>
      </c>
      <c r="H669">
        <v>60</v>
      </c>
      <c r="I669" t="s">
        <v>108</v>
      </c>
    </row>
    <row r="670" spans="1:9" x14ac:dyDescent="0.6">
      <c r="A670">
        <v>712</v>
      </c>
      <c r="B670" t="s">
        <v>14</v>
      </c>
      <c r="C670" t="s">
        <v>8</v>
      </c>
      <c r="D670">
        <v>272.27</v>
      </c>
      <c r="E670">
        <v>162.71</v>
      </c>
      <c r="F670">
        <v>26133</v>
      </c>
      <c r="G670" t="s">
        <v>9</v>
      </c>
      <c r="H670">
        <v>50</v>
      </c>
      <c r="I670" t="s">
        <v>90</v>
      </c>
    </row>
    <row r="671" spans="1:9" x14ac:dyDescent="0.6">
      <c r="A671">
        <v>698</v>
      </c>
      <c r="B671" t="s">
        <v>7</v>
      </c>
      <c r="C671" t="s">
        <v>8</v>
      </c>
      <c r="D671">
        <v>193.89</v>
      </c>
      <c r="E671">
        <v>150.66999999999999</v>
      </c>
      <c r="F671">
        <v>33005</v>
      </c>
      <c r="G671" t="s">
        <v>9</v>
      </c>
      <c r="H671">
        <v>50</v>
      </c>
      <c r="I671" t="s">
        <v>90</v>
      </c>
    </row>
    <row r="672" spans="1:9" x14ac:dyDescent="0.6">
      <c r="A672">
        <v>707</v>
      </c>
      <c r="B672" t="s">
        <v>7</v>
      </c>
      <c r="C672" t="s">
        <v>8</v>
      </c>
      <c r="D672">
        <v>167.9</v>
      </c>
      <c r="E672">
        <v>144.38</v>
      </c>
      <c r="F672">
        <v>34258</v>
      </c>
      <c r="G672" t="s">
        <v>9</v>
      </c>
      <c r="H672">
        <v>60</v>
      </c>
      <c r="I672" t="s">
        <v>108</v>
      </c>
    </row>
    <row r="673" spans="1:9" x14ac:dyDescent="0.6">
      <c r="A673">
        <v>706</v>
      </c>
      <c r="B673" t="s">
        <v>7</v>
      </c>
      <c r="C673" t="s">
        <v>8</v>
      </c>
      <c r="D673">
        <v>184.33</v>
      </c>
      <c r="E673">
        <v>151.21</v>
      </c>
      <c r="F673">
        <v>45333</v>
      </c>
      <c r="G673" t="s">
        <v>9</v>
      </c>
      <c r="H673">
        <v>89</v>
      </c>
      <c r="I673" t="s">
        <v>4732</v>
      </c>
    </row>
    <row r="674" spans="1:9" x14ac:dyDescent="0.6">
      <c r="A674">
        <v>705</v>
      </c>
      <c r="B674" t="s">
        <v>7</v>
      </c>
      <c r="C674" t="s">
        <v>8</v>
      </c>
      <c r="D674">
        <v>207</v>
      </c>
      <c r="E674">
        <v>158.68</v>
      </c>
      <c r="F674">
        <v>28674</v>
      </c>
      <c r="G674" t="s">
        <v>9</v>
      </c>
      <c r="H674">
        <v>89</v>
      </c>
      <c r="I674" t="s">
        <v>4732</v>
      </c>
    </row>
    <row r="675" spans="1:9" x14ac:dyDescent="0.6">
      <c r="A675">
        <v>718</v>
      </c>
      <c r="B675" t="s">
        <v>7</v>
      </c>
      <c r="C675" t="s">
        <v>8</v>
      </c>
      <c r="D675">
        <v>117.91</v>
      </c>
      <c r="E675">
        <v>87.67</v>
      </c>
      <c r="F675">
        <v>29125</v>
      </c>
      <c r="G675" t="s">
        <v>15</v>
      </c>
      <c r="H675">
        <v>69</v>
      </c>
      <c r="I675" t="s">
        <v>108</v>
      </c>
    </row>
    <row r="676" spans="1:9" x14ac:dyDescent="0.6">
      <c r="A676">
        <v>704</v>
      </c>
      <c r="B676" t="s">
        <v>14</v>
      </c>
      <c r="C676" t="s">
        <v>8</v>
      </c>
      <c r="D676">
        <v>197.72</v>
      </c>
      <c r="E676">
        <v>202.73</v>
      </c>
      <c r="F676">
        <v>45848</v>
      </c>
      <c r="G676" t="s">
        <v>9</v>
      </c>
      <c r="H676">
        <v>89</v>
      </c>
      <c r="I676" t="s">
        <v>4732</v>
      </c>
    </row>
    <row r="677" spans="1:9" x14ac:dyDescent="0.6">
      <c r="A677">
        <v>720</v>
      </c>
      <c r="B677" t="s">
        <v>14</v>
      </c>
      <c r="C677" t="s">
        <v>8</v>
      </c>
      <c r="D677">
        <v>229.99</v>
      </c>
      <c r="E677">
        <v>141.83000000000001</v>
      </c>
      <c r="F677">
        <v>31931</v>
      </c>
      <c r="G677" t="s">
        <v>9</v>
      </c>
      <c r="H677">
        <v>53</v>
      </c>
      <c r="I677" t="s">
        <v>90</v>
      </c>
    </row>
    <row r="678" spans="1:9" x14ac:dyDescent="0.6">
      <c r="A678">
        <v>716</v>
      </c>
      <c r="B678" t="s">
        <v>7</v>
      </c>
      <c r="C678" t="s">
        <v>8</v>
      </c>
      <c r="D678">
        <v>183.27</v>
      </c>
      <c r="E678">
        <v>102.61</v>
      </c>
      <c r="F678">
        <v>19545</v>
      </c>
      <c r="G678" t="s">
        <v>9</v>
      </c>
      <c r="H678">
        <v>50</v>
      </c>
      <c r="I678" t="s">
        <v>90</v>
      </c>
    </row>
    <row r="679" spans="1:9" x14ac:dyDescent="0.6">
      <c r="A679">
        <v>713</v>
      </c>
      <c r="B679" t="s">
        <v>14</v>
      </c>
      <c r="C679" t="s">
        <v>8</v>
      </c>
      <c r="D679">
        <v>252.71</v>
      </c>
      <c r="E679">
        <v>158.71</v>
      </c>
      <c r="F679">
        <v>29116</v>
      </c>
      <c r="G679" t="s">
        <v>9</v>
      </c>
      <c r="H679">
        <v>62</v>
      </c>
      <c r="I679" t="s">
        <v>108</v>
      </c>
    </row>
    <row r="680" spans="1:9" x14ac:dyDescent="0.6">
      <c r="A680">
        <v>710</v>
      </c>
      <c r="B680" t="s">
        <v>14</v>
      </c>
      <c r="C680" t="s">
        <v>8</v>
      </c>
      <c r="D680">
        <v>230.08</v>
      </c>
      <c r="E680">
        <v>198.39</v>
      </c>
      <c r="F680">
        <v>33093</v>
      </c>
      <c r="G680" t="s">
        <v>9</v>
      </c>
      <c r="H680">
        <v>60</v>
      </c>
      <c r="I680" t="s">
        <v>108</v>
      </c>
    </row>
    <row r="681" spans="1:9" x14ac:dyDescent="0.6">
      <c r="A681">
        <v>732</v>
      </c>
      <c r="B681" t="s">
        <v>7</v>
      </c>
      <c r="C681" t="s">
        <v>8</v>
      </c>
      <c r="D681">
        <v>157.44</v>
      </c>
      <c r="E681">
        <v>106.01</v>
      </c>
      <c r="F681">
        <v>36414</v>
      </c>
      <c r="G681" t="s">
        <v>15</v>
      </c>
      <c r="H681">
        <v>50</v>
      </c>
      <c r="I681" t="s">
        <v>90</v>
      </c>
    </row>
    <row r="682" spans="1:9" x14ac:dyDescent="0.6">
      <c r="A682">
        <v>711</v>
      </c>
      <c r="B682" t="s">
        <v>14</v>
      </c>
      <c r="C682" t="s">
        <v>8</v>
      </c>
      <c r="D682">
        <v>199.87</v>
      </c>
      <c r="E682">
        <v>118.68</v>
      </c>
      <c r="F682">
        <v>54741</v>
      </c>
      <c r="G682" t="s">
        <v>9</v>
      </c>
      <c r="H682">
        <v>70</v>
      </c>
      <c r="I682" t="s">
        <v>108</v>
      </c>
    </row>
    <row r="683" spans="1:9" x14ac:dyDescent="0.6">
      <c r="A683">
        <v>745</v>
      </c>
      <c r="B683" t="s">
        <v>14</v>
      </c>
      <c r="C683" t="s">
        <v>8</v>
      </c>
      <c r="D683">
        <v>146.37</v>
      </c>
      <c r="E683">
        <v>116.78</v>
      </c>
      <c r="F683">
        <v>25711</v>
      </c>
      <c r="G683" t="s">
        <v>15</v>
      </c>
      <c r="H683">
        <v>58</v>
      </c>
      <c r="I683" t="s">
        <v>90</v>
      </c>
    </row>
    <row r="684" spans="1:9" x14ac:dyDescent="0.6">
      <c r="A684">
        <v>726</v>
      </c>
      <c r="B684" t="s">
        <v>7</v>
      </c>
      <c r="C684" t="s">
        <v>8</v>
      </c>
      <c r="D684">
        <v>202.09</v>
      </c>
      <c r="E684">
        <v>135.81</v>
      </c>
      <c r="F684">
        <v>25481</v>
      </c>
      <c r="G684" t="s">
        <v>9</v>
      </c>
      <c r="H684">
        <v>56</v>
      </c>
      <c r="I684" t="s">
        <v>90</v>
      </c>
    </row>
    <row r="685" spans="1:9" x14ac:dyDescent="0.6">
      <c r="A685">
        <v>717</v>
      </c>
      <c r="B685" t="s">
        <v>14</v>
      </c>
      <c r="C685" t="s">
        <v>8</v>
      </c>
      <c r="D685">
        <v>118.1</v>
      </c>
      <c r="E685">
        <v>92.43</v>
      </c>
      <c r="F685">
        <v>34792</v>
      </c>
      <c r="G685" t="s">
        <v>15</v>
      </c>
      <c r="H685">
        <v>59</v>
      </c>
      <c r="I685" t="s">
        <v>108</v>
      </c>
    </row>
    <row r="686" spans="1:9" x14ac:dyDescent="0.6">
      <c r="A686">
        <v>709</v>
      </c>
      <c r="B686" t="s">
        <v>14</v>
      </c>
      <c r="C686" t="s">
        <v>8</v>
      </c>
      <c r="D686">
        <v>256.69</v>
      </c>
      <c r="E686">
        <v>115.64</v>
      </c>
      <c r="F686">
        <v>16604</v>
      </c>
      <c r="G686" t="s">
        <v>9</v>
      </c>
      <c r="H686">
        <v>70</v>
      </c>
      <c r="I686" t="s">
        <v>90</v>
      </c>
    </row>
    <row r="687" spans="1:9" x14ac:dyDescent="0.6">
      <c r="A687">
        <v>728</v>
      </c>
      <c r="B687" t="s">
        <v>14</v>
      </c>
      <c r="C687" t="s">
        <v>8</v>
      </c>
      <c r="D687">
        <v>148.41999999999999</v>
      </c>
      <c r="E687">
        <v>98.73</v>
      </c>
      <c r="F687">
        <v>41630</v>
      </c>
      <c r="G687" t="s">
        <v>15</v>
      </c>
      <c r="H687">
        <v>66</v>
      </c>
      <c r="I687" t="s">
        <v>108</v>
      </c>
    </row>
    <row r="688" spans="1:9" x14ac:dyDescent="0.6">
      <c r="A688">
        <v>699</v>
      </c>
      <c r="B688" t="s">
        <v>7</v>
      </c>
      <c r="C688" t="s">
        <v>8</v>
      </c>
      <c r="D688">
        <v>209.79</v>
      </c>
      <c r="E688">
        <v>132.93</v>
      </c>
      <c r="F688">
        <v>30009</v>
      </c>
      <c r="G688" t="s">
        <v>9</v>
      </c>
      <c r="H688">
        <v>70</v>
      </c>
      <c r="I688" t="s">
        <v>108</v>
      </c>
    </row>
    <row r="689" spans="1:9" x14ac:dyDescent="0.6">
      <c r="A689">
        <v>733</v>
      </c>
      <c r="B689" t="s">
        <v>14</v>
      </c>
      <c r="C689" t="s">
        <v>8</v>
      </c>
      <c r="D689">
        <v>200.56</v>
      </c>
      <c r="E689">
        <v>83.85</v>
      </c>
      <c r="F689">
        <v>24396</v>
      </c>
      <c r="G689" t="s">
        <v>9</v>
      </c>
      <c r="H689">
        <v>54</v>
      </c>
      <c r="I689" t="s">
        <v>90</v>
      </c>
    </row>
    <row r="690" spans="1:9" x14ac:dyDescent="0.6">
      <c r="A690">
        <v>697</v>
      </c>
      <c r="B690" t="s">
        <v>7</v>
      </c>
      <c r="C690" t="s">
        <v>8</v>
      </c>
      <c r="D690">
        <v>172.95</v>
      </c>
      <c r="E690">
        <v>101.9</v>
      </c>
      <c r="F690">
        <v>31667</v>
      </c>
      <c r="G690" t="s">
        <v>9</v>
      </c>
      <c r="H690">
        <v>60</v>
      </c>
      <c r="I690" t="s">
        <v>108</v>
      </c>
    </row>
    <row r="691" spans="1:9" x14ac:dyDescent="0.6">
      <c r="A691">
        <v>734</v>
      </c>
      <c r="B691" t="s">
        <v>14</v>
      </c>
      <c r="C691" t="s">
        <v>8</v>
      </c>
      <c r="D691">
        <v>326.24</v>
      </c>
      <c r="E691">
        <v>179.74</v>
      </c>
      <c r="F691">
        <v>25203</v>
      </c>
      <c r="G691" t="s">
        <v>9</v>
      </c>
      <c r="H691">
        <v>51</v>
      </c>
      <c r="I691" t="s">
        <v>90</v>
      </c>
    </row>
    <row r="692" spans="1:9" x14ac:dyDescent="0.6">
      <c r="A692">
        <v>731</v>
      </c>
      <c r="B692" t="s">
        <v>7</v>
      </c>
      <c r="C692" t="s">
        <v>8</v>
      </c>
      <c r="D692">
        <v>68.099999999999994</v>
      </c>
      <c r="E692">
        <v>79.489999999999995</v>
      </c>
      <c r="F692">
        <v>24597</v>
      </c>
      <c r="G692" t="s">
        <v>17</v>
      </c>
      <c r="H692">
        <v>77</v>
      </c>
      <c r="I692" t="s">
        <v>90</v>
      </c>
    </row>
    <row r="693" spans="1:9" x14ac:dyDescent="0.6">
      <c r="A693">
        <v>722</v>
      </c>
      <c r="B693" t="s">
        <v>14</v>
      </c>
      <c r="C693" t="s">
        <v>8</v>
      </c>
      <c r="D693">
        <v>171.47</v>
      </c>
      <c r="E693">
        <v>114.94</v>
      </c>
      <c r="F693">
        <v>18082</v>
      </c>
      <c r="G693" t="s">
        <v>9</v>
      </c>
      <c r="H693">
        <v>76</v>
      </c>
      <c r="I693" t="s">
        <v>90</v>
      </c>
    </row>
    <row r="694" spans="1:9" x14ac:dyDescent="0.6">
      <c r="A694">
        <v>735</v>
      </c>
      <c r="B694" t="s">
        <v>14</v>
      </c>
      <c r="C694" t="s">
        <v>8</v>
      </c>
      <c r="D694">
        <v>117</v>
      </c>
      <c r="E694">
        <v>102.31</v>
      </c>
      <c r="F694">
        <v>13673</v>
      </c>
      <c r="G694" t="s">
        <v>15</v>
      </c>
      <c r="H694">
        <v>81</v>
      </c>
      <c r="I694" t="s">
        <v>90</v>
      </c>
    </row>
    <row r="695" spans="1:9" x14ac:dyDescent="0.6">
      <c r="A695">
        <v>715</v>
      </c>
      <c r="B695" t="s">
        <v>7</v>
      </c>
      <c r="C695" t="s">
        <v>8</v>
      </c>
      <c r="D695">
        <v>234.66</v>
      </c>
      <c r="E695">
        <v>172.02</v>
      </c>
      <c r="F695">
        <v>23945</v>
      </c>
      <c r="G695" t="s">
        <v>9</v>
      </c>
      <c r="H695">
        <v>67</v>
      </c>
      <c r="I695" t="s">
        <v>90</v>
      </c>
    </row>
    <row r="696" spans="1:9" x14ac:dyDescent="0.6">
      <c r="A696">
        <v>739</v>
      </c>
      <c r="B696" t="s">
        <v>7</v>
      </c>
      <c r="C696" t="s">
        <v>8</v>
      </c>
      <c r="D696">
        <v>128.08000000000001</v>
      </c>
      <c r="E696">
        <v>118.31</v>
      </c>
      <c r="F696">
        <v>19701</v>
      </c>
      <c r="G696" t="s">
        <v>15</v>
      </c>
      <c r="H696">
        <v>63</v>
      </c>
      <c r="I696" t="s">
        <v>90</v>
      </c>
    </row>
    <row r="697" spans="1:9" x14ac:dyDescent="0.6">
      <c r="A697">
        <v>746</v>
      </c>
      <c r="B697" t="s">
        <v>7</v>
      </c>
      <c r="C697" t="s">
        <v>8</v>
      </c>
      <c r="D697">
        <v>144.69999999999999</v>
      </c>
      <c r="E697">
        <v>109.71</v>
      </c>
      <c r="F697">
        <v>23117</v>
      </c>
      <c r="G697" t="s">
        <v>15</v>
      </c>
      <c r="H697">
        <v>64</v>
      </c>
      <c r="I697" t="s">
        <v>90</v>
      </c>
    </row>
    <row r="698" spans="1:9" x14ac:dyDescent="0.6">
      <c r="A698">
        <v>738</v>
      </c>
      <c r="B698" t="s">
        <v>7</v>
      </c>
      <c r="C698" t="s">
        <v>8</v>
      </c>
      <c r="D698">
        <v>216.53</v>
      </c>
      <c r="E698">
        <v>184.21</v>
      </c>
      <c r="F698">
        <v>21999</v>
      </c>
      <c r="G698" t="s">
        <v>9</v>
      </c>
      <c r="H698">
        <v>61</v>
      </c>
      <c r="I698" t="s">
        <v>90</v>
      </c>
    </row>
    <row r="699" spans="1:9" x14ac:dyDescent="0.6">
      <c r="A699">
        <v>737</v>
      </c>
      <c r="B699" t="s">
        <v>14</v>
      </c>
      <c r="C699" t="s">
        <v>8</v>
      </c>
      <c r="D699">
        <v>181.64</v>
      </c>
      <c r="E699">
        <v>127.78</v>
      </c>
      <c r="F699">
        <v>17550</v>
      </c>
      <c r="G699" t="s">
        <v>9</v>
      </c>
      <c r="H699">
        <v>55</v>
      </c>
      <c r="I699" t="s">
        <v>90</v>
      </c>
    </row>
    <row r="700" spans="1:9" x14ac:dyDescent="0.6">
      <c r="A700">
        <v>723</v>
      </c>
      <c r="B700" t="s">
        <v>14</v>
      </c>
      <c r="C700" t="s">
        <v>8</v>
      </c>
      <c r="D700">
        <v>285.72000000000003</v>
      </c>
      <c r="E700">
        <v>174.09</v>
      </c>
      <c r="F700">
        <v>41318</v>
      </c>
      <c r="G700" t="s">
        <v>9</v>
      </c>
      <c r="H700">
        <v>64</v>
      </c>
      <c r="I700" t="s">
        <v>108</v>
      </c>
    </row>
    <row r="701" spans="1:9" x14ac:dyDescent="0.6">
      <c r="A701">
        <v>724</v>
      </c>
      <c r="B701" t="s">
        <v>7</v>
      </c>
      <c r="C701" t="s">
        <v>8</v>
      </c>
      <c r="D701">
        <v>179.2</v>
      </c>
      <c r="E701">
        <v>125.46</v>
      </c>
      <c r="F701">
        <v>26303</v>
      </c>
      <c r="G701" t="s">
        <v>9</v>
      </c>
      <c r="H701">
        <v>55</v>
      </c>
      <c r="I701" t="s">
        <v>108</v>
      </c>
    </row>
    <row r="702" spans="1:9" x14ac:dyDescent="0.6">
      <c r="A702">
        <v>736</v>
      </c>
      <c r="B702" t="s">
        <v>14</v>
      </c>
      <c r="C702" t="s">
        <v>8</v>
      </c>
      <c r="D702">
        <v>192.46</v>
      </c>
      <c r="E702">
        <v>203.21</v>
      </c>
      <c r="F702">
        <v>26170</v>
      </c>
      <c r="G702" t="s">
        <v>9</v>
      </c>
      <c r="H702">
        <v>58</v>
      </c>
      <c r="I702" t="s">
        <v>90</v>
      </c>
    </row>
    <row r="703" spans="1:9" x14ac:dyDescent="0.6">
      <c r="A703">
        <v>748</v>
      </c>
      <c r="B703" t="s">
        <v>14</v>
      </c>
      <c r="C703" t="s">
        <v>8</v>
      </c>
      <c r="D703">
        <v>266.86</v>
      </c>
      <c r="E703">
        <v>133.5</v>
      </c>
      <c r="F703">
        <v>18248</v>
      </c>
      <c r="G703" t="s">
        <v>9</v>
      </c>
      <c r="H703">
        <v>53</v>
      </c>
      <c r="I703" t="s">
        <v>90</v>
      </c>
    </row>
    <row r="704" spans="1:9" x14ac:dyDescent="0.6">
      <c r="A704">
        <v>747</v>
      </c>
      <c r="B704" t="s">
        <v>7</v>
      </c>
      <c r="C704" t="s">
        <v>8</v>
      </c>
      <c r="D704">
        <v>128.05000000000001</v>
      </c>
      <c r="E704">
        <v>87.82</v>
      </c>
      <c r="F704">
        <v>23346</v>
      </c>
      <c r="G704" t="s">
        <v>15</v>
      </c>
      <c r="H704" t="s">
        <v>4732</v>
      </c>
      <c r="I704" t="s">
        <v>90</v>
      </c>
    </row>
    <row r="705" spans="1:9" x14ac:dyDescent="0.6">
      <c r="A705">
        <v>749</v>
      </c>
      <c r="B705" t="s">
        <v>7</v>
      </c>
      <c r="C705" t="s">
        <v>8</v>
      </c>
      <c r="D705">
        <v>215.21</v>
      </c>
      <c r="E705">
        <v>119.66</v>
      </c>
      <c r="F705">
        <v>27873</v>
      </c>
      <c r="G705" t="s">
        <v>9</v>
      </c>
      <c r="H705" t="s">
        <v>4732</v>
      </c>
      <c r="I705" t="s">
        <v>90</v>
      </c>
    </row>
    <row r="706" spans="1:9" x14ac:dyDescent="0.6">
      <c r="A706">
        <v>729</v>
      </c>
      <c r="B706" t="s">
        <v>7</v>
      </c>
      <c r="C706" t="s">
        <v>8</v>
      </c>
      <c r="D706">
        <v>157.22</v>
      </c>
      <c r="E706">
        <v>88.27</v>
      </c>
      <c r="F706">
        <v>28917</v>
      </c>
      <c r="G706" t="s">
        <v>15</v>
      </c>
      <c r="H706">
        <v>53</v>
      </c>
      <c r="I706" t="s">
        <v>108</v>
      </c>
    </row>
    <row r="707" spans="1:9" x14ac:dyDescent="0.6">
      <c r="A707">
        <v>730</v>
      </c>
      <c r="B707" t="s">
        <v>14</v>
      </c>
      <c r="C707" t="s">
        <v>8</v>
      </c>
      <c r="D707">
        <v>145.34</v>
      </c>
      <c r="E707">
        <v>108.19</v>
      </c>
      <c r="F707">
        <v>31530</v>
      </c>
      <c r="G707" t="s">
        <v>15</v>
      </c>
      <c r="H707">
        <v>61</v>
      </c>
      <c r="I707" t="s">
        <v>108</v>
      </c>
    </row>
    <row r="708" spans="1:9" x14ac:dyDescent="0.6">
      <c r="A708">
        <v>727</v>
      </c>
      <c r="B708" t="s">
        <v>7</v>
      </c>
      <c r="C708" t="s">
        <v>8</v>
      </c>
      <c r="D708">
        <v>278.60000000000002</v>
      </c>
      <c r="E708">
        <v>171.32</v>
      </c>
      <c r="F708">
        <v>40366</v>
      </c>
      <c r="G708" t="s">
        <v>9</v>
      </c>
      <c r="H708">
        <v>57</v>
      </c>
      <c r="I708" t="s">
        <v>108</v>
      </c>
    </row>
    <row r="709" spans="1:9" x14ac:dyDescent="0.6">
      <c r="A709">
        <v>740</v>
      </c>
      <c r="B709" t="s">
        <v>7</v>
      </c>
      <c r="C709" t="s">
        <v>8</v>
      </c>
      <c r="D709">
        <v>242.81</v>
      </c>
      <c r="E709">
        <v>149.74</v>
      </c>
      <c r="F709">
        <v>36999</v>
      </c>
      <c r="G709" t="s">
        <v>9</v>
      </c>
      <c r="H709">
        <v>51</v>
      </c>
      <c r="I709" t="s">
        <v>90</v>
      </c>
    </row>
    <row r="710" spans="1:9" x14ac:dyDescent="0.6">
      <c r="A710">
        <v>744</v>
      </c>
      <c r="B710" t="s">
        <v>7</v>
      </c>
      <c r="C710" t="s">
        <v>8</v>
      </c>
      <c r="D710">
        <v>215.72</v>
      </c>
      <c r="E710">
        <v>202.07</v>
      </c>
      <c r="F710">
        <v>31565</v>
      </c>
      <c r="G710" t="s">
        <v>9</v>
      </c>
      <c r="H710">
        <v>55</v>
      </c>
      <c r="I710" t="s">
        <v>90</v>
      </c>
    </row>
    <row r="711" spans="1:9" x14ac:dyDescent="0.6">
      <c r="A711" t="s">
        <v>18</v>
      </c>
      <c r="B711" t="s">
        <v>14</v>
      </c>
      <c r="C711" t="s">
        <v>8</v>
      </c>
      <c r="D711">
        <v>214.17</v>
      </c>
      <c r="E711">
        <v>159.75</v>
      </c>
      <c r="F711">
        <v>34826</v>
      </c>
      <c r="G711" t="s">
        <v>9</v>
      </c>
      <c r="H711" t="s">
        <v>4732</v>
      </c>
      <c r="I711" t="s">
        <v>4732</v>
      </c>
    </row>
    <row r="712" spans="1:9" x14ac:dyDescent="0.6">
      <c r="A712">
        <v>762</v>
      </c>
      <c r="B712" t="s">
        <v>14</v>
      </c>
      <c r="C712" t="s">
        <v>8</v>
      </c>
      <c r="D712">
        <v>248.92</v>
      </c>
      <c r="E712">
        <v>178.08</v>
      </c>
      <c r="F712">
        <v>45646</v>
      </c>
      <c r="G712" t="s">
        <v>9</v>
      </c>
      <c r="H712">
        <v>52</v>
      </c>
      <c r="I712" t="s">
        <v>108</v>
      </c>
    </row>
    <row r="713" spans="1:9" x14ac:dyDescent="0.6">
      <c r="A713">
        <v>743</v>
      </c>
      <c r="B713" t="s">
        <v>14</v>
      </c>
      <c r="C713" t="s">
        <v>8</v>
      </c>
      <c r="D713">
        <v>148.1</v>
      </c>
      <c r="E713">
        <v>151.94999999999999</v>
      </c>
      <c r="F713">
        <v>44834</v>
      </c>
      <c r="G713" t="s">
        <v>15</v>
      </c>
      <c r="H713">
        <v>69</v>
      </c>
      <c r="I713" t="s">
        <v>108</v>
      </c>
    </row>
    <row r="714" spans="1:9" x14ac:dyDescent="0.6">
      <c r="A714">
        <v>751</v>
      </c>
      <c r="B714" t="s">
        <v>14</v>
      </c>
      <c r="C714" t="s">
        <v>8</v>
      </c>
      <c r="D714">
        <v>226.06</v>
      </c>
      <c r="E714">
        <v>130.69</v>
      </c>
      <c r="F714">
        <v>19115</v>
      </c>
      <c r="G714" t="s">
        <v>9</v>
      </c>
      <c r="H714">
        <v>54</v>
      </c>
      <c r="I714" t="s">
        <v>108</v>
      </c>
    </row>
    <row r="715" spans="1:9" x14ac:dyDescent="0.6">
      <c r="A715">
        <v>750</v>
      </c>
      <c r="B715" t="s">
        <v>7</v>
      </c>
      <c r="C715" t="s">
        <v>8</v>
      </c>
      <c r="D715">
        <v>169.41</v>
      </c>
      <c r="E715">
        <v>110.06</v>
      </c>
      <c r="F715">
        <v>27718</v>
      </c>
      <c r="G715" t="s">
        <v>9</v>
      </c>
      <c r="H715" t="s">
        <v>4732</v>
      </c>
      <c r="I715" t="s">
        <v>108</v>
      </c>
    </row>
    <row r="716" spans="1:9" x14ac:dyDescent="0.6">
      <c r="A716">
        <v>741</v>
      </c>
      <c r="B716" t="s">
        <v>7</v>
      </c>
      <c r="C716" t="s">
        <v>8</v>
      </c>
      <c r="D716">
        <v>250.59</v>
      </c>
      <c r="E716">
        <v>151.09</v>
      </c>
      <c r="F716">
        <v>28220</v>
      </c>
      <c r="G716" t="s">
        <v>9</v>
      </c>
      <c r="H716">
        <v>58</v>
      </c>
      <c r="I716" t="s">
        <v>90</v>
      </c>
    </row>
    <row r="717" spans="1:9" x14ac:dyDescent="0.6">
      <c r="A717">
        <v>759</v>
      </c>
      <c r="B717" t="s">
        <v>14</v>
      </c>
      <c r="C717" t="s">
        <v>8</v>
      </c>
      <c r="D717">
        <v>161.65</v>
      </c>
      <c r="E717">
        <v>159.6</v>
      </c>
      <c r="F717">
        <v>19856</v>
      </c>
      <c r="G717" t="s">
        <v>9</v>
      </c>
      <c r="H717">
        <v>53</v>
      </c>
      <c r="I717" t="s">
        <v>90</v>
      </c>
    </row>
    <row r="718" spans="1:9" x14ac:dyDescent="0.6">
      <c r="A718">
        <v>742</v>
      </c>
      <c r="B718" t="s">
        <v>7</v>
      </c>
      <c r="C718" t="s">
        <v>8</v>
      </c>
      <c r="D718">
        <v>191.2</v>
      </c>
      <c r="E718">
        <v>125.12</v>
      </c>
      <c r="F718">
        <v>38761</v>
      </c>
      <c r="G718" t="s">
        <v>9</v>
      </c>
      <c r="H718" t="s">
        <v>4732</v>
      </c>
      <c r="I718" t="s">
        <v>108</v>
      </c>
    </row>
    <row r="719" spans="1:9" x14ac:dyDescent="0.6">
      <c r="A719">
        <v>760</v>
      </c>
      <c r="B719" t="s">
        <v>14</v>
      </c>
      <c r="C719" t="s">
        <v>8</v>
      </c>
      <c r="D719">
        <v>276.27</v>
      </c>
      <c r="E719">
        <v>168.7</v>
      </c>
      <c r="F719">
        <v>39623</v>
      </c>
      <c r="G719" t="s">
        <v>9</v>
      </c>
      <c r="H719">
        <v>52</v>
      </c>
      <c r="I719" t="s">
        <v>108</v>
      </c>
    </row>
    <row r="720" spans="1:9" x14ac:dyDescent="0.6">
      <c r="A720">
        <v>758</v>
      </c>
      <c r="B720" t="s">
        <v>7</v>
      </c>
      <c r="C720" t="s">
        <v>8</v>
      </c>
      <c r="D720">
        <v>284.83999999999997</v>
      </c>
      <c r="E720">
        <v>195.51</v>
      </c>
      <c r="F720">
        <v>30088</v>
      </c>
      <c r="G720" t="s">
        <v>9</v>
      </c>
      <c r="H720">
        <v>56</v>
      </c>
      <c r="I720" t="s">
        <v>108</v>
      </c>
    </row>
    <row r="721" spans="1:9" x14ac:dyDescent="0.6">
      <c r="A721">
        <v>766</v>
      </c>
      <c r="B721" t="s">
        <v>14</v>
      </c>
      <c r="C721" t="s">
        <v>8</v>
      </c>
      <c r="D721">
        <v>195.97</v>
      </c>
      <c r="E721">
        <v>175.38</v>
      </c>
      <c r="F721">
        <v>39923</v>
      </c>
      <c r="G721" t="s">
        <v>9</v>
      </c>
      <c r="H721">
        <v>58</v>
      </c>
      <c r="I721" t="s">
        <v>108</v>
      </c>
    </row>
    <row r="722" spans="1:9" x14ac:dyDescent="0.6">
      <c r="A722">
        <v>754</v>
      </c>
      <c r="B722" t="s">
        <v>14</v>
      </c>
      <c r="C722" t="s">
        <v>8</v>
      </c>
      <c r="D722">
        <v>298.27</v>
      </c>
      <c r="E722">
        <v>117.94</v>
      </c>
      <c r="F722">
        <v>30767</v>
      </c>
      <c r="G722" t="s">
        <v>9</v>
      </c>
      <c r="H722">
        <v>89</v>
      </c>
      <c r="I722" t="s">
        <v>154</v>
      </c>
    </row>
    <row r="723" spans="1:9" x14ac:dyDescent="0.6">
      <c r="A723">
        <v>757</v>
      </c>
      <c r="B723" t="s">
        <v>7</v>
      </c>
      <c r="C723" t="s">
        <v>8</v>
      </c>
      <c r="D723">
        <v>234.44</v>
      </c>
      <c r="E723">
        <v>141.66</v>
      </c>
      <c r="F723">
        <v>16767</v>
      </c>
      <c r="G723" t="s">
        <v>9</v>
      </c>
      <c r="H723">
        <v>65</v>
      </c>
      <c r="I723" t="s">
        <v>90</v>
      </c>
    </row>
    <row r="724" spans="1:9" x14ac:dyDescent="0.6">
      <c r="A724">
        <v>765</v>
      </c>
      <c r="B724" t="s">
        <v>7</v>
      </c>
      <c r="C724" t="s">
        <v>8</v>
      </c>
      <c r="D724">
        <v>185.92</v>
      </c>
      <c r="E724">
        <v>116.07</v>
      </c>
      <c r="F724">
        <v>22287</v>
      </c>
      <c r="G724" t="s">
        <v>9</v>
      </c>
      <c r="H724">
        <v>59</v>
      </c>
      <c r="I724" t="s">
        <v>108</v>
      </c>
    </row>
    <row r="725" spans="1:9" x14ac:dyDescent="0.6">
      <c r="A725">
        <v>761</v>
      </c>
      <c r="B725" t="s">
        <v>7</v>
      </c>
      <c r="C725" t="s">
        <v>8</v>
      </c>
      <c r="D725">
        <v>159.33000000000001</v>
      </c>
      <c r="E725">
        <v>139.03</v>
      </c>
      <c r="F725">
        <v>46460</v>
      </c>
      <c r="G725" t="s">
        <v>15</v>
      </c>
      <c r="H725">
        <v>77</v>
      </c>
      <c r="I725" t="s">
        <v>90</v>
      </c>
    </row>
    <row r="726" spans="1:9" x14ac:dyDescent="0.6">
      <c r="A726">
        <v>755</v>
      </c>
      <c r="B726" t="s">
        <v>14</v>
      </c>
      <c r="C726" t="s">
        <v>8</v>
      </c>
      <c r="D726">
        <v>274.41000000000003</v>
      </c>
      <c r="E726">
        <v>221.87</v>
      </c>
      <c r="F726">
        <v>29662</v>
      </c>
      <c r="G726" t="s">
        <v>9</v>
      </c>
      <c r="H726">
        <v>56</v>
      </c>
      <c r="I726" t="s">
        <v>90</v>
      </c>
    </row>
    <row r="727" spans="1:9" x14ac:dyDescent="0.6">
      <c r="A727">
        <v>772</v>
      </c>
      <c r="B727" t="s">
        <v>7</v>
      </c>
      <c r="C727" t="s">
        <v>8</v>
      </c>
      <c r="D727">
        <v>181.2</v>
      </c>
      <c r="E727">
        <v>118.91</v>
      </c>
      <c r="F727">
        <v>25306</v>
      </c>
      <c r="G727" t="s">
        <v>9</v>
      </c>
      <c r="H727">
        <v>67</v>
      </c>
      <c r="I727" t="s">
        <v>108</v>
      </c>
    </row>
    <row r="728" spans="1:9" x14ac:dyDescent="0.6">
      <c r="A728">
        <v>770</v>
      </c>
      <c r="B728" t="s">
        <v>14</v>
      </c>
      <c r="C728" t="s">
        <v>8</v>
      </c>
      <c r="D728">
        <v>206.98</v>
      </c>
      <c r="E728">
        <v>145.99</v>
      </c>
      <c r="F728">
        <v>34013</v>
      </c>
      <c r="G728" t="s">
        <v>9</v>
      </c>
      <c r="H728">
        <v>52</v>
      </c>
      <c r="I728" t="s">
        <v>108</v>
      </c>
    </row>
    <row r="729" spans="1:9" x14ac:dyDescent="0.6">
      <c r="A729">
        <v>771</v>
      </c>
      <c r="B729" t="s">
        <v>14</v>
      </c>
      <c r="C729" t="s">
        <v>8</v>
      </c>
      <c r="D729">
        <v>312.47000000000003</v>
      </c>
      <c r="E729">
        <v>176.08</v>
      </c>
      <c r="F729">
        <v>22321</v>
      </c>
      <c r="G729" t="s">
        <v>9</v>
      </c>
      <c r="H729">
        <v>51</v>
      </c>
      <c r="I729" t="s">
        <v>90</v>
      </c>
    </row>
    <row r="730" spans="1:9" x14ac:dyDescent="0.6">
      <c r="A730">
        <v>764</v>
      </c>
      <c r="B730" t="s">
        <v>7</v>
      </c>
      <c r="C730" t="s">
        <v>8</v>
      </c>
      <c r="D730">
        <v>217.87</v>
      </c>
      <c r="E730">
        <v>155.82</v>
      </c>
      <c r="F730">
        <v>31286</v>
      </c>
      <c r="G730" t="s">
        <v>9</v>
      </c>
      <c r="H730">
        <v>60</v>
      </c>
      <c r="I730" t="s">
        <v>90</v>
      </c>
    </row>
    <row r="731" spans="1:9" x14ac:dyDescent="0.6">
      <c r="A731">
        <v>756</v>
      </c>
      <c r="B731" t="s">
        <v>7</v>
      </c>
      <c r="C731" t="s">
        <v>8</v>
      </c>
      <c r="D731">
        <v>300.08999999999997</v>
      </c>
      <c r="E731">
        <v>191.49</v>
      </c>
      <c r="F731">
        <v>31091</v>
      </c>
      <c r="G731" t="s">
        <v>9</v>
      </c>
      <c r="H731">
        <v>50</v>
      </c>
      <c r="I731" t="s">
        <v>108</v>
      </c>
    </row>
    <row r="732" spans="1:9" x14ac:dyDescent="0.6">
      <c r="A732">
        <v>769</v>
      </c>
      <c r="B732" t="s">
        <v>14</v>
      </c>
      <c r="C732" t="s">
        <v>8</v>
      </c>
      <c r="D732">
        <v>178.64</v>
      </c>
      <c r="E732">
        <v>183.6</v>
      </c>
      <c r="F732">
        <v>20559</v>
      </c>
      <c r="G732" t="s">
        <v>9</v>
      </c>
      <c r="H732">
        <v>71</v>
      </c>
      <c r="I732" t="s">
        <v>90</v>
      </c>
    </row>
    <row r="733" spans="1:9" x14ac:dyDescent="0.6">
      <c r="A733">
        <v>781</v>
      </c>
      <c r="B733" t="s">
        <v>14</v>
      </c>
      <c r="C733" t="s">
        <v>8</v>
      </c>
      <c r="D733">
        <v>148.94</v>
      </c>
      <c r="E733">
        <v>129.86000000000001</v>
      </c>
      <c r="F733">
        <v>40467</v>
      </c>
      <c r="G733" t="s">
        <v>15</v>
      </c>
      <c r="H733">
        <v>68</v>
      </c>
      <c r="I733" t="s">
        <v>90</v>
      </c>
    </row>
    <row r="734" spans="1:9" x14ac:dyDescent="0.6">
      <c r="A734">
        <v>768</v>
      </c>
      <c r="B734" t="s">
        <v>7</v>
      </c>
      <c r="C734" t="s">
        <v>8</v>
      </c>
      <c r="D734">
        <v>180.43</v>
      </c>
      <c r="E734">
        <v>140.08000000000001</v>
      </c>
      <c r="F734">
        <v>44704</v>
      </c>
      <c r="G734" t="s">
        <v>9</v>
      </c>
      <c r="H734" t="s">
        <v>4732</v>
      </c>
      <c r="I734" t="s">
        <v>108</v>
      </c>
    </row>
    <row r="735" spans="1:9" x14ac:dyDescent="0.6">
      <c r="A735">
        <v>767</v>
      </c>
      <c r="B735" t="s">
        <v>7</v>
      </c>
      <c r="C735" t="s">
        <v>8</v>
      </c>
      <c r="D735">
        <v>139.44999999999999</v>
      </c>
      <c r="E735">
        <v>123.41</v>
      </c>
      <c r="F735">
        <v>50932</v>
      </c>
      <c r="G735" t="s">
        <v>15</v>
      </c>
      <c r="H735">
        <v>89</v>
      </c>
      <c r="I735" t="s">
        <v>154</v>
      </c>
    </row>
    <row r="736" spans="1:9" x14ac:dyDescent="0.6">
      <c r="A736">
        <v>753</v>
      </c>
      <c r="B736" t="s">
        <v>7</v>
      </c>
      <c r="C736" t="s">
        <v>8</v>
      </c>
      <c r="D736">
        <v>186.49</v>
      </c>
      <c r="E736">
        <v>147.6</v>
      </c>
      <c r="F736">
        <v>29113</v>
      </c>
      <c r="G736" t="s">
        <v>9</v>
      </c>
      <c r="H736">
        <v>64</v>
      </c>
      <c r="I736" t="s">
        <v>108</v>
      </c>
    </row>
    <row r="737" spans="1:9" x14ac:dyDescent="0.6">
      <c r="A737">
        <v>780</v>
      </c>
      <c r="B737" t="s">
        <v>7</v>
      </c>
      <c r="C737" t="s">
        <v>8</v>
      </c>
      <c r="D737">
        <v>366.72</v>
      </c>
      <c r="E737">
        <v>175.92</v>
      </c>
      <c r="F737">
        <v>29144</v>
      </c>
      <c r="G737" t="s">
        <v>9</v>
      </c>
      <c r="H737">
        <v>75</v>
      </c>
      <c r="I737" t="s">
        <v>90</v>
      </c>
    </row>
    <row r="738" spans="1:9" x14ac:dyDescent="0.6">
      <c r="A738">
        <v>763</v>
      </c>
      <c r="B738" t="s">
        <v>7</v>
      </c>
      <c r="C738" t="s">
        <v>8</v>
      </c>
      <c r="D738">
        <v>193.91</v>
      </c>
      <c r="E738">
        <v>142.44</v>
      </c>
      <c r="F738">
        <v>21459</v>
      </c>
      <c r="G738" t="s">
        <v>9</v>
      </c>
      <c r="H738">
        <v>68</v>
      </c>
      <c r="I738" t="s">
        <v>90</v>
      </c>
    </row>
    <row r="739" spans="1:9" x14ac:dyDescent="0.6">
      <c r="A739">
        <v>786</v>
      </c>
      <c r="B739" t="s">
        <v>7</v>
      </c>
      <c r="C739" t="s">
        <v>8</v>
      </c>
      <c r="D739">
        <v>114.68</v>
      </c>
      <c r="E739">
        <v>121.47</v>
      </c>
      <c r="F739">
        <v>45628</v>
      </c>
      <c r="G739" t="s">
        <v>15</v>
      </c>
      <c r="H739">
        <v>59</v>
      </c>
      <c r="I739" t="s">
        <v>108</v>
      </c>
    </row>
    <row r="740" spans="1:9" x14ac:dyDescent="0.6">
      <c r="A740">
        <v>773</v>
      </c>
      <c r="B740" t="s">
        <v>14</v>
      </c>
      <c r="C740" t="s">
        <v>8</v>
      </c>
      <c r="D740">
        <v>196.4</v>
      </c>
      <c r="E740">
        <v>187.58</v>
      </c>
      <c r="F740">
        <v>41169</v>
      </c>
      <c r="G740" t="s">
        <v>9</v>
      </c>
      <c r="H740">
        <v>75</v>
      </c>
      <c r="I740" t="s">
        <v>108</v>
      </c>
    </row>
    <row r="741" spans="1:9" x14ac:dyDescent="0.6">
      <c r="A741">
        <v>777</v>
      </c>
      <c r="B741" t="s">
        <v>7</v>
      </c>
      <c r="C741" t="s">
        <v>8</v>
      </c>
      <c r="D741">
        <v>176.02</v>
      </c>
      <c r="E741">
        <v>110.68</v>
      </c>
      <c r="F741">
        <v>27169</v>
      </c>
      <c r="G741" t="s">
        <v>9</v>
      </c>
      <c r="H741">
        <v>57</v>
      </c>
      <c r="I741" t="s">
        <v>90</v>
      </c>
    </row>
    <row r="742" spans="1:9" x14ac:dyDescent="0.6">
      <c r="A742">
        <v>775</v>
      </c>
      <c r="B742" t="s">
        <v>14</v>
      </c>
      <c r="C742" t="s">
        <v>8</v>
      </c>
      <c r="D742">
        <v>196.58</v>
      </c>
      <c r="E742">
        <v>195.93</v>
      </c>
      <c r="F742">
        <v>41869</v>
      </c>
      <c r="G742" t="s">
        <v>9</v>
      </c>
      <c r="H742">
        <v>62</v>
      </c>
      <c r="I742" t="s">
        <v>108</v>
      </c>
    </row>
    <row r="743" spans="1:9" x14ac:dyDescent="0.6">
      <c r="A743" t="s">
        <v>19</v>
      </c>
      <c r="B743" t="s">
        <v>14</v>
      </c>
      <c r="C743" t="s">
        <v>8</v>
      </c>
      <c r="D743">
        <v>176.19</v>
      </c>
      <c r="E743">
        <v>156.58000000000001</v>
      </c>
      <c r="F743">
        <v>43183</v>
      </c>
      <c r="G743" t="s">
        <v>9</v>
      </c>
      <c r="H743" t="s">
        <v>4732</v>
      </c>
      <c r="I743" t="s">
        <v>4732</v>
      </c>
    </row>
    <row r="744" spans="1:9" x14ac:dyDescent="0.6">
      <c r="A744">
        <v>783</v>
      </c>
      <c r="B744" t="s">
        <v>14</v>
      </c>
      <c r="C744" t="s">
        <v>8</v>
      </c>
      <c r="D744">
        <v>218.23</v>
      </c>
      <c r="E744">
        <v>153.30000000000001</v>
      </c>
      <c r="F744">
        <v>31238</v>
      </c>
      <c r="G744" t="s">
        <v>9</v>
      </c>
      <c r="H744">
        <v>60</v>
      </c>
      <c r="I744" t="s">
        <v>108</v>
      </c>
    </row>
    <row r="745" spans="1:9" x14ac:dyDescent="0.6">
      <c r="A745">
        <v>776</v>
      </c>
      <c r="B745" t="s">
        <v>7</v>
      </c>
      <c r="C745" t="s">
        <v>8</v>
      </c>
      <c r="D745">
        <v>405.75</v>
      </c>
      <c r="E745">
        <v>176.44</v>
      </c>
      <c r="F745">
        <v>3147</v>
      </c>
      <c r="G745" t="s">
        <v>9</v>
      </c>
      <c r="H745">
        <v>60</v>
      </c>
      <c r="I745" t="s">
        <v>90</v>
      </c>
    </row>
    <row r="746" spans="1:9" x14ac:dyDescent="0.6">
      <c r="A746" t="s">
        <v>20</v>
      </c>
      <c r="B746" t="s">
        <v>14</v>
      </c>
      <c r="C746" t="s">
        <v>8</v>
      </c>
      <c r="D746">
        <v>192.36</v>
      </c>
      <c r="E746">
        <v>138.5</v>
      </c>
      <c r="F746">
        <v>50078</v>
      </c>
      <c r="G746" t="s">
        <v>9</v>
      </c>
      <c r="H746" t="s">
        <v>4732</v>
      </c>
      <c r="I746" t="s">
        <v>4732</v>
      </c>
    </row>
    <row r="747" spans="1:9" x14ac:dyDescent="0.6">
      <c r="A747">
        <v>778</v>
      </c>
      <c r="B747" t="s">
        <v>14</v>
      </c>
      <c r="C747" t="s">
        <v>8</v>
      </c>
      <c r="D747">
        <v>232.88</v>
      </c>
      <c r="E747">
        <v>221.17</v>
      </c>
      <c r="F747">
        <v>40485</v>
      </c>
      <c r="G747" t="s">
        <v>9</v>
      </c>
      <c r="H747">
        <v>62</v>
      </c>
      <c r="I747" t="s">
        <v>108</v>
      </c>
    </row>
    <row r="748" spans="1:9" x14ac:dyDescent="0.6">
      <c r="A748">
        <v>785</v>
      </c>
      <c r="B748" t="s">
        <v>7</v>
      </c>
      <c r="C748" t="s">
        <v>8</v>
      </c>
      <c r="D748">
        <v>230.32</v>
      </c>
      <c r="E748">
        <v>124.65</v>
      </c>
      <c r="F748">
        <v>17684</v>
      </c>
      <c r="G748" t="s">
        <v>9</v>
      </c>
      <c r="H748">
        <v>50</v>
      </c>
      <c r="I748" t="s">
        <v>90</v>
      </c>
    </row>
    <row r="749" spans="1:9" x14ac:dyDescent="0.6">
      <c r="A749">
        <v>784</v>
      </c>
      <c r="B749" t="s">
        <v>14</v>
      </c>
      <c r="C749" t="s">
        <v>8</v>
      </c>
      <c r="D749">
        <v>232.54</v>
      </c>
      <c r="E749">
        <v>208.16</v>
      </c>
      <c r="F749">
        <v>28618</v>
      </c>
      <c r="G749" t="s">
        <v>9</v>
      </c>
      <c r="H749">
        <v>50</v>
      </c>
      <c r="I749" t="s">
        <v>90</v>
      </c>
    </row>
    <row r="750" spans="1:9" x14ac:dyDescent="0.6">
      <c r="A750" t="s">
        <v>21</v>
      </c>
      <c r="B750" t="s">
        <v>14</v>
      </c>
      <c r="C750" t="s">
        <v>8</v>
      </c>
      <c r="D750">
        <v>203.68</v>
      </c>
      <c r="E750">
        <v>132.02000000000001</v>
      </c>
      <c r="F750">
        <v>45148</v>
      </c>
      <c r="G750" t="s">
        <v>9</v>
      </c>
      <c r="H750" t="s">
        <v>4732</v>
      </c>
      <c r="I750" t="s">
        <v>4732</v>
      </c>
    </row>
    <row r="751" spans="1:9" x14ac:dyDescent="0.6">
      <c r="A751" t="s">
        <v>22</v>
      </c>
      <c r="B751" t="s">
        <v>14</v>
      </c>
      <c r="C751" t="s">
        <v>8</v>
      </c>
      <c r="D751">
        <v>203.68</v>
      </c>
      <c r="E751">
        <v>132.02000000000001</v>
      </c>
      <c r="F751">
        <v>45148</v>
      </c>
      <c r="G751" t="s">
        <v>9</v>
      </c>
      <c r="H751" t="s">
        <v>4732</v>
      </c>
      <c r="I751" t="s">
        <v>4732</v>
      </c>
    </row>
    <row r="752" spans="1:9" x14ac:dyDescent="0.6">
      <c r="A752">
        <v>774</v>
      </c>
      <c r="B752" t="s">
        <v>7</v>
      </c>
      <c r="C752" t="s">
        <v>8</v>
      </c>
      <c r="D752">
        <v>170.76</v>
      </c>
      <c r="E752">
        <v>94.13</v>
      </c>
      <c r="F752">
        <v>31447</v>
      </c>
      <c r="G752" t="s">
        <v>9</v>
      </c>
      <c r="H752">
        <v>60</v>
      </c>
      <c r="I752" t="s">
        <v>108</v>
      </c>
    </row>
    <row r="753" spans="1:9" x14ac:dyDescent="0.6">
      <c r="A753" t="s">
        <v>23</v>
      </c>
      <c r="B753" t="s">
        <v>14</v>
      </c>
      <c r="C753" t="s">
        <v>8</v>
      </c>
      <c r="D753">
        <v>213.38</v>
      </c>
      <c r="E753">
        <v>152.04</v>
      </c>
      <c r="F753">
        <v>36120</v>
      </c>
      <c r="G753" t="s">
        <v>9</v>
      </c>
      <c r="H753" t="s">
        <v>4732</v>
      </c>
      <c r="I753" t="s">
        <v>4732</v>
      </c>
    </row>
    <row r="754" spans="1:9" x14ac:dyDescent="0.6">
      <c r="A754" t="s">
        <v>24</v>
      </c>
      <c r="B754" t="s">
        <v>14</v>
      </c>
      <c r="C754" t="s">
        <v>8</v>
      </c>
      <c r="D754">
        <v>147.06</v>
      </c>
      <c r="E754">
        <v>107.94</v>
      </c>
      <c r="F754">
        <v>27223</v>
      </c>
      <c r="G754" t="s">
        <v>15</v>
      </c>
      <c r="H754" t="s">
        <v>4732</v>
      </c>
      <c r="I754" t="s">
        <v>4732</v>
      </c>
    </row>
    <row r="755" spans="1:9" x14ac:dyDescent="0.6">
      <c r="A755" t="s">
        <v>25</v>
      </c>
      <c r="B755" t="s">
        <v>14</v>
      </c>
      <c r="C755" t="s">
        <v>8</v>
      </c>
      <c r="D755">
        <v>253.61</v>
      </c>
      <c r="E755">
        <v>161.22</v>
      </c>
      <c r="F755">
        <v>24402</v>
      </c>
      <c r="G755" t="s">
        <v>9</v>
      </c>
      <c r="H755" t="s">
        <v>4732</v>
      </c>
      <c r="I755" t="s">
        <v>4732</v>
      </c>
    </row>
    <row r="756" spans="1:9" x14ac:dyDescent="0.6">
      <c r="A756">
        <v>787</v>
      </c>
      <c r="B756" t="s">
        <v>7</v>
      </c>
      <c r="C756" t="s">
        <v>8</v>
      </c>
      <c r="D756">
        <v>223.36</v>
      </c>
      <c r="E756">
        <v>181.89</v>
      </c>
      <c r="F756">
        <v>55914</v>
      </c>
      <c r="G756" t="s">
        <v>9</v>
      </c>
      <c r="H756" t="s">
        <v>4732</v>
      </c>
      <c r="I756" t="s">
        <v>108</v>
      </c>
    </row>
    <row r="757" spans="1:9" x14ac:dyDescent="0.6">
      <c r="A757" t="s">
        <v>26</v>
      </c>
      <c r="B757" t="s">
        <v>14</v>
      </c>
      <c r="C757" t="s">
        <v>8</v>
      </c>
      <c r="D757">
        <v>212.03</v>
      </c>
      <c r="E757">
        <v>139.29</v>
      </c>
      <c r="F757">
        <v>41016</v>
      </c>
      <c r="G757" t="s">
        <v>9</v>
      </c>
      <c r="H757" t="s">
        <v>4732</v>
      </c>
      <c r="I757" t="s">
        <v>4732</v>
      </c>
    </row>
    <row r="758" spans="1:9" x14ac:dyDescent="0.6">
      <c r="A758" t="s">
        <v>27</v>
      </c>
      <c r="B758" t="s">
        <v>14</v>
      </c>
      <c r="C758" t="s">
        <v>8</v>
      </c>
      <c r="D758">
        <v>228.89</v>
      </c>
      <c r="E758">
        <v>211.63</v>
      </c>
      <c r="F758">
        <v>46342</v>
      </c>
      <c r="G758" t="s">
        <v>9</v>
      </c>
      <c r="H758" t="s">
        <v>4732</v>
      </c>
      <c r="I758" t="s">
        <v>4732</v>
      </c>
    </row>
    <row r="759" spans="1:9" x14ac:dyDescent="0.6">
      <c r="A759" t="s">
        <v>28</v>
      </c>
      <c r="B759" t="s">
        <v>14</v>
      </c>
      <c r="C759" t="s">
        <v>8</v>
      </c>
      <c r="D759">
        <v>207.58</v>
      </c>
      <c r="E759">
        <v>174.99</v>
      </c>
      <c r="F759">
        <v>42866</v>
      </c>
      <c r="G759" t="s">
        <v>9</v>
      </c>
      <c r="H759" t="s">
        <v>4732</v>
      </c>
      <c r="I759" t="s">
        <v>4732</v>
      </c>
    </row>
    <row r="760" spans="1:9" x14ac:dyDescent="0.6">
      <c r="A760" t="s">
        <v>29</v>
      </c>
      <c r="B760" t="s">
        <v>14</v>
      </c>
      <c r="C760" t="s">
        <v>8</v>
      </c>
      <c r="D760">
        <v>171.77</v>
      </c>
      <c r="E760">
        <v>152.34</v>
      </c>
      <c r="F760">
        <v>37018</v>
      </c>
      <c r="G760" t="s">
        <v>9</v>
      </c>
      <c r="H760" t="s">
        <v>4732</v>
      </c>
      <c r="I760" t="s">
        <v>4732</v>
      </c>
    </row>
    <row r="761" spans="1:9" x14ac:dyDescent="0.6">
      <c r="A761" t="s">
        <v>30</v>
      </c>
      <c r="B761" t="s">
        <v>14</v>
      </c>
      <c r="C761" t="s">
        <v>8</v>
      </c>
      <c r="D761">
        <v>250.97</v>
      </c>
      <c r="E761">
        <v>135.46</v>
      </c>
      <c r="F761">
        <v>21800</v>
      </c>
      <c r="G761" t="s">
        <v>9</v>
      </c>
      <c r="H761" t="s">
        <v>4732</v>
      </c>
      <c r="I761" t="s">
        <v>4732</v>
      </c>
    </row>
    <row r="762" spans="1:9" x14ac:dyDescent="0.6">
      <c r="A762" t="s">
        <v>31</v>
      </c>
      <c r="B762" t="s">
        <v>14</v>
      </c>
      <c r="C762" t="s">
        <v>8</v>
      </c>
      <c r="D762">
        <v>150.94999999999999</v>
      </c>
      <c r="E762">
        <v>228.66</v>
      </c>
      <c r="F762">
        <v>32764</v>
      </c>
      <c r="G762" t="s">
        <v>15</v>
      </c>
      <c r="H762" t="s">
        <v>4732</v>
      </c>
      <c r="I762" t="s">
        <v>4732</v>
      </c>
    </row>
    <row r="763" spans="1:9" x14ac:dyDescent="0.6">
      <c r="A763">
        <v>782</v>
      </c>
      <c r="B763" t="s">
        <v>7</v>
      </c>
      <c r="C763" t="s">
        <v>8</v>
      </c>
      <c r="D763">
        <v>173.27</v>
      </c>
      <c r="E763">
        <v>145.24</v>
      </c>
      <c r="F763">
        <v>21568</v>
      </c>
      <c r="G763" t="s">
        <v>9</v>
      </c>
      <c r="H763">
        <v>50</v>
      </c>
      <c r="I763" t="s">
        <v>108</v>
      </c>
    </row>
    <row r="764" spans="1:9" x14ac:dyDescent="0.6">
      <c r="A764" t="s">
        <v>32</v>
      </c>
      <c r="B764" t="s">
        <v>14</v>
      </c>
      <c r="C764" t="s">
        <v>8</v>
      </c>
      <c r="D764">
        <v>355.04</v>
      </c>
      <c r="E764">
        <v>233.77</v>
      </c>
      <c r="F764">
        <v>18212</v>
      </c>
      <c r="G764" t="s">
        <v>9</v>
      </c>
      <c r="H764" t="s">
        <v>4732</v>
      </c>
      <c r="I764" t="s">
        <v>4732</v>
      </c>
    </row>
    <row r="765" spans="1:9" x14ac:dyDescent="0.6">
      <c r="A765" t="s">
        <v>33</v>
      </c>
      <c r="B765" t="s">
        <v>14</v>
      </c>
      <c r="C765" t="s">
        <v>8</v>
      </c>
      <c r="D765">
        <v>287.33</v>
      </c>
      <c r="E765">
        <v>183.01</v>
      </c>
      <c r="F765">
        <v>34814</v>
      </c>
      <c r="G765" t="s">
        <v>9</v>
      </c>
      <c r="H765" t="s">
        <v>4732</v>
      </c>
      <c r="I765" t="s">
        <v>4732</v>
      </c>
    </row>
    <row r="766" spans="1:9" x14ac:dyDescent="0.6">
      <c r="A766" t="s">
        <v>34</v>
      </c>
      <c r="B766" t="s">
        <v>14</v>
      </c>
      <c r="C766" t="s">
        <v>8</v>
      </c>
      <c r="D766">
        <v>132.26</v>
      </c>
      <c r="E766">
        <v>170.97</v>
      </c>
      <c r="F766">
        <v>26471</v>
      </c>
      <c r="G766" t="s">
        <v>15</v>
      </c>
      <c r="H766" t="s">
        <v>4732</v>
      </c>
      <c r="I766" t="s">
        <v>4732</v>
      </c>
    </row>
    <row r="767" spans="1:9" x14ac:dyDescent="0.6">
      <c r="A767" t="s">
        <v>35</v>
      </c>
      <c r="B767" t="s">
        <v>14</v>
      </c>
      <c r="C767" t="s">
        <v>8</v>
      </c>
      <c r="D767">
        <v>165.67</v>
      </c>
      <c r="E767">
        <v>123.74</v>
      </c>
      <c r="F767">
        <v>33960</v>
      </c>
      <c r="G767" t="s">
        <v>9</v>
      </c>
      <c r="H767" t="s">
        <v>4732</v>
      </c>
      <c r="I767" t="s">
        <v>4732</v>
      </c>
    </row>
    <row r="768" spans="1:9" x14ac:dyDescent="0.6">
      <c r="A768" t="s">
        <v>36</v>
      </c>
      <c r="B768" t="s">
        <v>14</v>
      </c>
      <c r="C768" t="s">
        <v>8</v>
      </c>
      <c r="D768">
        <v>211.61</v>
      </c>
      <c r="E768">
        <v>220.47</v>
      </c>
      <c r="F768">
        <v>51968</v>
      </c>
      <c r="G768" t="s">
        <v>9</v>
      </c>
      <c r="H768" t="s">
        <v>4732</v>
      </c>
      <c r="I768" t="s">
        <v>4732</v>
      </c>
    </row>
    <row r="769" spans="1:9" x14ac:dyDescent="0.6">
      <c r="A769" t="s">
        <v>37</v>
      </c>
      <c r="B769" t="s">
        <v>14</v>
      </c>
      <c r="C769" t="s">
        <v>8</v>
      </c>
      <c r="D769">
        <v>156</v>
      </c>
      <c r="E769">
        <v>126.79</v>
      </c>
      <c r="F769">
        <v>31528</v>
      </c>
      <c r="G769" t="s">
        <v>15</v>
      </c>
      <c r="H769" t="s">
        <v>4732</v>
      </c>
      <c r="I769" t="s">
        <v>4732</v>
      </c>
    </row>
    <row r="770" spans="1:9" x14ac:dyDescent="0.6">
      <c r="A770" t="s">
        <v>38</v>
      </c>
      <c r="B770" t="s">
        <v>14</v>
      </c>
      <c r="C770" t="s">
        <v>8</v>
      </c>
      <c r="D770">
        <v>221.11</v>
      </c>
      <c r="E770">
        <v>154.12</v>
      </c>
      <c r="F770">
        <v>53559</v>
      </c>
      <c r="G770" t="s">
        <v>9</v>
      </c>
      <c r="H770" t="s">
        <v>4732</v>
      </c>
      <c r="I770" t="s">
        <v>4732</v>
      </c>
    </row>
    <row r="771" spans="1:9" x14ac:dyDescent="0.6">
      <c r="A771" t="s">
        <v>39</v>
      </c>
      <c r="B771" t="s">
        <v>14</v>
      </c>
      <c r="C771" t="s">
        <v>8</v>
      </c>
      <c r="D771">
        <v>227.12</v>
      </c>
      <c r="E771">
        <v>98.69</v>
      </c>
      <c r="F771">
        <v>22818</v>
      </c>
      <c r="G771" t="s">
        <v>9</v>
      </c>
      <c r="H771" t="s">
        <v>4732</v>
      </c>
      <c r="I771" t="s">
        <v>4732</v>
      </c>
    </row>
    <row r="772" spans="1:9" x14ac:dyDescent="0.6">
      <c r="A772" t="s">
        <v>40</v>
      </c>
      <c r="B772" t="s">
        <v>14</v>
      </c>
      <c r="C772" t="s">
        <v>8</v>
      </c>
      <c r="D772">
        <v>200.28</v>
      </c>
      <c r="E772">
        <v>165.47</v>
      </c>
      <c r="F772">
        <v>42867</v>
      </c>
      <c r="G772" t="s">
        <v>9</v>
      </c>
      <c r="H772" t="s">
        <v>4732</v>
      </c>
      <c r="I772" t="s">
        <v>4732</v>
      </c>
    </row>
    <row r="773" spans="1:9" x14ac:dyDescent="0.6">
      <c r="A773" t="s">
        <v>41</v>
      </c>
      <c r="B773" t="s">
        <v>14</v>
      </c>
      <c r="C773" t="s">
        <v>8</v>
      </c>
      <c r="D773">
        <v>155.27000000000001</v>
      </c>
      <c r="E773">
        <v>102.57</v>
      </c>
      <c r="F773">
        <v>37789</v>
      </c>
      <c r="G773" t="s">
        <v>15</v>
      </c>
      <c r="H773" t="s">
        <v>4732</v>
      </c>
      <c r="I773" t="s">
        <v>4732</v>
      </c>
    </row>
    <row r="774" spans="1:9" x14ac:dyDescent="0.6">
      <c r="A774" t="s">
        <v>42</v>
      </c>
      <c r="B774" t="s">
        <v>14</v>
      </c>
      <c r="C774" t="s">
        <v>8</v>
      </c>
      <c r="D774">
        <v>209.23</v>
      </c>
      <c r="E774">
        <v>178.69</v>
      </c>
      <c r="F774">
        <v>43741</v>
      </c>
      <c r="G774" t="s">
        <v>9</v>
      </c>
      <c r="H774" t="s">
        <v>4732</v>
      </c>
      <c r="I774" t="s">
        <v>4732</v>
      </c>
    </row>
    <row r="775" spans="1:9" x14ac:dyDescent="0.6">
      <c r="A775" t="s">
        <v>43</v>
      </c>
      <c r="B775" t="s">
        <v>14</v>
      </c>
      <c r="C775" t="s">
        <v>8</v>
      </c>
      <c r="D775">
        <v>162.81</v>
      </c>
      <c r="E775">
        <v>114.04</v>
      </c>
      <c r="F775">
        <v>18992</v>
      </c>
      <c r="G775" t="s">
        <v>9</v>
      </c>
      <c r="H775" t="s">
        <v>4732</v>
      </c>
      <c r="I775" t="s">
        <v>4732</v>
      </c>
    </row>
    <row r="776" spans="1:9" x14ac:dyDescent="0.6">
      <c r="A776" t="s">
        <v>44</v>
      </c>
      <c r="B776" t="s">
        <v>14</v>
      </c>
      <c r="C776" t="s">
        <v>8</v>
      </c>
      <c r="D776">
        <v>185.27</v>
      </c>
      <c r="E776">
        <v>154.69999999999999</v>
      </c>
      <c r="F776">
        <v>56498</v>
      </c>
      <c r="G776" t="s">
        <v>9</v>
      </c>
      <c r="H776" t="s">
        <v>4732</v>
      </c>
      <c r="I776" t="s">
        <v>4732</v>
      </c>
    </row>
    <row r="777" spans="1:9" x14ac:dyDescent="0.6">
      <c r="A777" t="s">
        <v>45</v>
      </c>
      <c r="B777" t="s">
        <v>14</v>
      </c>
      <c r="C777" t="s">
        <v>8</v>
      </c>
      <c r="D777">
        <v>225.76</v>
      </c>
      <c r="E777">
        <v>197.26</v>
      </c>
      <c r="F777">
        <v>30687</v>
      </c>
      <c r="G777" t="s">
        <v>9</v>
      </c>
      <c r="H777" t="s">
        <v>4732</v>
      </c>
      <c r="I777" t="s">
        <v>4732</v>
      </c>
    </row>
    <row r="778" spans="1:9" x14ac:dyDescent="0.6">
      <c r="A778" t="s">
        <v>46</v>
      </c>
      <c r="B778" t="s">
        <v>14</v>
      </c>
      <c r="C778" t="s">
        <v>8</v>
      </c>
      <c r="D778">
        <v>314.48</v>
      </c>
      <c r="E778">
        <v>211.39</v>
      </c>
      <c r="F778">
        <v>33086</v>
      </c>
      <c r="G778" t="s">
        <v>9</v>
      </c>
      <c r="H778" t="s">
        <v>4732</v>
      </c>
      <c r="I778" t="s">
        <v>4732</v>
      </c>
    </row>
    <row r="779" spans="1:9" x14ac:dyDescent="0.6">
      <c r="A779" t="s">
        <v>47</v>
      </c>
      <c r="B779" t="s">
        <v>14</v>
      </c>
      <c r="C779" t="s">
        <v>8</v>
      </c>
      <c r="D779">
        <v>197.03</v>
      </c>
      <c r="E779">
        <v>129.78</v>
      </c>
      <c r="F779">
        <v>34769</v>
      </c>
      <c r="G779" t="s">
        <v>9</v>
      </c>
      <c r="H779" t="s">
        <v>4732</v>
      </c>
      <c r="I779" t="s">
        <v>4732</v>
      </c>
    </row>
    <row r="780" spans="1:9" x14ac:dyDescent="0.6">
      <c r="A780" t="s">
        <v>48</v>
      </c>
      <c r="B780" t="s">
        <v>14</v>
      </c>
      <c r="C780" t="s">
        <v>8</v>
      </c>
      <c r="D780">
        <v>226.53</v>
      </c>
      <c r="E780">
        <v>116.5</v>
      </c>
      <c r="F780">
        <v>35739</v>
      </c>
      <c r="G780" t="s">
        <v>9</v>
      </c>
      <c r="H780" t="s">
        <v>4732</v>
      </c>
      <c r="I780" t="s">
        <v>4732</v>
      </c>
    </row>
    <row r="781" spans="1:9" x14ac:dyDescent="0.6">
      <c r="A781" t="s">
        <v>49</v>
      </c>
      <c r="B781" t="s">
        <v>14</v>
      </c>
      <c r="C781" t="s">
        <v>8</v>
      </c>
      <c r="D781">
        <v>217.53</v>
      </c>
      <c r="E781">
        <v>118.28</v>
      </c>
      <c r="F781">
        <v>25082</v>
      </c>
      <c r="G781" t="s">
        <v>9</v>
      </c>
      <c r="H781" t="s">
        <v>4732</v>
      </c>
      <c r="I781" t="s">
        <v>4732</v>
      </c>
    </row>
    <row r="782" spans="1:9" x14ac:dyDescent="0.6">
      <c r="A782" t="s">
        <v>50</v>
      </c>
      <c r="B782" t="s">
        <v>14</v>
      </c>
      <c r="C782" t="s">
        <v>8</v>
      </c>
      <c r="D782">
        <v>155.53</v>
      </c>
      <c r="E782">
        <v>93.87</v>
      </c>
      <c r="F782">
        <v>34155</v>
      </c>
      <c r="G782" t="s">
        <v>15</v>
      </c>
      <c r="H782" t="s">
        <v>4732</v>
      </c>
      <c r="I782" t="s">
        <v>4732</v>
      </c>
    </row>
    <row r="783" spans="1:9" x14ac:dyDescent="0.6">
      <c r="A783" t="s">
        <v>51</v>
      </c>
      <c r="B783" t="s">
        <v>14</v>
      </c>
      <c r="C783" t="s">
        <v>8</v>
      </c>
      <c r="D783">
        <v>213.96</v>
      </c>
      <c r="E783">
        <v>181.27</v>
      </c>
      <c r="F783">
        <v>36465</v>
      </c>
      <c r="G783" t="s">
        <v>9</v>
      </c>
      <c r="H783" t="s">
        <v>4732</v>
      </c>
      <c r="I783" t="s">
        <v>4732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5432-D281-4EFD-AC9F-8E8E292F73FE}">
  <dimension ref="A1:AL1154"/>
  <sheetViews>
    <sheetView topLeftCell="A1122" workbookViewId="0">
      <selection activeCell="A1134" sqref="A1134"/>
    </sheetView>
  </sheetViews>
  <sheetFormatPr defaultRowHeight="15.6" x14ac:dyDescent="0.6"/>
  <sheetData>
    <row r="1" spans="1:38" x14ac:dyDescent="0.6">
      <c r="A1" s="1" t="s">
        <v>0</v>
      </c>
      <c r="B1" s="1" t="s">
        <v>54</v>
      </c>
      <c r="C1" s="1" t="s">
        <v>52</v>
      </c>
      <c r="D1" s="1" t="s">
        <v>55</v>
      </c>
      <c r="E1" s="1" t="s">
        <v>53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1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</row>
    <row r="2" spans="1:38" x14ac:dyDescent="0.6">
      <c r="A2" s="1">
        <v>9</v>
      </c>
      <c r="B2" s="1" t="s">
        <v>88</v>
      </c>
      <c r="C2" s="1">
        <v>50</v>
      </c>
      <c r="D2" s="1" t="s">
        <v>89</v>
      </c>
      <c r="E2" s="1" t="s">
        <v>90</v>
      </c>
      <c r="F2" s="1"/>
      <c r="G2" s="1"/>
      <c r="H2" s="1" t="s">
        <v>91</v>
      </c>
      <c r="I2" s="1" t="s">
        <v>92</v>
      </c>
      <c r="J2" s="1" t="s">
        <v>93</v>
      </c>
      <c r="K2" s="1">
        <v>1</v>
      </c>
      <c r="L2" s="1">
        <v>120</v>
      </c>
      <c r="M2" s="1" t="s">
        <v>94</v>
      </c>
      <c r="N2" s="1" t="s">
        <v>95</v>
      </c>
      <c r="O2" s="1"/>
      <c r="P2" s="1" t="s">
        <v>96</v>
      </c>
      <c r="Q2" s="1" t="s">
        <v>9</v>
      </c>
      <c r="R2" s="1">
        <v>0</v>
      </c>
      <c r="S2" s="1" t="s">
        <v>97</v>
      </c>
      <c r="T2" s="1" t="s">
        <v>97</v>
      </c>
      <c r="U2" s="1" t="b">
        <v>1</v>
      </c>
      <c r="V2" s="1" t="b">
        <v>0</v>
      </c>
      <c r="W2" s="1" t="b">
        <v>0</v>
      </c>
      <c r="X2" s="1">
        <v>0</v>
      </c>
      <c r="Y2" s="1" t="b">
        <v>1</v>
      </c>
      <c r="Z2" s="1" t="b">
        <v>1</v>
      </c>
      <c r="AA2" s="1">
        <v>74</v>
      </c>
      <c r="AB2" s="1" t="b">
        <v>1</v>
      </c>
      <c r="AC2" s="1">
        <v>116121445</v>
      </c>
      <c r="AD2" s="1">
        <v>1843355</v>
      </c>
      <c r="AE2" s="1">
        <v>0</v>
      </c>
      <c r="AF2" s="1" t="s">
        <v>98</v>
      </c>
      <c r="AG2" s="1" t="s">
        <v>99</v>
      </c>
      <c r="AH2" s="1">
        <v>75.900000000000006</v>
      </c>
      <c r="AI2" s="1">
        <v>71.2</v>
      </c>
      <c r="AJ2" s="1" t="s">
        <v>100</v>
      </c>
      <c r="AK2" s="1" t="s">
        <v>101</v>
      </c>
      <c r="AL2" s="1" t="s">
        <v>102</v>
      </c>
    </row>
    <row r="3" spans="1:38" x14ac:dyDescent="0.6">
      <c r="A3" s="1">
        <v>16</v>
      </c>
      <c r="B3" s="1" t="s">
        <v>103</v>
      </c>
      <c r="C3" s="1">
        <v>52</v>
      </c>
      <c r="D3" s="1" t="s">
        <v>89</v>
      </c>
      <c r="E3" s="1" t="s">
        <v>90</v>
      </c>
      <c r="F3" s="1"/>
      <c r="G3" s="1"/>
      <c r="H3" s="1" t="s">
        <v>91</v>
      </c>
      <c r="I3" s="1" t="s">
        <v>92</v>
      </c>
      <c r="J3" s="1" t="s">
        <v>93</v>
      </c>
      <c r="K3" s="1">
        <v>1</v>
      </c>
      <c r="L3" s="1">
        <v>120</v>
      </c>
      <c r="M3" s="1" t="s">
        <v>14</v>
      </c>
      <c r="N3" s="1" t="s">
        <v>14</v>
      </c>
      <c r="O3" s="1" t="s">
        <v>96</v>
      </c>
      <c r="P3" s="1"/>
      <c r="Q3" s="1" t="s">
        <v>9</v>
      </c>
      <c r="R3" s="1">
        <v>0</v>
      </c>
      <c r="S3" s="1"/>
      <c r="T3" s="1" t="s">
        <v>97</v>
      </c>
      <c r="U3" s="1"/>
      <c r="V3" s="1" t="b">
        <v>0</v>
      </c>
      <c r="W3" s="1" t="b">
        <v>0</v>
      </c>
      <c r="X3" s="1">
        <v>5</v>
      </c>
      <c r="Y3" s="1" t="b">
        <v>1</v>
      </c>
      <c r="Z3" s="1" t="b">
        <v>1</v>
      </c>
      <c r="AA3" s="1"/>
      <c r="AB3" s="1" t="b">
        <v>1</v>
      </c>
      <c r="AC3" s="1">
        <v>129383911</v>
      </c>
      <c r="AD3" s="1">
        <v>639513</v>
      </c>
      <c r="AE3" s="1">
        <v>0</v>
      </c>
      <c r="AF3" s="1" t="s">
        <v>104</v>
      </c>
      <c r="AG3" s="1"/>
      <c r="AH3" s="1">
        <v>67.900000000000006</v>
      </c>
      <c r="AI3" s="1"/>
      <c r="AJ3" s="1" t="s">
        <v>105</v>
      </c>
      <c r="AK3" s="1" t="s">
        <v>106</v>
      </c>
      <c r="AL3" s="1" t="s">
        <v>107</v>
      </c>
    </row>
    <row r="4" spans="1:38" x14ac:dyDescent="0.6">
      <c r="A4" s="1">
        <v>6</v>
      </c>
      <c r="B4" s="1" t="s">
        <v>103</v>
      </c>
      <c r="C4" s="1">
        <v>50</v>
      </c>
      <c r="D4" s="1" t="s">
        <v>89</v>
      </c>
      <c r="E4" s="1" t="s">
        <v>108</v>
      </c>
      <c r="F4" s="1"/>
      <c r="G4" s="1"/>
      <c r="H4" s="1" t="s">
        <v>91</v>
      </c>
      <c r="I4" s="1" t="s">
        <v>92</v>
      </c>
      <c r="J4" s="1" t="s">
        <v>109</v>
      </c>
      <c r="K4" s="1">
        <v>1</v>
      </c>
      <c r="L4" s="1">
        <v>120</v>
      </c>
      <c r="M4" s="1" t="s">
        <v>94</v>
      </c>
      <c r="N4" s="1" t="s">
        <v>95</v>
      </c>
      <c r="O4" s="1"/>
      <c r="P4" s="1" t="s">
        <v>96</v>
      </c>
      <c r="Q4" s="1" t="s">
        <v>110</v>
      </c>
      <c r="R4" s="1">
        <v>3</v>
      </c>
      <c r="S4" s="1" t="s">
        <v>110</v>
      </c>
      <c r="T4" s="1" t="s">
        <v>97</v>
      </c>
      <c r="U4" s="1" t="b">
        <v>0</v>
      </c>
      <c r="V4" s="1" t="b">
        <v>1</v>
      </c>
      <c r="W4" s="1" t="b">
        <v>0</v>
      </c>
      <c r="X4" s="1">
        <v>0</v>
      </c>
      <c r="Y4" s="1" t="b">
        <v>1</v>
      </c>
      <c r="Z4" s="1" t="b">
        <v>1</v>
      </c>
      <c r="AA4" s="1">
        <v>56.6</v>
      </c>
      <c r="AB4" s="1" t="b">
        <v>1</v>
      </c>
      <c r="AC4" s="1">
        <v>123498384</v>
      </c>
      <c r="AD4" s="1">
        <v>2068592</v>
      </c>
      <c r="AE4" s="1">
        <v>0</v>
      </c>
      <c r="AF4" s="1" t="s">
        <v>111</v>
      </c>
      <c r="AG4" s="1" t="s">
        <v>112</v>
      </c>
      <c r="AH4" s="1">
        <v>59.5</v>
      </c>
      <c r="AI4" s="1">
        <v>56</v>
      </c>
      <c r="AJ4" s="1" t="s">
        <v>113</v>
      </c>
      <c r="AK4" s="1" t="s">
        <v>114</v>
      </c>
      <c r="AL4" s="1" t="s">
        <v>115</v>
      </c>
    </row>
    <row r="5" spans="1:38" x14ac:dyDescent="0.6">
      <c r="A5" s="1">
        <v>6</v>
      </c>
      <c r="B5" s="1" t="s">
        <v>103</v>
      </c>
      <c r="C5" s="1">
        <v>50</v>
      </c>
      <c r="D5" s="1" t="s">
        <v>89</v>
      </c>
      <c r="E5" s="1" t="s">
        <v>108</v>
      </c>
      <c r="F5" s="1"/>
      <c r="G5" s="1"/>
      <c r="H5" s="1" t="s">
        <v>91</v>
      </c>
      <c r="I5" s="1" t="s">
        <v>92</v>
      </c>
      <c r="J5" s="1" t="s">
        <v>109</v>
      </c>
      <c r="K5" s="1">
        <v>1</v>
      </c>
      <c r="L5" s="1">
        <v>120</v>
      </c>
      <c r="M5" s="1" t="s">
        <v>14</v>
      </c>
      <c r="N5" s="1" t="s">
        <v>95</v>
      </c>
      <c r="O5" s="1" t="s">
        <v>96</v>
      </c>
      <c r="P5" s="1"/>
      <c r="Q5" s="1" t="s">
        <v>110</v>
      </c>
      <c r="R5" s="1">
        <v>3</v>
      </c>
      <c r="S5" s="1" t="s">
        <v>110</v>
      </c>
      <c r="T5" s="1" t="s">
        <v>97</v>
      </c>
      <c r="U5" s="1" t="b">
        <v>0</v>
      </c>
      <c r="V5" s="1" t="b">
        <v>1</v>
      </c>
      <c r="W5" s="1" t="b">
        <v>0</v>
      </c>
      <c r="X5" s="1">
        <v>5</v>
      </c>
      <c r="Y5" s="1" t="b">
        <v>1</v>
      </c>
      <c r="Z5" s="1" t="b">
        <v>1</v>
      </c>
      <c r="AA5" s="1"/>
      <c r="AB5" s="1" t="b">
        <v>1</v>
      </c>
      <c r="AC5" s="1">
        <v>121700572</v>
      </c>
      <c r="AD5" s="1">
        <v>720676</v>
      </c>
      <c r="AE5" s="1">
        <v>0</v>
      </c>
      <c r="AF5" s="1" t="s">
        <v>111</v>
      </c>
      <c r="AG5" s="1" t="s">
        <v>112</v>
      </c>
      <c r="AH5" s="1">
        <v>59.5</v>
      </c>
      <c r="AI5" s="1">
        <v>56</v>
      </c>
      <c r="AJ5" s="1" t="s">
        <v>116</v>
      </c>
      <c r="AK5" s="1" t="s">
        <v>117</v>
      </c>
      <c r="AL5" s="1" t="s">
        <v>118</v>
      </c>
    </row>
    <row r="6" spans="1:38" x14ac:dyDescent="0.6">
      <c r="A6" s="1">
        <v>12</v>
      </c>
      <c r="B6" s="1" t="s">
        <v>103</v>
      </c>
      <c r="C6" s="1">
        <v>70</v>
      </c>
      <c r="D6" s="1" t="s">
        <v>119</v>
      </c>
      <c r="E6" s="1" t="s">
        <v>90</v>
      </c>
      <c r="F6" s="1">
        <v>10.5</v>
      </c>
      <c r="G6" s="1"/>
      <c r="H6" s="1" t="s">
        <v>120</v>
      </c>
      <c r="I6" s="1" t="s">
        <v>121</v>
      </c>
      <c r="J6" s="1" t="s">
        <v>122</v>
      </c>
      <c r="K6" s="1">
        <v>1</v>
      </c>
      <c r="L6" s="1">
        <v>120</v>
      </c>
      <c r="M6" s="1" t="s">
        <v>14</v>
      </c>
      <c r="N6" s="1" t="s">
        <v>14</v>
      </c>
      <c r="O6" s="1" t="s">
        <v>96</v>
      </c>
      <c r="P6" s="1"/>
      <c r="Q6" s="1" t="s">
        <v>9</v>
      </c>
      <c r="R6" s="1">
        <v>0</v>
      </c>
      <c r="S6" s="1"/>
      <c r="T6" s="1" t="s">
        <v>97</v>
      </c>
      <c r="U6" s="1"/>
      <c r="V6" s="1" t="b">
        <v>0</v>
      </c>
      <c r="W6" s="1" t="b">
        <v>0</v>
      </c>
      <c r="X6" s="1">
        <v>5</v>
      </c>
      <c r="Y6" s="1" t="b">
        <v>1</v>
      </c>
      <c r="Z6" s="1" t="b">
        <v>1</v>
      </c>
      <c r="AA6" s="1"/>
      <c r="AB6" s="1" t="b">
        <v>1</v>
      </c>
      <c r="AC6" s="1">
        <v>134927115</v>
      </c>
      <c r="AD6" s="1">
        <v>601333</v>
      </c>
      <c r="AE6" s="1">
        <v>0</v>
      </c>
      <c r="AF6" s="1" t="s">
        <v>123</v>
      </c>
      <c r="AG6" s="1"/>
      <c r="AH6" s="1">
        <v>60.6</v>
      </c>
      <c r="AI6" s="1"/>
      <c r="AJ6" s="1" t="s">
        <v>124</v>
      </c>
      <c r="AK6" s="1" t="s">
        <v>125</v>
      </c>
      <c r="AL6" s="1" t="s">
        <v>126</v>
      </c>
    </row>
    <row r="7" spans="1:38" x14ac:dyDescent="0.6">
      <c r="A7" s="1">
        <v>7</v>
      </c>
      <c r="B7" s="1" t="s">
        <v>103</v>
      </c>
      <c r="C7" s="1">
        <v>61</v>
      </c>
      <c r="D7" s="1" t="s">
        <v>127</v>
      </c>
      <c r="E7" s="1" t="s">
        <v>108</v>
      </c>
      <c r="F7" s="1"/>
      <c r="G7" s="1"/>
      <c r="H7" s="1" t="s">
        <v>91</v>
      </c>
      <c r="I7" s="1" t="s">
        <v>92</v>
      </c>
      <c r="J7" s="1" t="s">
        <v>93</v>
      </c>
      <c r="K7" s="1">
        <v>1</v>
      </c>
      <c r="L7" s="1">
        <v>120</v>
      </c>
      <c r="M7" s="1" t="s">
        <v>94</v>
      </c>
      <c r="N7" s="1" t="s">
        <v>95</v>
      </c>
      <c r="O7" s="1"/>
      <c r="P7" s="1" t="s">
        <v>96</v>
      </c>
      <c r="Q7" s="1" t="s">
        <v>9</v>
      </c>
      <c r="R7" s="1">
        <v>0</v>
      </c>
      <c r="S7" s="1" t="s">
        <v>97</v>
      </c>
      <c r="T7" s="1" t="s">
        <v>97</v>
      </c>
      <c r="U7" s="1" t="b">
        <v>1</v>
      </c>
      <c r="V7" s="1" t="b">
        <v>0</v>
      </c>
      <c r="W7" s="1" t="b">
        <v>0</v>
      </c>
      <c r="X7" s="1">
        <v>0</v>
      </c>
      <c r="Y7" s="1" t="b">
        <v>1</v>
      </c>
      <c r="Z7" s="1" t="b">
        <v>1</v>
      </c>
      <c r="AA7" s="1">
        <v>55.7</v>
      </c>
      <c r="AB7" s="1" t="b">
        <v>1</v>
      </c>
      <c r="AC7" s="1">
        <v>141207102</v>
      </c>
      <c r="AD7" s="1">
        <v>1923522</v>
      </c>
      <c r="AE7" s="1">
        <v>0</v>
      </c>
      <c r="AF7" s="1" t="s">
        <v>128</v>
      </c>
      <c r="AG7" s="1" t="s">
        <v>129</v>
      </c>
      <c r="AH7" s="1">
        <v>59.2</v>
      </c>
      <c r="AI7" s="1">
        <v>54.9</v>
      </c>
      <c r="AJ7" s="1" t="s">
        <v>130</v>
      </c>
      <c r="AK7" s="1" t="s">
        <v>131</v>
      </c>
      <c r="AL7" s="1" t="s">
        <v>132</v>
      </c>
    </row>
    <row r="8" spans="1:38" x14ac:dyDescent="0.6">
      <c r="A8" s="1">
        <v>11</v>
      </c>
      <c r="B8" s="1" t="s">
        <v>103</v>
      </c>
      <c r="C8" s="1">
        <v>56</v>
      </c>
      <c r="D8" s="1" t="s">
        <v>89</v>
      </c>
      <c r="E8" s="1" t="s">
        <v>108</v>
      </c>
      <c r="F8" s="1">
        <v>10.5</v>
      </c>
      <c r="G8" s="1"/>
      <c r="H8" s="1" t="s">
        <v>120</v>
      </c>
      <c r="I8" s="1" t="s">
        <v>121</v>
      </c>
      <c r="J8" s="1" t="s">
        <v>122</v>
      </c>
      <c r="K8" s="1">
        <v>1</v>
      </c>
      <c r="L8" s="1">
        <v>140</v>
      </c>
      <c r="M8" s="1" t="s">
        <v>14</v>
      </c>
      <c r="N8" s="1" t="s">
        <v>14</v>
      </c>
      <c r="O8" s="1" t="s">
        <v>96</v>
      </c>
      <c r="P8" s="1"/>
      <c r="Q8" s="1" t="s">
        <v>9</v>
      </c>
      <c r="R8" s="1">
        <v>0</v>
      </c>
      <c r="S8" s="1"/>
      <c r="T8" s="1" t="s">
        <v>97</v>
      </c>
      <c r="U8" s="1"/>
      <c r="V8" s="1" t="b">
        <v>0</v>
      </c>
      <c r="W8" s="1" t="b">
        <v>0</v>
      </c>
      <c r="X8" s="1">
        <v>5</v>
      </c>
      <c r="Y8" s="1" t="b">
        <v>1</v>
      </c>
      <c r="Z8" s="1" t="b">
        <v>1</v>
      </c>
      <c r="AA8" s="1"/>
      <c r="AB8" s="1" t="b">
        <v>1</v>
      </c>
      <c r="AC8" s="1">
        <v>150321130</v>
      </c>
      <c r="AD8" s="1">
        <v>411670</v>
      </c>
      <c r="AE8" s="1">
        <v>0</v>
      </c>
      <c r="AF8" s="1" t="s">
        <v>133</v>
      </c>
      <c r="AG8" s="1"/>
      <c r="AH8" s="1">
        <v>84.7</v>
      </c>
      <c r="AI8" s="1"/>
      <c r="AJ8" s="1" t="s">
        <v>134</v>
      </c>
      <c r="AK8" s="1" t="s">
        <v>135</v>
      </c>
      <c r="AL8" s="1" t="s">
        <v>136</v>
      </c>
    </row>
    <row r="9" spans="1:38" x14ac:dyDescent="0.6">
      <c r="A9" s="1">
        <v>17</v>
      </c>
      <c r="B9" s="1" t="s">
        <v>103</v>
      </c>
      <c r="C9" s="1">
        <v>57</v>
      </c>
      <c r="D9" s="1" t="s">
        <v>89</v>
      </c>
      <c r="E9" s="1" t="s">
        <v>90</v>
      </c>
      <c r="F9" s="1"/>
      <c r="G9" s="1"/>
      <c r="H9" s="1" t="s">
        <v>91</v>
      </c>
      <c r="I9" s="1" t="s">
        <v>92</v>
      </c>
      <c r="J9" s="1" t="s">
        <v>93</v>
      </c>
      <c r="K9" s="1">
        <v>1</v>
      </c>
      <c r="L9" s="1">
        <v>120</v>
      </c>
      <c r="M9" s="1" t="s">
        <v>7</v>
      </c>
      <c r="N9" s="1" t="s">
        <v>7</v>
      </c>
      <c r="O9" s="1" t="s">
        <v>96</v>
      </c>
      <c r="P9" s="1" t="s">
        <v>96</v>
      </c>
      <c r="Q9" s="1" t="s">
        <v>9</v>
      </c>
      <c r="R9" s="1">
        <v>0</v>
      </c>
      <c r="S9" s="1" t="s">
        <v>97</v>
      </c>
      <c r="T9" s="1" t="s">
        <v>97</v>
      </c>
      <c r="U9" s="1" t="b">
        <v>1</v>
      </c>
      <c r="V9" s="1" t="b">
        <v>0</v>
      </c>
      <c r="W9" s="1" t="b">
        <v>0</v>
      </c>
      <c r="X9" s="1">
        <v>5</v>
      </c>
      <c r="Y9" s="1" t="b">
        <v>1</v>
      </c>
      <c r="Z9" s="1" t="b">
        <v>1</v>
      </c>
      <c r="AA9" s="1">
        <v>63.5</v>
      </c>
      <c r="AB9" s="1" t="b">
        <v>0</v>
      </c>
      <c r="AC9" s="1">
        <v>0</v>
      </c>
      <c r="AD9" s="1">
        <v>3344297</v>
      </c>
      <c r="AE9" s="1">
        <v>126941271</v>
      </c>
      <c r="AF9" s="1" t="s">
        <v>137</v>
      </c>
      <c r="AG9" s="1" t="s">
        <v>137</v>
      </c>
      <c r="AH9" s="1">
        <v>57.2</v>
      </c>
      <c r="AI9" s="1">
        <v>58.7</v>
      </c>
      <c r="AJ9" s="1" t="s">
        <v>138</v>
      </c>
      <c r="AK9" s="1" t="s">
        <v>139</v>
      </c>
      <c r="AL9" s="1" t="s">
        <v>140</v>
      </c>
    </row>
    <row r="10" spans="1:38" x14ac:dyDescent="0.6">
      <c r="A10" s="1">
        <v>1</v>
      </c>
      <c r="B10" s="1" t="s">
        <v>88</v>
      </c>
      <c r="C10" s="1">
        <v>59</v>
      </c>
      <c r="D10" s="1" t="s">
        <v>89</v>
      </c>
      <c r="E10" s="1" t="s">
        <v>90</v>
      </c>
      <c r="F10" s="1"/>
      <c r="G10" s="1"/>
      <c r="H10" s="1" t="s">
        <v>91</v>
      </c>
      <c r="I10" s="1" t="s">
        <v>92</v>
      </c>
      <c r="J10" s="1" t="s">
        <v>93</v>
      </c>
      <c r="K10" s="1">
        <v>1</v>
      </c>
      <c r="L10" s="1">
        <v>120</v>
      </c>
      <c r="M10" s="1" t="s">
        <v>94</v>
      </c>
      <c r="N10" s="1" t="s">
        <v>95</v>
      </c>
      <c r="O10" s="1"/>
      <c r="P10" s="1" t="s">
        <v>96</v>
      </c>
      <c r="Q10" s="1" t="s">
        <v>9</v>
      </c>
      <c r="R10" s="1">
        <v>0</v>
      </c>
      <c r="S10" s="1" t="s">
        <v>97</v>
      </c>
      <c r="T10" s="1" t="s">
        <v>97</v>
      </c>
      <c r="U10" s="1" t="b">
        <v>1</v>
      </c>
      <c r="V10" s="1" t="b">
        <v>0</v>
      </c>
      <c r="W10" s="1" t="b">
        <v>0</v>
      </c>
      <c r="X10" s="1">
        <v>0</v>
      </c>
      <c r="Y10" s="1" t="b">
        <v>1</v>
      </c>
      <c r="Z10" s="1" t="b">
        <v>1</v>
      </c>
      <c r="AA10" s="1">
        <v>63.3</v>
      </c>
      <c r="AB10" s="1" t="b">
        <v>1</v>
      </c>
      <c r="AC10" s="1">
        <v>162219000</v>
      </c>
      <c r="AD10" s="1">
        <v>1621000</v>
      </c>
      <c r="AE10" s="1">
        <v>0</v>
      </c>
      <c r="AF10" s="1" t="s">
        <v>141</v>
      </c>
      <c r="AG10" s="1" t="s">
        <v>142</v>
      </c>
      <c r="AH10" s="1">
        <v>50</v>
      </c>
      <c r="AI10" s="1">
        <v>56.4</v>
      </c>
      <c r="AJ10" s="1" t="s">
        <v>143</v>
      </c>
      <c r="AK10" s="1" t="s">
        <v>144</v>
      </c>
      <c r="AL10" s="1" t="s">
        <v>145</v>
      </c>
    </row>
    <row r="11" spans="1:38" x14ac:dyDescent="0.6">
      <c r="A11" s="1">
        <v>1</v>
      </c>
      <c r="B11" s="1" t="s">
        <v>88</v>
      </c>
      <c r="C11" s="1">
        <v>59</v>
      </c>
      <c r="D11" s="1" t="s">
        <v>89</v>
      </c>
      <c r="E11" s="1" t="s">
        <v>90</v>
      </c>
      <c r="F11" s="1"/>
      <c r="G11" s="1"/>
      <c r="H11" s="1" t="s">
        <v>91</v>
      </c>
      <c r="I11" s="1" t="s">
        <v>92</v>
      </c>
      <c r="J11" s="1" t="s">
        <v>93</v>
      </c>
      <c r="K11" s="1">
        <v>1</v>
      </c>
      <c r="L11" s="1">
        <v>120</v>
      </c>
      <c r="M11" s="1" t="s">
        <v>14</v>
      </c>
      <c r="N11" s="1" t="s">
        <v>95</v>
      </c>
      <c r="O11" s="1" t="s">
        <v>96</v>
      </c>
      <c r="P11" s="1"/>
      <c r="Q11" s="1" t="s">
        <v>9</v>
      </c>
      <c r="R11" s="1">
        <v>0</v>
      </c>
      <c r="S11" s="1" t="s">
        <v>97</v>
      </c>
      <c r="T11" s="1" t="s">
        <v>97</v>
      </c>
      <c r="U11" s="1" t="b">
        <v>1</v>
      </c>
      <c r="V11" s="1" t="b">
        <v>0</v>
      </c>
      <c r="W11" s="1" t="b">
        <v>0</v>
      </c>
      <c r="X11" s="1">
        <v>5</v>
      </c>
      <c r="Y11" s="1" t="b">
        <v>1</v>
      </c>
      <c r="Z11" s="1" t="b">
        <v>1</v>
      </c>
      <c r="AA11" s="1"/>
      <c r="AB11" s="1" t="b">
        <v>1</v>
      </c>
      <c r="AC11" s="1">
        <v>157808344</v>
      </c>
      <c r="AD11" s="1">
        <v>526632</v>
      </c>
      <c r="AE11" s="1">
        <v>0</v>
      </c>
      <c r="AF11" s="1" t="s">
        <v>141</v>
      </c>
      <c r="AG11" s="1" t="s">
        <v>142</v>
      </c>
      <c r="AH11" s="1">
        <v>50</v>
      </c>
      <c r="AI11" s="1">
        <v>56.4</v>
      </c>
      <c r="AJ11" s="1" t="s">
        <v>146</v>
      </c>
      <c r="AK11" s="1" t="s">
        <v>147</v>
      </c>
      <c r="AL11" s="1" t="s">
        <v>148</v>
      </c>
    </row>
    <row r="12" spans="1:38" x14ac:dyDescent="0.6">
      <c r="A12" s="1">
        <v>13</v>
      </c>
      <c r="B12" s="1" t="s">
        <v>103</v>
      </c>
      <c r="C12" s="1">
        <v>52</v>
      </c>
      <c r="D12" s="1" t="s">
        <v>89</v>
      </c>
      <c r="E12" s="1" t="s">
        <v>90</v>
      </c>
      <c r="F12" s="1"/>
      <c r="G12" s="1"/>
      <c r="H12" s="1" t="s">
        <v>91</v>
      </c>
      <c r="I12" s="1" t="s">
        <v>92</v>
      </c>
      <c r="J12" s="1" t="s">
        <v>109</v>
      </c>
      <c r="K12" s="1">
        <v>1</v>
      </c>
      <c r="L12" s="1">
        <v>120</v>
      </c>
      <c r="M12" s="1" t="s">
        <v>7</v>
      </c>
      <c r="N12" s="1" t="s">
        <v>7</v>
      </c>
      <c r="O12" s="1" t="s">
        <v>96</v>
      </c>
      <c r="P12" s="1" t="s">
        <v>96</v>
      </c>
      <c r="Q12" s="1" t="s">
        <v>9</v>
      </c>
      <c r="R12" s="1">
        <v>0</v>
      </c>
      <c r="S12" s="1" t="s">
        <v>97</v>
      </c>
      <c r="T12" s="1" t="s">
        <v>97</v>
      </c>
      <c r="U12" s="1" t="b">
        <v>1</v>
      </c>
      <c r="V12" s="1" t="b">
        <v>0</v>
      </c>
      <c r="W12" s="1" t="b">
        <v>0</v>
      </c>
      <c r="X12" s="1">
        <v>5</v>
      </c>
      <c r="Y12" s="1" t="b">
        <v>1</v>
      </c>
      <c r="Z12" s="1" t="b">
        <v>1</v>
      </c>
      <c r="AA12" s="1">
        <v>78.400000000000006</v>
      </c>
      <c r="AB12" s="1" t="b">
        <v>0</v>
      </c>
      <c r="AC12" s="1">
        <v>0</v>
      </c>
      <c r="AD12" s="1">
        <v>2101038</v>
      </c>
      <c r="AE12" s="1">
        <v>138146002</v>
      </c>
      <c r="AF12" s="1" t="s">
        <v>149</v>
      </c>
      <c r="AG12" s="1" t="s">
        <v>149</v>
      </c>
      <c r="AH12" s="1">
        <v>84</v>
      </c>
      <c r="AI12" s="1">
        <v>76.5</v>
      </c>
      <c r="AJ12" s="1" t="s">
        <v>150</v>
      </c>
      <c r="AK12" s="1" t="s">
        <v>151</v>
      </c>
      <c r="AL12" s="1" t="s">
        <v>152</v>
      </c>
    </row>
    <row r="13" spans="1:38" x14ac:dyDescent="0.6">
      <c r="A13" s="1">
        <v>15</v>
      </c>
      <c r="B13" s="1" t="s">
        <v>88</v>
      </c>
      <c r="C13" s="1">
        <v>89</v>
      </c>
      <c r="D13" s="1" t="s">
        <v>153</v>
      </c>
      <c r="E13" s="1" t="s">
        <v>154</v>
      </c>
      <c r="F13" s="1"/>
      <c r="G13" s="1"/>
      <c r="H13" s="1" t="s">
        <v>91</v>
      </c>
      <c r="I13" s="1" t="s">
        <v>92</v>
      </c>
      <c r="J13" s="1" t="s">
        <v>93</v>
      </c>
      <c r="K13" s="1">
        <v>1</v>
      </c>
      <c r="L13" s="1">
        <v>120</v>
      </c>
      <c r="M13" s="1" t="s">
        <v>94</v>
      </c>
      <c r="N13" s="1" t="s">
        <v>95</v>
      </c>
      <c r="O13" s="1"/>
      <c r="P13" s="1" t="s">
        <v>96</v>
      </c>
      <c r="Q13" s="1" t="s">
        <v>110</v>
      </c>
      <c r="R13" s="1">
        <v>3</v>
      </c>
      <c r="S13" s="1" t="s">
        <v>110</v>
      </c>
      <c r="T13" s="1" t="s">
        <v>97</v>
      </c>
      <c r="U13" s="1" t="b">
        <v>0</v>
      </c>
      <c r="V13" s="1" t="b">
        <v>1</v>
      </c>
      <c r="W13" s="1" t="b">
        <v>0</v>
      </c>
      <c r="X13" s="1">
        <v>0</v>
      </c>
      <c r="Y13" s="1" t="b">
        <v>1</v>
      </c>
      <c r="Z13" s="1" t="b">
        <v>1</v>
      </c>
      <c r="AA13" s="1">
        <v>53.9</v>
      </c>
      <c r="AB13" s="1" t="b">
        <v>1</v>
      </c>
      <c r="AC13" s="1">
        <v>134245059</v>
      </c>
      <c r="AD13" s="1">
        <v>2331965</v>
      </c>
      <c r="AE13" s="1">
        <v>0</v>
      </c>
      <c r="AF13" s="1" t="s">
        <v>155</v>
      </c>
      <c r="AG13" s="1" t="s">
        <v>156</v>
      </c>
      <c r="AH13" s="1">
        <v>55.6</v>
      </c>
      <c r="AI13" s="1">
        <v>52.1</v>
      </c>
      <c r="AJ13" s="1" t="s">
        <v>157</v>
      </c>
      <c r="AK13" s="1" t="s">
        <v>158</v>
      </c>
      <c r="AL13" s="1" t="s">
        <v>159</v>
      </c>
    </row>
    <row r="14" spans="1:38" x14ac:dyDescent="0.6">
      <c r="A14" s="1">
        <v>8</v>
      </c>
      <c r="B14" s="1" t="s">
        <v>103</v>
      </c>
      <c r="C14" s="1">
        <v>70</v>
      </c>
      <c r="D14" s="1" t="s">
        <v>119</v>
      </c>
      <c r="E14" s="1" t="s">
        <v>108</v>
      </c>
      <c r="F14" s="1"/>
      <c r="G14" s="1"/>
      <c r="H14" s="1" t="s">
        <v>91</v>
      </c>
      <c r="I14" s="1" t="s">
        <v>92</v>
      </c>
      <c r="J14" s="1" t="s">
        <v>93</v>
      </c>
      <c r="K14" s="1">
        <v>1</v>
      </c>
      <c r="L14" s="1">
        <v>120</v>
      </c>
      <c r="M14" s="1" t="s">
        <v>94</v>
      </c>
      <c r="N14" s="1" t="s">
        <v>95</v>
      </c>
      <c r="O14" s="1"/>
      <c r="P14" s="1" t="s">
        <v>96</v>
      </c>
      <c r="Q14" s="1" t="s">
        <v>9</v>
      </c>
      <c r="R14" s="1">
        <v>0</v>
      </c>
      <c r="S14" s="1" t="s">
        <v>97</v>
      </c>
      <c r="T14" s="1" t="s">
        <v>97</v>
      </c>
      <c r="U14" s="1" t="b">
        <v>1</v>
      </c>
      <c r="V14" s="1" t="b">
        <v>0</v>
      </c>
      <c r="W14" s="1" t="b">
        <v>0</v>
      </c>
      <c r="X14" s="1">
        <v>0</v>
      </c>
      <c r="Y14" s="1" t="b">
        <v>1</v>
      </c>
      <c r="Z14" s="1" t="b">
        <v>1</v>
      </c>
      <c r="AA14" s="1">
        <v>62.3</v>
      </c>
      <c r="AB14" s="1" t="b">
        <v>1</v>
      </c>
      <c r="AC14" s="1">
        <v>169229961</v>
      </c>
      <c r="AD14" s="1">
        <v>1687927</v>
      </c>
      <c r="AE14" s="1">
        <v>0</v>
      </c>
      <c r="AF14" s="1" t="s">
        <v>160</v>
      </c>
      <c r="AG14" s="1" t="s">
        <v>161</v>
      </c>
      <c r="AH14" s="1">
        <v>56.5</v>
      </c>
      <c r="AI14" s="1">
        <v>58.3</v>
      </c>
      <c r="AJ14" s="1" t="s">
        <v>162</v>
      </c>
      <c r="AK14" s="1" t="s">
        <v>163</v>
      </c>
      <c r="AL14" s="1" t="s">
        <v>164</v>
      </c>
    </row>
    <row r="15" spans="1:38" x14ac:dyDescent="0.6">
      <c r="A15" s="1">
        <v>14</v>
      </c>
      <c r="B15" s="1" t="s">
        <v>103</v>
      </c>
      <c r="C15" s="1"/>
      <c r="D15" s="1"/>
      <c r="E15" s="1" t="s">
        <v>90</v>
      </c>
      <c r="F15" s="1"/>
      <c r="G15" s="1"/>
      <c r="H15" s="1" t="s">
        <v>91</v>
      </c>
      <c r="I15" s="1" t="s">
        <v>92</v>
      </c>
      <c r="J15" s="1" t="s">
        <v>109</v>
      </c>
      <c r="K15" s="1">
        <v>1</v>
      </c>
      <c r="L15" s="1">
        <v>120</v>
      </c>
      <c r="M15" s="1" t="s">
        <v>7</v>
      </c>
      <c r="N15" s="1" t="s">
        <v>7</v>
      </c>
      <c r="O15" s="1" t="s">
        <v>96</v>
      </c>
      <c r="P15" s="1" t="s">
        <v>96</v>
      </c>
      <c r="Q15" s="1" t="s">
        <v>9</v>
      </c>
      <c r="R15" s="1">
        <v>0</v>
      </c>
      <c r="S15" s="1" t="s">
        <v>97</v>
      </c>
      <c r="T15" s="1" t="s">
        <v>97</v>
      </c>
      <c r="U15" s="1" t="b">
        <v>1</v>
      </c>
      <c r="V15" s="1" t="b">
        <v>0</v>
      </c>
      <c r="W15" s="1" t="b">
        <v>0</v>
      </c>
      <c r="X15" s="1">
        <v>5</v>
      </c>
      <c r="Y15" s="1" t="b">
        <v>1</v>
      </c>
      <c r="Z15" s="1" t="b">
        <v>1</v>
      </c>
      <c r="AA15" s="1">
        <v>67.5</v>
      </c>
      <c r="AB15" s="1" t="b">
        <v>0</v>
      </c>
      <c r="AC15" s="1">
        <v>0</v>
      </c>
      <c r="AD15" s="1">
        <v>2140225</v>
      </c>
      <c r="AE15" s="1">
        <v>149379007</v>
      </c>
      <c r="AF15" s="1" t="s">
        <v>165</v>
      </c>
      <c r="AG15" s="1" t="s">
        <v>165</v>
      </c>
      <c r="AH15" s="1">
        <v>76.3</v>
      </c>
      <c r="AI15" s="1">
        <v>64.7</v>
      </c>
      <c r="AJ15" s="1" t="s">
        <v>166</v>
      </c>
      <c r="AK15" s="1" t="s">
        <v>167</v>
      </c>
      <c r="AL15" s="1" t="s">
        <v>168</v>
      </c>
    </row>
    <row r="16" spans="1:38" x14ac:dyDescent="0.6">
      <c r="A16" s="1">
        <v>3</v>
      </c>
      <c r="B16" s="1" t="s">
        <v>103</v>
      </c>
      <c r="C16" s="1">
        <v>65</v>
      </c>
      <c r="D16" s="1" t="s">
        <v>127</v>
      </c>
      <c r="E16" s="1" t="s">
        <v>108</v>
      </c>
      <c r="F16" s="1"/>
      <c r="G16" s="1"/>
      <c r="H16" s="1" t="s">
        <v>91</v>
      </c>
      <c r="I16" s="1" t="s">
        <v>92</v>
      </c>
      <c r="J16" s="1" t="s">
        <v>93</v>
      </c>
      <c r="K16" s="1">
        <v>1</v>
      </c>
      <c r="L16" s="1">
        <v>120</v>
      </c>
      <c r="M16" s="1" t="s">
        <v>7</v>
      </c>
      <c r="N16" s="1" t="s">
        <v>7</v>
      </c>
      <c r="O16" s="1" t="s">
        <v>96</v>
      </c>
      <c r="P16" s="1" t="s">
        <v>96</v>
      </c>
      <c r="Q16" s="1" t="s">
        <v>9</v>
      </c>
      <c r="R16" s="1">
        <v>0</v>
      </c>
      <c r="S16" s="1" t="s">
        <v>97</v>
      </c>
      <c r="T16" s="1" t="s">
        <v>97</v>
      </c>
      <c r="U16" s="1" t="b">
        <v>1</v>
      </c>
      <c r="V16" s="1" t="b">
        <v>0</v>
      </c>
      <c r="W16" s="1" t="b">
        <v>0</v>
      </c>
      <c r="X16" s="1">
        <v>5</v>
      </c>
      <c r="Y16" s="1" t="b">
        <v>1</v>
      </c>
      <c r="Z16" s="1" t="b">
        <v>1</v>
      </c>
      <c r="AA16" s="1">
        <v>71.5</v>
      </c>
      <c r="AB16" s="1" t="b">
        <v>0</v>
      </c>
      <c r="AC16" s="1">
        <v>0</v>
      </c>
      <c r="AD16" s="1">
        <v>2781065</v>
      </c>
      <c r="AE16" s="1">
        <v>171020407</v>
      </c>
      <c r="AF16" s="1" t="s">
        <v>169</v>
      </c>
      <c r="AG16" s="1" t="s">
        <v>169</v>
      </c>
      <c r="AH16" s="1">
        <v>75.2</v>
      </c>
      <c r="AI16" s="1">
        <v>68.900000000000006</v>
      </c>
      <c r="AJ16" s="1" t="s">
        <v>170</v>
      </c>
      <c r="AK16" s="1" t="s">
        <v>171</v>
      </c>
      <c r="AL16" s="1" t="s">
        <v>172</v>
      </c>
    </row>
    <row r="17" spans="1:38" x14ac:dyDescent="0.6">
      <c r="A17" s="1">
        <v>9</v>
      </c>
      <c r="B17" s="1" t="s">
        <v>88</v>
      </c>
      <c r="C17" s="1">
        <v>50</v>
      </c>
      <c r="D17" s="1" t="s">
        <v>89</v>
      </c>
      <c r="E17" s="1" t="s">
        <v>90</v>
      </c>
      <c r="F17" s="1"/>
      <c r="G17" s="1"/>
      <c r="H17" s="1" t="s">
        <v>91</v>
      </c>
      <c r="I17" s="1" t="s">
        <v>92</v>
      </c>
      <c r="J17" s="1" t="s">
        <v>93</v>
      </c>
      <c r="K17" s="1">
        <v>1</v>
      </c>
      <c r="L17" s="1">
        <v>120</v>
      </c>
      <c r="M17" s="1" t="s">
        <v>14</v>
      </c>
      <c r="N17" s="1" t="s">
        <v>95</v>
      </c>
      <c r="O17" s="1" t="s">
        <v>96</v>
      </c>
      <c r="P17" s="1"/>
      <c r="Q17" s="1" t="s">
        <v>9</v>
      </c>
      <c r="R17" s="1">
        <v>0</v>
      </c>
      <c r="S17" s="1" t="s">
        <v>97</v>
      </c>
      <c r="T17" s="1" t="s">
        <v>97</v>
      </c>
      <c r="U17" s="1" t="b">
        <v>1</v>
      </c>
      <c r="V17" s="1" t="b">
        <v>0</v>
      </c>
      <c r="W17" s="1" t="b">
        <v>0</v>
      </c>
      <c r="X17" s="1">
        <v>5</v>
      </c>
      <c r="Y17" s="1" t="b">
        <v>1</v>
      </c>
      <c r="Z17" s="1" t="b">
        <v>1</v>
      </c>
      <c r="AA17" s="1"/>
      <c r="AB17" s="1" t="b">
        <v>1</v>
      </c>
      <c r="AC17" s="1">
        <v>112702775</v>
      </c>
      <c r="AD17" s="1">
        <v>543433</v>
      </c>
      <c r="AE17" s="1">
        <v>0</v>
      </c>
      <c r="AF17" s="1" t="s">
        <v>98</v>
      </c>
      <c r="AG17" s="1" t="s">
        <v>99</v>
      </c>
      <c r="AH17" s="1">
        <v>75.900000000000006</v>
      </c>
      <c r="AI17" s="1">
        <v>71.2</v>
      </c>
      <c r="AJ17" s="1" t="s">
        <v>173</v>
      </c>
      <c r="AK17" s="1" t="s">
        <v>174</v>
      </c>
      <c r="AL17" s="1" t="s">
        <v>175</v>
      </c>
    </row>
    <row r="18" spans="1:38" x14ac:dyDescent="0.6">
      <c r="A18" s="1">
        <v>5</v>
      </c>
      <c r="B18" s="1" t="s">
        <v>88</v>
      </c>
      <c r="C18" s="1">
        <v>61</v>
      </c>
      <c r="D18" s="1" t="s">
        <v>127</v>
      </c>
      <c r="E18" s="1" t="s">
        <v>108</v>
      </c>
      <c r="F18" s="1"/>
      <c r="G18" s="1"/>
      <c r="H18" s="1" t="s">
        <v>91</v>
      </c>
      <c r="I18" s="1" t="s">
        <v>92</v>
      </c>
      <c r="J18" s="1" t="s">
        <v>109</v>
      </c>
      <c r="K18" s="1">
        <v>1</v>
      </c>
      <c r="L18" s="1">
        <v>120</v>
      </c>
      <c r="M18" s="1" t="s">
        <v>7</v>
      </c>
      <c r="N18" s="1" t="s">
        <v>7</v>
      </c>
      <c r="O18" s="1" t="s">
        <v>96</v>
      </c>
      <c r="P18" s="1" t="s">
        <v>96</v>
      </c>
      <c r="Q18" s="1" t="s">
        <v>9</v>
      </c>
      <c r="R18" s="1">
        <v>0</v>
      </c>
      <c r="S18" s="1" t="s">
        <v>97</v>
      </c>
      <c r="T18" s="1" t="s">
        <v>97</v>
      </c>
      <c r="U18" s="1" t="b">
        <v>1</v>
      </c>
      <c r="V18" s="1" t="b">
        <v>0</v>
      </c>
      <c r="W18" s="1" t="b">
        <v>0</v>
      </c>
      <c r="X18" s="1">
        <v>5</v>
      </c>
      <c r="Y18" s="1" t="b">
        <v>1</v>
      </c>
      <c r="Z18" s="1" t="b">
        <v>1</v>
      </c>
      <c r="AA18" s="1">
        <v>54.6</v>
      </c>
      <c r="AB18" s="1" t="b">
        <v>0</v>
      </c>
      <c r="AC18" s="1">
        <v>0</v>
      </c>
      <c r="AD18" s="1">
        <v>3585776</v>
      </c>
      <c r="AE18" s="1">
        <v>101533968</v>
      </c>
      <c r="AF18" s="1" t="s">
        <v>176</v>
      </c>
      <c r="AG18" s="1" t="s">
        <v>176</v>
      </c>
      <c r="AH18" s="1">
        <v>64.599999999999994</v>
      </c>
      <c r="AI18" s="1">
        <v>56.2</v>
      </c>
      <c r="AJ18" s="1" t="s">
        <v>177</v>
      </c>
      <c r="AK18" s="1" t="s">
        <v>178</v>
      </c>
      <c r="AL18" s="1" t="s">
        <v>179</v>
      </c>
    </row>
    <row r="19" spans="1:38" x14ac:dyDescent="0.6">
      <c r="A19" s="1">
        <v>18</v>
      </c>
      <c r="B19" s="1" t="s">
        <v>103</v>
      </c>
      <c r="C19" s="1"/>
      <c r="D19" s="1"/>
      <c r="E19" s="1" t="s">
        <v>90</v>
      </c>
      <c r="F19" s="1"/>
      <c r="G19" s="1"/>
      <c r="H19" s="1" t="s">
        <v>91</v>
      </c>
      <c r="I19" s="1" t="s">
        <v>92</v>
      </c>
      <c r="J19" s="1" t="s">
        <v>93</v>
      </c>
      <c r="K19" s="1">
        <v>1</v>
      </c>
      <c r="L19" s="1">
        <v>120</v>
      </c>
      <c r="M19" s="1" t="s">
        <v>94</v>
      </c>
      <c r="N19" s="1" t="s">
        <v>95</v>
      </c>
      <c r="O19" s="1"/>
      <c r="P19" s="1" t="s">
        <v>96</v>
      </c>
      <c r="Q19" s="1" t="s">
        <v>9</v>
      </c>
      <c r="R19" s="1">
        <v>0</v>
      </c>
      <c r="S19" s="1" t="s">
        <v>97</v>
      </c>
      <c r="T19" s="1" t="s">
        <v>97</v>
      </c>
      <c r="U19" s="1" t="b">
        <v>1</v>
      </c>
      <c r="V19" s="1" t="b">
        <v>0</v>
      </c>
      <c r="W19" s="1" t="b">
        <v>0</v>
      </c>
      <c r="X19" s="1">
        <v>0</v>
      </c>
      <c r="Y19" s="1" t="b">
        <v>1</v>
      </c>
      <c r="Z19" s="1" t="b">
        <v>1</v>
      </c>
      <c r="AA19" s="1">
        <v>70.3</v>
      </c>
      <c r="AB19" s="1" t="b">
        <v>1</v>
      </c>
      <c r="AC19" s="1">
        <v>129240299</v>
      </c>
      <c r="AD19" s="1">
        <v>2093845</v>
      </c>
      <c r="AE19" s="1">
        <v>0</v>
      </c>
      <c r="AF19" s="1" t="s">
        <v>180</v>
      </c>
      <c r="AG19" s="1" t="s">
        <v>181</v>
      </c>
      <c r="AH19" s="1">
        <v>84</v>
      </c>
      <c r="AI19" s="1">
        <v>70.2</v>
      </c>
      <c r="AJ19" s="1" t="s">
        <v>182</v>
      </c>
      <c r="AK19" s="1" t="s">
        <v>183</v>
      </c>
      <c r="AL19" s="1" t="s">
        <v>184</v>
      </c>
    </row>
    <row r="20" spans="1:38" x14ac:dyDescent="0.6">
      <c r="A20" s="1">
        <v>18</v>
      </c>
      <c r="B20" s="1" t="s">
        <v>103</v>
      </c>
      <c r="C20" s="1"/>
      <c r="D20" s="1"/>
      <c r="E20" s="1" t="s">
        <v>90</v>
      </c>
      <c r="F20" s="1"/>
      <c r="G20" s="1"/>
      <c r="H20" s="1" t="s">
        <v>91</v>
      </c>
      <c r="I20" s="1" t="s">
        <v>92</v>
      </c>
      <c r="J20" s="1" t="s">
        <v>93</v>
      </c>
      <c r="K20" s="1">
        <v>1</v>
      </c>
      <c r="L20" s="1">
        <v>120</v>
      </c>
      <c r="M20" s="1" t="s">
        <v>14</v>
      </c>
      <c r="N20" s="1" t="s">
        <v>95</v>
      </c>
      <c r="O20" s="1" t="s">
        <v>96</v>
      </c>
      <c r="P20" s="1"/>
      <c r="Q20" s="1" t="s">
        <v>9</v>
      </c>
      <c r="R20" s="1">
        <v>0</v>
      </c>
      <c r="S20" s="1" t="s">
        <v>97</v>
      </c>
      <c r="T20" s="1" t="s">
        <v>97</v>
      </c>
      <c r="U20" s="1" t="b">
        <v>1</v>
      </c>
      <c r="V20" s="1" t="b">
        <v>0</v>
      </c>
      <c r="W20" s="1" t="b">
        <v>0</v>
      </c>
      <c r="X20" s="1">
        <v>5</v>
      </c>
      <c r="Y20" s="1" t="b">
        <v>1</v>
      </c>
      <c r="Z20" s="1" t="b">
        <v>1</v>
      </c>
      <c r="AA20" s="1"/>
      <c r="AB20" s="1" t="b">
        <v>1</v>
      </c>
      <c r="AC20" s="1">
        <v>130596117</v>
      </c>
      <c r="AD20" s="1">
        <v>738027</v>
      </c>
      <c r="AE20" s="1">
        <v>0</v>
      </c>
      <c r="AF20" s="1" t="s">
        <v>180</v>
      </c>
      <c r="AG20" s="1" t="s">
        <v>181</v>
      </c>
      <c r="AH20" s="1">
        <v>84</v>
      </c>
      <c r="AI20" s="1">
        <v>70.2</v>
      </c>
      <c r="AJ20" s="1" t="s">
        <v>185</v>
      </c>
      <c r="AK20" s="1" t="s">
        <v>186</v>
      </c>
      <c r="AL20" s="1" t="s">
        <v>187</v>
      </c>
    </row>
    <row r="21" spans="1:38" x14ac:dyDescent="0.6">
      <c r="A21" s="1">
        <v>19</v>
      </c>
      <c r="B21" s="1" t="s">
        <v>188</v>
      </c>
      <c r="C21" s="1">
        <v>51</v>
      </c>
      <c r="D21" s="1" t="s">
        <v>89</v>
      </c>
      <c r="E21" s="1" t="s">
        <v>90</v>
      </c>
      <c r="F21" s="1"/>
      <c r="G21" s="1"/>
      <c r="H21" s="1" t="s">
        <v>189</v>
      </c>
      <c r="I21" s="1" t="s">
        <v>190</v>
      </c>
      <c r="J21" s="1" t="s">
        <v>191</v>
      </c>
      <c r="K21" s="1">
        <v>1</v>
      </c>
      <c r="L21" s="1">
        <v>120</v>
      </c>
      <c r="M21" s="1" t="s">
        <v>94</v>
      </c>
      <c r="N21" s="1" t="s">
        <v>95</v>
      </c>
      <c r="O21" s="1"/>
      <c r="P21" s="1" t="s">
        <v>96</v>
      </c>
      <c r="Q21" s="1" t="s">
        <v>9</v>
      </c>
      <c r="R21" s="1">
        <v>0</v>
      </c>
      <c r="S21" s="1" t="s">
        <v>97</v>
      </c>
      <c r="T21" s="1" t="s">
        <v>97</v>
      </c>
      <c r="U21" s="1" t="b">
        <v>1</v>
      </c>
      <c r="V21" s="1" t="b">
        <v>0</v>
      </c>
      <c r="W21" s="1" t="b">
        <v>0</v>
      </c>
      <c r="X21" s="1">
        <v>0</v>
      </c>
      <c r="Y21" s="1" t="b">
        <v>1</v>
      </c>
      <c r="Z21" s="1" t="b">
        <v>1</v>
      </c>
      <c r="AA21" s="1">
        <v>89.3</v>
      </c>
      <c r="AB21" s="1" t="b">
        <v>1</v>
      </c>
      <c r="AC21" s="1">
        <v>124796663</v>
      </c>
      <c r="AD21" s="1">
        <v>1556745</v>
      </c>
      <c r="AE21" s="1">
        <v>0</v>
      </c>
      <c r="AF21" s="1" t="s">
        <v>192</v>
      </c>
      <c r="AG21" s="1" t="s">
        <v>193</v>
      </c>
      <c r="AH21" s="1">
        <v>88.6</v>
      </c>
      <c r="AI21" s="1">
        <v>84.6</v>
      </c>
      <c r="AJ21" s="1" t="s">
        <v>194</v>
      </c>
      <c r="AK21" s="1" t="s">
        <v>195</v>
      </c>
      <c r="AL21" s="1" t="s">
        <v>196</v>
      </c>
    </row>
    <row r="22" spans="1:38" x14ac:dyDescent="0.6">
      <c r="A22" s="1">
        <v>15</v>
      </c>
      <c r="B22" s="1" t="s">
        <v>88</v>
      </c>
      <c r="C22" s="1">
        <v>89</v>
      </c>
      <c r="D22" s="1" t="s">
        <v>153</v>
      </c>
      <c r="E22" s="1" t="s">
        <v>154</v>
      </c>
      <c r="F22" s="1"/>
      <c r="G22" s="1"/>
      <c r="H22" s="1" t="s">
        <v>91</v>
      </c>
      <c r="I22" s="1" t="s">
        <v>92</v>
      </c>
      <c r="J22" s="1" t="s">
        <v>93</v>
      </c>
      <c r="K22" s="1">
        <v>1</v>
      </c>
      <c r="L22" s="1">
        <v>120</v>
      </c>
      <c r="M22" s="1" t="s">
        <v>14</v>
      </c>
      <c r="N22" s="1" t="s">
        <v>95</v>
      </c>
      <c r="O22" s="1" t="s">
        <v>96</v>
      </c>
      <c r="P22" s="1"/>
      <c r="Q22" s="1" t="s">
        <v>110</v>
      </c>
      <c r="R22" s="1">
        <v>3</v>
      </c>
      <c r="S22" s="1" t="s">
        <v>110</v>
      </c>
      <c r="T22" s="1" t="s">
        <v>97</v>
      </c>
      <c r="U22" s="1" t="b">
        <v>0</v>
      </c>
      <c r="V22" s="1" t="b">
        <v>1</v>
      </c>
      <c r="W22" s="1" t="b">
        <v>0</v>
      </c>
      <c r="X22" s="1">
        <v>5</v>
      </c>
      <c r="Y22" s="1" t="b">
        <v>1</v>
      </c>
      <c r="Z22" s="1" t="b">
        <v>1</v>
      </c>
      <c r="AA22" s="1"/>
      <c r="AB22" s="1" t="b">
        <v>1</v>
      </c>
      <c r="AC22" s="1">
        <v>124054432</v>
      </c>
      <c r="AD22" s="1">
        <v>726112</v>
      </c>
      <c r="AE22" s="1">
        <v>0</v>
      </c>
      <c r="AF22" s="1" t="s">
        <v>155</v>
      </c>
      <c r="AG22" s="1" t="s">
        <v>156</v>
      </c>
      <c r="AH22" s="1">
        <v>55.6</v>
      </c>
      <c r="AI22" s="1">
        <v>52.1</v>
      </c>
      <c r="AJ22" s="1" t="s">
        <v>197</v>
      </c>
      <c r="AK22" s="1" t="s">
        <v>198</v>
      </c>
      <c r="AL22" s="1" t="s">
        <v>199</v>
      </c>
    </row>
    <row r="23" spans="1:38" x14ac:dyDescent="0.6">
      <c r="A23" s="1">
        <v>4</v>
      </c>
      <c r="B23" s="1" t="s">
        <v>103</v>
      </c>
      <c r="C23" s="1">
        <v>51</v>
      </c>
      <c r="D23" s="1" t="s">
        <v>89</v>
      </c>
      <c r="E23" s="1" t="s">
        <v>108</v>
      </c>
      <c r="F23" s="1"/>
      <c r="G23" s="1"/>
      <c r="H23" s="1" t="s">
        <v>91</v>
      </c>
      <c r="I23" s="1" t="s">
        <v>92</v>
      </c>
      <c r="J23" s="1" t="s">
        <v>93</v>
      </c>
      <c r="K23" s="1">
        <v>1</v>
      </c>
      <c r="L23" s="1">
        <v>120</v>
      </c>
      <c r="M23" s="1" t="s">
        <v>94</v>
      </c>
      <c r="N23" s="1" t="s">
        <v>95</v>
      </c>
      <c r="O23" s="1"/>
      <c r="P23" s="1" t="s">
        <v>96</v>
      </c>
      <c r="Q23" s="1" t="s">
        <v>110</v>
      </c>
      <c r="R23" s="1">
        <v>3</v>
      </c>
      <c r="S23" s="1" t="s">
        <v>110</v>
      </c>
      <c r="T23" s="1" t="s">
        <v>200</v>
      </c>
      <c r="U23" s="1" t="b">
        <v>0</v>
      </c>
      <c r="V23" s="1" t="b">
        <v>1</v>
      </c>
      <c r="W23" s="1" t="b">
        <v>0</v>
      </c>
      <c r="X23" s="1">
        <v>0</v>
      </c>
      <c r="Y23" s="1" t="b">
        <v>1</v>
      </c>
      <c r="Z23" s="1" t="b">
        <v>1</v>
      </c>
      <c r="AA23" s="1">
        <v>53.8</v>
      </c>
      <c r="AB23" s="1" t="b">
        <v>1</v>
      </c>
      <c r="AC23" s="1">
        <v>140803088</v>
      </c>
      <c r="AD23" s="1">
        <v>1803248</v>
      </c>
      <c r="AE23" s="1">
        <v>0</v>
      </c>
      <c r="AF23" s="1" t="s">
        <v>201</v>
      </c>
      <c r="AG23" s="1" t="s">
        <v>202</v>
      </c>
      <c r="AH23" s="1">
        <v>52.1</v>
      </c>
      <c r="AI23" s="1">
        <v>51.7</v>
      </c>
      <c r="AJ23" s="1" t="s">
        <v>203</v>
      </c>
      <c r="AK23" s="1" t="s">
        <v>204</v>
      </c>
      <c r="AL23" s="1" t="s">
        <v>205</v>
      </c>
    </row>
    <row r="24" spans="1:38" x14ac:dyDescent="0.6">
      <c r="A24" s="1">
        <v>19</v>
      </c>
      <c r="B24" s="1" t="s">
        <v>188</v>
      </c>
      <c r="C24" s="1">
        <v>51</v>
      </c>
      <c r="D24" s="1" t="s">
        <v>89</v>
      </c>
      <c r="E24" s="1" t="s">
        <v>90</v>
      </c>
      <c r="F24" s="1"/>
      <c r="G24" s="1"/>
      <c r="H24" s="1" t="s">
        <v>189</v>
      </c>
      <c r="I24" s="1" t="s">
        <v>190</v>
      </c>
      <c r="J24" s="1" t="s">
        <v>191</v>
      </c>
      <c r="K24" s="1">
        <v>1</v>
      </c>
      <c r="L24" s="1">
        <v>120</v>
      </c>
      <c r="M24" s="1" t="s">
        <v>14</v>
      </c>
      <c r="N24" s="1" t="s">
        <v>95</v>
      </c>
      <c r="O24" s="1" t="s">
        <v>96</v>
      </c>
      <c r="P24" s="1"/>
      <c r="Q24" s="1" t="s">
        <v>9</v>
      </c>
      <c r="R24" s="1">
        <v>0</v>
      </c>
      <c r="S24" s="1" t="s">
        <v>97</v>
      </c>
      <c r="T24" s="1" t="s">
        <v>97</v>
      </c>
      <c r="U24" s="1" t="b">
        <v>1</v>
      </c>
      <c r="V24" s="1" t="b">
        <v>0</v>
      </c>
      <c r="W24" s="1" t="b">
        <v>0</v>
      </c>
      <c r="X24" s="1">
        <v>5</v>
      </c>
      <c r="Y24" s="1" t="b">
        <v>1</v>
      </c>
      <c r="Z24" s="1" t="b">
        <v>1</v>
      </c>
      <c r="AA24" s="1"/>
      <c r="AB24" s="1" t="b">
        <v>1</v>
      </c>
      <c r="AC24" s="1">
        <v>115537512</v>
      </c>
      <c r="AD24" s="1">
        <v>854424</v>
      </c>
      <c r="AE24" s="1">
        <v>0</v>
      </c>
      <c r="AF24" s="1" t="s">
        <v>192</v>
      </c>
      <c r="AG24" s="1" t="s">
        <v>193</v>
      </c>
      <c r="AH24" s="1">
        <v>88.6</v>
      </c>
      <c r="AI24" s="1">
        <v>84.6</v>
      </c>
      <c r="AJ24" s="1" t="s">
        <v>206</v>
      </c>
      <c r="AK24" s="1" t="s">
        <v>207</v>
      </c>
      <c r="AL24" s="1" t="s">
        <v>208</v>
      </c>
    </row>
    <row r="25" spans="1:38" x14ac:dyDescent="0.6">
      <c r="A25" s="1">
        <v>7</v>
      </c>
      <c r="B25" s="1" t="s">
        <v>103</v>
      </c>
      <c r="C25" s="1">
        <v>61</v>
      </c>
      <c r="D25" s="1" t="s">
        <v>127</v>
      </c>
      <c r="E25" s="1" t="s">
        <v>108</v>
      </c>
      <c r="F25" s="1"/>
      <c r="G25" s="1"/>
      <c r="H25" s="1" t="s">
        <v>91</v>
      </c>
      <c r="I25" s="1" t="s">
        <v>92</v>
      </c>
      <c r="J25" s="1" t="s">
        <v>93</v>
      </c>
      <c r="K25" s="1">
        <v>1</v>
      </c>
      <c r="L25" s="1">
        <v>120</v>
      </c>
      <c r="M25" s="1" t="s">
        <v>14</v>
      </c>
      <c r="N25" s="1" t="s">
        <v>95</v>
      </c>
      <c r="O25" s="1" t="s">
        <v>96</v>
      </c>
      <c r="P25" s="1"/>
      <c r="Q25" s="1" t="s">
        <v>9</v>
      </c>
      <c r="R25" s="1">
        <v>0</v>
      </c>
      <c r="S25" s="1" t="s">
        <v>97</v>
      </c>
      <c r="T25" s="1" t="s">
        <v>97</v>
      </c>
      <c r="U25" s="1" t="b">
        <v>1</v>
      </c>
      <c r="V25" s="1" t="b">
        <v>0</v>
      </c>
      <c r="W25" s="1" t="b">
        <v>0</v>
      </c>
      <c r="X25" s="1">
        <v>5</v>
      </c>
      <c r="Y25" s="1" t="b">
        <v>1</v>
      </c>
      <c r="Z25" s="1" t="b">
        <v>1</v>
      </c>
      <c r="AA25" s="1"/>
      <c r="AB25" s="1" t="b">
        <v>1</v>
      </c>
      <c r="AC25" s="1">
        <v>130657681</v>
      </c>
      <c r="AD25" s="1">
        <v>676463</v>
      </c>
      <c r="AE25" s="1">
        <v>0</v>
      </c>
      <c r="AF25" s="1" t="s">
        <v>128</v>
      </c>
      <c r="AG25" s="1" t="s">
        <v>129</v>
      </c>
      <c r="AH25" s="1">
        <v>59.2</v>
      </c>
      <c r="AI25" s="1">
        <v>54.9</v>
      </c>
      <c r="AJ25" s="1" t="s">
        <v>209</v>
      </c>
      <c r="AK25" s="1" t="s">
        <v>210</v>
      </c>
      <c r="AL25" s="1" t="s">
        <v>211</v>
      </c>
    </row>
    <row r="26" spans="1:38" x14ac:dyDescent="0.6">
      <c r="A26" s="1">
        <v>20</v>
      </c>
      <c r="B26" s="1" t="s">
        <v>103</v>
      </c>
      <c r="C26" s="1">
        <v>54</v>
      </c>
      <c r="D26" s="1" t="s">
        <v>89</v>
      </c>
      <c r="E26" s="1" t="s">
        <v>108</v>
      </c>
      <c r="F26" s="1"/>
      <c r="G26" s="1"/>
      <c r="H26" s="1" t="s">
        <v>189</v>
      </c>
      <c r="I26" s="1" t="s">
        <v>190</v>
      </c>
      <c r="J26" s="1" t="s">
        <v>191</v>
      </c>
      <c r="K26" s="1">
        <v>1</v>
      </c>
      <c r="L26" s="1">
        <v>120</v>
      </c>
      <c r="M26" s="1" t="s">
        <v>94</v>
      </c>
      <c r="N26" s="1" t="s">
        <v>95</v>
      </c>
      <c r="O26" s="1"/>
      <c r="P26" s="1" t="s">
        <v>96</v>
      </c>
      <c r="Q26" s="1" t="s">
        <v>9</v>
      </c>
      <c r="R26" s="1">
        <v>0</v>
      </c>
      <c r="S26" s="1" t="s">
        <v>97</v>
      </c>
      <c r="T26" s="1" t="s">
        <v>97</v>
      </c>
      <c r="U26" s="1" t="b">
        <v>1</v>
      </c>
      <c r="V26" s="1" t="b">
        <v>0</v>
      </c>
      <c r="W26" s="1" t="b">
        <v>0</v>
      </c>
      <c r="X26" s="1">
        <v>0</v>
      </c>
      <c r="Y26" s="1" t="b">
        <v>1</v>
      </c>
      <c r="Z26" s="1" t="b">
        <v>1</v>
      </c>
      <c r="AA26" s="1">
        <v>75.5</v>
      </c>
      <c r="AB26" s="1" t="b">
        <v>1</v>
      </c>
      <c r="AC26" s="1">
        <v>151544676</v>
      </c>
      <c r="AD26" s="1">
        <v>2595996</v>
      </c>
      <c r="AE26" s="1">
        <v>0</v>
      </c>
      <c r="AF26" s="1" t="s">
        <v>212</v>
      </c>
      <c r="AG26" s="1" t="s">
        <v>213</v>
      </c>
      <c r="AH26" s="1">
        <v>73.7</v>
      </c>
      <c r="AI26" s="1">
        <v>72.3</v>
      </c>
      <c r="AJ26" s="1" t="s">
        <v>214</v>
      </c>
      <c r="AK26" s="1" t="s">
        <v>215</v>
      </c>
      <c r="AL26" s="1" t="s">
        <v>216</v>
      </c>
    </row>
    <row r="27" spans="1:38" x14ac:dyDescent="0.6">
      <c r="A27" s="1">
        <v>20</v>
      </c>
      <c r="B27" s="1" t="s">
        <v>103</v>
      </c>
      <c r="C27" s="1">
        <v>54</v>
      </c>
      <c r="D27" s="1" t="s">
        <v>89</v>
      </c>
      <c r="E27" s="1" t="s">
        <v>108</v>
      </c>
      <c r="F27" s="1"/>
      <c r="G27" s="1"/>
      <c r="H27" s="1" t="s">
        <v>189</v>
      </c>
      <c r="I27" s="1" t="s">
        <v>190</v>
      </c>
      <c r="J27" s="1" t="s">
        <v>191</v>
      </c>
      <c r="K27" s="1">
        <v>1</v>
      </c>
      <c r="L27" s="1">
        <v>120</v>
      </c>
      <c r="M27" s="1" t="s">
        <v>14</v>
      </c>
      <c r="N27" s="1" t="s">
        <v>95</v>
      </c>
      <c r="O27" s="1" t="s">
        <v>96</v>
      </c>
      <c r="P27" s="1"/>
      <c r="Q27" s="1" t="s">
        <v>9</v>
      </c>
      <c r="R27" s="1">
        <v>0</v>
      </c>
      <c r="S27" s="1" t="s">
        <v>97</v>
      </c>
      <c r="T27" s="1" t="s">
        <v>97</v>
      </c>
      <c r="U27" s="1" t="b">
        <v>1</v>
      </c>
      <c r="V27" s="1" t="b">
        <v>0</v>
      </c>
      <c r="W27" s="1" t="b">
        <v>0</v>
      </c>
      <c r="X27" s="1">
        <v>5</v>
      </c>
      <c r="Y27" s="1" t="b">
        <v>1</v>
      </c>
      <c r="Z27" s="1" t="b">
        <v>1</v>
      </c>
      <c r="AA27" s="1"/>
      <c r="AB27" s="1" t="b">
        <v>1</v>
      </c>
      <c r="AC27" s="1">
        <v>150051970</v>
      </c>
      <c r="AD27" s="1">
        <v>942974</v>
      </c>
      <c r="AE27" s="1">
        <v>0</v>
      </c>
      <c r="AF27" s="1" t="s">
        <v>212</v>
      </c>
      <c r="AG27" s="1" t="s">
        <v>213</v>
      </c>
      <c r="AH27" s="1">
        <v>73.7</v>
      </c>
      <c r="AI27" s="1">
        <v>72.3</v>
      </c>
      <c r="AJ27" s="1" t="s">
        <v>217</v>
      </c>
      <c r="AK27" s="1" t="s">
        <v>218</v>
      </c>
      <c r="AL27" s="1" t="s">
        <v>219</v>
      </c>
    </row>
    <row r="28" spans="1:38" x14ac:dyDescent="0.6">
      <c r="A28" s="1">
        <v>24</v>
      </c>
      <c r="B28" s="1" t="s">
        <v>103</v>
      </c>
      <c r="C28" s="1">
        <v>58</v>
      </c>
      <c r="D28" s="1" t="s">
        <v>89</v>
      </c>
      <c r="E28" s="1" t="s">
        <v>90</v>
      </c>
      <c r="F28" s="1"/>
      <c r="G28" s="1"/>
      <c r="H28" s="1" t="s">
        <v>220</v>
      </c>
      <c r="I28" s="1" t="s">
        <v>221</v>
      </c>
      <c r="J28" s="1" t="s">
        <v>222</v>
      </c>
      <c r="K28" s="1">
        <v>1.25</v>
      </c>
      <c r="L28" s="1">
        <v>120</v>
      </c>
      <c r="M28" s="1" t="s">
        <v>14</v>
      </c>
      <c r="N28" s="1" t="s">
        <v>95</v>
      </c>
      <c r="O28" s="1" t="s">
        <v>96</v>
      </c>
      <c r="P28" s="1"/>
      <c r="Q28" s="1" t="s">
        <v>9</v>
      </c>
      <c r="R28" s="1">
        <v>0</v>
      </c>
      <c r="S28" s="1" t="s">
        <v>97</v>
      </c>
      <c r="T28" s="1" t="s">
        <v>97</v>
      </c>
      <c r="U28" s="1" t="b">
        <v>1</v>
      </c>
      <c r="V28" s="1" t="b">
        <v>0</v>
      </c>
      <c r="W28" s="1" t="b">
        <v>0</v>
      </c>
      <c r="X28" s="1">
        <v>5</v>
      </c>
      <c r="Y28" s="1" t="b">
        <v>1</v>
      </c>
      <c r="Z28" s="1" t="b">
        <v>1</v>
      </c>
      <c r="AA28" s="1"/>
      <c r="AB28" s="1" t="b">
        <v>1</v>
      </c>
      <c r="AC28" s="1">
        <v>133908332</v>
      </c>
      <c r="AD28" s="1">
        <v>571540</v>
      </c>
      <c r="AE28" s="1">
        <v>0</v>
      </c>
      <c r="AF28" s="1" t="s">
        <v>223</v>
      </c>
      <c r="AG28" s="1" t="s">
        <v>224</v>
      </c>
      <c r="AH28" s="1">
        <v>65.5</v>
      </c>
      <c r="AI28" s="1">
        <v>65.8</v>
      </c>
      <c r="AJ28" s="1" t="s">
        <v>225</v>
      </c>
      <c r="AK28" s="1" t="s">
        <v>226</v>
      </c>
      <c r="AL28" s="1" t="s">
        <v>227</v>
      </c>
    </row>
    <row r="29" spans="1:38" x14ac:dyDescent="0.6">
      <c r="A29" s="1">
        <v>21</v>
      </c>
      <c r="B29" s="1" t="s">
        <v>103</v>
      </c>
      <c r="C29" s="1">
        <v>51</v>
      </c>
      <c r="D29" s="1" t="s">
        <v>89</v>
      </c>
      <c r="E29" s="1" t="s">
        <v>108</v>
      </c>
      <c r="F29" s="1"/>
      <c r="G29" s="1"/>
      <c r="H29" s="1" t="s">
        <v>220</v>
      </c>
      <c r="I29" s="1" t="s">
        <v>221</v>
      </c>
      <c r="J29" s="1" t="s">
        <v>222</v>
      </c>
      <c r="K29" s="1">
        <v>1.25</v>
      </c>
      <c r="L29" s="1">
        <v>120</v>
      </c>
      <c r="M29" s="1" t="s">
        <v>94</v>
      </c>
      <c r="N29" s="1" t="s">
        <v>95</v>
      </c>
      <c r="O29" s="1"/>
      <c r="P29" s="1" t="s">
        <v>96</v>
      </c>
      <c r="Q29" s="1" t="s">
        <v>9</v>
      </c>
      <c r="R29" s="1">
        <v>0</v>
      </c>
      <c r="S29" s="1" t="s">
        <v>97</v>
      </c>
      <c r="T29" s="1" t="s">
        <v>97</v>
      </c>
      <c r="U29" s="1" t="b">
        <v>1</v>
      </c>
      <c r="V29" s="1" t="b">
        <v>0</v>
      </c>
      <c r="W29" s="1" t="b">
        <v>0</v>
      </c>
      <c r="X29" s="1">
        <v>0</v>
      </c>
      <c r="Y29" s="1" t="b">
        <v>1</v>
      </c>
      <c r="Z29" s="1" t="b">
        <v>1</v>
      </c>
      <c r="AA29" s="1">
        <v>60.9</v>
      </c>
      <c r="AB29" s="1" t="b">
        <v>1</v>
      </c>
      <c r="AC29" s="1">
        <v>159865893</v>
      </c>
      <c r="AD29" s="1">
        <v>1876955</v>
      </c>
      <c r="AE29" s="1">
        <v>0</v>
      </c>
      <c r="AF29" s="1" t="s">
        <v>228</v>
      </c>
      <c r="AG29" s="1" t="s">
        <v>229</v>
      </c>
      <c r="AH29" s="1">
        <v>56.7</v>
      </c>
      <c r="AI29" s="1">
        <v>56.1</v>
      </c>
      <c r="AJ29" s="1" t="s">
        <v>230</v>
      </c>
      <c r="AK29" s="1" t="s">
        <v>231</v>
      </c>
      <c r="AL29" s="1" t="s">
        <v>232</v>
      </c>
    </row>
    <row r="30" spans="1:38" x14ac:dyDescent="0.6">
      <c r="A30" s="1">
        <v>4</v>
      </c>
      <c r="B30" s="1" t="s">
        <v>103</v>
      </c>
      <c r="C30" s="1">
        <v>51</v>
      </c>
      <c r="D30" s="1" t="s">
        <v>89</v>
      </c>
      <c r="E30" s="1" t="s">
        <v>108</v>
      </c>
      <c r="F30" s="1"/>
      <c r="G30" s="1"/>
      <c r="H30" s="1" t="s">
        <v>91</v>
      </c>
      <c r="I30" s="1" t="s">
        <v>92</v>
      </c>
      <c r="J30" s="1" t="s">
        <v>93</v>
      </c>
      <c r="K30" s="1">
        <v>1</v>
      </c>
      <c r="L30" s="1">
        <v>120</v>
      </c>
      <c r="M30" s="1" t="s">
        <v>14</v>
      </c>
      <c r="N30" s="1" t="s">
        <v>95</v>
      </c>
      <c r="O30" s="1" t="s">
        <v>96</v>
      </c>
      <c r="P30" s="1"/>
      <c r="Q30" s="1" t="s">
        <v>110</v>
      </c>
      <c r="R30" s="1">
        <v>3</v>
      </c>
      <c r="S30" s="1" t="s">
        <v>110</v>
      </c>
      <c r="T30" s="1" t="s">
        <v>200</v>
      </c>
      <c r="U30" s="1" t="b">
        <v>0</v>
      </c>
      <c r="V30" s="1" t="b">
        <v>1</v>
      </c>
      <c r="W30" s="1" t="b">
        <v>1</v>
      </c>
      <c r="X30" s="1">
        <v>6</v>
      </c>
      <c r="Y30" s="1" t="b">
        <v>1</v>
      </c>
      <c r="Z30" s="1" t="b">
        <v>1</v>
      </c>
      <c r="AA30" s="1"/>
      <c r="AB30" s="1" t="b">
        <v>1</v>
      </c>
      <c r="AC30" s="1">
        <v>135592031</v>
      </c>
      <c r="AD30" s="1">
        <v>722849</v>
      </c>
      <c r="AE30" s="1">
        <v>0</v>
      </c>
      <c r="AF30" s="1" t="s">
        <v>201</v>
      </c>
      <c r="AG30" s="1" t="s">
        <v>202</v>
      </c>
      <c r="AH30" s="1">
        <v>52.1</v>
      </c>
      <c r="AI30" s="1">
        <v>51.7</v>
      </c>
      <c r="AJ30" s="1" t="s">
        <v>233</v>
      </c>
      <c r="AK30" s="1" t="s">
        <v>234</v>
      </c>
      <c r="AL30" s="1" t="s">
        <v>235</v>
      </c>
    </row>
    <row r="31" spans="1:38" x14ac:dyDescent="0.6">
      <c r="A31" s="1">
        <v>22</v>
      </c>
      <c r="B31" s="1" t="s">
        <v>103</v>
      </c>
      <c r="C31" s="1">
        <v>50</v>
      </c>
      <c r="D31" s="1" t="s">
        <v>89</v>
      </c>
      <c r="E31" s="1" t="s">
        <v>90</v>
      </c>
      <c r="F31" s="1"/>
      <c r="G31" s="1"/>
      <c r="H31" s="1" t="s">
        <v>220</v>
      </c>
      <c r="I31" s="1" t="s">
        <v>221</v>
      </c>
      <c r="J31" s="1" t="s">
        <v>222</v>
      </c>
      <c r="K31" s="1">
        <v>1.25</v>
      </c>
      <c r="L31" s="1">
        <v>120</v>
      </c>
      <c r="M31" s="1" t="s">
        <v>94</v>
      </c>
      <c r="N31" s="1" t="s">
        <v>236</v>
      </c>
      <c r="O31" s="1"/>
      <c r="P31" s="1" t="s">
        <v>96</v>
      </c>
      <c r="Q31" s="1" t="s">
        <v>237</v>
      </c>
      <c r="R31" s="1">
        <v>0</v>
      </c>
      <c r="S31" s="1" t="s">
        <v>237</v>
      </c>
      <c r="T31" s="1"/>
      <c r="U31" s="1"/>
      <c r="V31" s="1" t="b">
        <v>0</v>
      </c>
      <c r="W31" s="1" t="b">
        <v>0</v>
      </c>
      <c r="X31" s="1">
        <v>0</v>
      </c>
      <c r="Y31" s="1" t="b">
        <v>1</v>
      </c>
      <c r="Z31" s="1" t="b">
        <v>1</v>
      </c>
      <c r="AA31" s="1">
        <v>74.8</v>
      </c>
      <c r="AB31" s="1" t="b">
        <v>1</v>
      </c>
      <c r="AC31" s="1">
        <v>145178047</v>
      </c>
      <c r="AD31" s="1">
        <v>1622593</v>
      </c>
      <c r="AE31" s="1">
        <v>0</v>
      </c>
      <c r="AF31" s="1"/>
      <c r="AG31" s="1" t="s">
        <v>238</v>
      </c>
      <c r="AH31" s="1"/>
      <c r="AI31" s="1">
        <v>72.599999999999994</v>
      </c>
      <c r="AJ31" s="1" t="s">
        <v>239</v>
      </c>
      <c r="AK31" s="1" t="s">
        <v>240</v>
      </c>
      <c r="AL31" s="1" t="s">
        <v>241</v>
      </c>
    </row>
    <row r="32" spans="1:38" x14ac:dyDescent="0.6">
      <c r="A32" s="1">
        <v>23</v>
      </c>
      <c r="B32" s="1" t="s">
        <v>103</v>
      </c>
      <c r="C32" s="1">
        <v>52</v>
      </c>
      <c r="D32" s="1" t="s">
        <v>89</v>
      </c>
      <c r="E32" s="1" t="s">
        <v>90</v>
      </c>
      <c r="F32" s="1"/>
      <c r="G32" s="1"/>
      <c r="H32" s="1" t="s">
        <v>220</v>
      </c>
      <c r="I32" s="1" t="s">
        <v>221</v>
      </c>
      <c r="J32" s="1" t="s">
        <v>222</v>
      </c>
      <c r="K32" s="1">
        <v>1.25</v>
      </c>
      <c r="L32" s="1">
        <v>120</v>
      </c>
      <c r="M32" s="1" t="s">
        <v>94</v>
      </c>
      <c r="N32" s="1" t="s">
        <v>95</v>
      </c>
      <c r="O32" s="1"/>
      <c r="P32" s="1" t="s">
        <v>96</v>
      </c>
      <c r="Q32" s="1" t="s">
        <v>9</v>
      </c>
      <c r="R32" s="1">
        <v>0</v>
      </c>
      <c r="S32" s="1" t="s">
        <v>97</v>
      </c>
      <c r="T32" s="1" t="s">
        <v>97</v>
      </c>
      <c r="U32" s="1" t="b">
        <v>1</v>
      </c>
      <c r="V32" s="1" t="b">
        <v>0</v>
      </c>
      <c r="W32" s="1" t="b">
        <v>0</v>
      </c>
      <c r="X32" s="1">
        <v>0</v>
      </c>
      <c r="Y32" s="1" t="b">
        <v>1</v>
      </c>
      <c r="Z32" s="1" t="b">
        <v>1</v>
      </c>
      <c r="AA32" s="1">
        <v>79.400000000000006</v>
      </c>
      <c r="AB32" s="1" t="b">
        <v>1</v>
      </c>
      <c r="AC32" s="1">
        <v>155801875</v>
      </c>
      <c r="AD32" s="1">
        <v>1222381</v>
      </c>
      <c r="AE32" s="1">
        <v>0</v>
      </c>
      <c r="AF32" s="1" t="s">
        <v>242</v>
      </c>
      <c r="AG32" s="1" t="s">
        <v>243</v>
      </c>
      <c r="AH32" s="1">
        <v>86.7</v>
      </c>
      <c r="AI32" s="1">
        <v>76.8</v>
      </c>
      <c r="AJ32" s="1" t="s">
        <v>244</v>
      </c>
      <c r="AK32" s="1" t="s">
        <v>245</v>
      </c>
      <c r="AL32" s="1" t="s">
        <v>246</v>
      </c>
    </row>
    <row r="33" spans="1:38" x14ac:dyDescent="0.6">
      <c r="A33" s="1">
        <v>23</v>
      </c>
      <c r="B33" s="1" t="s">
        <v>103</v>
      </c>
      <c r="C33" s="1">
        <v>52</v>
      </c>
      <c r="D33" s="1" t="s">
        <v>89</v>
      </c>
      <c r="E33" s="1" t="s">
        <v>90</v>
      </c>
      <c r="F33" s="1"/>
      <c r="G33" s="1"/>
      <c r="H33" s="1" t="s">
        <v>220</v>
      </c>
      <c r="I33" s="1" t="s">
        <v>221</v>
      </c>
      <c r="J33" s="1" t="s">
        <v>222</v>
      </c>
      <c r="K33" s="1">
        <v>1.25</v>
      </c>
      <c r="L33" s="1">
        <v>120</v>
      </c>
      <c r="M33" s="1" t="s">
        <v>14</v>
      </c>
      <c r="N33" s="1" t="s">
        <v>95</v>
      </c>
      <c r="O33" s="1" t="s">
        <v>96</v>
      </c>
      <c r="P33" s="1"/>
      <c r="Q33" s="1" t="s">
        <v>9</v>
      </c>
      <c r="R33" s="1">
        <v>0</v>
      </c>
      <c r="S33" s="1" t="s">
        <v>97</v>
      </c>
      <c r="T33" s="1" t="s">
        <v>97</v>
      </c>
      <c r="U33" s="1" t="b">
        <v>1</v>
      </c>
      <c r="V33" s="1" t="b">
        <v>0</v>
      </c>
      <c r="W33" s="1" t="b">
        <v>0</v>
      </c>
      <c r="X33" s="1">
        <v>5</v>
      </c>
      <c r="Y33" s="1" t="b">
        <v>1</v>
      </c>
      <c r="Z33" s="1" t="b">
        <v>1</v>
      </c>
      <c r="AA33" s="1"/>
      <c r="AB33" s="1" t="b">
        <v>1</v>
      </c>
      <c r="AC33" s="1">
        <v>150843955</v>
      </c>
      <c r="AD33" s="1">
        <v>413133</v>
      </c>
      <c r="AE33" s="1">
        <v>0</v>
      </c>
      <c r="AF33" s="1" t="s">
        <v>242</v>
      </c>
      <c r="AG33" s="1" t="s">
        <v>243</v>
      </c>
      <c r="AH33" s="1">
        <v>86.7</v>
      </c>
      <c r="AI33" s="1">
        <v>76.8</v>
      </c>
      <c r="AJ33" s="1" t="s">
        <v>247</v>
      </c>
      <c r="AK33" s="1" t="s">
        <v>248</v>
      </c>
      <c r="AL33" s="1" t="s">
        <v>249</v>
      </c>
    </row>
    <row r="34" spans="1:38" x14ac:dyDescent="0.6">
      <c r="A34" s="1">
        <v>24</v>
      </c>
      <c r="B34" s="1" t="s">
        <v>103</v>
      </c>
      <c r="C34" s="1">
        <v>58</v>
      </c>
      <c r="D34" s="1" t="s">
        <v>89</v>
      </c>
      <c r="E34" s="1" t="s">
        <v>90</v>
      </c>
      <c r="F34" s="1"/>
      <c r="G34" s="1"/>
      <c r="H34" s="1" t="s">
        <v>220</v>
      </c>
      <c r="I34" s="1" t="s">
        <v>221</v>
      </c>
      <c r="J34" s="1" t="s">
        <v>222</v>
      </c>
      <c r="K34" s="1">
        <v>1.25</v>
      </c>
      <c r="L34" s="1">
        <v>120</v>
      </c>
      <c r="M34" s="1" t="s">
        <v>94</v>
      </c>
      <c r="N34" s="1" t="s">
        <v>95</v>
      </c>
      <c r="O34" s="1"/>
      <c r="P34" s="1" t="s">
        <v>96</v>
      </c>
      <c r="Q34" s="1" t="s">
        <v>9</v>
      </c>
      <c r="R34" s="1">
        <v>0</v>
      </c>
      <c r="S34" s="1" t="s">
        <v>97</v>
      </c>
      <c r="T34" s="1" t="s">
        <v>97</v>
      </c>
      <c r="U34" s="1" t="b">
        <v>1</v>
      </c>
      <c r="V34" s="1" t="b">
        <v>0</v>
      </c>
      <c r="W34" s="1" t="b">
        <v>0</v>
      </c>
      <c r="X34" s="1">
        <v>0</v>
      </c>
      <c r="Y34" s="1" t="b">
        <v>1</v>
      </c>
      <c r="Z34" s="1" t="b">
        <v>1</v>
      </c>
      <c r="AA34" s="1">
        <v>70.2</v>
      </c>
      <c r="AB34" s="1" t="b">
        <v>1</v>
      </c>
      <c r="AC34" s="1">
        <v>141988941</v>
      </c>
      <c r="AD34" s="1">
        <v>1665971</v>
      </c>
      <c r="AE34" s="1">
        <v>0</v>
      </c>
      <c r="AF34" s="1" t="s">
        <v>223</v>
      </c>
      <c r="AG34" s="1" t="s">
        <v>224</v>
      </c>
      <c r="AH34" s="1">
        <v>65.5</v>
      </c>
      <c r="AI34" s="1">
        <v>65.8</v>
      </c>
      <c r="AJ34" s="1" t="s">
        <v>250</v>
      </c>
      <c r="AK34" s="1" t="s">
        <v>251</v>
      </c>
      <c r="AL34" s="1" t="s">
        <v>252</v>
      </c>
    </row>
    <row r="35" spans="1:38" x14ac:dyDescent="0.6">
      <c r="A35" s="1">
        <v>10</v>
      </c>
      <c r="B35" s="1" t="s">
        <v>103</v>
      </c>
      <c r="C35" s="1">
        <v>68</v>
      </c>
      <c r="D35" s="1" t="s">
        <v>127</v>
      </c>
      <c r="E35" s="1" t="s">
        <v>108</v>
      </c>
      <c r="F35" s="1"/>
      <c r="G35" s="1"/>
      <c r="H35" s="1" t="s">
        <v>220</v>
      </c>
      <c r="I35" s="1" t="s">
        <v>221</v>
      </c>
      <c r="J35" s="1" t="s">
        <v>222</v>
      </c>
      <c r="K35" s="1">
        <v>1.25</v>
      </c>
      <c r="L35" s="1">
        <v>120</v>
      </c>
      <c r="M35" s="1" t="s">
        <v>7</v>
      </c>
      <c r="N35" s="1" t="s">
        <v>7</v>
      </c>
      <c r="O35" s="1" t="s">
        <v>96</v>
      </c>
      <c r="P35" s="1" t="s">
        <v>96</v>
      </c>
      <c r="Q35" s="1" t="s">
        <v>9</v>
      </c>
      <c r="R35" s="1">
        <v>0</v>
      </c>
      <c r="S35" s="1" t="s">
        <v>97</v>
      </c>
      <c r="T35" s="1" t="s">
        <v>97</v>
      </c>
      <c r="U35" s="1" t="b">
        <v>1</v>
      </c>
      <c r="V35" s="1" t="b">
        <v>0</v>
      </c>
      <c r="W35" s="1" t="b">
        <v>0</v>
      </c>
      <c r="X35" s="1">
        <v>5</v>
      </c>
      <c r="Y35" s="1" t="b">
        <v>1</v>
      </c>
      <c r="Z35" s="1" t="b">
        <v>1</v>
      </c>
      <c r="AA35" s="1">
        <v>57.9</v>
      </c>
      <c r="AB35" s="1" t="b">
        <v>0</v>
      </c>
      <c r="AC35" s="1">
        <v>0</v>
      </c>
      <c r="AD35" s="1">
        <v>3863991</v>
      </c>
      <c r="AE35" s="1">
        <v>138480201</v>
      </c>
      <c r="AF35" s="1" t="s">
        <v>253</v>
      </c>
      <c r="AG35" s="1" t="s">
        <v>253</v>
      </c>
      <c r="AH35" s="1">
        <v>63</v>
      </c>
      <c r="AI35" s="1">
        <v>57.2</v>
      </c>
      <c r="AJ35" s="1" t="s">
        <v>254</v>
      </c>
      <c r="AK35" s="1" t="s">
        <v>255</v>
      </c>
      <c r="AL35" s="1" t="s">
        <v>256</v>
      </c>
    </row>
    <row r="36" spans="1:38" x14ac:dyDescent="0.6">
      <c r="A36" s="1">
        <v>26</v>
      </c>
      <c r="B36" s="1" t="s">
        <v>88</v>
      </c>
      <c r="C36" s="1">
        <v>51</v>
      </c>
      <c r="D36" s="1" t="s">
        <v>89</v>
      </c>
      <c r="E36" s="1" t="s">
        <v>108</v>
      </c>
      <c r="F36" s="1"/>
      <c r="G36" s="1"/>
      <c r="H36" s="1" t="s">
        <v>220</v>
      </c>
      <c r="I36" s="1" t="s">
        <v>221</v>
      </c>
      <c r="J36" s="1" t="s">
        <v>222</v>
      </c>
      <c r="K36" s="1">
        <v>1.25</v>
      </c>
      <c r="L36" s="1">
        <v>120</v>
      </c>
      <c r="M36" s="1" t="s">
        <v>14</v>
      </c>
      <c r="N36" s="1" t="s">
        <v>95</v>
      </c>
      <c r="O36" s="1" t="s">
        <v>96</v>
      </c>
      <c r="P36" s="1"/>
      <c r="Q36" s="1" t="s">
        <v>9</v>
      </c>
      <c r="R36" s="1">
        <v>0</v>
      </c>
      <c r="S36" s="1" t="s">
        <v>97</v>
      </c>
      <c r="T36" s="1" t="s">
        <v>97</v>
      </c>
      <c r="U36" s="1" t="b">
        <v>1</v>
      </c>
      <c r="V36" s="1" t="b">
        <v>0</v>
      </c>
      <c r="W36" s="1" t="b">
        <v>0</v>
      </c>
      <c r="X36" s="1">
        <v>5</v>
      </c>
      <c r="Y36" s="1" t="b">
        <v>1</v>
      </c>
      <c r="Z36" s="1" t="b">
        <v>1</v>
      </c>
      <c r="AA36" s="1"/>
      <c r="AB36" s="1" t="b">
        <v>1</v>
      </c>
      <c r="AC36" s="1">
        <v>147420177</v>
      </c>
      <c r="AD36" s="1">
        <v>691183</v>
      </c>
      <c r="AE36" s="1">
        <v>0</v>
      </c>
      <c r="AF36" s="1" t="s">
        <v>257</v>
      </c>
      <c r="AG36" s="1" t="s">
        <v>258</v>
      </c>
      <c r="AH36" s="1">
        <v>59.3</v>
      </c>
      <c r="AI36" s="1">
        <v>53.6</v>
      </c>
      <c r="AJ36" s="1" t="s">
        <v>259</v>
      </c>
      <c r="AK36" s="1" t="s">
        <v>260</v>
      </c>
      <c r="AL36" s="1" t="s">
        <v>261</v>
      </c>
    </row>
    <row r="37" spans="1:38" x14ac:dyDescent="0.6">
      <c r="A37" s="1">
        <v>8</v>
      </c>
      <c r="B37" s="1" t="s">
        <v>103</v>
      </c>
      <c r="C37" s="1">
        <v>70</v>
      </c>
      <c r="D37" s="1" t="s">
        <v>119</v>
      </c>
      <c r="E37" s="1" t="s">
        <v>108</v>
      </c>
      <c r="F37" s="1"/>
      <c r="G37" s="1"/>
      <c r="H37" s="1" t="s">
        <v>91</v>
      </c>
      <c r="I37" s="1" t="s">
        <v>92</v>
      </c>
      <c r="J37" s="1" t="s">
        <v>93</v>
      </c>
      <c r="K37" s="1">
        <v>1</v>
      </c>
      <c r="L37" s="1">
        <v>120</v>
      </c>
      <c r="M37" s="1" t="s">
        <v>14</v>
      </c>
      <c r="N37" s="1" t="s">
        <v>95</v>
      </c>
      <c r="O37" s="1" t="s">
        <v>96</v>
      </c>
      <c r="P37" s="1"/>
      <c r="Q37" s="1" t="s">
        <v>9</v>
      </c>
      <c r="R37" s="1">
        <v>0</v>
      </c>
      <c r="S37" s="1" t="s">
        <v>97</v>
      </c>
      <c r="T37" s="1" t="s">
        <v>97</v>
      </c>
      <c r="U37" s="1" t="b">
        <v>1</v>
      </c>
      <c r="V37" s="1" t="b">
        <v>0</v>
      </c>
      <c r="W37" s="1" t="b">
        <v>0</v>
      </c>
      <c r="X37" s="1">
        <v>5</v>
      </c>
      <c r="Y37" s="1" t="b">
        <v>1</v>
      </c>
      <c r="Z37" s="1" t="b">
        <v>1</v>
      </c>
      <c r="AA37" s="1"/>
      <c r="AB37" s="1" t="b">
        <v>1</v>
      </c>
      <c r="AC37" s="1">
        <v>159327936</v>
      </c>
      <c r="AD37" s="1">
        <v>579904</v>
      </c>
      <c r="AE37" s="1">
        <v>0</v>
      </c>
      <c r="AF37" s="1" t="s">
        <v>160</v>
      </c>
      <c r="AG37" s="1" t="s">
        <v>161</v>
      </c>
      <c r="AH37" s="1">
        <v>56.5</v>
      </c>
      <c r="AI37" s="1">
        <v>58.3</v>
      </c>
      <c r="AJ37" s="1" t="s">
        <v>262</v>
      </c>
      <c r="AK37" s="1" t="s">
        <v>263</v>
      </c>
      <c r="AL37" s="1" t="s">
        <v>264</v>
      </c>
    </row>
    <row r="38" spans="1:38" x14ac:dyDescent="0.6">
      <c r="A38" s="1">
        <v>25</v>
      </c>
      <c r="B38" s="1" t="s">
        <v>103</v>
      </c>
      <c r="C38" s="1">
        <v>62</v>
      </c>
      <c r="D38" s="1" t="s">
        <v>127</v>
      </c>
      <c r="E38" s="1" t="s">
        <v>108</v>
      </c>
      <c r="F38" s="1"/>
      <c r="G38" s="1"/>
      <c r="H38" s="1" t="s">
        <v>220</v>
      </c>
      <c r="I38" s="1" t="s">
        <v>221</v>
      </c>
      <c r="J38" s="1" t="s">
        <v>222</v>
      </c>
      <c r="K38" s="1">
        <v>1.25</v>
      </c>
      <c r="L38" s="1">
        <v>120</v>
      </c>
      <c r="M38" s="1" t="s">
        <v>7</v>
      </c>
      <c r="N38" s="1" t="s">
        <v>7</v>
      </c>
      <c r="O38" s="1" t="s">
        <v>96</v>
      </c>
      <c r="P38" s="1" t="s">
        <v>96</v>
      </c>
      <c r="Q38" s="1" t="s">
        <v>9</v>
      </c>
      <c r="R38" s="1">
        <v>0</v>
      </c>
      <c r="S38" s="1" t="s">
        <v>97</v>
      </c>
      <c r="T38" s="1" t="s">
        <v>97</v>
      </c>
      <c r="U38" s="1" t="b">
        <v>1</v>
      </c>
      <c r="V38" s="1" t="b">
        <v>0</v>
      </c>
      <c r="W38" s="1" t="b">
        <v>0</v>
      </c>
      <c r="X38" s="1">
        <v>5</v>
      </c>
      <c r="Y38" s="1" t="b">
        <v>1</v>
      </c>
      <c r="Z38" s="1" t="b">
        <v>1</v>
      </c>
      <c r="AA38" s="1">
        <v>71</v>
      </c>
      <c r="AB38" s="1" t="b">
        <v>0</v>
      </c>
      <c r="AC38" s="1">
        <v>0</v>
      </c>
      <c r="AD38" s="1">
        <v>2792305</v>
      </c>
      <c r="AE38" s="1">
        <v>155542671</v>
      </c>
      <c r="AF38" s="1" t="s">
        <v>265</v>
      </c>
      <c r="AG38" s="1" t="s">
        <v>265</v>
      </c>
      <c r="AH38" s="1">
        <v>77.2</v>
      </c>
      <c r="AI38" s="1">
        <v>70.099999999999994</v>
      </c>
      <c r="AJ38" s="1" t="s">
        <v>266</v>
      </c>
      <c r="AK38" s="1" t="s">
        <v>267</v>
      </c>
      <c r="AL38" s="1" t="s">
        <v>268</v>
      </c>
    </row>
    <row r="39" spans="1:38" x14ac:dyDescent="0.6">
      <c r="A39" s="1">
        <v>21</v>
      </c>
      <c r="B39" s="1" t="s">
        <v>103</v>
      </c>
      <c r="C39" s="1">
        <v>51</v>
      </c>
      <c r="D39" s="1" t="s">
        <v>89</v>
      </c>
      <c r="E39" s="1" t="s">
        <v>108</v>
      </c>
      <c r="F39" s="1"/>
      <c r="G39" s="1"/>
      <c r="H39" s="1" t="s">
        <v>220</v>
      </c>
      <c r="I39" s="1" t="s">
        <v>221</v>
      </c>
      <c r="J39" s="1" t="s">
        <v>222</v>
      </c>
      <c r="K39" s="1">
        <v>1.25</v>
      </c>
      <c r="L39" s="1">
        <v>120</v>
      </c>
      <c r="M39" s="1" t="s">
        <v>14</v>
      </c>
      <c r="N39" s="1" t="s">
        <v>95</v>
      </c>
      <c r="O39" s="1" t="s">
        <v>96</v>
      </c>
      <c r="P39" s="1"/>
      <c r="Q39" s="1" t="s">
        <v>9</v>
      </c>
      <c r="R39" s="1">
        <v>0</v>
      </c>
      <c r="S39" s="1" t="s">
        <v>97</v>
      </c>
      <c r="T39" s="1" t="s">
        <v>97</v>
      </c>
      <c r="U39" s="1" t="b">
        <v>1</v>
      </c>
      <c r="V39" s="1" t="b">
        <v>0</v>
      </c>
      <c r="W39" s="1" t="b">
        <v>0</v>
      </c>
      <c r="X39" s="1">
        <v>5</v>
      </c>
      <c r="Y39" s="1" t="b">
        <v>1</v>
      </c>
      <c r="Z39" s="1" t="b">
        <v>1</v>
      </c>
      <c r="AA39" s="1"/>
      <c r="AB39" s="1" t="b">
        <v>1</v>
      </c>
      <c r="AC39" s="1">
        <v>151346565</v>
      </c>
      <c r="AD39" s="1">
        <v>696955</v>
      </c>
      <c r="AE39" s="1">
        <v>0</v>
      </c>
      <c r="AF39" s="1" t="s">
        <v>228</v>
      </c>
      <c r="AG39" s="1" t="s">
        <v>229</v>
      </c>
      <c r="AH39" s="1">
        <v>56.7</v>
      </c>
      <c r="AI39" s="1">
        <v>56.1</v>
      </c>
      <c r="AJ39" s="1" t="s">
        <v>269</v>
      </c>
      <c r="AK39" s="1" t="s">
        <v>270</v>
      </c>
      <c r="AL39" s="1" t="s">
        <v>271</v>
      </c>
    </row>
    <row r="40" spans="1:38" x14ac:dyDescent="0.6">
      <c r="A40" s="1">
        <v>2</v>
      </c>
      <c r="B40" s="1" t="s">
        <v>88</v>
      </c>
      <c r="C40" s="1">
        <v>60</v>
      </c>
      <c r="D40" s="1" t="s">
        <v>127</v>
      </c>
      <c r="E40" s="1" t="s">
        <v>108</v>
      </c>
      <c r="F40" s="1"/>
      <c r="G40" s="1"/>
      <c r="H40" s="1" t="s">
        <v>91</v>
      </c>
      <c r="I40" s="1" t="s">
        <v>92</v>
      </c>
      <c r="J40" s="1" t="s">
        <v>93</v>
      </c>
      <c r="K40" s="1">
        <v>1</v>
      </c>
      <c r="L40" s="1">
        <v>120</v>
      </c>
      <c r="M40" s="1" t="s">
        <v>7</v>
      </c>
      <c r="N40" s="1" t="s">
        <v>7</v>
      </c>
      <c r="O40" s="1" t="s">
        <v>96</v>
      </c>
      <c r="P40" s="1" t="s">
        <v>96</v>
      </c>
      <c r="Q40" s="1" t="s">
        <v>9</v>
      </c>
      <c r="R40" s="1">
        <v>0</v>
      </c>
      <c r="S40" s="1" t="s">
        <v>97</v>
      </c>
      <c r="T40" s="1" t="s">
        <v>97</v>
      </c>
      <c r="U40" s="1" t="b">
        <v>1</v>
      </c>
      <c r="V40" s="1" t="b">
        <v>0</v>
      </c>
      <c r="W40" s="1" t="b">
        <v>0</v>
      </c>
      <c r="X40" s="1">
        <v>5</v>
      </c>
      <c r="Y40" s="1" t="b">
        <v>1</v>
      </c>
      <c r="Z40" s="1" t="b">
        <v>1</v>
      </c>
      <c r="AA40" s="1">
        <v>62.2</v>
      </c>
      <c r="AB40" s="1" t="b">
        <v>0</v>
      </c>
      <c r="AC40" s="1">
        <v>0</v>
      </c>
      <c r="AD40" s="1">
        <v>3136130</v>
      </c>
      <c r="AE40" s="1">
        <v>163849598</v>
      </c>
      <c r="AF40" s="1" t="s">
        <v>272</v>
      </c>
      <c r="AG40" s="1" t="s">
        <v>272</v>
      </c>
      <c r="AH40" s="1">
        <v>64.5</v>
      </c>
      <c r="AI40" s="1">
        <v>60.7</v>
      </c>
      <c r="AJ40" s="1" t="s">
        <v>273</v>
      </c>
      <c r="AK40" s="1" t="s">
        <v>274</v>
      </c>
      <c r="AL40" s="1" t="s">
        <v>275</v>
      </c>
    </row>
    <row r="41" spans="1:38" x14ac:dyDescent="0.6">
      <c r="A41" s="1">
        <v>27</v>
      </c>
      <c r="B41" s="1" t="s">
        <v>103</v>
      </c>
      <c r="C41" s="1">
        <v>51</v>
      </c>
      <c r="D41" s="1" t="s">
        <v>89</v>
      </c>
      <c r="E41" s="1" t="s">
        <v>108</v>
      </c>
      <c r="F41" s="1"/>
      <c r="G41" s="1"/>
      <c r="H41" s="1" t="s">
        <v>220</v>
      </c>
      <c r="I41" s="1" t="s">
        <v>221</v>
      </c>
      <c r="J41" s="1" t="s">
        <v>222</v>
      </c>
      <c r="K41" s="1">
        <v>1.25</v>
      </c>
      <c r="L41" s="1">
        <v>120</v>
      </c>
      <c r="M41" s="1" t="s">
        <v>94</v>
      </c>
      <c r="N41" s="1" t="s">
        <v>95</v>
      </c>
      <c r="O41" s="1"/>
      <c r="P41" s="1" t="s">
        <v>96</v>
      </c>
      <c r="Q41" s="1" t="s">
        <v>9</v>
      </c>
      <c r="R41" s="1">
        <v>0</v>
      </c>
      <c r="S41" s="1" t="s">
        <v>97</v>
      </c>
      <c r="T41" s="1" t="s">
        <v>97</v>
      </c>
      <c r="U41" s="1" t="b">
        <v>1</v>
      </c>
      <c r="V41" s="1" t="b">
        <v>0</v>
      </c>
      <c r="W41" s="1" t="b">
        <v>0</v>
      </c>
      <c r="X41" s="1">
        <v>0</v>
      </c>
      <c r="Y41" s="1" t="b">
        <v>1</v>
      </c>
      <c r="Z41" s="1" t="b">
        <v>1</v>
      </c>
      <c r="AA41" s="1">
        <v>86.5</v>
      </c>
      <c r="AB41" s="1" t="b">
        <v>1</v>
      </c>
      <c r="AC41" s="1">
        <v>156233213</v>
      </c>
      <c r="AD41" s="1">
        <v>1053187</v>
      </c>
      <c r="AE41" s="1">
        <v>0</v>
      </c>
      <c r="AF41" s="1" t="s">
        <v>276</v>
      </c>
      <c r="AG41" s="1" t="s">
        <v>277</v>
      </c>
      <c r="AH41" s="1">
        <v>83.3</v>
      </c>
      <c r="AI41" s="1">
        <v>84.5</v>
      </c>
      <c r="AJ41" s="1" t="s">
        <v>278</v>
      </c>
      <c r="AK41" s="1" t="s">
        <v>279</v>
      </c>
      <c r="AL41" s="1" t="s">
        <v>280</v>
      </c>
    </row>
    <row r="42" spans="1:38" x14ac:dyDescent="0.6">
      <c r="A42" s="1">
        <v>28</v>
      </c>
      <c r="B42" s="1" t="s">
        <v>103</v>
      </c>
      <c r="C42" s="1">
        <v>77</v>
      </c>
      <c r="D42" s="1" t="s">
        <v>119</v>
      </c>
      <c r="E42" s="1" t="s">
        <v>108</v>
      </c>
      <c r="F42" s="1"/>
      <c r="G42" s="1"/>
      <c r="H42" s="1" t="s">
        <v>220</v>
      </c>
      <c r="I42" s="1" t="s">
        <v>221</v>
      </c>
      <c r="J42" s="1" t="s">
        <v>222</v>
      </c>
      <c r="K42" s="1">
        <v>1.25</v>
      </c>
      <c r="L42" s="1">
        <v>120</v>
      </c>
      <c r="M42" s="1" t="s">
        <v>7</v>
      </c>
      <c r="N42" s="1" t="s">
        <v>7</v>
      </c>
      <c r="O42" s="1" t="s">
        <v>96</v>
      </c>
      <c r="P42" s="1" t="s">
        <v>96</v>
      </c>
      <c r="Q42" s="1" t="s">
        <v>9</v>
      </c>
      <c r="R42" s="1">
        <v>0</v>
      </c>
      <c r="S42" s="1" t="s">
        <v>97</v>
      </c>
      <c r="T42" s="1" t="s">
        <v>97</v>
      </c>
      <c r="U42" s="1" t="b">
        <v>1</v>
      </c>
      <c r="V42" s="1" t="b">
        <v>0</v>
      </c>
      <c r="W42" s="1" t="b">
        <v>0</v>
      </c>
      <c r="X42" s="1">
        <v>5</v>
      </c>
      <c r="Y42" s="1" t="b">
        <v>1</v>
      </c>
      <c r="Z42" s="1" t="b">
        <v>1</v>
      </c>
      <c r="AA42" s="1">
        <v>68.8</v>
      </c>
      <c r="AB42" s="1" t="b">
        <v>0</v>
      </c>
      <c r="AC42" s="1">
        <v>0</v>
      </c>
      <c r="AD42" s="1">
        <v>2462453</v>
      </c>
      <c r="AE42" s="1">
        <v>136211723</v>
      </c>
      <c r="AF42" s="1" t="s">
        <v>281</v>
      </c>
      <c r="AG42" s="1" t="s">
        <v>281</v>
      </c>
      <c r="AH42" s="1">
        <v>70.400000000000006</v>
      </c>
      <c r="AI42" s="1">
        <v>67.900000000000006</v>
      </c>
      <c r="AJ42" s="1" t="s">
        <v>282</v>
      </c>
      <c r="AK42" s="1" t="s">
        <v>283</v>
      </c>
      <c r="AL42" s="1" t="s">
        <v>284</v>
      </c>
    </row>
    <row r="43" spans="1:38" x14ac:dyDescent="0.6">
      <c r="A43" s="1">
        <v>34</v>
      </c>
      <c r="B43" s="1" t="s">
        <v>103</v>
      </c>
      <c r="C43" s="1">
        <v>53</v>
      </c>
      <c r="D43" s="1" t="s">
        <v>89</v>
      </c>
      <c r="E43" s="1" t="s">
        <v>108</v>
      </c>
      <c r="F43" s="1"/>
      <c r="G43" s="1"/>
      <c r="H43" s="1" t="s">
        <v>220</v>
      </c>
      <c r="I43" s="1" t="s">
        <v>221</v>
      </c>
      <c r="J43" s="1" t="s">
        <v>285</v>
      </c>
      <c r="K43" s="1">
        <v>1.25</v>
      </c>
      <c r="L43" s="1">
        <v>120</v>
      </c>
      <c r="M43" s="1" t="s">
        <v>94</v>
      </c>
      <c r="N43" s="1" t="s">
        <v>95</v>
      </c>
      <c r="O43" s="1"/>
      <c r="P43" s="1" t="s">
        <v>96</v>
      </c>
      <c r="Q43" s="1" t="s">
        <v>9</v>
      </c>
      <c r="R43" s="1">
        <v>0</v>
      </c>
      <c r="S43" s="1" t="s">
        <v>97</v>
      </c>
      <c r="T43" s="1" t="s">
        <v>97</v>
      </c>
      <c r="U43" s="1" t="b">
        <v>1</v>
      </c>
      <c r="V43" s="1" t="b">
        <v>0</v>
      </c>
      <c r="W43" s="1" t="b">
        <v>0</v>
      </c>
      <c r="X43" s="1">
        <v>0</v>
      </c>
      <c r="Y43" s="1" t="b">
        <v>1</v>
      </c>
      <c r="Z43" s="1" t="b">
        <v>1</v>
      </c>
      <c r="AA43" s="1">
        <v>64.400000000000006</v>
      </c>
      <c r="AB43" s="1" t="b">
        <v>1</v>
      </c>
      <c r="AC43" s="1">
        <v>135699405</v>
      </c>
      <c r="AD43" s="1">
        <v>2188339</v>
      </c>
      <c r="AE43" s="1">
        <v>0</v>
      </c>
      <c r="AF43" s="1" t="s">
        <v>286</v>
      </c>
      <c r="AG43" s="1" t="s">
        <v>287</v>
      </c>
      <c r="AH43" s="1">
        <v>66.8</v>
      </c>
      <c r="AI43" s="1">
        <v>62.3</v>
      </c>
      <c r="AJ43" s="1" t="s">
        <v>288</v>
      </c>
      <c r="AK43" s="1" t="s">
        <v>289</v>
      </c>
      <c r="AL43" s="1" t="s">
        <v>290</v>
      </c>
    </row>
    <row r="44" spans="1:38" x14ac:dyDescent="0.6">
      <c r="A44" s="1">
        <v>32</v>
      </c>
      <c r="B44" s="1" t="s">
        <v>88</v>
      </c>
      <c r="C44" s="1">
        <v>59</v>
      </c>
      <c r="D44" s="1" t="s">
        <v>89</v>
      </c>
      <c r="E44" s="1" t="s">
        <v>90</v>
      </c>
      <c r="F44" s="1"/>
      <c r="G44" s="1"/>
      <c r="H44" s="1" t="s">
        <v>220</v>
      </c>
      <c r="I44" s="1" t="s">
        <v>221</v>
      </c>
      <c r="J44" s="1" t="s">
        <v>222</v>
      </c>
      <c r="K44" s="1">
        <v>1.25</v>
      </c>
      <c r="L44" s="1">
        <v>120</v>
      </c>
      <c r="M44" s="1" t="s">
        <v>7</v>
      </c>
      <c r="N44" s="1" t="s">
        <v>7</v>
      </c>
      <c r="O44" s="1" t="s">
        <v>96</v>
      </c>
      <c r="P44" s="1" t="s">
        <v>96</v>
      </c>
      <c r="Q44" s="1" t="s">
        <v>110</v>
      </c>
      <c r="R44" s="1">
        <v>3</v>
      </c>
      <c r="S44" s="1" t="s">
        <v>110</v>
      </c>
      <c r="T44" s="1" t="s">
        <v>97</v>
      </c>
      <c r="U44" s="1" t="b">
        <v>0</v>
      </c>
      <c r="V44" s="1" t="b">
        <v>1</v>
      </c>
      <c r="W44" s="1" t="b">
        <v>0</v>
      </c>
      <c r="X44" s="1">
        <v>5</v>
      </c>
      <c r="Y44" s="1" t="b">
        <v>1</v>
      </c>
      <c r="Z44" s="1" t="b">
        <v>1</v>
      </c>
      <c r="AA44" s="1">
        <v>82.8</v>
      </c>
      <c r="AB44" s="1" t="b">
        <v>0</v>
      </c>
      <c r="AC44" s="1">
        <v>0</v>
      </c>
      <c r="AD44" s="1">
        <v>2174196</v>
      </c>
      <c r="AE44" s="1">
        <v>123654924</v>
      </c>
      <c r="AF44" s="1" t="s">
        <v>291</v>
      </c>
      <c r="AG44" s="1" t="s">
        <v>291</v>
      </c>
      <c r="AH44" s="1">
        <v>78.5</v>
      </c>
      <c r="AI44" s="1">
        <v>77.5</v>
      </c>
      <c r="AJ44" s="1" t="s">
        <v>292</v>
      </c>
      <c r="AK44" s="1" t="s">
        <v>293</v>
      </c>
      <c r="AL44" s="1" t="s">
        <v>294</v>
      </c>
    </row>
    <row r="45" spans="1:38" x14ac:dyDescent="0.6">
      <c r="A45" s="1">
        <v>34</v>
      </c>
      <c r="B45" s="1" t="s">
        <v>103</v>
      </c>
      <c r="C45" s="1">
        <v>53</v>
      </c>
      <c r="D45" s="1" t="s">
        <v>89</v>
      </c>
      <c r="E45" s="1" t="s">
        <v>108</v>
      </c>
      <c r="F45" s="1"/>
      <c r="G45" s="1"/>
      <c r="H45" s="1" t="s">
        <v>220</v>
      </c>
      <c r="I45" s="1" t="s">
        <v>221</v>
      </c>
      <c r="J45" s="1" t="s">
        <v>285</v>
      </c>
      <c r="K45" s="1">
        <v>1.25</v>
      </c>
      <c r="L45" s="1">
        <v>120</v>
      </c>
      <c r="M45" s="1" t="s">
        <v>14</v>
      </c>
      <c r="N45" s="1" t="s">
        <v>95</v>
      </c>
      <c r="O45" s="1" t="s">
        <v>96</v>
      </c>
      <c r="P45" s="1"/>
      <c r="Q45" s="1" t="s">
        <v>9</v>
      </c>
      <c r="R45" s="1">
        <v>0</v>
      </c>
      <c r="S45" s="1" t="s">
        <v>97</v>
      </c>
      <c r="T45" s="1" t="s">
        <v>97</v>
      </c>
      <c r="U45" s="1" t="b">
        <v>1</v>
      </c>
      <c r="V45" s="1" t="b">
        <v>0</v>
      </c>
      <c r="W45" s="1" t="b">
        <v>0</v>
      </c>
      <c r="X45" s="1">
        <v>5</v>
      </c>
      <c r="Y45" s="1" t="b">
        <v>1</v>
      </c>
      <c r="Z45" s="1" t="b">
        <v>1</v>
      </c>
      <c r="AA45" s="1"/>
      <c r="AB45" s="1" t="b">
        <v>1</v>
      </c>
      <c r="AC45" s="1">
        <v>133580111</v>
      </c>
      <c r="AD45" s="1">
        <v>899761</v>
      </c>
      <c r="AE45" s="1">
        <v>0</v>
      </c>
      <c r="AF45" s="1" t="s">
        <v>286</v>
      </c>
      <c r="AG45" s="1" t="s">
        <v>287</v>
      </c>
      <c r="AH45" s="1">
        <v>66.8</v>
      </c>
      <c r="AI45" s="1">
        <v>62.3</v>
      </c>
      <c r="AJ45" s="1" t="s">
        <v>295</v>
      </c>
      <c r="AK45" s="1" t="s">
        <v>296</v>
      </c>
      <c r="AL45" s="1" t="s">
        <v>297</v>
      </c>
    </row>
    <row r="46" spans="1:38" x14ac:dyDescent="0.6">
      <c r="A46" s="1">
        <v>29</v>
      </c>
      <c r="B46" s="1" t="s">
        <v>88</v>
      </c>
      <c r="C46" s="1">
        <v>79</v>
      </c>
      <c r="D46" s="1" t="s">
        <v>119</v>
      </c>
      <c r="E46" s="1" t="s">
        <v>108</v>
      </c>
      <c r="F46" s="1"/>
      <c r="G46" s="1"/>
      <c r="H46" s="1" t="s">
        <v>220</v>
      </c>
      <c r="I46" s="1" t="s">
        <v>221</v>
      </c>
      <c r="J46" s="1" t="s">
        <v>222</v>
      </c>
      <c r="K46" s="1">
        <v>1.25</v>
      </c>
      <c r="L46" s="1">
        <v>120</v>
      </c>
      <c r="M46" s="1" t="s">
        <v>7</v>
      </c>
      <c r="N46" s="1" t="s">
        <v>7</v>
      </c>
      <c r="O46" s="1" t="s">
        <v>96</v>
      </c>
      <c r="P46" s="1" t="s">
        <v>96</v>
      </c>
      <c r="Q46" s="1" t="s">
        <v>9</v>
      </c>
      <c r="R46" s="1">
        <v>0</v>
      </c>
      <c r="S46" s="1" t="s">
        <v>97</v>
      </c>
      <c r="T46" s="1" t="s">
        <v>97</v>
      </c>
      <c r="U46" s="1" t="b">
        <v>1</v>
      </c>
      <c r="V46" s="1" t="b">
        <v>0</v>
      </c>
      <c r="W46" s="1" t="b">
        <v>0</v>
      </c>
      <c r="X46" s="1">
        <v>5</v>
      </c>
      <c r="Y46" s="1" t="b">
        <v>1</v>
      </c>
      <c r="Z46" s="1" t="b">
        <v>1</v>
      </c>
      <c r="AA46" s="1">
        <v>63.2</v>
      </c>
      <c r="AB46" s="1" t="b">
        <v>0</v>
      </c>
      <c r="AC46" s="1">
        <v>0</v>
      </c>
      <c r="AD46" s="1">
        <v>2545681</v>
      </c>
      <c r="AE46" s="1">
        <v>153954287</v>
      </c>
      <c r="AF46" s="1" t="s">
        <v>298</v>
      </c>
      <c r="AG46" s="1" t="s">
        <v>298</v>
      </c>
      <c r="AH46" s="1">
        <v>72.099999999999994</v>
      </c>
      <c r="AI46" s="1">
        <v>61.7</v>
      </c>
      <c r="AJ46" s="1" t="s">
        <v>299</v>
      </c>
      <c r="AK46" s="1" t="s">
        <v>300</v>
      </c>
      <c r="AL46" s="1" t="s">
        <v>301</v>
      </c>
    </row>
    <row r="47" spans="1:38" x14ac:dyDescent="0.6">
      <c r="A47" s="1">
        <v>33</v>
      </c>
      <c r="B47" s="1" t="s">
        <v>88</v>
      </c>
      <c r="C47" s="1">
        <v>61</v>
      </c>
      <c r="D47" s="1" t="s">
        <v>127</v>
      </c>
      <c r="E47" s="1" t="s">
        <v>90</v>
      </c>
      <c r="F47" s="1"/>
      <c r="G47" s="1"/>
      <c r="H47" s="1" t="s">
        <v>220</v>
      </c>
      <c r="I47" s="1" t="s">
        <v>221</v>
      </c>
      <c r="J47" s="1" t="s">
        <v>222</v>
      </c>
      <c r="K47" s="1">
        <v>1.25</v>
      </c>
      <c r="L47" s="1">
        <v>120</v>
      </c>
      <c r="M47" s="1" t="s">
        <v>7</v>
      </c>
      <c r="N47" s="1" t="s">
        <v>7</v>
      </c>
      <c r="O47" s="1" t="s">
        <v>96</v>
      </c>
      <c r="P47" s="1" t="s">
        <v>96</v>
      </c>
      <c r="Q47" s="1" t="s">
        <v>9</v>
      </c>
      <c r="R47" s="1">
        <v>0</v>
      </c>
      <c r="S47" s="1" t="s">
        <v>97</v>
      </c>
      <c r="T47" s="1" t="s">
        <v>97</v>
      </c>
      <c r="U47" s="1" t="b">
        <v>1</v>
      </c>
      <c r="V47" s="1" t="b">
        <v>0</v>
      </c>
      <c r="W47" s="1" t="b">
        <v>0</v>
      </c>
      <c r="X47" s="1">
        <v>5</v>
      </c>
      <c r="Y47" s="1" t="b">
        <v>1</v>
      </c>
      <c r="Z47" s="1" t="b">
        <v>1</v>
      </c>
      <c r="AA47" s="1">
        <v>69.599999999999994</v>
      </c>
      <c r="AB47" s="1" t="b">
        <v>0</v>
      </c>
      <c r="AC47" s="1">
        <v>0</v>
      </c>
      <c r="AD47" s="1">
        <v>2785661</v>
      </c>
      <c r="AE47" s="1">
        <v>119897731</v>
      </c>
      <c r="AF47" s="1" t="s">
        <v>302</v>
      </c>
      <c r="AG47" s="1" t="s">
        <v>302</v>
      </c>
      <c r="AH47" s="1">
        <v>70.599999999999994</v>
      </c>
      <c r="AI47" s="1">
        <v>66.5</v>
      </c>
      <c r="AJ47" s="1" t="s">
        <v>303</v>
      </c>
      <c r="AK47" s="1" t="s">
        <v>304</v>
      </c>
      <c r="AL47" s="1" t="s">
        <v>305</v>
      </c>
    </row>
    <row r="48" spans="1:38" x14ac:dyDescent="0.6">
      <c r="A48" s="1">
        <v>37</v>
      </c>
      <c r="B48" s="1" t="s">
        <v>103</v>
      </c>
      <c r="C48" s="1">
        <v>51</v>
      </c>
      <c r="D48" s="1" t="s">
        <v>89</v>
      </c>
      <c r="E48" s="1" t="s">
        <v>90</v>
      </c>
      <c r="F48" s="1"/>
      <c r="G48" s="1"/>
      <c r="H48" s="1" t="s">
        <v>91</v>
      </c>
      <c r="I48" s="1" t="s">
        <v>92</v>
      </c>
      <c r="J48" s="1" t="s">
        <v>109</v>
      </c>
      <c r="K48" s="1">
        <v>1</v>
      </c>
      <c r="L48" s="1">
        <v>120</v>
      </c>
      <c r="M48" s="1" t="s">
        <v>14</v>
      </c>
      <c r="N48" s="1" t="s">
        <v>95</v>
      </c>
      <c r="O48" s="1" t="s">
        <v>96</v>
      </c>
      <c r="P48" s="1"/>
      <c r="Q48" s="1" t="s">
        <v>9</v>
      </c>
      <c r="R48" s="1">
        <v>0</v>
      </c>
      <c r="S48" s="1" t="s">
        <v>97</v>
      </c>
      <c r="T48" s="1" t="s">
        <v>97</v>
      </c>
      <c r="U48" s="1" t="b">
        <v>1</v>
      </c>
      <c r="V48" s="1" t="b">
        <v>0</v>
      </c>
      <c r="W48" s="1" t="b">
        <v>0</v>
      </c>
      <c r="X48" s="1">
        <v>5</v>
      </c>
      <c r="Y48" s="1" t="b">
        <v>1</v>
      </c>
      <c r="Z48" s="1" t="b">
        <v>1</v>
      </c>
      <c r="AA48" s="1"/>
      <c r="AB48" s="1" t="b">
        <v>1</v>
      </c>
      <c r="AC48" s="1">
        <v>135490284</v>
      </c>
      <c r="AD48" s="1">
        <v>562452</v>
      </c>
      <c r="AE48" s="1">
        <v>0</v>
      </c>
      <c r="AF48" s="1" t="s">
        <v>306</v>
      </c>
      <c r="AG48" s="1" t="s">
        <v>307</v>
      </c>
      <c r="AH48" s="1">
        <v>56.2</v>
      </c>
      <c r="AI48" s="1">
        <v>58.7</v>
      </c>
      <c r="AJ48" s="1" t="s">
        <v>308</v>
      </c>
      <c r="AK48" s="1" t="s">
        <v>309</v>
      </c>
      <c r="AL48" s="1" t="s">
        <v>310</v>
      </c>
    </row>
    <row r="49" spans="1:38" x14ac:dyDescent="0.6">
      <c r="A49" s="1">
        <v>37</v>
      </c>
      <c r="B49" s="1" t="s">
        <v>103</v>
      </c>
      <c r="C49" s="1">
        <v>51</v>
      </c>
      <c r="D49" s="1" t="s">
        <v>89</v>
      </c>
      <c r="E49" s="1" t="s">
        <v>90</v>
      </c>
      <c r="F49" s="1"/>
      <c r="G49" s="1"/>
      <c r="H49" s="1" t="s">
        <v>91</v>
      </c>
      <c r="I49" s="1" t="s">
        <v>92</v>
      </c>
      <c r="J49" s="1" t="s">
        <v>109</v>
      </c>
      <c r="K49" s="1">
        <v>1</v>
      </c>
      <c r="L49" s="1">
        <v>120</v>
      </c>
      <c r="M49" s="1" t="s">
        <v>94</v>
      </c>
      <c r="N49" s="1" t="s">
        <v>95</v>
      </c>
      <c r="O49" s="1"/>
      <c r="P49" s="1" t="s">
        <v>96</v>
      </c>
      <c r="Q49" s="1" t="s">
        <v>9</v>
      </c>
      <c r="R49" s="1">
        <v>0</v>
      </c>
      <c r="S49" s="1" t="s">
        <v>97</v>
      </c>
      <c r="T49" s="1" t="s">
        <v>97</v>
      </c>
      <c r="U49" s="1" t="b">
        <v>1</v>
      </c>
      <c r="V49" s="1" t="b">
        <v>0</v>
      </c>
      <c r="W49" s="1" t="b">
        <v>0</v>
      </c>
      <c r="X49" s="1">
        <v>0</v>
      </c>
      <c r="Y49" s="1" t="b">
        <v>1</v>
      </c>
      <c r="Z49" s="1" t="b">
        <v>1</v>
      </c>
      <c r="AA49" s="1">
        <v>63.7</v>
      </c>
      <c r="AB49" s="1" t="b">
        <v>1</v>
      </c>
      <c r="AC49" s="1">
        <v>136330609</v>
      </c>
      <c r="AD49" s="1">
        <v>1557135</v>
      </c>
      <c r="AE49" s="1">
        <v>0</v>
      </c>
      <c r="AF49" s="1" t="s">
        <v>306</v>
      </c>
      <c r="AG49" s="1" t="s">
        <v>307</v>
      </c>
      <c r="AH49" s="1">
        <v>56.2</v>
      </c>
      <c r="AI49" s="1">
        <v>58.7</v>
      </c>
      <c r="AJ49" s="1" t="s">
        <v>311</v>
      </c>
      <c r="AK49" s="1" t="s">
        <v>312</v>
      </c>
      <c r="AL49" s="1" t="s">
        <v>313</v>
      </c>
    </row>
    <row r="50" spans="1:38" x14ac:dyDescent="0.6">
      <c r="A50" s="1">
        <v>31</v>
      </c>
      <c r="B50" s="1" t="s">
        <v>103</v>
      </c>
      <c r="C50" s="1">
        <v>54</v>
      </c>
      <c r="D50" s="1" t="s">
        <v>89</v>
      </c>
      <c r="E50" s="1" t="s">
        <v>108</v>
      </c>
      <c r="F50" s="1"/>
      <c r="G50" s="1"/>
      <c r="H50" s="1" t="s">
        <v>220</v>
      </c>
      <c r="I50" s="1" t="s">
        <v>221</v>
      </c>
      <c r="J50" s="1" t="s">
        <v>222</v>
      </c>
      <c r="K50" s="1">
        <v>1.25</v>
      </c>
      <c r="L50" s="1">
        <v>120</v>
      </c>
      <c r="M50" s="1" t="s">
        <v>14</v>
      </c>
      <c r="N50" s="1" t="s">
        <v>95</v>
      </c>
      <c r="O50" s="1" t="s">
        <v>96</v>
      </c>
      <c r="P50" s="1"/>
      <c r="Q50" s="1" t="s">
        <v>9</v>
      </c>
      <c r="R50" s="1">
        <v>0</v>
      </c>
      <c r="S50" s="1" t="s">
        <v>97</v>
      </c>
      <c r="T50" s="1" t="s">
        <v>97</v>
      </c>
      <c r="U50" s="1" t="b">
        <v>1</v>
      </c>
      <c r="V50" s="1" t="b">
        <v>0</v>
      </c>
      <c r="W50" s="1" t="b">
        <v>0</v>
      </c>
      <c r="X50" s="1">
        <v>5</v>
      </c>
      <c r="Y50" s="1" t="b">
        <v>1</v>
      </c>
      <c r="Z50" s="1" t="b">
        <v>1</v>
      </c>
      <c r="AA50" s="1"/>
      <c r="AB50" s="1" t="b">
        <v>1</v>
      </c>
      <c r="AC50" s="1">
        <v>139755902</v>
      </c>
      <c r="AD50" s="1">
        <v>753282</v>
      </c>
      <c r="AE50" s="1">
        <v>0</v>
      </c>
      <c r="AF50" s="1" t="s">
        <v>314</v>
      </c>
      <c r="AG50" s="1" t="s">
        <v>315</v>
      </c>
      <c r="AH50" s="1">
        <v>60.9</v>
      </c>
      <c r="AI50" s="1">
        <v>52.7</v>
      </c>
      <c r="AJ50" s="1" t="s">
        <v>316</v>
      </c>
      <c r="AK50" s="1" t="s">
        <v>317</v>
      </c>
      <c r="AL50" s="1" t="s">
        <v>318</v>
      </c>
    </row>
    <row r="51" spans="1:38" x14ac:dyDescent="0.6">
      <c r="A51" s="1">
        <v>35</v>
      </c>
      <c r="B51" s="1" t="s">
        <v>103</v>
      </c>
      <c r="C51" s="1">
        <v>54</v>
      </c>
      <c r="D51" s="1" t="s">
        <v>89</v>
      </c>
      <c r="E51" s="1" t="s">
        <v>108</v>
      </c>
      <c r="F51" s="1"/>
      <c r="G51" s="1"/>
      <c r="H51" s="1" t="s">
        <v>91</v>
      </c>
      <c r="I51" s="1" t="s">
        <v>92</v>
      </c>
      <c r="J51" s="1" t="s">
        <v>109</v>
      </c>
      <c r="K51" s="1">
        <v>1</v>
      </c>
      <c r="L51" s="1">
        <v>120</v>
      </c>
      <c r="M51" s="1" t="s">
        <v>94</v>
      </c>
      <c r="N51" s="1" t="s">
        <v>95</v>
      </c>
      <c r="O51" s="1"/>
      <c r="P51" s="1" t="s">
        <v>96</v>
      </c>
      <c r="Q51" s="1" t="s">
        <v>9</v>
      </c>
      <c r="R51" s="1">
        <v>0</v>
      </c>
      <c r="S51" s="1" t="s">
        <v>97</v>
      </c>
      <c r="T51" s="1" t="s">
        <v>97</v>
      </c>
      <c r="U51" s="1" t="b">
        <v>1</v>
      </c>
      <c r="V51" s="1" t="b">
        <v>0</v>
      </c>
      <c r="W51" s="1" t="b">
        <v>0</v>
      </c>
      <c r="X51" s="1">
        <v>0</v>
      </c>
      <c r="Y51" s="1" t="b">
        <v>1</v>
      </c>
      <c r="Z51" s="1" t="b">
        <v>1</v>
      </c>
      <c r="AA51" s="1">
        <v>71.400000000000006</v>
      </c>
      <c r="AB51" s="1" t="b">
        <v>1</v>
      </c>
      <c r="AC51" s="1">
        <v>159044350</v>
      </c>
      <c r="AD51" s="1">
        <v>1912066</v>
      </c>
      <c r="AE51" s="1">
        <v>0</v>
      </c>
      <c r="AF51" s="1" t="s">
        <v>319</v>
      </c>
      <c r="AG51" s="1" t="s">
        <v>320</v>
      </c>
      <c r="AH51" s="1">
        <v>68.400000000000006</v>
      </c>
      <c r="AI51" s="1">
        <v>69.3</v>
      </c>
      <c r="AJ51" s="1" t="s">
        <v>321</v>
      </c>
      <c r="AK51" s="1" t="s">
        <v>322</v>
      </c>
      <c r="AL51" s="1" t="s">
        <v>323</v>
      </c>
    </row>
    <row r="52" spans="1:38" x14ac:dyDescent="0.6">
      <c r="A52" s="1">
        <v>36</v>
      </c>
      <c r="B52" s="1" t="s">
        <v>88</v>
      </c>
      <c r="C52" s="1">
        <v>69</v>
      </c>
      <c r="D52" s="1" t="s">
        <v>127</v>
      </c>
      <c r="E52" s="1" t="s">
        <v>90</v>
      </c>
      <c r="F52" s="1"/>
      <c r="G52" s="1"/>
      <c r="H52" s="1" t="s">
        <v>91</v>
      </c>
      <c r="I52" s="1" t="s">
        <v>92</v>
      </c>
      <c r="J52" s="1" t="s">
        <v>109</v>
      </c>
      <c r="K52" s="1">
        <v>1</v>
      </c>
      <c r="L52" s="1">
        <v>120</v>
      </c>
      <c r="M52" s="1" t="s">
        <v>7</v>
      </c>
      <c r="N52" s="1" t="s">
        <v>7</v>
      </c>
      <c r="O52" s="1" t="s">
        <v>96</v>
      </c>
      <c r="P52" s="1" t="s">
        <v>96</v>
      </c>
      <c r="Q52" s="1" t="s">
        <v>9</v>
      </c>
      <c r="R52" s="1">
        <v>0</v>
      </c>
      <c r="S52" s="1" t="s">
        <v>97</v>
      </c>
      <c r="T52" s="1" t="s">
        <v>97</v>
      </c>
      <c r="U52" s="1" t="b">
        <v>1</v>
      </c>
      <c r="V52" s="1" t="b">
        <v>0</v>
      </c>
      <c r="W52" s="1" t="b">
        <v>0</v>
      </c>
      <c r="X52" s="1">
        <v>5</v>
      </c>
      <c r="Y52" s="1" t="b">
        <v>1</v>
      </c>
      <c r="Z52" s="1" t="b">
        <v>1</v>
      </c>
      <c r="AA52" s="1">
        <v>71.5</v>
      </c>
      <c r="AB52" s="1" t="b">
        <v>0</v>
      </c>
      <c r="AC52" s="1">
        <v>0</v>
      </c>
      <c r="AD52" s="1">
        <v>2098144</v>
      </c>
      <c r="AE52" s="1">
        <v>134478880</v>
      </c>
      <c r="AF52" s="1" t="s">
        <v>324</v>
      </c>
      <c r="AG52" s="1" t="s">
        <v>324</v>
      </c>
      <c r="AH52" s="1">
        <v>66.3</v>
      </c>
      <c r="AI52" s="1">
        <v>68.3</v>
      </c>
      <c r="AJ52" s="1" t="s">
        <v>325</v>
      </c>
      <c r="AK52" s="1" t="s">
        <v>326</v>
      </c>
      <c r="AL52" s="1" t="s">
        <v>327</v>
      </c>
    </row>
    <row r="53" spans="1:38" x14ac:dyDescent="0.6">
      <c r="A53" s="1">
        <v>30</v>
      </c>
      <c r="B53" s="1" t="s">
        <v>103</v>
      </c>
      <c r="C53" s="1">
        <v>70</v>
      </c>
      <c r="D53" s="1" t="s">
        <v>119</v>
      </c>
      <c r="E53" s="1" t="s">
        <v>108</v>
      </c>
      <c r="F53" s="1"/>
      <c r="G53" s="1"/>
      <c r="H53" s="1" t="s">
        <v>220</v>
      </c>
      <c r="I53" s="1" t="s">
        <v>221</v>
      </c>
      <c r="J53" s="1" t="s">
        <v>222</v>
      </c>
      <c r="K53" s="1">
        <v>1.25</v>
      </c>
      <c r="L53" s="1">
        <v>120</v>
      </c>
      <c r="M53" s="1" t="s">
        <v>94</v>
      </c>
      <c r="N53" s="1" t="s">
        <v>95</v>
      </c>
      <c r="O53" s="1"/>
      <c r="P53" s="1" t="s">
        <v>96</v>
      </c>
      <c r="Q53" s="1" t="s">
        <v>9</v>
      </c>
      <c r="R53" s="1">
        <v>0</v>
      </c>
      <c r="S53" s="1" t="s">
        <v>97</v>
      </c>
      <c r="T53" s="1" t="s">
        <v>97</v>
      </c>
      <c r="U53" s="1" t="b">
        <v>1</v>
      </c>
      <c r="V53" s="1" t="b">
        <v>0</v>
      </c>
      <c r="W53" s="1" t="b">
        <v>0</v>
      </c>
      <c r="X53" s="1">
        <v>0</v>
      </c>
      <c r="Y53" s="1" t="b">
        <v>1</v>
      </c>
      <c r="Z53" s="1" t="b">
        <v>1</v>
      </c>
      <c r="AA53" s="1">
        <v>75.5</v>
      </c>
      <c r="AB53" s="1" t="b">
        <v>1</v>
      </c>
      <c r="AC53" s="1">
        <v>155606245</v>
      </c>
      <c r="AD53" s="1">
        <v>1942299</v>
      </c>
      <c r="AE53" s="1">
        <v>0</v>
      </c>
      <c r="AF53" s="1" t="s">
        <v>328</v>
      </c>
      <c r="AG53" s="1" t="s">
        <v>329</v>
      </c>
      <c r="AH53" s="1">
        <v>72</v>
      </c>
      <c r="AI53" s="1">
        <v>73.099999999999994</v>
      </c>
      <c r="AJ53" s="1" t="s">
        <v>330</v>
      </c>
      <c r="AK53" s="1" t="s">
        <v>331</v>
      </c>
      <c r="AL53" s="1" t="s">
        <v>332</v>
      </c>
    </row>
    <row r="54" spans="1:38" x14ac:dyDescent="0.6">
      <c r="A54" s="1">
        <v>39</v>
      </c>
      <c r="B54" s="1" t="s">
        <v>88</v>
      </c>
      <c r="C54" s="1">
        <v>57</v>
      </c>
      <c r="D54" s="1" t="s">
        <v>89</v>
      </c>
      <c r="E54" s="1" t="s">
        <v>90</v>
      </c>
      <c r="F54" s="1"/>
      <c r="G54" s="1"/>
      <c r="H54" s="1" t="s">
        <v>91</v>
      </c>
      <c r="I54" s="1" t="s">
        <v>92</v>
      </c>
      <c r="J54" s="1" t="s">
        <v>109</v>
      </c>
      <c r="K54" s="1">
        <v>1</v>
      </c>
      <c r="L54" s="1">
        <v>120</v>
      </c>
      <c r="M54" s="1" t="s">
        <v>7</v>
      </c>
      <c r="N54" s="1" t="s">
        <v>7</v>
      </c>
      <c r="O54" s="1" t="s">
        <v>96</v>
      </c>
      <c r="P54" s="1" t="s">
        <v>96</v>
      </c>
      <c r="Q54" s="1" t="s">
        <v>9</v>
      </c>
      <c r="R54" s="1">
        <v>0</v>
      </c>
      <c r="S54" s="1" t="s">
        <v>97</v>
      </c>
      <c r="T54" s="1" t="s">
        <v>97</v>
      </c>
      <c r="U54" s="1" t="b">
        <v>1</v>
      </c>
      <c r="V54" s="1" t="b">
        <v>0</v>
      </c>
      <c r="W54" s="1" t="b">
        <v>0</v>
      </c>
      <c r="X54" s="1">
        <v>5</v>
      </c>
      <c r="Y54" s="1" t="b">
        <v>1</v>
      </c>
      <c r="Z54" s="1" t="b">
        <v>1</v>
      </c>
      <c r="AA54" s="1">
        <v>88</v>
      </c>
      <c r="AB54" s="1" t="b">
        <v>0</v>
      </c>
      <c r="AC54" s="1">
        <v>0</v>
      </c>
      <c r="AD54" s="1">
        <v>1959522</v>
      </c>
      <c r="AE54" s="1">
        <v>151656862</v>
      </c>
      <c r="AF54" s="1" t="s">
        <v>333</v>
      </c>
      <c r="AG54" s="1" t="s">
        <v>333</v>
      </c>
      <c r="AH54" s="1">
        <v>83.8</v>
      </c>
      <c r="AI54" s="1">
        <v>83.3</v>
      </c>
      <c r="AJ54" s="1" t="s">
        <v>334</v>
      </c>
      <c r="AK54" s="1" t="s">
        <v>335</v>
      </c>
      <c r="AL54" s="1" t="s">
        <v>336</v>
      </c>
    </row>
    <row r="55" spans="1:38" x14ac:dyDescent="0.6">
      <c r="A55" s="1">
        <v>38</v>
      </c>
      <c r="B55" s="1" t="s">
        <v>88</v>
      </c>
      <c r="C55" s="1">
        <v>60</v>
      </c>
      <c r="D55" s="1" t="s">
        <v>127</v>
      </c>
      <c r="E55" s="1" t="s">
        <v>90</v>
      </c>
      <c r="F55" s="1"/>
      <c r="G55" s="1"/>
      <c r="H55" s="1" t="s">
        <v>91</v>
      </c>
      <c r="I55" s="1" t="s">
        <v>92</v>
      </c>
      <c r="J55" s="1" t="s">
        <v>109</v>
      </c>
      <c r="K55" s="1">
        <v>1</v>
      </c>
      <c r="L55" s="1">
        <v>120</v>
      </c>
      <c r="M55" s="1" t="s">
        <v>7</v>
      </c>
      <c r="N55" s="1" t="s">
        <v>7</v>
      </c>
      <c r="O55" s="1" t="s">
        <v>96</v>
      </c>
      <c r="P55" s="1" t="s">
        <v>96</v>
      </c>
      <c r="Q55" s="1" t="s">
        <v>9</v>
      </c>
      <c r="R55" s="1">
        <v>0</v>
      </c>
      <c r="S55" s="1" t="s">
        <v>97</v>
      </c>
      <c r="T55" s="1" t="s">
        <v>97</v>
      </c>
      <c r="U55" s="1" t="b">
        <v>1</v>
      </c>
      <c r="V55" s="1" t="b">
        <v>0</v>
      </c>
      <c r="W55" s="1" t="b">
        <v>0</v>
      </c>
      <c r="X55" s="1">
        <v>5</v>
      </c>
      <c r="Y55" s="1" t="b">
        <v>1</v>
      </c>
      <c r="Z55" s="1" t="b">
        <v>1</v>
      </c>
      <c r="AA55" s="1">
        <v>56.9</v>
      </c>
      <c r="AB55" s="1" t="b">
        <v>0</v>
      </c>
      <c r="AC55" s="1">
        <v>0</v>
      </c>
      <c r="AD55" s="1">
        <v>2589633</v>
      </c>
      <c r="AE55" s="1">
        <v>163609663</v>
      </c>
      <c r="AF55" s="1" t="s">
        <v>337</v>
      </c>
      <c r="AG55" s="1" t="s">
        <v>337</v>
      </c>
      <c r="AH55" s="1">
        <v>56.8</v>
      </c>
      <c r="AI55" s="1">
        <v>54.5</v>
      </c>
      <c r="AJ55" s="1" t="s">
        <v>338</v>
      </c>
      <c r="AK55" s="1" t="s">
        <v>339</v>
      </c>
      <c r="AL55" s="1" t="s">
        <v>340</v>
      </c>
    </row>
    <row r="56" spans="1:38" x14ac:dyDescent="0.6">
      <c r="A56" s="1">
        <v>27</v>
      </c>
      <c r="B56" s="1" t="s">
        <v>103</v>
      </c>
      <c r="C56" s="1">
        <v>51</v>
      </c>
      <c r="D56" s="1" t="s">
        <v>89</v>
      </c>
      <c r="E56" s="1" t="s">
        <v>108</v>
      </c>
      <c r="F56" s="1"/>
      <c r="G56" s="1"/>
      <c r="H56" s="1" t="s">
        <v>220</v>
      </c>
      <c r="I56" s="1" t="s">
        <v>221</v>
      </c>
      <c r="J56" s="1" t="s">
        <v>222</v>
      </c>
      <c r="K56" s="1">
        <v>1.25</v>
      </c>
      <c r="L56" s="1">
        <v>120</v>
      </c>
      <c r="M56" s="1" t="s">
        <v>14</v>
      </c>
      <c r="N56" s="1" t="s">
        <v>95</v>
      </c>
      <c r="O56" s="1" t="s">
        <v>96</v>
      </c>
      <c r="P56" s="1"/>
      <c r="Q56" s="1" t="s">
        <v>9</v>
      </c>
      <c r="R56" s="1">
        <v>0</v>
      </c>
      <c r="S56" s="1" t="s">
        <v>97</v>
      </c>
      <c r="T56" s="1" t="s">
        <v>97</v>
      </c>
      <c r="U56" s="1" t="b">
        <v>1</v>
      </c>
      <c r="V56" s="1" t="b">
        <v>0</v>
      </c>
      <c r="W56" s="1" t="b">
        <v>0</v>
      </c>
      <c r="X56" s="1">
        <v>5</v>
      </c>
      <c r="Y56" s="1" t="b">
        <v>1</v>
      </c>
      <c r="Z56" s="1" t="b">
        <v>1</v>
      </c>
      <c r="AA56" s="1"/>
      <c r="AB56" s="1" t="b">
        <v>1</v>
      </c>
      <c r="AC56" s="1">
        <v>140046241</v>
      </c>
      <c r="AD56" s="1">
        <v>462943</v>
      </c>
      <c r="AE56" s="1">
        <v>0</v>
      </c>
      <c r="AF56" s="1" t="s">
        <v>276</v>
      </c>
      <c r="AG56" s="1" t="s">
        <v>277</v>
      </c>
      <c r="AH56" s="1">
        <v>83.3</v>
      </c>
      <c r="AI56" s="1">
        <v>84.5</v>
      </c>
      <c r="AJ56" s="1" t="s">
        <v>341</v>
      </c>
      <c r="AK56" s="1" t="s">
        <v>342</v>
      </c>
      <c r="AL56" s="1" t="s">
        <v>343</v>
      </c>
    </row>
    <row r="57" spans="1:38" x14ac:dyDescent="0.6">
      <c r="A57" s="1">
        <v>26</v>
      </c>
      <c r="B57" s="1" t="s">
        <v>88</v>
      </c>
      <c r="C57" s="1">
        <v>51</v>
      </c>
      <c r="D57" s="1" t="s">
        <v>89</v>
      </c>
      <c r="E57" s="1" t="s">
        <v>108</v>
      </c>
      <c r="F57" s="1"/>
      <c r="G57" s="1"/>
      <c r="H57" s="1" t="s">
        <v>220</v>
      </c>
      <c r="I57" s="1" t="s">
        <v>221</v>
      </c>
      <c r="J57" s="1" t="s">
        <v>222</v>
      </c>
      <c r="K57" s="1">
        <v>1.25</v>
      </c>
      <c r="L57" s="1">
        <v>120</v>
      </c>
      <c r="M57" s="1" t="s">
        <v>94</v>
      </c>
      <c r="N57" s="1" t="s">
        <v>95</v>
      </c>
      <c r="O57" s="1"/>
      <c r="P57" s="1" t="s">
        <v>96</v>
      </c>
      <c r="Q57" s="1" t="s">
        <v>9</v>
      </c>
      <c r="R57" s="1">
        <v>0</v>
      </c>
      <c r="S57" s="1" t="s">
        <v>97</v>
      </c>
      <c r="T57" s="1" t="s">
        <v>97</v>
      </c>
      <c r="U57" s="1" t="b">
        <v>1</v>
      </c>
      <c r="V57" s="1" t="b">
        <v>0</v>
      </c>
      <c r="W57" s="1" t="b">
        <v>0</v>
      </c>
      <c r="X57" s="1">
        <v>0</v>
      </c>
      <c r="Y57" s="1" t="b">
        <v>1</v>
      </c>
      <c r="Z57" s="1" t="b">
        <v>1</v>
      </c>
      <c r="AA57" s="1">
        <v>53.2</v>
      </c>
      <c r="AB57" s="1" t="b">
        <v>1</v>
      </c>
      <c r="AC57" s="1">
        <v>162585201</v>
      </c>
      <c r="AD57" s="1">
        <v>2303375</v>
      </c>
      <c r="AE57" s="1">
        <v>0</v>
      </c>
      <c r="AF57" s="1" t="s">
        <v>257</v>
      </c>
      <c r="AG57" s="1" t="s">
        <v>258</v>
      </c>
      <c r="AH57" s="1">
        <v>59.3</v>
      </c>
      <c r="AI57" s="1">
        <v>53.6</v>
      </c>
      <c r="AJ57" s="1" t="s">
        <v>344</v>
      </c>
      <c r="AK57" s="1" t="s">
        <v>345</v>
      </c>
      <c r="AL57" s="1" t="s">
        <v>346</v>
      </c>
    </row>
    <row r="58" spans="1:38" x14ac:dyDescent="0.6">
      <c r="A58" s="1">
        <v>41</v>
      </c>
      <c r="B58" s="1" t="s">
        <v>88</v>
      </c>
      <c r="C58" s="1">
        <v>63</v>
      </c>
      <c r="D58" s="1" t="s">
        <v>127</v>
      </c>
      <c r="E58" s="1" t="s">
        <v>90</v>
      </c>
      <c r="F58" s="1"/>
      <c r="G58" s="1"/>
      <c r="H58" s="1" t="s">
        <v>91</v>
      </c>
      <c r="I58" s="1" t="s">
        <v>92</v>
      </c>
      <c r="J58" s="1" t="s">
        <v>109</v>
      </c>
      <c r="K58" s="1">
        <v>1</v>
      </c>
      <c r="L58" s="1">
        <v>120</v>
      </c>
      <c r="M58" s="1" t="s">
        <v>7</v>
      </c>
      <c r="N58" s="1" t="s">
        <v>7</v>
      </c>
      <c r="O58" s="1" t="s">
        <v>96</v>
      </c>
      <c r="P58" s="1" t="s">
        <v>96</v>
      </c>
      <c r="Q58" s="1" t="s">
        <v>9</v>
      </c>
      <c r="R58" s="1">
        <v>0</v>
      </c>
      <c r="S58" s="1" t="s">
        <v>97</v>
      </c>
      <c r="T58" s="1" t="s">
        <v>97</v>
      </c>
      <c r="U58" s="1" t="b">
        <v>1</v>
      </c>
      <c r="V58" s="1" t="b">
        <v>0</v>
      </c>
      <c r="W58" s="1" t="b">
        <v>0</v>
      </c>
      <c r="X58" s="1">
        <v>5</v>
      </c>
      <c r="Y58" s="1" t="b">
        <v>1</v>
      </c>
      <c r="Z58" s="1" t="b">
        <v>1</v>
      </c>
      <c r="AA58" s="1">
        <v>71.5</v>
      </c>
      <c r="AB58" s="1" t="b">
        <v>0</v>
      </c>
      <c r="AC58" s="1">
        <v>0</v>
      </c>
      <c r="AD58" s="1">
        <v>2874253</v>
      </c>
      <c r="AE58" s="1">
        <v>143402099</v>
      </c>
      <c r="AF58" s="1" t="s">
        <v>347</v>
      </c>
      <c r="AG58" s="1" t="s">
        <v>347</v>
      </c>
      <c r="AH58" s="1">
        <v>69.8</v>
      </c>
      <c r="AI58" s="1">
        <v>68.400000000000006</v>
      </c>
      <c r="AJ58" s="1" t="s">
        <v>348</v>
      </c>
      <c r="AK58" s="1" t="s">
        <v>349</v>
      </c>
      <c r="AL58" s="1" t="s">
        <v>350</v>
      </c>
    </row>
    <row r="59" spans="1:38" x14ac:dyDescent="0.6">
      <c r="A59" s="1">
        <v>31</v>
      </c>
      <c r="B59" s="1" t="s">
        <v>103</v>
      </c>
      <c r="C59" s="1">
        <v>54</v>
      </c>
      <c r="D59" s="1" t="s">
        <v>89</v>
      </c>
      <c r="E59" s="1" t="s">
        <v>108</v>
      </c>
      <c r="F59" s="1"/>
      <c r="G59" s="1"/>
      <c r="H59" s="1" t="s">
        <v>220</v>
      </c>
      <c r="I59" s="1" t="s">
        <v>221</v>
      </c>
      <c r="J59" s="1" t="s">
        <v>222</v>
      </c>
      <c r="K59" s="1">
        <v>1.25</v>
      </c>
      <c r="L59" s="1">
        <v>120</v>
      </c>
      <c r="M59" s="1" t="s">
        <v>94</v>
      </c>
      <c r="N59" s="1" t="s">
        <v>95</v>
      </c>
      <c r="O59" s="1"/>
      <c r="P59" s="1" t="s">
        <v>96</v>
      </c>
      <c r="Q59" s="1" t="s">
        <v>9</v>
      </c>
      <c r="R59" s="1">
        <v>0</v>
      </c>
      <c r="S59" s="1" t="s">
        <v>97</v>
      </c>
      <c r="T59" s="1" t="s">
        <v>97</v>
      </c>
      <c r="U59" s="1" t="b">
        <v>1</v>
      </c>
      <c r="V59" s="1" t="b">
        <v>0</v>
      </c>
      <c r="W59" s="1" t="b">
        <v>0</v>
      </c>
      <c r="X59" s="1">
        <v>0</v>
      </c>
      <c r="Y59" s="1" t="b">
        <v>1</v>
      </c>
      <c r="Z59" s="1" t="b">
        <v>1</v>
      </c>
      <c r="AA59" s="1">
        <v>53.6</v>
      </c>
      <c r="AB59" s="1" t="b">
        <v>1</v>
      </c>
      <c r="AC59" s="1">
        <v>143864818</v>
      </c>
      <c r="AD59" s="1">
        <v>2149390</v>
      </c>
      <c r="AE59" s="1">
        <v>0</v>
      </c>
      <c r="AF59" s="1" t="s">
        <v>314</v>
      </c>
      <c r="AG59" s="1" t="s">
        <v>315</v>
      </c>
      <c r="AH59" s="1">
        <v>60.9</v>
      </c>
      <c r="AI59" s="1">
        <v>52.7</v>
      </c>
      <c r="AJ59" s="1" t="s">
        <v>351</v>
      </c>
      <c r="AK59" s="1" t="s">
        <v>352</v>
      </c>
      <c r="AL59" s="1" t="s">
        <v>353</v>
      </c>
    </row>
    <row r="60" spans="1:38" x14ac:dyDescent="0.6">
      <c r="A60" s="1">
        <v>30</v>
      </c>
      <c r="B60" s="1" t="s">
        <v>103</v>
      </c>
      <c r="C60" s="1">
        <v>70</v>
      </c>
      <c r="D60" s="1" t="s">
        <v>119</v>
      </c>
      <c r="E60" s="1" t="s">
        <v>108</v>
      </c>
      <c r="F60" s="1"/>
      <c r="G60" s="1"/>
      <c r="H60" s="1" t="s">
        <v>220</v>
      </c>
      <c r="I60" s="1" t="s">
        <v>221</v>
      </c>
      <c r="J60" s="1" t="s">
        <v>222</v>
      </c>
      <c r="K60" s="1">
        <v>1.25</v>
      </c>
      <c r="L60" s="1">
        <v>120</v>
      </c>
      <c r="M60" s="1" t="s">
        <v>14</v>
      </c>
      <c r="N60" s="1" t="s">
        <v>95</v>
      </c>
      <c r="O60" s="1" t="s">
        <v>96</v>
      </c>
      <c r="P60" s="1"/>
      <c r="Q60" s="1" t="s">
        <v>9</v>
      </c>
      <c r="R60" s="1">
        <v>0</v>
      </c>
      <c r="S60" s="1" t="s">
        <v>97</v>
      </c>
      <c r="T60" s="1" t="s">
        <v>97</v>
      </c>
      <c r="U60" s="1" t="b">
        <v>1</v>
      </c>
      <c r="V60" s="1" t="b">
        <v>0</v>
      </c>
      <c r="W60" s="1" t="b">
        <v>0</v>
      </c>
      <c r="X60" s="1">
        <v>5</v>
      </c>
      <c r="Y60" s="1" t="b">
        <v>1</v>
      </c>
      <c r="Z60" s="1" t="b">
        <v>1</v>
      </c>
      <c r="AA60" s="1"/>
      <c r="AB60" s="1" t="b">
        <v>1</v>
      </c>
      <c r="AC60" s="1">
        <v>148201534</v>
      </c>
      <c r="AD60" s="1">
        <v>696258</v>
      </c>
      <c r="AE60" s="1">
        <v>0</v>
      </c>
      <c r="AF60" s="1" t="s">
        <v>328</v>
      </c>
      <c r="AG60" s="1" t="s">
        <v>329</v>
      </c>
      <c r="AH60" s="1">
        <v>72</v>
      </c>
      <c r="AI60" s="1">
        <v>73.099999999999994</v>
      </c>
      <c r="AJ60" s="1" t="s">
        <v>354</v>
      </c>
      <c r="AK60" s="1" t="s">
        <v>355</v>
      </c>
      <c r="AL60" s="1" t="s">
        <v>356</v>
      </c>
    </row>
    <row r="61" spans="1:38" x14ac:dyDescent="0.6">
      <c r="A61" s="1">
        <v>45</v>
      </c>
      <c r="B61" s="1" t="s">
        <v>103</v>
      </c>
      <c r="C61" s="1">
        <v>55</v>
      </c>
      <c r="D61" s="1" t="s">
        <v>89</v>
      </c>
      <c r="E61" s="1" t="s">
        <v>90</v>
      </c>
      <c r="F61" s="1"/>
      <c r="G61" s="1"/>
      <c r="H61" s="1" t="s">
        <v>91</v>
      </c>
      <c r="I61" s="1" t="s">
        <v>92</v>
      </c>
      <c r="J61" s="1" t="s">
        <v>109</v>
      </c>
      <c r="K61" s="1">
        <v>1</v>
      </c>
      <c r="L61" s="1">
        <v>120</v>
      </c>
      <c r="M61" s="1" t="s">
        <v>7</v>
      </c>
      <c r="N61" s="1" t="s">
        <v>7</v>
      </c>
      <c r="O61" s="1" t="s">
        <v>96</v>
      </c>
      <c r="P61" s="1" t="s">
        <v>96</v>
      </c>
      <c r="Q61" s="1" t="s">
        <v>9</v>
      </c>
      <c r="R61" s="1">
        <v>0</v>
      </c>
      <c r="S61" s="1" t="s">
        <v>97</v>
      </c>
      <c r="T61" s="1" t="s">
        <v>97</v>
      </c>
      <c r="U61" s="1" t="b">
        <v>1</v>
      </c>
      <c r="V61" s="1" t="b">
        <v>0</v>
      </c>
      <c r="W61" s="1" t="b">
        <v>0</v>
      </c>
      <c r="X61" s="1">
        <v>5</v>
      </c>
      <c r="Y61" s="1" t="b">
        <v>1</v>
      </c>
      <c r="Z61" s="1" t="b">
        <v>1</v>
      </c>
      <c r="AA61" s="1">
        <v>62.9</v>
      </c>
      <c r="AB61" s="1" t="b">
        <v>0</v>
      </c>
      <c r="AC61" s="1">
        <v>0</v>
      </c>
      <c r="AD61" s="1">
        <v>2816170</v>
      </c>
      <c r="AE61" s="1">
        <v>115935062</v>
      </c>
      <c r="AF61" s="1" t="s">
        <v>357</v>
      </c>
      <c r="AG61" s="1" t="s">
        <v>357</v>
      </c>
      <c r="AH61" s="1">
        <v>71.2</v>
      </c>
      <c r="AI61" s="1">
        <v>62.4</v>
      </c>
      <c r="AJ61" s="1" t="s">
        <v>358</v>
      </c>
      <c r="AK61" s="1" t="s">
        <v>359</v>
      </c>
      <c r="AL61" s="1" t="s">
        <v>360</v>
      </c>
    </row>
    <row r="62" spans="1:38" x14ac:dyDescent="0.6">
      <c r="A62" s="1">
        <v>44</v>
      </c>
      <c r="B62" s="1" t="s">
        <v>103</v>
      </c>
      <c r="C62" s="1">
        <v>72</v>
      </c>
      <c r="D62" s="1" t="s">
        <v>119</v>
      </c>
      <c r="E62" s="1" t="s">
        <v>90</v>
      </c>
      <c r="F62" s="1"/>
      <c r="G62" s="1"/>
      <c r="H62" s="1" t="s">
        <v>91</v>
      </c>
      <c r="I62" s="1" t="s">
        <v>92</v>
      </c>
      <c r="J62" s="1" t="s">
        <v>109</v>
      </c>
      <c r="K62" s="1">
        <v>1</v>
      </c>
      <c r="L62" s="1">
        <v>120</v>
      </c>
      <c r="M62" s="1" t="s">
        <v>94</v>
      </c>
      <c r="N62" s="1" t="s">
        <v>95</v>
      </c>
      <c r="O62" s="1"/>
      <c r="P62" s="1" t="s">
        <v>96</v>
      </c>
      <c r="Q62" s="1" t="s">
        <v>9</v>
      </c>
      <c r="R62" s="1">
        <v>0</v>
      </c>
      <c r="S62" s="1" t="s">
        <v>97</v>
      </c>
      <c r="T62" s="1" t="s">
        <v>97</v>
      </c>
      <c r="U62" s="1" t="b">
        <v>1</v>
      </c>
      <c r="V62" s="1" t="b">
        <v>0</v>
      </c>
      <c r="W62" s="1" t="b">
        <v>0</v>
      </c>
      <c r="X62" s="1">
        <v>0</v>
      </c>
      <c r="Y62" s="1" t="b">
        <v>1</v>
      </c>
      <c r="Z62" s="1" t="b">
        <v>1</v>
      </c>
      <c r="AA62" s="1">
        <v>73.7</v>
      </c>
      <c r="AB62" s="1" t="b">
        <v>1</v>
      </c>
      <c r="AC62" s="1">
        <v>154208196</v>
      </c>
      <c r="AD62" s="1">
        <v>1767484</v>
      </c>
      <c r="AE62" s="1">
        <v>0</v>
      </c>
      <c r="AF62" s="1" t="s">
        <v>361</v>
      </c>
      <c r="AG62" s="1" t="s">
        <v>362</v>
      </c>
      <c r="AH62" s="1">
        <v>61</v>
      </c>
      <c r="AI62" s="1">
        <v>69.3</v>
      </c>
      <c r="AJ62" s="1" t="s">
        <v>363</v>
      </c>
      <c r="AK62" s="1" t="s">
        <v>364</v>
      </c>
      <c r="AL62" s="1" t="s">
        <v>365</v>
      </c>
    </row>
    <row r="63" spans="1:38" x14ac:dyDescent="0.6">
      <c r="A63" s="1">
        <v>44</v>
      </c>
      <c r="B63" s="1" t="s">
        <v>103</v>
      </c>
      <c r="C63" s="1">
        <v>72</v>
      </c>
      <c r="D63" s="1" t="s">
        <v>119</v>
      </c>
      <c r="E63" s="1" t="s">
        <v>90</v>
      </c>
      <c r="F63" s="1"/>
      <c r="G63" s="1"/>
      <c r="H63" s="1" t="s">
        <v>91</v>
      </c>
      <c r="I63" s="1" t="s">
        <v>92</v>
      </c>
      <c r="J63" s="1" t="s">
        <v>109</v>
      </c>
      <c r="K63" s="1">
        <v>1</v>
      </c>
      <c r="L63" s="1">
        <v>120</v>
      </c>
      <c r="M63" s="1" t="s">
        <v>14</v>
      </c>
      <c r="N63" s="1" t="s">
        <v>95</v>
      </c>
      <c r="O63" s="1" t="s">
        <v>96</v>
      </c>
      <c r="P63" s="1"/>
      <c r="Q63" s="1" t="s">
        <v>9</v>
      </c>
      <c r="R63" s="1">
        <v>0</v>
      </c>
      <c r="S63" s="1" t="s">
        <v>97</v>
      </c>
      <c r="T63" s="1" t="s">
        <v>97</v>
      </c>
      <c r="U63" s="1" t="b">
        <v>1</v>
      </c>
      <c r="V63" s="1" t="b">
        <v>0</v>
      </c>
      <c r="W63" s="1" t="b">
        <v>0</v>
      </c>
      <c r="X63" s="1">
        <v>5</v>
      </c>
      <c r="Y63" s="1" t="b">
        <v>1</v>
      </c>
      <c r="Z63" s="1" t="b">
        <v>1</v>
      </c>
      <c r="AA63" s="1"/>
      <c r="AB63" s="1" t="b">
        <v>1</v>
      </c>
      <c r="AC63" s="1">
        <v>139802420</v>
      </c>
      <c r="AD63" s="1">
        <v>706764</v>
      </c>
      <c r="AE63" s="1">
        <v>0</v>
      </c>
      <c r="AF63" s="1" t="s">
        <v>361</v>
      </c>
      <c r="AG63" s="1" t="s">
        <v>362</v>
      </c>
      <c r="AH63" s="1">
        <v>61</v>
      </c>
      <c r="AI63" s="1">
        <v>69.3</v>
      </c>
      <c r="AJ63" s="1" t="s">
        <v>366</v>
      </c>
      <c r="AK63" s="1" t="s">
        <v>367</v>
      </c>
      <c r="AL63" s="1" t="s">
        <v>368</v>
      </c>
    </row>
    <row r="64" spans="1:38" x14ac:dyDescent="0.6">
      <c r="A64" s="1">
        <v>43</v>
      </c>
      <c r="B64" s="1" t="s">
        <v>103</v>
      </c>
      <c r="C64" s="1">
        <v>55</v>
      </c>
      <c r="D64" s="1" t="s">
        <v>89</v>
      </c>
      <c r="E64" s="1" t="s">
        <v>90</v>
      </c>
      <c r="F64" s="1"/>
      <c r="G64" s="1"/>
      <c r="H64" s="1" t="s">
        <v>91</v>
      </c>
      <c r="I64" s="1" t="s">
        <v>92</v>
      </c>
      <c r="J64" s="1" t="s">
        <v>109</v>
      </c>
      <c r="K64" s="1">
        <v>1</v>
      </c>
      <c r="L64" s="1">
        <v>120</v>
      </c>
      <c r="M64" s="1" t="s">
        <v>7</v>
      </c>
      <c r="N64" s="1" t="s">
        <v>7</v>
      </c>
      <c r="O64" s="1" t="s">
        <v>96</v>
      </c>
      <c r="P64" s="1" t="s">
        <v>96</v>
      </c>
      <c r="Q64" s="1" t="s">
        <v>9</v>
      </c>
      <c r="R64" s="1">
        <v>0</v>
      </c>
      <c r="S64" s="1" t="s">
        <v>97</v>
      </c>
      <c r="T64" s="1" t="s">
        <v>97</v>
      </c>
      <c r="U64" s="1" t="b">
        <v>1</v>
      </c>
      <c r="V64" s="1" t="b">
        <v>0</v>
      </c>
      <c r="W64" s="1" t="b">
        <v>0</v>
      </c>
      <c r="X64" s="1">
        <v>5</v>
      </c>
      <c r="Y64" s="1" t="b">
        <v>1</v>
      </c>
      <c r="Z64" s="1" t="b">
        <v>1</v>
      </c>
      <c r="AA64" s="1">
        <v>73.099999999999994</v>
      </c>
      <c r="AB64" s="1" t="b">
        <v>0</v>
      </c>
      <c r="AC64" s="1">
        <v>0</v>
      </c>
      <c r="AD64" s="1">
        <v>2172465</v>
      </c>
      <c r="AE64" s="1">
        <v>144366031</v>
      </c>
      <c r="AF64" s="1" t="s">
        <v>369</v>
      </c>
      <c r="AG64" s="1" t="s">
        <v>369</v>
      </c>
      <c r="AH64" s="1">
        <v>66.900000000000006</v>
      </c>
      <c r="AI64" s="1">
        <v>69.3</v>
      </c>
      <c r="AJ64" s="1" t="s">
        <v>370</v>
      </c>
      <c r="AK64" s="1" t="s">
        <v>371</v>
      </c>
      <c r="AL64" s="1" t="s">
        <v>372</v>
      </c>
    </row>
    <row r="65" spans="1:38" x14ac:dyDescent="0.6">
      <c r="A65" s="1">
        <v>46</v>
      </c>
      <c r="B65" s="1" t="s">
        <v>103</v>
      </c>
      <c r="C65" s="1">
        <v>62</v>
      </c>
      <c r="D65" s="1" t="s">
        <v>127</v>
      </c>
      <c r="E65" s="1" t="s">
        <v>108</v>
      </c>
      <c r="F65" s="1"/>
      <c r="G65" s="1"/>
      <c r="H65" s="1" t="s">
        <v>91</v>
      </c>
      <c r="I65" s="1" t="s">
        <v>92</v>
      </c>
      <c r="J65" s="1" t="s">
        <v>109</v>
      </c>
      <c r="K65" s="1">
        <v>1</v>
      </c>
      <c r="L65" s="1">
        <v>120</v>
      </c>
      <c r="M65" s="1" t="s">
        <v>94</v>
      </c>
      <c r="N65" s="1" t="s">
        <v>236</v>
      </c>
      <c r="O65" s="1"/>
      <c r="P65" s="1" t="s">
        <v>96</v>
      </c>
      <c r="Q65" s="1" t="s">
        <v>9</v>
      </c>
      <c r="R65" s="1">
        <v>0</v>
      </c>
      <c r="S65" s="1" t="s">
        <v>97</v>
      </c>
      <c r="T65" s="1"/>
      <c r="U65" s="1"/>
      <c r="V65" s="1" t="b">
        <v>0</v>
      </c>
      <c r="W65" s="1" t="b">
        <v>0</v>
      </c>
      <c r="X65" s="1">
        <v>0</v>
      </c>
      <c r="Y65" s="1" t="b">
        <v>1</v>
      </c>
      <c r="Z65" s="1" t="b">
        <v>1</v>
      </c>
      <c r="AA65" s="1">
        <v>68.7</v>
      </c>
      <c r="AB65" s="1" t="b">
        <v>1</v>
      </c>
      <c r="AC65" s="1">
        <v>149170448</v>
      </c>
      <c r="AD65" s="1">
        <v>2086640</v>
      </c>
      <c r="AE65" s="1">
        <v>0</v>
      </c>
      <c r="AF65" s="1"/>
      <c r="AG65" s="1" t="s">
        <v>373</v>
      </c>
      <c r="AH65" s="1"/>
      <c r="AI65" s="1">
        <v>65.7</v>
      </c>
      <c r="AJ65" s="1" t="s">
        <v>374</v>
      </c>
      <c r="AK65" s="1" t="s">
        <v>375</v>
      </c>
      <c r="AL65" s="1" t="s">
        <v>376</v>
      </c>
    </row>
    <row r="66" spans="1:38" x14ac:dyDescent="0.6">
      <c r="A66" s="1">
        <v>48</v>
      </c>
      <c r="B66" s="1" t="s">
        <v>88</v>
      </c>
      <c r="C66" s="1">
        <v>54</v>
      </c>
      <c r="D66" s="1" t="s">
        <v>89</v>
      </c>
      <c r="E66" s="1" t="s">
        <v>90</v>
      </c>
      <c r="F66" s="1"/>
      <c r="G66" s="1"/>
      <c r="H66" s="1" t="s">
        <v>91</v>
      </c>
      <c r="I66" s="1" t="s">
        <v>92</v>
      </c>
      <c r="J66" s="1" t="s">
        <v>109</v>
      </c>
      <c r="K66" s="1">
        <v>1</v>
      </c>
      <c r="L66" s="1">
        <v>120</v>
      </c>
      <c r="M66" s="1" t="s">
        <v>14</v>
      </c>
      <c r="N66" s="1" t="s">
        <v>95</v>
      </c>
      <c r="O66" s="1" t="s">
        <v>96</v>
      </c>
      <c r="P66" s="1"/>
      <c r="Q66" s="1" t="s">
        <v>9</v>
      </c>
      <c r="R66" s="1">
        <v>0</v>
      </c>
      <c r="S66" s="1" t="s">
        <v>97</v>
      </c>
      <c r="T66" s="1" t="s">
        <v>97</v>
      </c>
      <c r="U66" s="1" t="b">
        <v>1</v>
      </c>
      <c r="V66" s="1" t="b">
        <v>0</v>
      </c>
      <c r="W66" s="1" t="b">
        <v>0</v>
      </c>
      <c r="X66" s="1">
        <v>5</v>
      </c>
      <c r="Y66" s="1" t="b">
        <v>1</v>
      </c>
      <c r="Z66" s="1" t="b">
        <v>1</v>
      </c>
      <c r="AA66" s="1"/>
      <c r="AB66" s="1" t="b">
        <v>1</v>
      </c>
      <c r="AC66" s="1">
        <v>144602151</v>
      </c>
      <c r="AD66" s="1">
        <v>625625</v>
      </c>
      <c r="AE66" s="1">
        <v>0</v>
      </c>
      <c r="AF66" s="1" t="s">
        <v>377</v>
      </c>
      <c r="AG66" s="1" t="s">
        <v>378</v>
      </c>
      <c r="AH66" s="1">
        <v>75.7</v>
      </c>
      <c r="AI66" s="1">
        <v>68.5</v>
      </c>
      <c r="AJ66" s="1" t="s">
        <v>379</v>
      </c>
      <c r="AK66" s="1" t="s">
        <v>380</v>
      </c>
      <c r="AL66" s="1" t="s">
        <v>381</v>
      </c>
    </row>
    <row r="67" spans="1:38" x14ac:dyDescent="0.6">
      <c r="A67" s="1">
        <v>48</v>
      </c>
      <c r="B67" s="1" t="s">
        <v>88</v>
      </c>
      <c r="C67" s="1">
        <v>54</v>
      </c>
      <c r="D67" s="1" t="s">
        <v>89</v>
      </c>
      <c r="E67" s="1" t="s">
        <v>90</v>
      </c>
      <c r="F67" s="1"/>
      <c r="G67" s="1"/>
      <c r="H67" s="1" t="s">
        <v>91</v>
      </c>
      <c r="I67" s="1" t="s">
        <v>92</v>
      </c>
      <c r="J67" s="1" t="s">
        <v>109</v>
      </c>
      <c r="K67" s="1">
        <v>1</v>
      </c>
      <c r="L67" s="1">
        <v>120</v>
      </c>
      <c r="M67" s="1" t="s">
        <v>94</v>
      </c>
      <c r="N67" s="1" t="s">
        <v>95</v>
      </c>
      <c r="O67" s="1"/>
      <c r="P67" s="1" t="s">
        <v>96</v>
      </c>
      <c r="Q67" s="1" t="s">
        <v>9</v>
      </c>
      <c r="R67" s="1">
        <v>0</v>
      </c>
      <c r="S67" s="1" t="s">
        <v>97</v>
      </c>
      <c r="T67" s="1" t="s">
        <v>97</v>
      </c>
      <c r="U67" s="1" t="b">
        <v>1</v>
      </c>
      <c r="V67" s="1" t="b">
        <v>0</v>
      </c>
      <c r="W67" s="1" t="b">
        <v>0</v>
      </c>
      <c r="X67" s="1">
        <v>0</v>
      </c>
      <c r="Y67" s="1" t="b">
        <v>1</v>
      </c>
      <c r="Z67" s="1" t="b">
        <v>1</v>
      </c>
      <c r="AA67" s="1">
        <v>71.099999999999994</v>
      </c>
      <c r="AB67" s="1" t="b">
        <v>1</v>
      </c>
      <c r="AC67" s="1">
        <v>157111572</v>
      </c>
      <c r="AD67" s="1">
        <v>1747692</v>
      </c>
      <c r="AE67" s="1">
        <v>0</v>
      </c>
      <c r="AF67" s="1" t="s">
        <v>377</v>
      </c>
      <c r="AG67" s="1" t="s">
        <v>378</v>
      </c>
      <c r="AH67" s="1">
        <v>75.7</v>
      </c>
      <c r="AI67" s="1">
        <v>68.5</v>
      </c>
      <c r="AJ67" s="1" t="s">
        <v>382</v>
      </c>
      <c r="AK67" s="1" t="s">
        <v>383</v>
      </c>
      <c r="AL67" s="1" t="s">
        <v>384</v>
      </c>
    </row>
    <row r="68" spans="1:38" x14ac:dyDescent="0.6">
      <c r="A68" s="1">
        <v>47</v>
      </c>
      <c r="B68" s="1" t="s">
        <v>88</v>
      </c>
      <c r="C68" s="1">
        <v>57</v>
      </c>
      <c r="D68" s="1" t="s">
        <v>89</v>
      </c>
      <c r="E68" s="1" t="s">
        <v>90</v>
      </c>
      <c r="F68" s="1"/>
      <c r="G68" s="1"/>
      <c r="H68" s="1" t="s">
        <v>91</v>
      </c>
      <c r="I68" s="1" t="s">
        <v>92</v>
      </c>
      <c r="J68" s="1" t="s">
        <v>109</v>
      </c>
      <c r="K68" s="1">
        <v>1</v>
      </c>
      <c r="L68" s="1">
        <v>120</v>
      </c>
      <c r="M68" s="1" t="s">
        <v>7</v>
      </c>
      <c r="N68" s="1" t="s">
        <v>7</v>
      </c>
      <c r="O68" s="1" t="s">
        <v>96</v>
      </c>
      <c r="P68" s="1" t="s">
        <v>96</v>
      </c>
      <c r="Q68" s="1" t="s">
        <v>9</v>
      </c>
      <c r="R68" s="1">
        <v>0</v>
      </c>
      <c r="S68" s="1" t="s">
        <v>97</v>
      </c>
      <c r="T68" s="1" t="s">
        <v>97</v>
      </c>
      <c r="U68" s="1" t="b">
        <v>1</v>
      </c>
      <c r="V68" s="1" t="b">
        <v>0</v>
      </c>
      <c r="W68" s="1" t="b">
        <v>0</v>
      </c>
      <c r="X68" s="1">
        <v>5</v>
      </c>
      <c r="Y68" s="1" t="b">
        <v>1</v>
      </c>
      <c r="Z68" s="1" t="b">
        <v>1</v>
      </c>
      <c r="AA68" s="1">
        <v>70.2</v>
      </c>
      <c r="AB68" s="1" t="b">
        <v>0</v>
      </c>
      <c r="AC68" s="1">
        <v>0</v>
      </c>
      <c r="AD68" s="1">
        <v>2374737</v>
      </c>
      <c r="AE68" s="1">
        <v>138396591</v>
      </c>
      <c r="AF68" s="1" t="s">
        <v>385</v>
      </c>
      <c r="AG68" s="1" t="s">
        <v>385</v>
      </c>
      <c r="AH68" s="1">
        <v>60.7</v>
      </c>
      <c r="AI68" s="1">
        <v>66.2</v>
      </c>
      <c r="AJ68" s="1" t="s">
        <v>386</v>
      </c>
      <c r="AK68" s="1" t="s">
        <v>387</v>
      </c>
      <c r="AL68" s="1" t="s">
        <v>388</v>
      </c>
    </row>
    <row r="69" spans="1:38" x14ac:dyDescent="0.6">
      <c r="A69" s="1">
        <v>35</v>
      </c>
      <c r="B69" s="1" t="s">
        <v>103</v>
      </c>
      <c r="C69" s="1">
        <v>54</v>
      </c>
      <c r="D69" s="1" t="s">
        <v>89</v>
      </c>
      <c r="E69" s="1" t="s">
        <v>108</v>
      </c>
      <c r="F69" s="1"/>
      <c r="G69" s="1"/>
      <c r="H69" s="1" t="s">
        <v>91</v>
      </c>
      <c r="I69" s="1" t="s">
        <v>92</v>
      </c>
      <c r="J69" s="1" t="s">
        <v>109</v>
      </c>
      <c r="K69" s="1">
        <v>1</v>
      </c>
      <c r="L69" s="1">
        <v>120</v>
      </c>
      <c r="M69" s="1" t="s">
        <v>14</v>
      </c>
      <c r="N69" s="1" t="s">
        <v>95</v>
      </c>
      <c r="O69" s="1" t="s">
        <v>96</v>
      </c>
      <c r="P69" s="1"/>
      <c r="Q69" s="1" t="s">
        <v>9</v>
      </c>
      <c r="R69" s="1">
        <v>0</v>
      </c>
      <c r="S69" s="1" t="s">
        <v>97</v>
      </c>
      <c r="T69" s="1" t="s">
        <v>97</v>
      </c>
      <c r="U69" s="1" t="b">
        <v>1</v>
      </c>
      <c r="V69" s="1" t="b">
        <v>0</v>
      </c>
      <c r="W69" s="1" t="b">
        <v>0</v>
      </c>
      <c r="X69" s="1">
        <v>5</v>
      </c>
      <c r="Y69" s="1" t="b">
        <v>1</v>
      </c>
      <c r="Z69" s="1" t="b">
        <v>1</v>
      </c>
      <c r="AA69" s="1"/>
      <c r="AB69" s="1" t="b">
        <v>1</v>
      </c>
      <c r="AC69" s="1">
        <v>146612236</v>
      </c>
      <c r="AD69" s="1">
        <v>712692</v>
      </c>
      <c r="AE69" s="1">
        <v>0</v>
      </c>
      <c r="AF69" s="1" t="s">
        <v>319</v>
      </c>
      <c r="AG69" s="1" t="s">
        <v>320</v>
      </c>
      <c r="AH69" s="1">
        <v>68.400000000000006</v>
      </c>
      <c r="AI69" s="1">
        <v>69.3</v>
      </c>
      <c r="AJ69" s="1" t="s">
        <v>389</v>
      </c>
      <c r="AK69" s="1" t="s">
        <v>390</v>
      </c>
      <c r="AL69" s="1" t="s">
        <v>391</v>
      </c>
    </row>
    <row r="70" spans="1:38" x14ac:dyDescent="0.6">
      <c r="A70" s="1">
        <v>42</v>
      </c>
      <c r="B70" s="1" t="s">
        <v>88</v>
      </c>
      <c r="C70" s="1">
        <v>52</v>
      </c>
      <c r="D70" s="1" t="s">
        <v>89</v>
      </c>
      <c r="E70" s="1" t="s">
        <v>90</v>
      </c>
      <c r="F70" s="1"/>
      <c r="G70" s="1"/>
      <c r="H70" s="1" t="s">
        <v>91</v>
      </c>
      <c r="I70" s="1" t="s">
        <v>92</v>
      </c>
      <c r="J70" s="1" t="s">
        <v>109</v>
      </c>
      <c r="K70" s="1">
        <v>1</v>
      </c>
      <c r="L70" s="1">
        <v>120</v>
      </c>
      <c r="M70" s="1" t="s">
        <v>94</v>
      </c>
      <c r="N70" s="1" t="s">
        <v>95</v>
      </c>
      <c r="O70" s="1"/>
      <c r="P70" s="1" t="s">
        <v>96</v>
      </c>
      <c r="Q70" s="1" t="s">
        <v>9</v>
      </c>
      <c r="R70" s="1">
        <v>0</v>
      </c>
      <c r="S70" s="1" t="s">
        <v>97</v>
      </c>
      <c r="T70" s="1" t="s">
        <v>97</v>
      </c>
      <c r="U70" s="1" t="b">
        <v>1</v>
      </c>
      <c r="V70" s="1" t="b">
        <v>0</v>
      </c>
      <c r="W70" s="1" t="b">
        <v>0</v>
      </c>
      <c r="X70" s="1">
        <v>0</v>
      </c>
      <c r="Y70" s="1" t="b">
        <v>1</v>
      </c>
      <c r="Z70" s="1" t="b">
        <v>1</v>
      </c>
      <c r="AA70" s="1">
        <v>72.3</v>
      </c>
      <c r="AB70" s="1" t="b">
        <v>1</v>
      </c>
      <c r="AC70" s="1">
        <v>130123755</v>
      </c>
      <c r="AD70" s="1">
        <v>3045397</v>
      </c>
      <c r="AE70" s="1">
        <v>0</v>
      </c>
      <c r="AF70" s="1" t="s">
        <v>392</v>
      </c>
      <c r="AG70" s="1" t="s">
        <v>393</v>
      </c>
      <c r="AH70" s="1">
        <v>68.900000000000006</v>
      </c>
      <c r="AI70" s="1">
        <v>66.900000000000006</v>
      </c>
      <c r="AJ70" s="1" t="s">
        <v>394</v>
      </c>
      <c r="AK70" s="1" t="s">
        <v>395</v>
      </c>
      <c r="AL70" s="1" t="s">
        <v>396</v>
      </c>
    </row>
    <row r="71" spans="1:38" x14ac:dyDescent="0.6">
      <c r="A71" s="1">
        <v>49</v>
      </c>
      <c r="B71" s="1" t="s">
        <v>88</v>
      </c>
      <c r="C71" s="1"/>
      <c r="D71" s="1"/>
      <c r="E71" s="1" t="s">
        <v>108</v>
      </c>
      <c r="F71" s="1"/>
      <c r="G71" s="1"/>
      <c r="H71" s="1" t="s">
        <v>91</v>
      </c>
      <c r="I71" s="1" t="s">
        <v>92</v>
      </c>
      <c r="J71" s="1" t="s">
        <v>109</v>
      </c>
      <c r="K71" s="1">
        <v>1</v>
      </c>
      <c r="L71" s="1">
        <v>120</v>
      </c>
      <c r="M71" s="1" t="s">
        <v>7</v>
      </c>
      <c r="N71" s="1" t="s">
        <v>7</v>
      </c>
      <c r="O71" s="1" t="s">
        <v>96</v>
      </c>
      <c r="P71" s="1" t="s">
        <v>96</v>
      </c>
      <c r="Q71" s="1" t="s">
        <v>9</v>
      </c>
      <c r="R71" s="1">
        <v>0</v>
      </c>
      <c r="S71" s="1" t="s">
        <v>97</v>
      </c>
      <c r="T71" s="1" t="s">
        <v>97</v>
      </c>
      <c r="U71" s="1" t="b">
        <v>1</v>
      </c>
      <c r="V71" s="1" t="b">
        <v>0</v>
      </c>
      <c r="W71" s="1" t="b">
        <v>0</v>
      </c>
      <c r="X71" s="1">
        <v>5</v>
      </c>
      <c r="Y71" s="1" t="b">
        <v>1</v>
      </c>
      <c r="Z71" s="1" t="b">
        <v>1</v>
      </c>
      <c r="AA71" s="1">
        <v>74.400000000000006</v>
      </c>
      <c r="AB71" s="1" t="b">
        <v>0</v>
      </c>
      <c r="AC71" s="1">
        <v>0</v>
      </c>
      <c r="AD71" s="1">
        <v>2221647</v>
      </c>
      <c r="AE71" s="1">
        <v>159521201</v>
      </c>
      <c r="AF71" s="1" t="s">
        <v>397</v>
      </c>
      <c r="AG71" s="1" t="s">
        <v>397</v>
      </c>
      <c r="AH71" s="1">
        <v>70.8</v>
      </c>
      <c r="AI71" s="1">
        <v>71.400000000000006</v>
      </c>
      <c r="AJ71" s="1" t="s">
        <v>398</v>
      </c>
      <c r="AK71" s="1" t="s">
        <v>399</v>
      </c>
      <c r="AL71" s="1" t="s">
        <v>400</v>
      </c>
    </row>
    <row r="72" spans="1:38" x14ac:dyDescent="0.6">
      <c r="A72" s="1">
        <v>42</v>
      </c>
      <c r="B72" s="1" t="s">
        <v>88</v>
      </c>
      <c r="C72" s="1">
        <v>52</v>
      </c>
      <c r="D72" s="1" t="s">
        <v>89</v>
      </c>
      <c r="E72" s="1" t="s">
        <v>90</v>
      </c>
      <c r="F72" s="1"/>
      <c r="G72" s="1"/>
      <c r="H72" s="1" t="s">
        <v>91</v>
      </c>
      <c r="I72" s="1" t="s">
        <v>92</v>
      </c>
      <c r="J72" s="1" t="s">
        <v>109</v>
      </c>
      <c r="K72" s="1">
        <v>1</v>
      </c>
      <c r="L72" s="1">
        <v>120</v>
      </c>
      <c r="M72" s="1" t="s">
        <v>14</v>
      </c>
      <c r="N72" s="1" t="s">
        <v>95</v>
      </c>
      <c r="O72" s="1" t="s">
        <v>96</v>
      </c>
      <c r="P72" s="1"/>
      <c r="Q72" s="1" t="s">
        <v>9</v>
      </c>
      <c r="R72" s="1">
        <v>0</v>
      </c>
      <c r="S72" s="1" t="s">
        <v>97</v>
      </c>
      <c r="T72" s="1" t="s">
        <v>97</v>
      </c>
      <c r="U72" s="1" t="b">
        <v>1</v>
      </c>
      <c r="V72" s="1" t="b">
        <v>0</v>
      </c>
      <c r="W72" s="1" t="b">
        <v>0</v>
      </c>
      <c r="X72" s="1">
        <v>5</v>
      </c>
      <c r="Y72" s="1" t="b">
        <v>1</v>
      </c>
      <c r="Z72" s="1" t="b">
        <v>1</v>
      </c>
      <c r="AA72" s="1"/>
      <c r="AB72" s="1" t="b">
        <v>1</v>
      </c>
      <c r="AC72" s="1">
        <v>130314529</v>
      </c>
      <c r="AD72" s="1">
        <v>1019615</v>
      </c>
      <c r="AE72" s="1">
        <v>0</v>
      </c>
      <c r="AF72" s="1" t="s">
        <v>392</v>
      </c>
      <c r="AG72" s="1" t="s">
        <v>393</v>
      </c>
      <c r="AH72" s="1">
        <v>68.900000000000006</v>
      </c>
      <c r="AI72" s="1">
        <v>66.900000000000006</v>
      </c>
      <c r="AJ72" s="1" t="s">
        <v>401</v>
      </c>
      <c r="AK72" s="1" t="s">
        <v>402</v>
      </c>
      <c r="AL72" s="1" t="s">
        <v>403</v>
      </c>
    </row>
    <row r="73" spans="1:38" x14ac:dyDescent="0.6">
      <c r="A73" s="1">
        <v>51</v>
      </c>
      <c r="B73" s="1" t="s">
        <v>103</v>
      </c>
      <c r="C73" s="1"/>
      <c r="D73" s="1"/>
      <c r="E73" s="1" t="s">
        <v>108</v>
      </c>
      <c r="F73" s="1"/>
      <c r="G73" s="1"/>
      <c r="H73" s="1" t="s">
        <v>91</v>
      </c>
      <c r="I73" s="1" t="s">
        <v>92</v>
      </c>
      <c r="J73" s="1" t="s">
        <v>109</v>
      </c>
      <c r="K73" s="1">
        <v>1</v>
      </c>
      <c r="L73" s="1">
        <v>120</v>
      </c>
      <c r="M73" s="1" t="s">
        <v>7</v>
      </c>
      <c r="N73" s="1" t="s">
        <v>7</v>
      </c>
      <c r="O73" s="1" t="s">
        <v>96</v>
      </c>
      <c r="P73" s="1" t="s">
        <v>96</v>
      </c>
      <c r="Q73" s="1" t="s">
        <v>9</v>
      </c>
      <c r="R73" s="1">
        <v>0</v>
      </c>
      <c r="S73" s="1" t="s">
        <v>97</v>
      </c>
      <c r="T73" s="1" t="s">
        <v>97</v>
      </c>
      <c r="U73" s="1" t="b">
        <v>1</v>
      </c>
      <c r="V73" s="1" t="b">
        <v>0</v>
      </c>
      <c r="W73" s="1" t="b">
        <v>0</v>
      </c>
      <c r="X73" s="1">
        <v>5</v>
      </c>
      <c r="Y73" s="1" t="b">
        <v>1</v>
      </c>
      <c r="Z73" s="1" t="b">
        <v>1</v>
      </c>
      <c r="AA73" s="1">
        <v>63.6</v>
      </c>
      <c r="AB73" s="1" t="b">
        <v>0</v>
      </c>
      <c r="AC73" s="1">
        <v>0</v>
      </c>
      <c r="AD73" s="1">
        <v>2463348</v>
      </c>
      <c r="AE73" s="1">
        <v>155609484</v>
      </c>
      <c r="AF73" s="1" t="s">
        <v>404</v>
      </c>
      <c r="AG73" s="1" t="s">
        <v>404</v>
      </c>
      <c r="AH73" s="1">
        <v>64.099999999999994</v>
      </c>
      <c r="AI73" s="1">
        <v>60.2</v>
      </c>
      <c r="AJ73" s="1" t="s">
        <v>405</v>
      </c>
      <c r="AK73" s="1" t="s">
        <v>406</v>
      </c>
      <c r="AL73" s="1" t="s">
        <v>407</v>
      </c>
    </row>
    <row r="74" spans="1:38" x14ac:dyDescent="0.6">
      <c r="A74" s="1">
        <v>54</v>
      </c>
      <c r="B74" s="1" t="s">
        <v>103</v>
      </c>
      <c r="C74" s="1"/>
      <c r="D74" s="1"/>
      <c r="E74" s="1" t="s">
        <v>108</v>
      </c>
      <c r="F74" s="1"/>
      <c r="G74" s="1"/>
      <c r="H74" s="1" t="s">
        <v>91</v>
      </c>
      <c r="I74" s="1" t="s">
        <v>92</v>
      </c>
      <c r="J74" s="1" t="s">
        <v>109</v>
      </c>
      <c r="K74" s="1">
        <v>1</v>
      </c>
      <c r="L74" s="1">
        <v>120</v>
      </c>
      <c r="M74" s="1" t="s">
        <v>14</v>
      </c>
      <c r="N74" s="1" t="s">
        <v>95</v>
      </c>
      <c r="O74" s="1" t="s">
        <v>96</v>
      </c>
      <c r="P74" s="1"/>
      <c r="Q74" s="1" t="s">
        <v>9</v>
      </c>
      <c r="R74" s="1">
        <v>0</v>
      </c>
      <c r="S74" s="1" t="s">
        <v>97</v>
      </c>
      <c r="T74" s="1" t="s">
        <v>97</v>
      </c>
      <c r="U74" s="1" t="b">
        <v>1</v>
      </c>
      <c r="V74" s="1" t="b">
        <v>0</v>
      </c>
      <c r="W74" s="1" t="b">
        <v>0</v>
      </c>
      <c r="X74" s="1">
        <v>5</v>
      </c>
      <c r="Y74" s="1" t="b">
        <v>1</v>
      </c>
      <c r="Z74" s="1" t="b">
        <v>1</v>
      </c>
      <c r="AA74" s="1"/>
      <c r="AB74" s="1" t="b">
        <v>1</v>
      </c>
      <c r="AC74" s="1">
        <v>151273344</v>
      </c>
      <c r="AD74" s="1">
        <v>508032</v>
      </c>
      <c r="AE74" s="1">
        <v>0</v>
      </c>
      <c r="AF74" s="1" t="s">
        <v>408</v>
      </c>
      <c r="AG74" s="1" t="s">
        <v>409</v>
      </c>
      <c r="AH74" s="1">
        <v>72.599999999999994</v>
      </c>
      <c r="AI74" s="1">
        <v>64.599999999999994</v>
      </c>
      <c r="AJ74" s="1" t="s">
        <v>410</v>
      </c>
      <c r="AK74" s="1" t="s">
        <v>411</v>
      </c>
      <c r="AL74" s="1" t="s">
        <v>412</v>
      </c>
    </row>
    <row r="75" spans="1:38" x14ac:dyDescent="0.6">
      <c r="A75" s="1">
        <v>52</v>
      </c>
      <c r="B75" s="1" t="s">
        <v>103</v>
      </c>
      <c r="C75" s="1"/>
      <c r="D75" s="1"/>
      <c r="E75" s="1" t="s">
        <v>108</v>
      </c>
      <c r="F75" s="1"/>
      <c r="G75" s="1"/>
      <c r="H75" s="1" t="s">
        <v>91</v>
      </c>
      <c r="I75" s="1" t="s">
        <v>92</v>
      </c>
      <c r="J75" s="1" t="s">
        <v>109</v>
      </c>
      <c r="K75" s="1">
        <v>1</v>
      </c>
      <c r="L75" s="1">
        <v>120</v>
      </c>
      <c r="M75" s="1" t="s">
        <v>7</v>
      </c>
      <c r="N75" s="1" t="s">
        <v>7</v>
      </c>
      <c r="O75" s="1" t="s">
        <v>96</v>
      </c>
      <c r="P75" s="1" t="s">
        <v>96</v>
      </c>
      <c r="Q75" s="1" t="s">
        <v>9</v>
      </c>
      <c r="R75" s="1">
        <v>0</v>
      </c>
      <c r="S75" s="1" t="s">
        <v>97</v>
      </c>
      <c r="T75" s="1" t="s">
        <v>97</v>
      </c>
      <c r="U75" s="1" t="b">
        <v>1</v>
      </c>
      <c r="V75" s="1" t="b">
        <v>0</v>
      </c>
      <c r="W75" s="1" t="b">
        <v>0</v>
      </c>
      <c r="X75" s="1">
        <v>5</v>
      </c>
      <c r="Y75" s="1" t="b">
        <v>1</v>
      </c>
      <c r="Z75" s="1" t="b">
        <v>1</v>
      </c>
      <c r="AA75" s="1">
        <v>71.099999999999994</v>
      </c>
      <c r="AB75" s="1" t="b">
        <v>0</v>
      </c>
      <c r="AC75" s="1">
        <v>0</v>
      </c>
      <c r="AD75" s="1">
        <v>2134185</v>
      </c>
      <c r="AE75" s="1">
        <v>163540823</v>
      </c>
      <c r="AF75" s="1" t="s">
        <v>413</v>
      </c>
      <c r="AG75" s="1" t="s">
        <v>413</v>
      </c>
      <c r="AH75" s="1">
        <v>60.8</v>
      </c>
      <c r="AI75" s="1">
        <v>67.8</v>
      </c>
      <c r="AJ75" s="1" t="s">
        <v>414</v>
      </c>
      <c r="AK75" s="1" t="s">
        <v>415</v>
      </c>
      <c r="AL75" s="1" t="s">
        <v>416</v>
      </c>
    </row>
    <row r="76" spans="1:38" x14ac:dyDescent="0.6">
      <c r="A76" s="1">
        <v>40</v>
      </c>
      <c r="B76" s="1" t="s">
        <v>88</v>
      </c>
      <c r="C76" s="1">
        <v>71</v>
      </c>
      <c r="D76" s="1" t="s">
        <v>119</v>
      </c>
      <c r="E76" s="1" t="s">
        <v>108</v>
      </c>
      <c r="F76" s="1"/>
      <c r="G76" s="1"/>
      <c r="H76" s="1" t="s">
        <v>91</v>
      </c>
      <c r="I76" s="1" t="s">
        <v>92</v>
      </c>
      <c r="J76" s="1" t="s">
        <v>109</v>
      </c>
      <c r="K76" s="1">
        <v>1</v>
      </c>
      <c r="L76" s="1">
        <v>120</v>
      </c>
      <c r="M76" s="1" t="s">
        <v>7</v>
      </c>
      <c r="N76" s="1" t="s">
        <v>7</v>
      </c>
      <c r="O76" s="1" t="s">
        <v>96</v>
      </c>
      <c r="P76" s="1" t="s">
        <v>96</v>
      </c>
      <c r="Q76" s="1" t="s">
        <v>9</v>
      </c>
      <c r="R76" s="1">
        <v>0</v>
      </c>
      <c r="S76" s="1" t="s">
        <v>97</v>
      </c>
      <c r="T76" s="1" t="s">
        <v>97</v>
      </c>
      <c r="U76" s="1" t="b">
        <v>1</v>
      </c>
      <c r="V76" s="1" t="b">
        <v>0</v>
      </c>
      <c r="W76" s="1" t="b">
        <v>0</v>
      </c>
      <c r="X76" s="1">
        <v>5</v>
      </c>
      <c r="Y76" s="1" t="b">
        <v>1</v>
      </c>
      <c r="Z76" s="1" t="b">
        <v>1</v>
      </c>
      <c r="AA76" s="1">
        <v>60.3</v>
      </c>
      <c r="AB76" s="1" t="b">
        <v>0</v>
      </c>
      <c r="AC76" s="1">
        <v>0</v>
      </c>
      <c r="AD76" s="1">
        <v>2707490</v>
      </c>
      <c r="AE76" s="1">
        <v>149860318</v>
      </c>
      <c r="AF76" s="1" t="s">
        <v>417</v>
      </c>
      <c r="AG76" s="1" t="s">
        <v>417</v>
      </c>
      <c r="AH76" s="1">
        <v>64.3</v>
      </c>
      <c r="AI76" s="1">
        <v>60.4</v>
      </c>
      <c r="AJ76" s="1" t="s">
        <v>418</v>
      </c>
      <c r="AK76" s="1" t="s">
        <v>419</v>
      </c>
      <c r="AL76" s="1" t="s">
        <v>420</v>
      </c>
    </row>
    <row r="77" spans="1:38" x14ac:dyDescent="0.6">
      <c r="A77" s="1">
        <v>54</v>
      </c>
      <c r="B77" s="1" t="s">
        <v>103</v>
      </c>
      <c r="C77" s="1"/>
      <c r="D77" s="1"/>
      <c r="E77" s="1" t="s">
        <v>108</v>
      </c>
      <c r="F77" s="1"/>
      <c r="G77" s="1"/>
      <c r="H77" s="1" t="s">
        <v>91</v>
      </c>
      <c r="I77" s="1" t="s">
        <v>92</v>
      </c>
      <c r="J77" s="1" t="s">
        <v>109</v>
      </c>
      <c r="K77" s="1">
        <v>1</v>
      </c>
      <c r="L77" s="1">
        <v>120</v>
      </c>
      <c r="M77" s="1" t="s">
        <v>94</v>
      </c>
      <c r="N77" s="1" t="s">
        <v>95</v>
      </c>
      <c r="O77" s="1"/>
      <c r="P77" s="1" t="s">
        <v>96</v>
      </c>
      <c r="Q77" s="1" t="s">
        <v>9</v>
      </c>
      <c r="R77" s="1">
        <v>0</v>
      </c>
      <c r="S77" s="1" t="s">
        <v>97</v>
      </c>
      <c r="T77" s="1" t="s">
        <v>97</v>
      </c>
      <c r="U77" s="1" t="b">
        <v>1</v>
      </c>
      <c r="V77" s="1" t="b">
        <v>0</v>
      </c>
      <c r="W77" s="1" t="b">
        <v>0</v>
      </c>
      <c r="X77" s="1">
        <v>0</v>
      </c>
      <c r="Y77" s="1" t="b">
        <v>1</v>
      </c>
      <c r="Z77" s="1" t="b">
        <v>1</v>
      </c>
      <c r="AA77" s="1">
        <v>63.7</v>
      </c>
      <c r="AB77" s="1" t="b">
        <v>1</v>
      </c>
      <c r="AC77" s="1">
        <v>171582792</v>
      </c>
      <c r="AD77" s="1">
        <v>1432248</v>
      </c>
      <c r="AE77" s="1">
        <v>0</v>
      </c>
      <c r="AF77" s="1" t="s">
        <v>408</v>
      </c>
      <c r="AG77" s="1" t="s">
        <v>409</v>
      </c>
      <c r="AH77" s="1">
        <v>72.599999999999994</v>
      </c>
      <c r="AI77" s="1">
        <v>64.599999999999994</v>
      </c>
      <c r="AJ77" s="1" t="s">
        <v>421</v>
      </c>
      <c r="AK77" s="1" t="s">
        <v>422</v>
      </c>
      <c r="AL77" s="1" t="s">
        <v>423</v>
      </c>
    </row>
    <row r="78" spans="1:38" x14ac:dyDescent="0.6">
      <c r="A78" s="1">
        <v>53</v>
      </c>
      <c r="B78" s="1" t="s">
        <v>88</v>
      </c>
      <c r="C78" s="1"/>
      <c r="D78" s="1"/>
      <c r="E78" s="1" t="s">
        <v>108</v>
      </c>
      <c r="F78" s="1"/>
      <c r="G78" s="1"/>
      <c r="H78" s="1" t="s">
        <v>91</v>
      </c>
      <c r="I78" s="1" t="s">
        <v>92</v>
      </c>
      <c r="J78" s="1" t="s">
        <v>109</v>
      </c>
      <c r="K78" s="1">
        <v>1</v>
      </c>
      <c r="L78" s="1">
        <v>120</v>
      </c>
      <c r="M78" s="1" t="s">
        <v>7</v>
      </c>
      <c r="N78" s="1" t="s">
        <v>7</v>
      </c>
      <c r="O78" s="1" t="s">
        <v>96</v>
      </c>
      <c r="P78" s="1" t="s">
        <v>96</v>
      </c>
      <c r="Q78" s="1" t="s">
        <v>9</v>
      </c>
      <c r="R78" s="1">
        <v>0</v>
      </c>
      <c r="S78" s="1" t="s">
        <v>97</v>
      </c>
      <c r="T78" s="1" t="s">
        <v>97</v>
      </c>
      <c r="U78" s="1" t="b">
        <v>1</v>
      </c>
      <c r="V78" s="1" t="b">
        <v>0</v>
      </c>
      <c r="W78" s="1" t="b">
        <v>0</v>
      </c>
      <c r="X78" s="1">
        <v>5</v>
      </c>
      <c r="Y78" s="1" t="b">
        <v>1</v>
      </c>
      <c r="Z78" s="1" t="b">
        <v>1</v>
      </c>
      <c r="AA78" s="1">
        <v>62.7</v>
      </c>
      <c r="AB78" s="1" t="b">
        <v>0</v>
      </c>
      <c r="AC78" s="1">
        <v>0</v>
      </c>
      <c r="AD78" s="1">
        <v>2730055</v>
      </c>
      <c r="AE78" s="1">
        <v>152983481</v>
      </c>
      <c r="AF78" s="1" t="s">
        <v>424</v>
      </c>
      <c r="AG78" s="1" t="s">
        <v>424</v>
      </c>
      <c r="AH78" s="1">
        <v>64.900000000000006</v>
      </c>
      <c r="AI78" s="1">
        <v>60.3</v>
      </c>
      <c r="AJ78" s="1" t="s">
        <v>425</v>
      </c>
      <c r="AK78" s="1" t="s">
        <v>426</v>
      </c>
      <c r="AL78" s="1" t="s">
        <v>427</v>
      </c>
    </row>
    <row r="79" spans="1:38" x14ac:dyDescent="0.6">
      <c r="A79" s="1">
        <v>56</v>
      </c>
      <c r="B79" s="1" t="s">
        <v>103</v>
      </c>
      <c r="C79" s="1"/>
      <c r="D79" s="1"/>
      <c r="E79" s="1" t="s">
        <v>90</v>
      </c>
      <c r="F79" s="1"/>
      <c r="G79" s="1"/>
      <c r="H79" s="1" t="s">
        <v>91</v>
      </c>
      <c r="I79" s="1" t="s">
        <v>92</v>
      </c>
      <c r="J79" s="1" t="s">
        <v>109</v>
      </c>
      <c r="K79" s="1">
        <v>1</v>
      </c>
      <c r="L79" s="1">
        <v>120</v>
      </c>
      <c r="M79" s="1" t="s">
        <v>14</v>
      </c>
      <c r="N79" s="1" t="s">
        <v>95</v>
      </c>
      <c r="O79" s="1" t="s">
        <v>96</v>
      </c>
      <c r="P79" s="1"/>
      <c r="Q79" s="1" t="s">
        <v>9</v>
      </c>
      <c r="R79" s="1">
        <v>0</v>
      </c>
      <c r="S79" s="1" t="s">
        <v>97</v>
      </c>
      <c r="T79" s="1" t="s">
        <v>97</v>
      </c>
      <c r="U79" s="1" t="b">
        <v>1</v>
      </c>
      <c r="V79" s="1" t="b">
        <v>0</v>
      </c>
      <c r="W79" s="1" t="b">
        <v>0</v>
      </c>
      <c r="X79" s="1">
        <v>5</v>
      </c>
      <c r="Y79" s="1" t="b">
        <v>1</v>
      </c>
      <c r="Z79" s="1" t="b">
        <v>1</v>
      </c>
      <c r="AA79" s="1"/>
      <c r="AB79" s="1" t="b">
        <v>1</v>
      </c>
      <c r="AC79" s="1">
        <v>153080973</v>
      </c>
      <c r="AD79" s="1">
        <v>535411</v>
      </c>
      <c r="AE79" s="1">
        <v>0</v>
      </c>
      <c r="AF79" s="1" t="s">
        <v>428</v>
      </c>
      <c r="AG79" s="1" t="s">
        <v>429</v>
      </c>
      <c r="AH79" s="1">
        <v>75.099999999999994</v>
      </c>
      <c r="AI79" s="1">
        <v>67.400000000000006</v>
      </c>
      <c r="AJ79" s="1" t="s">
        <v>430</v>
      </c>
      <c r="AK79" s="1" t="s">
        <v>431</v>
      </c>
      <c r="AL79" s="1" t="s">
        <v>432</v>
      </c>
    </row>
    <row r="80" spans="1:38" x14ac:dyDescent="0.6">
      <c r="A80" s="1">
        <v>57</v>
      </c>
      <c r="B80" s="1" t="s">
        <v>88</v>
      </c>
      <c r="C80" s="1"/>
      <c r="D80" s="1"/>
      <c r="E80" s="1" t="s">
        <v>90</v>
      </c>
      <c r="F80" s="1"/>
      <c r="G80" s="1"/>
      <c r="H80" s="1" t="s">
        <v>91</v>
      </c>
      <c r="I80" s="1" t="s">
        <v>92</v>
      </c>
      <c r="J80" s="1" t="s">
        <v>109</v>
      </c>
      <c r="K80" s="1">
        <v>1</v>
      </c>
      <c r="L80" s="1">
        <v>120</v>
      </c>
      <c r="M80" s="1" t="s">
        <v>94</v>
      </c>
      <c r="N80" s="1" t="s">
        <v>95</v>
      </c>
      <c r="O80" s="1"/>
      <c r="P80" s="1" t="s">
        <v>96</v>
      </c>
      <c r="Q80" s="1" t="s">
        <v>9</v>
      </c>
      <c r="R80" s="1">
        <v>0</v>
      </c>
      <c r="S80" s="1" t="s">
        <v>97</v>
      </c>
      <c r="T80" s="1" t="s">
        <v>97</v>
      </c>
      <c r="U80" s="1" t="b">
        <v>1</v>
      </c>
      <c r="V80" s="1" t="b">
        <v>0</v>
      </c>
      <c r="W80" s="1" t="b">
        <v>0</v>
      </c>
      <c r="X80" s="1">
        <v>0</v>
      </c>
      <c r="Y80" s="1" t="b">
        <v>1</v>
      </c>
      <c r="Z80" s="1" t="b">
        <v>1</v>
      </c>
      <c r="AA80" s="1">
        <v>88.8</v>
      </c>
      <c r="AB80" s="1" t="b">
        <v>1</v>
      </c>
      <c r="AC80" s="1">
        <v>146126827</v>
      </c>
      <c r="AD80" s="1">
        <v>1460245</v>
      </c>
      <c r="AE80" s="1">
        <v>0</v>
      </c>
      <c r="AF80" s="1" t="s">
        <v>433</v>
      </c>
      <c r="AG80" s="1" t="s">
        <v>434</v>
      </c>
      <c r="AH80" s="1">
        <v>83.5</v>
      </c>
      <c r="AI80" s="1">
        <v>81.8</v>
      </c>
      <c r="AJ80" s="1" t="s">
        <v>435</v>
      </c>
      <c r="AK80" s="1" t="s">
        <v>436</v>
      </c>
      <c r="AL80" s="1" t="s">
        <v>437</v>
      </c>
    </row>
    <row r="81" spans="1:38" x14ac:dyDescent="0.6">
      <c r="A81" s="1">
        <v>61</v>
      </c>
      <c r="B81" s="1" t="s">
        <v>103</v>
      </c>
      <c r="C81" s="1"/>
      <c r="D81" s="1"/>
      <c r="E81" s="1" t="s">
        <v>90</v>
      </c>
      <c r="F81" s="1"/>
      <c r="G81" s="1"/>
      <c r="H81" s="1" t="s">
        <v>91</v>
      </c>
      <c r="I81" s="1" t="s">
        <v>92</v>
      </c>
      <c r="J81" s="1" t="s">
        <v>109</v>
      </c>
      <c r="K81" s="1">
        <v>1</v>
      </c>
      <c r="L81" s="1">
        <v>120</v>
      </c>
      <c r="M81" s="1" t="s">
        <v>94</v>
      </c>
      <c r="N81" s="1" t="s">
        <v>236</v>
      </c>
      <c r="O81" s="1"/>
      <c r="P81" s="1" t="s">
        <v>96</v>
      </c>
      <c r="Q81" s="1" t="s">
        <v>9</v>
      </c>
      <c r="R81" s="1">
        <v>0</v>
      </c>
      <c r="S81" s="1" t="s">
        <v>97</v>
      </c>
      <c r="T81" s="1"/>
      <c r="U81" s="1"/>
      <c r="V81" s="1" t="b">
        <v>0</v>
      </c>
      <c r="W81" s="1" t="b">
        <v>0</v>
      </c>
      <c r="X81" s="1">
        <v>0</v>
      </c>
      <c r="Y81" s="1" t="b">
        <v>1</v>
      </c>
      <c r="Z81" s="1" t="b">
        <v>1</v>
      </c>
      <c r="AA81" s="1">
        <v>69</v>
      </c>
      <c r="AB81" s="1" t="b">
        <v>1</v>
      </c>
      <c r="AC81" s="1">
        <v>144234419</v>
      </c>
      <c r="AD81" s="1">
        <v>1517645</v>
      </c>
      <c r="AE81" s="1">
        <v>0</v>
      </c>
      <c r="AF81" s="1"/>
      <c r="AG81" s="1" t="s">
        <v>438</v>
      </c>
      <c r="AH81" s="1"/>
      <c r="AI81" s="1">
        <v>59.7</v>
      </c>
      <c r="AJ81" s="1" t="s">
        <v>439</v>
      </c>
      <c r="AK81" s="1" t="s">
        <v>440</v>
      </c>
      <c r="AL81" s="1" t="s">
        <v>441</v>
      </c>
    </row>
    <row r="82" spans="1:38" x14ac:dyDescent="0.6">
      <c r="A82" s="1">
        <v>59</v>
      </c>
      <c r="B82" s="1" t="s">
        <v>103</v>
      </c>
      <c r="C82" s="1">
        <v>64</v>
      </c>
      <c r="D82" s="1" t="s">
        <v>127</v>
      </c>
      <c r="E82" s="1" t="s">
        <v>108</v>
      </c>
      <c r="F82" s="1"/>
      <c r="G82" s="1"/>
      <c r="H82" s="1" t="s">
        <v>91</v>
      </c>
      <c r="I82" s="1" t="s">
        <v>92</v>
      </c>
      <c r="J82" s="1" t="s">
        <v>109</v>
      </c>
      <c r="K82" s="1">
        <v>1</v>
      </c>
      <c r="L82" s="1">
        <v>140</v>
      </c>
      <c r="M82" s="1" t="s">
        <v>14</v>
      </c>
      <c r="N82" s="1" t="s">
        <v>95</v>
      </c>
      <c r="O82" s="1" t="s">
        <v>96</v>
      </c>
      <c r="P82" s="1"/>
      <c r="Q82" s="1" t="s">
        <v>9</v>
      </c>
      <c r="R82" s="1">
        <v>0</v>
      </c>
      <c r="S82" s="1" t="s">
        <v>97</v>
      </c>
      <c r="T82" s="1" t="s">
        <v>97</v>
      </c>
      <c r="U82" s="1" t="b">
        <v>1</v>
      </c>
      <c r="V82" s="1" t="b">
        <v>0</v>
      </c>
      <c r="W82" s="1" t="b">
        <v>0</v>
      </c>
      <c r="X82" s="1">
        <v>5</v>
      </c>
      <c r="Y82" s="1" t="b">
        <v>1</v>
      </c>
      <c r="Z82" s="1" t="b">
        <v>1</v>
      </c>
      <c r="AA82" s="1"/>
      <c r="AB82" s="1" t="b">
        <v>1</v>
      </c>
      <c r="AC82" s="1">
        <v>145173123</v>
      </c>
      <c r="AD82" s="1">
        <v>578941</v>
      </c>
      <c r="AE82" s="1">
        <v>0</v>
      </c>
      <c r="AF82" s="1" t="s">
        <v>442</v>
      </c>
      <c r="AG82" s="1" t="s">
        <v>443</v>
      </c>
      <c r="AH82" s="1">
        <v>70.8</v>
      </c>
      <c r="AI82" s="1">
        <v>74.400000000000006</v>
      </c>
      <c r="AJ82" s="1" t="s">
        <v>444</v>
      </c>
      <c r="AK82" s="1" t="s">
        <v>445</v>
      </c>
      <c r="AL82" s="1" t="s">
        <v>446</v>
      </c>
    </row>
    <row r="83" spans="1:38" x14ac:dyDescent="0.6">
      <c r="A83" s="1">
        <v>59</v>
      </c>
      <c r="B83" s="1" t="s">
        <v>103</v>
      </c>
      <c r="C83" s="1">
        <v>64</v>
      </c>
      <c r="D83" s="1" t="s">
        <v>127</v>
      </c>
      <c r="E83" s="1" t="s">
        <v>108</v>
      </c>
      <c r="F83" s="1"/>
      <c r="G83" s="1"/>
      <c r="H83" s="1" t="s">
        <v>91</v>
      </c>
      <c r="I83" s="1" t="s">
        <v>92</v>
      </c>
      <c r="J83" s="1" t="s">
        <v>109</v>
      </c>
      <c r="K83" s="1">
        <v>1</v>
      </c>
      <c r="L83" s="1">
        <v>140</v>
      </c>
      <c r="M83" s="1" t="s">
        <v>94</v>
      </c>
      <c r="N83" s="1" t="s">
        <v>95</v>
      </c>
      <c r="O83" s="1"/>
      <c r="P83" s="1" t="s">
        <v>96</v>
      </c>
      <c r="Q83" s="1" t="s">
        <v>9</v>
      </c>
      <c r="R83" s="1">
        <v>0</v>
      </c>
      <c r="S83" s="1" t="s">
        <v>97</v>
      </c>
      <c r="T83" s="1" t="s">
        <v>97</v>
      </c>
      <c r="U83" s="1" t="b">
        <v>1</v>
      </c>
      <c r="V83" s="1" t="b">
        <v>0</v>
      </c>
      <c r="W83" s="1" t="b">
        <v>0</v>
      </c>
      <c r="X83" s="1">
        <v>0</v>
      </c>
      <c r="Y83" s="1" t="b">
        <v>1</v>
      </c>
      <c r="Z83" s="1" t="b">
        <v>1</v>
      </c>
      <c r="AA83" s="1">
        <v>78.400000000000006</v>
      </c>
      <c r="AB83" s="1" t="b">
        <v>1</v>
      </c>
      <c r="AC83" s="1">
        <v>159116751</v>
      </c>
      <c r="AD83" s="1">
        <v>1577521</v>
      </c>
      <c r="AE83" s="1">
        <v>0</v>
      </c>
      <c r="AF83" s="1" t="s">
        <v>442</v>
      </c>
      <c r="AG83" s="1" t="s">
        <v>443</v>
      </c>
      <c r="AH83" s="1">
        <v>70.8</v>
      </c>
      <c r="AI83" s="1">
        <v>74.400000000000006</v>
      </c>
      <c r="AJ83" s="1" t="s">
        <v>447</v>
      </c>
      <c r="AK83" s="1" t="s">
        <v>448</v>
      </c>
      <c r="AL83" s="1" t="s">
        <v>449</v>
      </c>
    </row>
    <row r="84" spans="1:38" x14ac:dyDescent="0.6">
      <c r="A84" s="1">
        <v>60</v>
      </c>
      <c r="B84" s="1" t="s">
        <v>103</v>
      </c>
      <c r="C84" s="1"/>
      <c r="D84" s="1"/>
      <c r="E84" s="1" t="s">
        <v>108</v>
      </c>
      <c r="F84" s="1"/>
      <c r="G84" s="1"/>
      <c r="H84" s="1" t="s">
        <v>91</v>
      </c>
      <c r="I84" s="1" t="s">
        <v>92</v>
      </c>
      <c r="J84" s="1" t="s">
        <v>109</v>
      </c>
      <c r="K84" s="1">
        <v>1</v>
      </c>
      <c r="L84" s="1">
        <v>120</v>
      </c>
      <c r="M84" s="1" t="s">
        <v>14</v>
      </c>
      <c r="N84" s="1" t="s">
        <v>95</v>
      </c>
      <c r="O84" s="1" t="s">
        <v>96</v>
      </c>
      <c r="P84" s="1"/>
      <c r="Q84" s="1" t="s">
        <v>9</v>
      </c>
      <c r="R84" s="1">
        <v>0</v>
      </c>
      <c r="S84" s="1" t="s">
        <v>97</v>
      </c>
      <c r="T84" s="1" t="s">
        <v>97</v>
      </c>
      <c r="U84" s="1" t="b">
        <v>1</v>
      </c>
      <c r="V84" s="1" t="b">
        <v>0</v>
      </c>
      <c r="W84" s="1" t="b">
        <v>0</v>
      </c>
      <c r="X84" s="1">
        <v>5</v>
      </c>
      <c r="Y84" s="1" t="b">
        <v>1</v>
      </c>
      <c r="Z84" s="1" t="b">
        <v>1</v>
      </c>
      <c r="AA84" s="1"/>
      <c r="AB84" s="1" t="b">
        <v>1</v>
      </c>
      <c r="AC84" s="1">
        <v>147660907</v>
      </c>
      <c r="AD84" s="1">
        <v>712597</v>
      </c>
      <c r="AE84" s="1">
        <v>0</v>
      </c>
      <c r="AF84" s="1" t="s">
        <v>450</v>
      </c>
      <c r="AG84" s="1" t="s">
        <v>451</v>
      </c>
      <c r="AH84" s="1">
        <v>61.3</v>
      </c>
      <c r="AI84" s="1">
        <v>62.5</v>
      </c>
      <c r="AJ84" s="1" t="s">
        <v>452</v>
      </c>
      <c r="AK84" s="1" t="s">
        <v>453</v>
      </c>
      <c r="AL84" s="1" t="s">
        <v>454</v>
      </c>
    </row>
    <row r="85" spans="1:38" x14ac:dyDescent="0.6">
      <c r="A85" s="1">
        <v>58</v>
      </c>
      <c r="B85" s="1" t="s">
        <v>88</v>
      </c>
      <c r="C85" s="1">
        <v>53</v>
      </c>
      <c r="D85" s="1" t="s">
        <v>89</v>
      </c>
      <c r="E85" s="1" t="s">
        <v>90</v>
      </c>
      <c r="F85" s="1"/>
      <c r="G85" s="1"/>
      <c r="H85" s="1" t="s">
        <v>91</v>
      </c>
      <c r="I85" s="1" t="s">
        <v>92</v>
      </c>
      <c r="J85" s="1" t="s">
        <v>93</v>
      </c>
      <c r="K85" s="1">
        <v>1</v>
      </c>
      <c r="L85" s="1">
        <v>120</v>
      </c>
      <c r="M85" s="1" t="s">
        <v>7</v>
      </c>
      <c r="N85" s="1" t="s">
        <v>7</v>
      </c>
      <c r="O85" s="1" t="s">
        <v>96</v>
      </c>
      <c r="P85" s="1" t="s">
        <v>96</v>
      </c>
      <c r="Q85" s="1" t="s">
        <v>9</v>
      </c>
      <c r="R85" s="1">
        <v>0</v>
      </c>
      <c r="S85" s="1" t="s">
        <v>97</v>
      </c>
      <c r="T85" s="1" t="s">
        <v>97</v>
      </c>
      <c r="U85" s="1" t="b">
        <v>1</v>
      </c>
      <c r="V85" s="1" t="b">
        <v>0</v>
      </c>
      <c r="W85" s="1" t="b">
        <v>0</v>
      </c>
      <c r="X85" s="1">
        <v>5</v>
      </c>
      <c r="Y85" s="1" t="b">
        <v>1</v>
      </c>
      <c r="Z85" s="1" t="b">
        <v>1</v>
      </c>
      <c r="AA85" s="1">
        <v>67.900000000000006</v>
      </c>
      <c r="AB85" s="1" t="b">
        <v>0</v>
      </c>
      <c r="AC85" s="1">
        <v>0</v>
      </c>
      <c r="AD85" s="1">
        <v>2512943</v>
      </c>
      <c r="AE85" s="1">
        <v>141928401</v>
      </c>
      <c r="AF85" s="1" t="s">
        <v>455</v>
      </c>
      <c r="AG85" s="1" t="s">
        <v>455</v>
      </c>
      <c r="AH85" s="1">
        <v>52.4</v>
      </c>
      <c r="AI85" s="1">
        <v>62.3</v>
      </c>
      <c r="AJ85" s="1" t="s">
        <v>456</v>
      </c>
      <c r="AK85" s="1" t="s">
        <v>457</v>
      </c>
      <c r="AL85" s="1" t="s">
        <v>458</v>
      </c>
    </row>
    <row r="86" spans="1:38" x14ac:dyDescent="0.6">
      <c r="A86" s="1">
        <v>60</v>
      </c>
      <c r="B86" s="1" t="s">
        <v>103</v>
      </c>
      <c r="C86" s="1"/>
      <c r="D86" s="1"/>
      <c r="E86" s="1" t="s">
        <v>108</v>
      </c>
      <c r="F86" s="1"/>
      <c r="G86" s="1"/>
      <c r="H86" s="1" t="s">
        <v>91</v>
      </c>
      <c r="I86" s="1" t="s">
        <v>92</v>
      </c>
      <c r="J86" s="1" t="s">
        <v>109</v>
      </c>
      <c r="K86" s="1">
        <v>1</v>
      </c>
      <c r="L86" s="1">
        <v>120</v>
      </c>
      <c r="M86" s="1" t="s">
        <v>94</v>
      </c>
      <c r="N86" s="1" t="s">
        <v>95</v>
      </c>
      <c r="O86" s="1"/>
      <c r="P86" s="1" t="s">
        <v>96</v>
      </c>
      <c r="Q86" s="1" t="s">
        <v>9</v>
      </c>
      <c r="R86" s="1">
        <v>0</v>
      </c>
      <c r="S86" s="1" t="s">
        <v>97</v>
      </c>
      <c r="T86" s="1" t="s">
        <v>97</v>
      </c>
      <c r="U86" s="1" t="b">
        <v>1</v>
      </c>
      <c r="V86" s="1" t="b">
        <v>0</v>
      </c>
      <c r="W86" s="1" t="b">
        <v>0</v>
      </c>
      <c r="X86" s="1">
        <v>0</v>
      </c>
      <c r="Y86" s="1" t="b">
        <v>1</v>
      </c>
      <c r="Z86" s="1" t="b">
        <v>1</v>
      </c>
      <c r="AA86" s="1">
        <v>64.8</v>
      </c>
      <c r="AB86" s="1" t="b">
        <v>1</v>
      </c>
      <c r="AC86" s="1">
        <v>156605633</v>
      </c>
      <c r="AD86" s="1">
        <v>2253631</v>
      </c>
      <c r="AE86" s="1">
        <v>0</v>
      </c>
      <c r="AF86" s="1" t="s">
        <v>450</v>
      </c>
      <c r="AG86" s="1" t="s">
        <v>451</v>
      </c>
      <c r="AH86" s="1">
        <v>61.3</v>
      </c>
      <c r="AI86" s="1">
        <v>62.5</v>
      </c>
      <c r="AJ86" s="1" t="s">
        <v>459</v>
      </c>
      <c r="AK86" s="1" t="s">
        <v>460</v>
      </c>
      <c r="AL86" s="1" t="s">
        <v>461</v>
      </c>
    </row>
    <row r="87" spans="1:38" x14ac:dyDescent="0.6">
      <c r="A87" s="1">
        <v>64</v>
      </c>
      <c r="B87" s="1" t="s">
        <v>88</v>
      </c>
      <c r="C87" s="1">
        <v>89</v>
      </c>
      <c r="D87" s="1" t="s">
        <v>153</v>
      </c>
      <c r="E87" s="1"/>
      <c r="F87" s="1"/>
      <c r="G87" s="1"/>
      <c r="H87" s="1" t="s">
        <v>91</v>
      </c>
      <c r="I87" s="1" t="s">
        <v>92</v>
      </c>
      <c r="J87" s="1" t="s">
        <v>93</v>
      </c>
      <c r="K87" s="1">
        <v>1</v>
      </c>
      <c r="L87" s="1">
        <v>120</v>
      </c>
      <c r="M87" s="1" t="s">
        <v>14</v>
      </c>
      <c r="N87" s="1" t="s">
        <v>14</v>
      </c>
      <c r="O87" s="1" t="s">
        <v>96</v>
      </c>
      <c r="P87" s="1"/>
      <c r="Q87" s="1" t="s">
        <v>110</v>
      </c>
      <c r="R87" s="1">
        <v>3</v>
      </c>
      <c r="S87" s="1"/>
      <c r="T87" s="1" t="s">
        <v>110</v>
      </c>
      <c r="U87" s="1"/>
      <c r="V87" s="1" t="b">
        <v>0</v>
      </c>
      <c r="W87" s="1" t="b">
        <v>0</v>
      </c>
      <c r="X87" s="1">
        <v>4</v>
      </c>
      <c r="Y87" s="1" t="b">
        <v>1</v>
      </c>
      <c r="Z87" s="1" t="b">
        <v>1</v>
      </c>
      <c r="AA87" s="1"/>
      <c r="AB87" s="1" t="b">
        <v>1</v>
      </c>
      <c r="AC87" s="1">
        <v>132006628</v>
      </c>
      <c r="AD87" s="1">
        <v>900380</v>
      </c>
      <c r="AE87" s="1">
        <v>0</v>
      </c>
      <c r="AF87" s="1" t="s">
        <v>462</v>
      </c>
      <c r="AG87" s="1"/>
      <c r="AH87" s="1">
        <v>55.3</v>
      </c>
      <c r="AI87" s="1"/>
      <c r="AJ87" s="1" t="s">
        <v>463</v>
      </c>
      <c r="AK87" s="1" t="s">
        <v>464</v>
      </c>
      <c r="AL87" s="1" t="s">
        <v>465</v>
      </c>
    </row>
    <row r="88" spans="1:38" x14ac:dyDescent="0.6">
      <c r="A88" s="1">
        <v>69</v>
      </c>
      <c r="B88" s="1" t="s">
        <v>88</v>
      </c>
      <c r="C88" s="1">
        <v>72</v>
      </c>
      <c r="D88" s="1" t="s">
        <v>119</v>
      </c>
      <c r="E88" s="1" t="s">
        <v>90</v>
      </c>
      <c r="F88" s="1"/>
      <c r="G88" s="1"/>
      <c r="H88" s="1" t="s">
        <v>91</v>
      </c>
      <c r="I88" s="1" t="s">
        <v>92</v>
      </c>
      <c r="J88" s="1" t="s">
        <v>93</v>
      </c>
      <c r="K88" s="1">
        <v>1</v>
      </c>
      <c r="L88" s="1">
        <v>120</v>
      </c>
      <c r="M88" s="1" t="s">
        <v>14</v>
      </c>
      <c r="N88" s="1" t="s">
        <v>14</v>
      </c>
      <c r="O88" s="1" t="s">
        <v>96</v>
      </c>
      <c r="P88" s="1"/>
      <c r="Q88" s="1" t="s">
        <v>9</v>
      </c>
      <c r="R88" s="1">
        <v>0</v>
      </c>
      <c r="S88" s="1"/>
      <c r="T88" s="1" t="s">
        <v>97</v>
      </c>
      <c r="U88" s="1"/>
      <c r="V88" s="1" t="b">
        <v>0</v>
      </c>
      <c r="W88" s="1" t="b">
        <v>0</v>
      </c>
      <c r="X88" s="1">
        <v>5</v>
      </c>
      <c r="Y88" s="1" t="b">
        <v>1</v>
      </c>
      <c r="Z88" s="1" t="b">
        <v>1</v>
      </c>
      <c r="AA88" s="1"/>
      <c r="AB88" s="1" t="b">
        <v>1</v>
      </c>
      <c r="AC88" s="1">
        <v>130611600</v>
      </c>
      <c r="AD88" s="1">
        <v>722544</v>
      </c>
      <c r="AE88" s="1">
        <v>0</v>
      </c>
      <c r="AF88" s="1" t="s">
        <v>466</v>
      </c>
      <c r="AG88" s="1"/>
      <c r="AH88" s="1">
        <v>49.2</v>
      </c>
      <c r="AI88" s="1"/>
      <c r="AJ88" s="1" t="s">
        <v>467</v>
      </c>
      <c r="AK88" s="1" t="s">
        <v>468</v>
      </c>
      <c r="AL88" s="1" t="s">
        <v>469</v>
      </c>
    </row>
    <row r="89" spans="1:38" x14ac:dyDescent="0.6">
      <c r="A89" s="1">
        <v>67</v>
      </c>
      <c r="B89" s="1" t="s">
        <v>103</v>
      </c>
      <c r="C89" s="1">
        <v>89</v>
      </c>
      <c r="D89" s="1" t="s">
        <v>153</v>
      </c>
      <c r="E89" s="1"/>
      <c r="F89" s="1"/>
      <c r="G89" s="1"/>
      <c r="H89" s="1" t="s">
        <v>91</v>
      </c>
      <c r="I89" s="1" t="s">
        <v>92</v>
      </c>
      <c r="J89" s="1" t="s">
        <v>93</v>
      </c>
      <c r="K89" s="1">
        <v>1</v>
      </c>
      <c r="L89" s="1">
        <v>120</v>
      </c>
      <c r="M89" s="1" t="s">
        <v>94</v>
      </c>
      <c r="N89" s="1" t="s">
        <v>95</v>
      </c>
      <c r="O89" s="1"/>
      <c r="P89" s="1" t="s">
        <v>96</v>
      </c>
      <c r="Q89" s="1" t="s">
        <v>110</v>
      </c>
      <c r="R89" s="1">
        <v>3</v>
      </c>
      <c r="S89" s="1" t="s">
        <v>110</v>
      </c>
      <c r="T89" s="1" t="s">
        <v>200</v>
      </c>
      <c r="U89" s="1" t="b">
        <v>0</v>
      </c>
      <c r="V89" s="1" t="b">
        <v>1</v>
      </c>
      <c r="W89" s="1" t="b">
        <v>0</v>
      </c>
      <c r="X89" s="1">
        <v>0</v>
      </c>
      <c r="Y89" s="1" t="b">
        <v>1</v>
      </c>
      <c r="Z89" s="1" t="b">
        <v>1</v>
      </c>
      <c r="AA89" s="1">
        <v>62.9</v>
      </c>
      <c r="AB89" s="1" t="b">
        <v>1</v>
      </c>
      <c r="AC89" s="1">
        <v>144458582</v>
      </c>
      <c r="AD89" s="1">
        <v>2342058</v>
      </c>
      <c r="AE89" s="1">
        <v>0</v>
      </c>
      <c r="AF89" s="1" t="s">
        <v>470</v>
      </c>
      <c r="AG89" s="1" t="s">
        <v>471</v>
      </c>
      <c r="AH89" s="1">
        <v>52.9</v>
      </c>
      <c r="AI89" s="1">
        <v>58.3</v>
      </c>
      <c r="AJ89" s="1" t="s">
        <v>472</v>
      </c>
      <c r="AK89" s="1" t="s">
        <v>473</v>
      </c>
      <c r="AL89" s="1" t="s">
        <v>474</v>
      </c>
    </row>
    <row r="90" spans="1:38" x14ac:dyDescent="0.6">
      <c r="A90" s="1">
        <v>50</v>
      </c>
      <c r="B90" s="1" t="s">
        <v>88</v>
      </c>
      <c r="C90" s="1"/>
      <c r="D90" s="1"/>
      <c r="E90" s="1" t="s">
        <v>108</v>
      </c>
      <c r="F90" s="1"/>
      <c r="G90" s="1"/>
      <c r="H90" s="1" t="s">
        <v>91</v>
      </c>
      <c r="I90" s="1" t="s">
        <v>92</v>
      </c>
      <c r="J90" s="1" t="s">
        <v>109</v>
      </c>
      <c r="K90" s="1">
        <v>1</v>
      </c>
      <c r="L90" s="1">
        <v>120</v>
      </c>
      <c r="M90" s="1" t="s">
        <v>7</v>
      </c>
      <c r="N90" s="1" t="s">
        <v>7</v>
      </c>
      <c r="O90" s="1" t="s">
        <v>96</v>
      </c>
      <c r="P90" s="1" t="s">
        <v>96</v>
      </c>
      <c r="Q90" s="1" t="s">
        <v>9</v>
      </c>
      <c r="R90" s="1">
        <v>0</v>
      </c>
      <c r="S90" s="1" t="s">
        <v>97</v>
      </c>
      <c r="T90" s="1" t="s">
        <v>97</v>
      </c>
      <c r="U90" s="1" t="b">
        <v>1</v>
      </c>
      <c r="V90" s="1" t="b">
        <v>0</v>
      </c>
      <c r="W90" s="1" t="b">
        <v>0</v>
      </c>
      <c r="X90" s="1">
        <v>5</v>
      </c>
      <c r="Y90" s="1" t="b">
        <v>1</v>
      </c>
      <c r="Z90" s="1" t="b">
        <v>1</v>
      </c>
      <c r="AA90" s="1">
        <v>58.7</v>
      </c>
      <c r="AB90" s="1" t="b">
        <v>0</v>
      </c>
      <c r="AC90" s="1">
        <v>0</v>
      </c>
      <c r="AD90" s="1">
        <v>3004789</v>
      </c>
      <c r="AE90" s="1">
        <v>149825163</v>
      </c>
      <c r="AF90" s="1" t="s">
        <v>475</v>
      </c>
      <c r="AG90" s="1" t="s">
        <v>475</v>
      </c>
      <c r="AH90" s="1">
        <v>64.900000000000006</v>
      </c>
      <c r="AI90" s="1">
        <v>59.2</v>
      </c>
      <c r="AJ90" s="1" t="s">
        <v>476</v>
      </c>
      <c r="AK90" s="1" t="s">
        <v>477</v>
      </c>
      <c r="AL90" s="1" t="s">
        <v>478</v>
      </c>
    </row>
    <row r="91" spans="1:38" x14ac:dyDescent="0.6">
      <c r="A91" s="1">
        <v>66</v>
      </c>
      <c r="B91" s="1" t="s">
        <v>103</v>
      </c>
      <c r="C91" s="1">
        <v>89</v>
      </c>
      <c r="D91" s="1" t="s">
        <v>153</v>
      </c>
      <c r="E91" s="1"/>
      <c r="F91" s="1"/>
      <c r="G91" s="1"/>
      <c r="H91" s="1" t="s">
        <v>91</v>
      </c>
      <c r="I91" s="1" t="s">
        <v>92</v>
      </c>
      <c r="J91" s="1" t="s">
        <v>93</v>
      </c>
      <c r="K91" s="1">
        <v>1</v>
      </c>
      <c r="L91" s="1">
        <v>120</v>
      </c>
      <c r="M91" s="1" t="s">
        <v>7</v>
      </c>
      <c r="N91" s="1" t="s">
        <v>7</v>
      </c>
      <c r="O91" s="1" t="s">
        <v>96</v>
      </c>
      <c r="P91" s="1" t="s">
        <v>96</v>
      </c>
      <c r="Q91" s="1" t="s">
        <v>9</v>
      </c>
      <c r="R91" s="1">
        <v>0</v>
      </c>
      <c r="S91" s="1" t="s">
        <v>97</v>
      </c>
      <c r="T91" s="1" t="s">
        <v>97</v>
      </c>
      <c r="U91" s="1" t="b">
        <v>1</v>
      </c>
      <c r="V91" s="1" t="b">
        <v>0</v>
      </c>
      <c r="W91" s="1" t="b">
        <v>0</v>
      </c>
      <c r="X91" s="1">
        <v>5</v>
      </c>
      <c r="Y91" s="1" t="b">
        <v>1</v>
      </c>
      <c r="Z91" s="1" t="b">
        <v>1</v>
      </c>
      <c r="AA91" s="1">
        <v>85</v>
      </c>
      <c r="AB91" s="1" t="b">
        <v>0</v>
      </c>
      <c r="AC91" s="1">
        <v>0</v>
      </c>
      <c r="AD91" s="1">
        <v>2326708</v>
      </c>
      <c r="AE91" s="1">
        <v>136871756</v>
      </c>
      <c r="AF91" s="1" t="s">
        <v>479</v>
      </c>
      <c r="AG91" s="1" t="s">
        <v>479</v>
      </c>
      <c r="AH91" s="1">
        <v>92</v>
      </c>
      <c r="AI91" s="1">
        <v>83.3</v>
      </c>
      <c r="AJ91" s="1" t="s">
        <v>480</v>
      </c>
      <c r="AK91" s="1" t="s">
        <v>481</v>
      </c>
      <c r="AL91" s="1" t="s">
        <v>482</v>
      </c>
    </row>
    <row r="92" spans="1:38" x14ac:dyDescent="0.6">
      <c r="A92" s="1">
        <v>67</v>
      </c>
      <c r="B92" s="1" t="s">
        <v>103</v>
      </c>
      <c r="C92" s="1">
        <v>89</v>
      </c>
      <c r="D92" s="1" t="s">
        <v>153</v>
      </c>
      <c r="E92" s="1"/>
      <c r="F92" s="1"/>
      <c r="G92" s="1"/>
      <c r="H92" s="1" t="s">
        <v>91</v>
      </c>
      <c r="I92" s="1" t="s">
        <v>92</v>
      </c>
      <c r="J92" s="1" t="s">
        <v>93</v>
      </c>
      <c r="K92" s="1">
        <v>1</v>
      </c>
      <c r="L92" s="1">
        <v>120</v>
      </c>
      <c r="M92" s="1" t="s">
        <v>14</v>
      </c>
      <c r="N92" s="1" t="s">
        <v>95</v>
      </c>
      <c r="O92" s="1" t="s">
        <v>96</v>
      </c>
      <c r="P92" s="1"/>
      <c r="Q92" s="1" t="s">
        <v>110</v>
      </c>
      <c r="R92" s="1">
        <v>3</v>
      </c>
      <c r="S92" s="1" t="s">
        <v>110</v>
      </c>
      <c r="T92" s="1" t="s">
        <v>200</v>
      </c>
      <c r="U92" s="1" t="b">
        <v>0</v>
      </c>
      <c r="V92" s="1" t="b">
        <v>1</v>
      </c>
      <c r="W92" s="1" t="b">
        <v>1</v>
      </c>
      <c r="X92" s="1">
        <v>6</v>
      </c>
      <c r="Y92" s="1" t="b">
        <v>1</v>
      </c>
      <c r="Z92" s="1" t="b">
        <v>1</v>
      </c>
      <c r="AA92" s="1"/>
      <c r="AB92" s="1" t="b">
        <v>1</v>
      </c>
      <c r="AC92" s="1">
        <v>145501727</v>
      </c>
      <c r="AD92" s="1">
        <v>1036769</v>
      </c>
      <c r="AE92" s="1">
        <v>0</v>
      </c>
      <c r="AF92" s="1" t="s">
        <v>470</v>
      </c>
      <c r="AG92" s="1" t="s">
        <v>471</v>
      </c>
      <c r="AH92" s="1">
        <v>52.9</v>
      </c>
      <c r="AI92" s="1">
        <v>58.3</v>
      </c>
      <c r="AJ92" s="1" t="s">
        <v>483</v>
      </c>
      <c r="AK92" s="1" t="s">
        <v>484</v>
      </c>
      <c r="AL92" s="1" t="s">
        <v>485</v>
      </c>
    </row>
    <row r="93" spans="1:38" x14ac:dyDescent="0.6">
      <c r="A93" s="1">
        <v>72</v>
      </c>
      <c r="B93" s="1" t="s">
        <v>103</v>
      </c>
      <c r="C93" s="1">
        <v>59</v>
      </c>
      <c r="D93" s="1" t="s">
        <v>89</v>
      </c>
      <c r="E93" s="1" t="s">
        <v>90</v>
      </c>
      <c r="F93" s="1"/>
      <c r="G93" s="1"/>
      <c r="H93" s="1" t="s">
        <v>91</v>
      </c>
      <c r="I93" s="1" t="s">
        <v>92</v>
      </c>
      <c r="J93" s="1" t="s">
        <v>93</v>
      </c>
      <c r="K93" s="1">
        <v>1</v>
      </c>
      <c r="L93" s="1">
        <v>120</v>
      </c>
      <c r="M93" s="1" t="s">
        <v>94</v>
      </c>
      <c r="N93" s="1" t="s">
        <v>95</v>
      </c>
      <c r="O93" s="1"/>
      <c r="P93" s="1" t="s">
        <v>96</v>
      </c>
      <c r="Q93" s="1" t="s">
        <v>9</v>
      </c>
      <c r="R93" s="1">
        <v>0</v>
      </c>
      <c r="S93" s="1" t="s">
        <v>97</v>
      </c>
      <c r="T93" s="1" t="s">
        <v>97</v>
      </c>
      <c r="U93" s="1" t="b">
        <v>1</v>
      </c>
      <c r="V93" s="1" t="b">
        <v>0</v>
      </c>
      <c r="W93" s="1" t="b">
        <v>0</v>
      </c>
      <c r="X93" s="1">
        <v>0</v>
      </c>
      <c r="Y93" s="1" t="b">
        <v>1</v>
      </c>
      <c r="Z93" s="1" t="b">
        <v>1</v>
      </c>
      <c r="AA93" s="1">
        <v>60.4</v>
      </c>
      <c r="AB93" s="1" t="b">
        <v>1</v>
      </c>
      <c r="AC93" s="1">
        <v>133810642</v>
      </c>
      <c r="AD93" s="1">
        <v>2504238</v>
      </c>
      <c r="AE93" s="1">
        <v>0</v>
      </c>
      <c r="AF93" s="1" t="s">
        <v>486</v>
      </c>
      <c r="AG93" s="1" t="s">
        <v>487</v>
      </c>
      <c r="AH93" s="1">
        <v>57.9</v>
      </c>
      <c r="AI93" s="1">
        <v>55.8</v>
      </c>
      <c r="AJ93" s="1" t="s">
        <v>488</v>
      </c>
      <c r="AK93" s="1" t="s">
        <v>489</v>
      </c>
      <c r="AL93" s="1" t="s">
        <v>490</v>
      </c>
    </row>
    <row r="94" spans="1:38" x14ac:dyDescent="0.6">
      <c r="A94" s="1">
        <v>55</v>
      </c>
      <c r="B94" s="1" t="s">
        <v>103</v>
      </c>
      <c r="C94" s="1"/>
      <c r="D94" s="1"/>
      <c r="E94" s="1" t="s">
        <v>90</v>
      </c>
      <c r="F94" s="1"/>
      <c r="G94" s="1"/>
      <c r="H94" s="1" t="s">
        <v>91</v>
      </c>
      <c r="I94" s="1" t="s">
        <v>92</v>
      </c>
      <c r="J94" s="1" t="s">
        <v>109</v>
      </c>
      <c r="K94" s="1">
        <v>1</v>
      </c>
      <c r="L94" s="1">
        <v>120</v>
      </c>
      <c r="M94" s="1" t="s">
        <v>94</v>
      </c>
      <c r="N94" s="1" t="s">
        <v>95</v>
      </c>
      <c r="O94" s="1"/>
      <c r="P94" s="1" t="s">
        <v>96</v>
      </c>
      <c r="Q94" s="1" t="s">
        <v>9</v>
      </c>
      <c r="R94" s="1">
        <v>0</v>
      </c>
      <c r="S94" s="1" t="s">
        <v>97</v>
      </c>
      <c r="T94" s="1" t="s">
        <v>97</v>
      </c>
      <c r="U94" s="1" t="b">
        <v>1</v>
      </c>
      <c r="V94" s="1" t="b">
        <v>0</v>
      </c>
      <c r="W94" s="1" t="b">
        <v>0</v>
      </c>
      <c r="X94" s="1">
        <v>0</v>
      </c>
      <c r="Y94" s="1" t="b">
        <v>1</v>
      </c>
      <c r="Z94" s="1" t="b">
        <v>1</v>
      </c>
      <c r="AA94" s="1">
        <v>58.7</v>
      </c>
      <c r="AB94" s="1" t="b">
        <v>1</v>
      </c>
      <c r="AC94" s="1">
        <v>145467090</v>
      </c>
      <c r="AD94" s="1">
        <v>2119982</v>
      </c>
      <c r="AE94" s="1">
        <v>0</v>
      </c>
      <c r="AF94" s="1" t="s">
        <v>491</v>
      </c>
      <c r="AG94" s="1" t="s">
        <v>492</v>
      </c>
      <c r="AH94" s="1">
        <v>59</v>
      </c>
      <c r="AI94" s="1">
        <v>55.6</v>
      </c>
      <c r="AJ94" s="1" t="s">
        <v>493</v>
      </c>
      <c r="AK94" s="1" t="s">
        <v>494</v>
      </c>
      <c r="AL94" s="1" t="s">
        <v>495</v>
      </c>
    </row>
    <row r="95" spans="1:38" x14ac:dyDescent="0.6">
      <c r="A95" s="1">
        <v>72</v>
      </c>
      <c r="B95" s="1" t="s">
        <v>103</v>
      </c>
      <c r="C95" s="1">
        <v>59</v>
      </c>
      <c r="D95" s="1" t="s">
        <v>89</v>
      </c>
      <c r="E95" s="1" t="s">
        <v>90</v>
      </c>
      <c r="F95" s="1"/>
      <c r="G95" s="1"/>
      <c r="H95" s="1" t="s">
        <v>91</v>
      </c>
      <c r="I95" s="1" t="s">
        <v>92</v>
      </c>
      <c r="J95" s="1" t="s">
        <v>93</v>
      </c>
      <c r="K95" s="1">
        <v>1</v>
      </c>
      <c r="L95" s="1">
        <v>120</v>
      </c>
      <c r="M95" s="1" t="s">
        <v>14</v>
      </c>
      <c r="N95" s="1" t="s">
        <v>95</v>
      </c>
      <c r="O95" s="1" t="s">
        <v>96</v>
      </c>
      <c r="P95" s="1"/>
      <c r="Q95" s="1" t="s">
        <v>9</v>
      </c>
      <c r="R95" s="1">
        <v>0</v>
      </c>
      <c r="S95" s="1" t="s">
        <v>97</v>
      </c>
      <c r="T95" s="1" t="s">
        <v>97</v>
      </c>
      <c r="U95" s="1" t="b">
        <v>1</v>
      </c>
      <c r="V95" s="1" t="b">
        <v>0</v>
      </c>
      <c r="W95" s="1" t="b">
        <v>0</v>
      </c>
      <c r="X95" s="1">
        <v>5</v>
      </c>
      <c r="Y95" s="1" t="b">
        <v>1</v>
      </c>
      <c r="Z95" s="1" t="b">
        <v>1</v>
      </c>
      <c r="AA95" s="1"/>
      <c r="AB95" s="1" t="b">
        <v>1</v>
      </c>
      <c r="AC95" s="1">
        <v>130562005</v>
      </c>
      <c r="AD95" s="1">
        <v>772139</v>
      </c>
      <c r="AE95" s="1">
        <v>0</v>
      </c>
      <c r="AF95" s="1" t="s">
        <v>486</v>
      </c>
      <c r="AG95" s="1" t="s">
        <v>487</v>
      </c>
      <c r="AH95" s="1">
        <v>57.9</v>
      </c>
      <c r="AI95" s="1">
        <v>55.8</v>
      </c>
      <c r="AJ95" s="1" t="s">
        <v>496</v>
      </c>
      <c r="AK95" s="1" t="s">
        <v>497</v>
      </c>
      <c r="AL95" s="1" t="s">
        <v>498</v>
      </c>
    </row>
    <row r="96" spans="1:38" x14ac:dyDescent="0.6">
      <c r="A96" s="1">
        <v>71</v>
      </c>
      <c r="B96" s="1" t="s">
        <v>103</v>
      </c>
      <c r="C96" s="1">
        <v>58</v>
      </c>
      <c r="D96" s="1" t="s">
        <v>89</v>
      </c>
      <c r="E96" s="1" t="s">
        <v>90</v>
      </c>
      <c r="F96" s="1"/>
      <c r="G96" s="1"/>
      <c r="H96" s="1" t="s">
        <v>91</v>
      </c>
      <c r="I96" s="1" t="s">
        <v>92</v>
      </c>
      <c r="J96" s="1" t="s">
        <v>93</v>
      </c>
      <c r="K96" s="1">
        <v>1</v>
      </c>
      <c r="L96" s="1">
        <v>120</v>
      </c>
      <c r="M96" s="1" t="s">
        <v>7</v>
      </c>
      <c r="N96" s="1" t="s">
        <v>7</v>
      </c>
      <c r="O96" s="1" t="s">
        <v>96</v>
      </c>
      <c r="P96" s="1" t="s">
        <v>96</v>
      </c>
      <c r="Q96" s="1" t="s">
        <v>9</v>
      </c>
      <c r="R96" s="1">
        <v>0</v>
      </c>
      <c r="S96" s="1" t="s">
        <v>97</v>
      </c>
      <c r="T96" s="1" t="s">
        <v>97</v>
      </c>
      <c r="U96" s="1" t="b">
        <v>1</v>
      </c>
      <c r="V96" s="1" t="b">
        <v>0</v>
      </c>
      <c r="W96" s="1" t="b">
        <v>0</v>
      </c>
      <c r="X96" s="1">
        <v>5</v>
      </c>
      <c r="Y96" s="1" t="b">
        <v>1</v>
      </c>
      <c r="Z96" s="1" t="b">
        <v>1</v>
      </c>
      <c r="AA96" s="1">
        <v>58.9</v>
      </c>
      <c r="AB96" s="1" t="b">
        <v>0</v>
      </c>
      <c r="AC96" s="1">
        <v>0</v>
      </c>
      <c r="AD96" s="1">
        <v>3576769</v>
      </c>
      <c r="AE96" s="1">
        <v>127757375</v>
      </c>
      <c r="AF96" s="1" t="s">
        <v>499</v>
      </c>
      <c r="AG96" s="1" t="s">
        <v>499</v>
      </c>
      <c r="AH96" s="1">
        <v>57.5</v>
      </c>
      <c r="AI96" s="1">
        <v>56.1</v>
      </c>
      <c r="AJ96" s="1" t="s">
        <v>500</v>
      </c>
      <c r="AK96" s="1" t="s">
        <v>501</v>
      </c>
      <c r="AL96" s="1" t="s">
        <v>502</v>
      </c>
    </row>
    <row r="97" spans="1:38" x14ac:dyDescent="0.6">
      <c r="A97" s="1">
        <v>55</v>
      </c>
      <c r="B97" s="1" t="s">
        <v>103</v>
      </c>
      <c r="C97" s="1"/>
      <c r="D97" s="1"/>
      <c r="E97" s="1" t="s">
        <v>90</v>
      </c>
      <c r="F97" s="1"/>
      <c r="G97" s="1"/>
      <c r="H97" s="1" t="s">
        <v>91</v>
      </c>
      <c r="I97" s="1" t="s">
        <v>92</v>
      </c>
      <c r="J97" s="1" t="s">
        <v>109</v>
      </c>
      <c r="K97" s="1">
        <v>1</v>
      </c>
      <c r="L97" s="1">
        <v>120</v>
      </c>
      <c r="M97" s="1" t="s">
        <v>14</v>
      </c>
      <c r="N97" s="1" t="s">
        <v>95</v>
      </c>
      <c r="O97" s="1" t="s">
        <v>96</v>
      </c>
      <c r="P97" s="1"/>
      <c r="Q97" s="1" t="s">
        <v>9</v>
      </c>
      <c r="R97" s="1">
        <v>0</v>
      </c>
      <c r="S97" s="1" t="s">
        <v>97</v>
      </c>
      <c r="T97" s="1" t="s">
        <v>97</v>
      </c>
      <c r="U97" s="1" t="b">
        <v>1</v>
      </c>
      <c r="V97" s="1" t="b">
        <v>0</v>
      </c>
      <c r="W97" s="1" t="b">
        <v>0</v>
      </c>
      <c r="X97" s="1">
        <v>5</v>
      </c>
      <c r="Y97" s="1" t="b">
        <v>1</v>
      </c>
      <c r="Z97" s="1" t="b">
        <v>1</v>
      </c>
      <c r="AA97" s="1"/>
      <c r="AB97" s="1" t="b">
        <v>1</v>
      </c>
      <c r="AC97" s="1">
        <v>136960336</v>
      </c>
      <c r="AD97" s="1">
        <v>665264</v>
      </c>
      <c r="AE97" s="1">
        <v>0</v>
      </c>
      <c r="AF97" s="1" t="s">
        <v>491</v>
      </c>
      <c r="AG97" s="1" t="s">
        <v>492</v>
      </c>
      <c r="AH97" s="1">
        <v>59</v>
      </c>
      <c r="AI97" s="1">
        <v>55.6</v>
      </c>
      <c r="AJ97" s="1" t="s">
        <v>503</v>
      </c>
      <c r="AK97" s="1" t="s">
        <v>504</v>
      </c>
      <c r="AL97" s="1" t="s">
        <v>505</v>
      </c>
    </row>
    <row r="98" spans="1:38" x14ac:dyDescent="0.6">
      <c r="A98" s="1">
        <v>62</v>
      </c>
      <c r="B98" s="1" t="s">
        <v>103</v>
      </c>
      <c r="C98" s="1">
        <v>57</v>
      </c>
      <c r="D98" s="1" t="s">
        <v>89</v>
      </c>
      <c r="E98" s="1" t="s">
        <v>90</v>
      </c>
      <c r="F98" s="1"/>
      <c r="G98" s="1"/>
      <c r="H98" s="1" t="s">
        <v>91</v>
      </c>
      <c r="I98" s="1" t="s">
        <v>92</v>
      </c>
      <c r="J98" s="1" t="s">
        <v>93</v>
      </c>
      <c r="K98" s="1">
        <v>1</v>
      </c>
      <c r="L98" s="1">
        <v>120</v>
      </c>
      <c r="M98" s="1" t="s">
        <v>14</v>
      </c>
      <c r="N98" s="1" t="s">
        <v>95</v>
      </c>
      <c r="O98" s="1" t="s">
        <v>96</v>
      </c>
      <c r="P98" s="1"/>
      <c r="Q98" s="1" t="s">
        <v>9</v>
      </c>
      <c r="R98" s="1">
        <v>0</v>
      </c>
      <c r="S98" s="1" t="s">
        <v>97</v>
      </c>
      <c r="T98" s="1" t="s">
        <v>97</v>
      </c>
      <c r="U98" s="1" t="b">
        <v>1</v>
      </c>
      <c r="V98" s="1" t="b">
        <v>0</v>
      </c>
      <c r="W98" s="1" t="b">
        <v>0</v>
      </c>
      <c r="X98" s="1">
        <v>5</v>
      </c>
      <c r="Y98" s="1" t="b">
        <v>1</v>
      </c>
      <c r="Z98" s="1" t="b">
        <v>1</v>
      </c>
      <c r="AA98" s="1"/>
      <c r="AB98" s="1" t="b">
        <v>1</v>
      </c>
      <c r="AC98" s="1">
        <v>134117492</v>
      </c>
      <c r="AD98" s="1">
        <v>624524</v>
      </c>
      <c r="AE98" s="1">
        <v>0</v>
      </c>
      <c r="AF98" s="1" t="s">
        <v>506</v>
      </c>
      <c r="AG98" s="1" t="s">
        <v>507</v>
      </c>
      <c r="AH98" s="1">
        <v>82.6</v>
      </c>
      <c r="AI98" s="1">
        <v>78.900000000000006</v>
      </c>
      <c r="AJ98" s="1" t="s">
        <v>508</v>
      </c>
      <c r="AK98" s="1" t="s">
        <v>509</v>
      </c>
      <c r="AL98" s="1" t="s">
        <v>510</v>
      </c>
    </row>
    <row r="99" spans="1:38" x14ac:dyDescent="0.6">
      <c r="A99" s="1">
        <v>56</v>
      </c>
      <c r="B99" s="1" t="s">
        <v>103</v>
      </c>
      <c r="C99" s="1"/>
      <c r="D99" s="1"/>
      <c r="E99" s="1" t="s">
        <v>90</v>
      </c>
      <c r="F99" s="1"/>
      <c r="G99" s="1"/>
      <c r="H99" s="1" t="s">
        <v>91</v>
      </c>
      <c r="I99" s="1" t="s">
        <v>92</v>
      </c>
      <c r="J99" s="1" t="s">
        <v>109</v>
      </c>
      <c r="K99" s="1">
        <v>1</v>
      </c>
      <c r="L99" s="1">
        <v>120</v>
      </c>
      <c r="M99" s="1" t="s">
        <v>94</v>
      </c>
      <c r="N99" s="1" t="s">
        <v>95</v>
      </c>
      <c r="O99" s="1"/>
      <c r="P99" s="1" t="s">
        <v>96</v>
      </c>
      <c r="Q99" s="1" t="s">
        <v>9</v>
      </c>
      <c r="R99" s="1">
        <v>0</v>
      </c>
      <c r="S99" s="1" t="s">
        <v>97</v>
      </c>
      <c r="T99" s="1" t="s">
        <v>97</v>
      </c>
      <c r="U99" s="1" t="b">
        <v>1</v>
      </c>
      <c r="V99" s="1" t="b">
        <v>0</v>
      </c>
      <c r="W99" s="1" t="b">
        <v>0</v>
      </c>
      <c r="X99" s="1">
        <v>0</v>
      </c>
      <c r="Y99" s="1" t="b">
        <v>1</v>
      </c>
      <c r="Z99" s="1" t="b">
        <v>1</v>
      </c>
      <c r="AA99" s="1">
        <v>69.900000000000006</v>
      </c>
      <c r="AB99" s="1" t="b">
        <v>1</v>
      </c>
      <c r="AC99" s="1">
        <v>155147604</v>
      </c>
      <c r="AD99" s="1">
        <v>1614508</v>
      </c>
      <c r="AE99" s="1">
        <v>0</v>
      </c>
      <c r="AF99" s="1" t="s">
        <v>428</v>
      </c>
      <c r="AG99" s="1" t="s">
        <v>429</v>
      </c>
      <c r="AH99" s="1">
        <v>75.099999999999994</v>
      </c>
      <c r="AI99" s="1">
        <v>67.400000000000006</v>
      </c>
      <c r="AJ99" s="1" t="s">
        <v>511</v>
      </c>
      <c r="AK99" s="1" t="s">
        <v>512</v>
      </c>
      <c r="AL99" s="1" t="s">
        <v>513</v>
      </c>
    </row>
    <row r="100" spans="1:38" x14ac:dyDescent="0.6">
      <c r="A100" s="1">
        <v>57</v>
      </c>
      <c r="B100" s="1" t="s">
        <v>88</v>
      </c>
      <c r="C100" s="1"/>
      <c r="D100" s="1"/>
      <c r="E100" s="1" t="s">
        <v>90</v>
      </c>
      <c r="F100" s="1"/>
      <c r="G100" s="1"/>
      <c r="H100" s="1" t="s">
        <v>91</v>
      </c>
      <c r="I100" s="1" t="s">
        <v>92</v>
      </c>
      <c r="J100" s="1" t="s">
        <v>109</v>
      </c>
      <c r="K100" s="1">
        <v>1</v>
      </c>
      <c r="L100" s="1">
        <v>120</v>
      </c>
      <c r="M100" s="1" t="s">
        <v>14</v>
      </c>
      <c r="N100" s="1" t="s">
        <v>95</v>
      </c>
      <c r="O100" s="1" t="s">
        <v>96</v>
      </c>
      <c r="P100" s="1"/>
      <c r="Q100" s="1" t="s">
        <v>9</v>
      </c>
      <c r="R100" s="1">
        <v>0</v>
      </c>
      <c r="S100" s="1" t="s">
        <v>97</v>
      </c>
      <c r="T100" s="1" t="s">
        <v>97</v>
      </c>
      <c r="U100" s="1" t="b">
        <v>1</v>
      </c>
      <c r="V100" s="1" t="b">
        <v>0</v>
      </c>
      <c r="W100" s="1" t="b">
        <v>0</v>
      </c>
      <c r="X100" s="1">
        <v>5</v>
      </c>
      <c r="Y100" s="1" t="b">
        <v>1</v>
      </c>
      <c r="Z100" s="1" t="b">
        <v>1</v>
      </c>
      <c r="AA100" s="1"/>
      <c r="AB100" s="1" t="b">
        <v>1</v>
      </c>
      <c r="AC100" s="1">
        <v>139537261</v>
      </c>
      <c r="AD100" s="1">
        <v>709779</v>
      </c>
      <c r="AE100" s="1">
        <v>0</v>
      </c>
      <c r="AF100" s="1" t="s">
        <v>433</v>
      </c>
      <c r="AG100" s="1" t="s">
        <v>434</v>
      </c>
      <c r="AH100" s="1">
        <v>83.5</v>
      </c>
      <c r="AI100" s="1">
        <v>81.8</v>
      </c>
      <c r="AJ100" s="1" t="s">
        <v>514</v>
      </c>
      <c r="AK100" s="1" t="s">
        <v>515</v>
      </c>
      <c r="AL100" s="1" t="s">
        <v>516</v>
      </c>
    </row>
    <row r="101" spans="1:38" x14ac:dyDescent="0.6">
      <c r="A101" s="1">
        <v>62</v>
      </c>
      <c r="B101" s="1" t="s">
        <v>103</v>
      </c>
      <c r="C101" s="1">
        <v>57</v>
      </c>
      <c r="D101" s="1" t="s">
        <v>89</v>
      </c>
      <c r="E101" s="1" t="s">
        <v>90</v>
      </c>
      <c r="F101" s="1"/>
      <c r="G101" s="1"/>
      <c r="H101" s="1" t="s">
        <v>91</v>
      </c>
      <c r="I101" s="1" t="s">
        <v>92</v>
      </c>
      <c r="J101" s="1" t="s">
        <v>93</v>
      </c>
      <c r="K101" s="1">
        <v>1</v>
      </c>
      <c r="L101" s="1">
        <v>120</v>
      </c>
      <c r="M101" s="1" t="s">
        <v>94</v>
      </c>
      <c r="N101" s="1" t="s">
        <v>95</v>
      </c>
      <c r="O101" s="1"/>
      <c r="P101" s="1" t="s">
        <v>96</v>
      </c>
      <c r="Q101" s="1" t="s">
        <v>9</v>
      </c>
      <c r="R101" s="1">
        <v>0</v>
      </c>
      <c r="S101" s="1" t="s">
        <v>97</v>
      </c>
      <c r="T101" s="1" t="s">
        <v>97</v>
      </c>
      <c r="U101" s="1" t="b">
        <v>1</v>
      </c>
      <c r="V101" s="1" t="b">
        <v>0</v>
      </c>
      <c r="W101" s="1" t="b">
        <v>0</v>
      </c>
      <c r="X101" s="1">
        <v>0</v>
      </c>
      <c r="Y101" s="1" t="b">
        <v>1</v>
      </c>
      <c r="Z101" s="1" t="b">
        <v>1</v>
      </c>
      <c r="AA101" s="1">
        <v>82.7</v>
      </c>
      <c r="AB101" s="1" t="b">
        <v>1</v>
      </c>
      <c r="AC101" s="1">
        <v>138765019</v>
      </c>
      <c r="AD101" s="1">
        <v>1744165</v>
      </c>
      <c r="AE101" s="1">
        <v>0</v>
      </c>
      <c r="AF101" s="1" t="s">
        <v>506</v>
      </c>
      <c r="AG101" s="1" t="s">
        <v>507</v>
      </c>
      <c r="AH101" s="1">
        <v>82.6</v>
      </c>
      <c r="AI101" s="1">
        <v>78.900000000000006</v>
      </c>
      <c r="AJ101" s="1" t="s">
        <v>517</v>
      </c>
      <c r="AK101" s="1" t="s">
        <v>518</v>
      </c>
      <c r="AL101" s="1" t="s">
        <v>519</v>
      </c>
    </row>
    <row r="102" spans="1:38" x14ac:dyDescent="0.6">
      <c r="A102" s="1">
        <v>74</v>
      </c>
      <c r="B102" s="1" t="s">
        <v>103</v>
      </c>
      <c r="C102" s="1">
        <v>53</v>
      </c>
      <c r="D102" s="1" t="s">
        <v>89</v>
      </c>
      <c r="E102" s="1" t="s">
        <v>108</v>
      </c>
      <c r="F102" s="1"/>
      <c r="G102" s="1"/>
      <c r="H102" s="1" t="s">
        <v>91</v>
      </c>
      <c r="I102" s="1" t="s">
        <v>92</v>
      </c>
      <c r="J102" s="1" t="s">
        <v>93</v>
      </c>
      <c r="K102" s="1">
        <v>1</v>
      </c>
      <c r="L102" s="1">
        <v>120</v>
      </c>
      <c r="M102" s="1" t="s">
        <v>14</v>
      </c>
      <c r="N102" s="1" t="s">
        <v>95</v>
      </c>
      <c r="O102" s="1" t="s">
        <v>96</v>
      </c>
      <c r="P102" s="1"/>
      <c r="Q102" s="1" t="s">
        <v>9</v>
      </c>
      <c r="R102" s="1">
        <v>0</v>
      </c>
      <c r="S102" s="1" t="s">
        <v>97</v>
      </c>
      <c r="T102" s="1" t="s">
        <v>97</v>
      </c>
      <c r="U102" s="1" t="b">
        <v>1</v>
      </c>
      <c r="V102" s="1" t="b">
        <v>0</v>
      </c>
      <c r="W102" s="1" t="b">
        <v>0</v>
      </c>
      <c r="X102" s="1">
        <v>5</v>
      </c>
      <c r="Y102" s="1" t="b">
        <v>1</v>
      </c>
      <c r="Z102" s="1" t="b">
        <v>1</v>
      </c>
      <c r="AA102" s="1"/>
      <c r="AB102" s="1" t="b">
        <v>1</v>
      </c>
      <c r="AC102" s="1">
        <v>130561169</v>
      </c>
      <c r="AD102" s="1">
        <v>772975</v>
      </c>
      <c r="AE102" s="1">
        <v>0</v>
      </c>
      <c r="AF102" s="1" t="s">
        <v>520</v>
      </c>
      <c r="AG102" s="1" t="s">
        <v>521</v>
      </c>
      <c r="AH102" s="1">
        <v>60.8</v>
      </c>
      <c r="AI102" s="1">
        <v>71.3</v>
      </c>
      <c r="AJ102" s="1" t="s">
        <v>522</v>
      </c>
      <c r="AK102" s="1" t="s">
        <v>523</v>
      </c>
      <c r="AL102" s="1" t="s">
        <v>524</v>
      </c>
    </row>
    <row r="103" spans="1:38" x14ac:dyDescent="0.6">
      <c r="A103" s="1">
        <v>75</v>
      </c>
      <c r="B103" s="1" t="s">
        <v>88</v>
      </c>
      <c r="C103" s="1">
        <v>55</v>
      </c>
      <c r="D103" s="1" t="s">
        <v>89</v>
      </c>
      <c r="E103" s="1" t="s">
        <v>90</v>
      </c>
      <c r="F103" s="1"/>
      <c r="G103" s="1"/>
      <c r="H103" s="1" t="s">
        <v>91</v>
      </c>
      <c r="I103" s="1" t="s">
        <v>92</v>
      </c>
      <c r="J103" s="1" t="s">
        <v>93</v>
      </c>
      <c r="K103" s="1">
        <v>1</v>
      </c>
      <c r="L103" s="1">
        <v>120</v>
      </c>
      <c r="M103" s="1" t="s">
        <v>14</v>
      </c>
      <c r="N103" s="1" t="s">
        <v>95</v>
      </c>
      <c r="O103" s="1" t="s">
        <v>96</v>
      </c>
      <c r="P103" s="1"/>
      <c r="Q103" s="1" t="s">
        <v>9</v>
      </c>
      <c r="R103" s="1">
        <v>0</v>
      </c>
      <c r="S103" s="1" t="s">
        <v>97</v>
      </c>
      <c r="T103" s="1" t="s">
        <v>97</v>
      </c>
      <c r="U103" s="1" t="b">
        <v>1</v>
      </c>
      <c r="V103" s="1" t="b">
        <v>0</v>
      </c>
      <c r="W103" s="1" t="b">
        <v>0</v>
      </c>
      <c r="X103" s="1">
        <v>5</v>
      </c>
      <c r="Y103" s="1" t="b">
        <v>1</v>
      </c>
      <c r="Z103" s="1" t="b">
        <v>1</v>
      </c>
      <c r="AA103" s="1"/>
      <c r="AB103" s="1" t="b">
        <v>1</v>
      </c>
      <c r="AC103" s="1">
        <v>123333355</v>
      </c>
      <c r="AD103" s="1">
        <v>398613</v>
      </c>
      <c r="AE103" s="1">
        <v>0</v>
      </c>
      <c r="AF103" s="1" t="s">
        <v>525</v>
      </c>
      <c r="AG103" s="1" t="s">
        <v>526</v>
      </c>
      <c r="AH103" s="1">
        <v>87.9</v>
      </c>
      <c r="AI103" s="1">
        <v>83.3</v>
      </c>
      <c r="AJ103" s="1" t="s">
        <v>527</v>
      </c>
      <c r="AK103" s="1" t="s">
        <v>528</v>
      </c>
      <c r="AL103" s="1" t="s">
        <v>529</v>
      </c>
    </row>
    <row r="104" spans="1:38" x14ac:dyDescent="0.6">
      <c r="A104" s="1">
        <v>74</v>
      </c>
      <c r="B104" s="1" t="s">
        <v>103</v>
      </c>
      <c r="C104" s="1">
        <v>53</v>
      </c>
      <c r="D104" s="1" t="s">
        <v>89</v>
      </c>
      <c r="E104" s="1" t="s">
        <v>108</v>
      </c>
      <c r="F104" s="1"/>
      <c r="G104" s="1"/>
      <c r="H104" s="1" t="s">
        <v>91</v>
      </c>
      <c r="I104" s="1" t="s">
        <v>92</v>
      </c>
      <c r="J104" s="1" t="s">
        <v>93</v>
      </c>
      <c r="K104" s="1">
        <v>1</v>
      </c>
      <c r="L104" s="1">
        <v>120</v>
      </c>
      <c r="M104" s="1" t="s">
        <v>94</v>
      </c>
      <c r="N104" s="1" t="s">
        <v>95</v>
      </c>
      <c r="O104" s="1"/>
      <c r="P104" s="1" t="s">
        <v>96</v>
      </c>
      <c r="Q104" s="1" t="s">
        <v>9</v>
      </c>
      <c r="R104" s="1">
        <v>0</v>
      </c>
      <c r="S104" s="1" t="s">
        <v>97</v>
      </c>
      <c r="T104" s="1" t="s">
        <v>97</v>
      </c>
      <c r="U104" s="1" t="b">
        <v>1</v>
      </c>
      <c r="V104" s="1" t="b">
        <v>0</v>
      </c>
      <c r="W104" s="1" t="b">
        <v>0</v>
      </c>
      <c r="X104" s="1">
        <v>0</v>
      </c>
      <c r="Y104" s="1" t="b">
        <v>1</v>
      </c>
      <c r="Z104" s="1" t="b">
        <v>1</v>
      </c>
      <c r="AA104" s="1">
        <v>77.7</v>
      </c>
      <c r="AB104" s="1" t="b">
        <v>1</v>
      </c>
      <c r="AC104" s="1">
        <v>129380001</v>
      </c>
      <c r="AD104" s="1">
        <v>1954143</v>
      </c>
      <c r="AE104" s="1">
        <v>0</v>
      </c>
      <c r="AF104" s="1" t="s">
        <v>520</v>
      </c>
      <c r="AG104" s="1" t="s">
        <v>521</v>
      </c>
      <c r="AH104" s="1">
        <v>60.8</v>
      </c>
      <c r="AI104" s="1">
        <v>71.3</v>
      </c>
      <c r="AJ104" s="1" t="s">
        <v>530</v>
      </c>
      <c r="AK104" s="1" t="s">
        <v>531</v>
      </c>
      <c r="AL104" s="1" t="s">
        <v>532</v>
      </c>
    </row>
    <row r="105" spans="1:38" x14ac:dyDescent="0.6">
      <c r="A105" s="1">
        <v>75</v>
      </c>
      <c r="B105" s="1" t="s">
        <v>88</v>
      </c>
      <c r="C105" s="1">
        <v>55</v>
      </c>
      <c r="D105" s="1" t="s">
        <v>89</v>
      </c>
      <c r="E105" s="1" t="s">
        <v>90</v>
      </c>
      <c r="F105" s="1"/>
      <c r="G105" s="1"/>
      <c r="H105" s="1" t="s">
        <v>91</v>
      </c>
      <c r="I105" s="1" t="s">
        <v>92</v>
      </c>
      <c r="J105" s="1" t="s">
        <v>93</v>
      </c>
      <c r="K105" s="1">
        <v>1</v>
      </c>
      <c r="L105" s="1">
        <v>120</v>
      </c>
      <c r="M105" s="1" t="s">
        <v>94</v>
      </c>
      <c r="N105" s="1" t="s">
        <v>95</v>
      </c>
      <c r="O105" s="1"/>
      <c r="P105" s="1" t="s">
        <v>96</v>
      </c>
      <c r="Q105" s="1" t="s">
        <v>9</v>
      </c>
      <c r="R105" s="1">
        <v>0</v>
      </c>
      <c r="S105" s="1" t="s">
        <v>97</v>
      </c>
      <c r="T105" s="1" t="s">
        <v>97</v>
      </c>
      <c r="U105" s="1" t="b">
        <v>1</v>
      </c>
      <c r="V105" s="1" t="b">
        <v>0</v>
      </c>
      <c r="W105" s="1" t="b">
        <v>0</v>
      </c>
      <c r="X105" s="1">
        <v>0</v>
      </c>
      <c r="Y105" s="1" t="b">
        <v>1</v>
      </c>
      <c r="Z105" s="1" t="b">
        <v>1</v>
      </c>
      <c r="AA105" s="1">
        <v>86.7</v>
      </c>
      <c r="AB105" s="1" t="b">
        <v>1</v>
      </c>
      <c r="AC105" s="1">
        <v>130102848</v>
      </c>
      <c r="AD105" s="1">
        <v>1231296</v>
      </c>
      <c r="AE105" s="1">
        <v>0</v>
      </c>
      <c r="AF105" s="1" t="s">
        <v>525</v>
      </c>
      <c r="AG105" s="1" t="s">
        <v>526</v>
      </c>
      <c r="AH105" s="1">
        <v>87.9</v>
      </c>
      <c r="AI105" s="1">
        <v>83.3</v>
      </c>
      <c r="AJ105" s="1" t="s">
        <v>533</v>
      </c>
      <c r="AK105" s="1" t="s">
        <v>534</v>
      </c>
      <c r="AL105" s="1" t="s">
        <v>535</v>
      </c>
    </row>
    <row r="106" spans="1:38" x14ac:dyDescent="0.6">
      <c r="A106" s="1">
        <v>73</v>
      </c>
      <c r="B106" s="1" t="s">
        <v>88</v>
      </c>
      <c r="C106" s="1">
        <v>50</v>
      </c>
      <c r="D106" s="1" t="s">
        <v>89</v>
      </c>
      <c r="E106" s="1" t="s">
        <v>108</v>
      </c>
      <c r="F106" s="1"/>
      <c r="G106" s="1"/>
      <c r="H106" s="1" t="s">
        <v>91</v>
      </c>
      <c r="I106" s="1" t="s">
        <v>92</v>
      </c>
      <c r="J106" s="1" t="s">
        <v>93</v>
      </c>
      <c r="K106" s="1">
        <v>1</v>
      </c>
      <c r="L106" s="1">
        <v>120</v>
      </c>
      <c r="M106" s="1" t="s">
        <v>7</v>
      </c>
      <c r="N106" s="1" t="s">
        <v>7</v>
      </c>
      <c r="O106" s="1" t="s">
        <v>96</v>
      </c>
      <c r="P106" s="1" t="s">
        <v>96</v>
      </c>
      <c r="Q106" s="1" t="s">
        <v>9</v>
      </c>
      <c r="R106" s="1">
        <v>0</v>
      </c>
      <c r="S106" s="1" t="s">
        <v>97</v>
      </c>
      <c r="T106" s="1" t="s">
        <v>97</v>
      </c>
      <c r="U106" s="1" t="b">
        <v>1</v>
      </c>
      <c r="V106" s="1" t="b">
        <v>0</v>
      </c>
      <c r="W106" s="1" t="b">
        <v>0</v>
      </c>
      <c r="X106" s="1">
        <v>5</v>
      </c>
      <c r="Y106" s="1" t="b">
        <v>1</v>
      </c>
      <c r="Z106" s="1" t="b">
        <v>1</v>
      </c>
      <c r="AA106" s="1">
        <v>64.400000000000006</v>
      </c>
      <c r="AB106" s="1" t="b">
        <v>0</v>
      </c>
      <c r="AC106" s="1">
        <v>0</v>
      </c>
      <c r="AD106" s="1">
        <v>2732333</v>
      </c>
      <c r="AE106" s="1">
        <v>140398291</v>
      </c>
      <c r="AF106" s="1" t="s">
        <v>536</v>
      </c>
      <c r="AG106" s="1" t="s">
        <v>536</v>
      </c>
      <c r="AH106" s="1">
        <v>82.3</v>
      </c>
      <c r="AI106" s="1">
        <v>68.3</v>
      </c>
      <c r="AJ106" s="1" t="s">
        <v>537</v>
      </c>
      <c r="AK106" s="1" t="s">
        <v>538</v>
      </c>
      <c r="AL106" s="1" t="s">
        <v>539</v>
      </c>
    </row>
    <row r="107" spans="1:38" x14ac:dyDescent="0.6">
      <c r="A107" s="1">
        <v>76</v>
      </c>
      <c r="B107" s="1" t="s">
        <v>88</v>
      </c>
      <c r="C107" s="1">
        <v>62</v>
      </c>
      <c r="D107" s="1" t="s">
        <v>127</v>
      </c>
      <c r="E107" s="1" t="s">
        <v>108</v>
      </c>
      <c r="F107" s="1"/>
      <c r="G107" s="1"/>
      <c r="H107" s="1" t="s">
        <v>91</v>
      </c>
      <c r="I107" s="1" t="s">
        <v>92</v>
      </c>
      <c r="J107" s="1" t="s">
        <v>93</v>
      </c>
      <c r="K107" s="1">
        <v>1</v>
      </c>
      <c r="L107" s="1">
        <v>120</v>
      </c>
      <c r="M107" s="1" t="s">
        <v>7</v>
      </c>
      <c r="N107" s="1" t="s">
        <v>7</v>
      </c>
      <c r="O107" s="1" t="s">
        <v>96</v>
      </c>
      <c r="P107" s="1" t="s">
        <v>96</v>
      </c>
      <c r="Q107" s="1" t="s">
        <v>9</v>
      </c>
      <c r="R107" s="1">
        <v>0</v>
      </c>
      <c r="S107" s="1" t="s">
        <v>97</v>
      </c>
      <c r="T107" s="1" t="s">
        <v>97</v>
      </c>
      <c r="U107" s="1" t="b">
        <v>1</v>
      </c>
      <c r="V107" s="1" t="b">
        <v>0</v>
      </c>
      <c r="W107" s="1" t="b">
        <v>0</v>
      </c>
      <c r="X107" s="1">
        <v>5</v>
      </c>
      <c r="Y107" s="1" t="b">
        <v>1</v>
      </c>
      <c r="Z107" s="1" t="b">
        <v>1</v>
      </c>
      <c r="AA107" s="1">
        <v>61.4</v>
      </c>
      <c r="AB107" s="1" t="b">
        <v>0</v>
      </c>
      <c r="AC107" s="1">
        <v>0</v>
      </c>
      <c r="AD107" s="1">
        <v>2648630</v>
      </c>
      <c r="AE107" s="1">
        <v>143627722</v>
      </c>
      <c r="AF107" s="1" t="s">
        <v>540</v>
      </c>
      <c r="AG107" s="1" t="s">
        <v>540</v>
      </c>
      <c r="AH107" s="1">
        <v>59.6</v>
      </c>
      <c r="AI107" s="1">
        <v>59.4</v>
      </c>
      <c r="AJ107" s="1" t="s">
        <v>541</v>
      </c>
      <c r="AK107" s="1" t="s">
        <v>542</v>
      </c>
      <c r="AL107" s="1" t="s">
        <v>543</v>
      </c>
    </row>
    <row r="108" spans="1:38" x14ac:dyDescent="0.6">
      <c r="A108" s="1">
        <v>68</v>
      </c>
      <c r="B108" s="1" t="s">
        <v>103</v>
      </c>
      <c r="C108" s="1">
        <v>89</v>
      </c>
      <c r="D108" s="1" t="s">
        <v>153</v>
      </c>
      <c r="E108" s="1"/>
      <c r="F108" s="1"/>
      <c r="G108" s="1"/>
      <c r="H108" s="1" t="s">
        <v>91</v>
      </c>
      <c r="I108" s="1" t="s">
        <v>92</v>
      </c>
      <c r="J108" s="1" t="s">
        <v>93</v>
      </c>
      <c r="K108" s="1">
        <v>1</v>
      </c>
      <c r="L108" s="1">
        <v>120</v>
      </c>
      <c r="M108" s="1" t="s">
        <v>7</v>
      </c>
      <c r="N108" s="1" t="s">
        <v>7</v>
      </c>
      <c r="O108" s="1" t="s">
        <v>96</v>
      </c>
      <c r="P108" s="1" t="s">
        <v>96</v>
      </c>
      <c r="Q108" s="1" t="s">
        <v>9</v>
      </c>
      <c r="R108" s="1">
        <v>0</v>
      </c>
      <c r="S108" s="1" t="s">
        <v>97</v>
      </c>
      <c r="T108" s="1" t="s">
        <v>97</v>
      </c>
      <c r="U108" s="1" t="b">
        <v>1</v>
      </c>
      <c r="V108" s="1" t="b">
        <v>0</v>
      </c>
      <c r="W108" s="1" t="b">
        <v>0</v>
      </c>
      <c r="X108" s="1">
        <v>5</v>
      </c>
      <c r="Y108" s="1" t="b">
        <v>1</v>
      </c>
      <c r="Z108" s="1" t="b">
        <v>1</v>
      </c>
      <c r="AA108" s="1">
        <v>68.400000000000006</v>
      </c>
      <c r="AB108" s="1" t="b">
        <v>0</v>
      </c>
      <c r="AC108" s="1">
        <v>0</v>
      </c>
      <c r="AD108" s="1">
        <v>1908927</v>
      </c>
      <c r="AE108" s="1">
        <v>132833089</v>
      </c>
      <c r="AF108" s="1" t="s">
        <v>544</v>
      </c>
      <c r="AG108" s="1" t="s">
        <v>544</v>
      </c>
      <c r="AH108" s="1">
        <v>63.9</v>
      </c>
      <c r="AI108" s="1">
        <v>65.900000000000006</v>
      </c>
      <c r="AJ108" s="1" t="s">
        <v>545</v>
      </c>
      <c r="AK108" s="1" t="s">
        <v>546</v>
      </c>
      <c r="AL108" s="1" t="s">
        <v>547</v>
      </c>
    </row>
    <row r="109" spans="1:38" x14ac:dyDescent="0.6">
      <c r="A109" s="1">
        <v>77</v>
      </c>
      <c r="B109" s="1" t="s">
        <v>88</v>
      </c>
      <c r="C109" s="1">
        <v>51</v>
      </c>
      <c r="D109" s="1" t="s">
        <v>89</v>
      </c>
      <c r="E109" s="1" t="s">
        <v>90</v>
      </c>
      <c r="F109" s="1"/>
      <c r="G109" s="1"/>
      <c r="H109" s="1" t="s">
        <v>91</v>
      </c>
      <c r="I109" s="1" t="s">
        <v>92</v>
      </c>
      <c r="J109" s="1" t="s">
        <v>93</v>
      </c>
      <c r="K109" s="1">
        <v>1</v>
      </c>
      <c r="L109" s="1">
        <v>120</v>
      </c>
      <c r="M109" s="1" t="s">
        <v>7</v>
      </c>
      <c r="N109" s="1" t="s">
        <v>7</v>
      </c>
      <c r="O109" s="1" t="s">
        <v>96</v>
      </c>
      <c r="P109" s="1" t="s">
        <v>96</v>
      </c>
      <c r="Q109" s="1" t="s">
        <v>9</v>
      </c>
      <c r="R109" s="1">
        <v>0</v>
      </c>
      <c r="S109" s="1" t="s">
        <v>97</v>
      </c>
      <c r="T109" s="1" t="s">
        <v>97</v>
      </c>
      <c r="U109" s="1" t="b">
        <v>1</v>
      </c>
      <c r="V109" s="1" t="b">
        <v>0</v>
      </c>
      <c r="W109" s="1" t="b">
        <v>0</v>
      </c>
      <c r="X109" s="1">
        <v>5</v>
      </c>
      <c r="Y109" s="1" t="b">
        <v>1</v>
      </c>
      <c r="Z109" s="1" t="b">
        <v>1</v>
      </c>
      <c r="AA109" s="1">
        <v>69.900000000000006</v>
      </c>
      <c r="AB109" s="1" t="b">
        <v>0</v>
      </c>
      <c r="AC109" s="1">
        <v>0</v>
      </c>
      <c r="AD109" s="1">
        <v>2127081</v>
      </c>
      <c r="AE109" s="1">
        <v>133139223</v>
      </c>
      <c r="AF109" s="1" t="s">
        <v>548</v>
      </c>
      <c r="AG109" s="1" t="s">
        <v>548</v>
      </c>
      <c r="AH109" s="1">
        <v>64.599999999999994</v>
      </c>
      <c r="AI109" s="1">
        <v>65.5</v>
      </c>
      <c r="AJ109" s="1" t="s">
        <v>549</v>
      </c>
      <c r="AK109" s="1" t="s">
        <v>550</v>
      </c>
      <c r="AL109" s="1" t="s">
        <v>551</v>
      </c>
    </row>
    <row r="110" spans="1:38" x14ac:dyDescent="0.6">
      <c r="A110" s="1">
        <v>81</v>
      </c>
      <c r="B110" s="1" t="s">
        <v>103</v>
      </c>
      <c r="C110" s="1"/>
      <c r="D110" s="1"/>
      <c r="E110" s="1" t="s">
        <v>108</v>
      </c>
      <c r="F110" s="1"/>
      <c r="G110" s="1"/>
      <c r="H110" s="1" t="s">
        <v>91</v>
      </c>
      <c r="I110" s="1" t="s">
        <v>92</v>
      </c>
      <c r="J110" s="1" t="s">
        <v>93</v>
      </c>
      <c r="K110" s="1">
        <v>1</v>
      </c>
      <c r="L110" s="1">
        <v>120</v>
      </c>
      <c r="M110" s="1" t="s">
        <v>94</v>
      </c>
      <c r="N110" s="1" t="s">
        <v>95</v>
      </c>
      <c r="O110" s="1"/>
      <c r="P110" s="1" t="s">
        <v>96</v>
      </c>
      <c r="Q110" s="1" t="s">
        <v>9</v>
      </c>
      <c r="R110" s="1">
        <v>0</v>
      </c>
      <c r="S110" s="1" t="s">
        <v>97</v>
      </c>
      <c r="T110" s="1" t="s">
        <v>97</v>
      </c>
      <c r="U110" s="1" t="b">
        <v>1</v>
      </c>
      <c r="V110" s="1" t="b">
        <v>0</v>
      </c>
      <c r="W110" s="1" t="b">
        <v>0</v>
      </c>
      <c r="X110" s="1">
        <v>0</v>
      </c>
      <c r="Y110" s="1" t="b">
        <v>1</v>
      </c>
      <c r="Z110" s="1" t="b">
        <v>1</v>
      </c>
      <c r="AA110" s="1">
        <v>78.2</v>
      </c>
      <c r="AB110" s="1" t="b">
        <v>1</v>
      </c>
      <c r="AC110" s="1">
        <v>138353351</v>
      </c>
      <c r="AD110" s="1">
        <v>2155833</v>
      </c>
      <c r="AE110" s="1">
        <v>0</v>
      </c>
      <c r="AF110" s="1" t="s">
        <v>552</v>
      </c>
      <c r="AG110" s="1" t="s">
        <v>553</v>
      </c>
      <c r="AH110" s="1">
        <v>75.2</v>
      </c>
      <c r="AI110" s="1">
        <v>74.099999999999994</v>
      </c>
      <c r="AJ110" s="1" t="s">
        <v>554</v>
      </c>
      <c r="AK110" s="1" t="s">
        <v>555</v>
      </c>
      <c r="AL110" s="1" t="s">
        <v>556</v>
      </c>
    </row>
    <row r="111" spans="1:38" x14ac:dyDescent="0.6">
      <c r="A111" s="1">
        <v>80</v>
      </c>
      <c r="B111" s="1" t="s">
        <v>88</v>
      </c>
      <c r="C111" s="1">
        <v>51</v>
      </c>
      <c r="D111" s="1" t="s">
        <v>89</v>
      </c>
      <c r="E111" s="1" t="s">
        <v>108</v>
      </c>
      <c r="F111" s="1"/>
      <c r="G111" s="1"/>
      <c r="H111" s="1" t="s">
        <v>91</v>
      </c>
      <c r="I111" s="1" t="s">
        <v>92</v>
      </c>
      <c r="J111" s="1" t="s">
        <v>93</v>
      </c>
      <c r="K111" s="1">
        <v>1</v>
      </c>
      <c r="L111" s="1">
        <v>120</v>
      </c>
      <c r="M111" s="1" t="s">
        <v>7</v>
      </c>
      <c r="N111" s="1" t="s">
        <v>7</v>
      </c>
      <c r="O111" s="1" t="s">
        <v>96</v>
      </c>
      <c r="P111" s="1" t="s">
        <v>96</v>
      </c>
      <c r="Q111" s="1" t="s">
        <v>9</v>
      </c>
      <c r="R111" s="1">
        <v>0</v>
      </c>
      <c r="S111" s="1" t="s">
        <v>97</v>
      </c>
      <c r="T111" s="1" t="s">
        <v>97</v>
      </c>
      <c r="U111" s="1" t="b">
        <v>1</v>
      </c>
      <c r="V111" s="1" t="b">
        <v>0</v>
      </c>
      <c r="W111" s="1" t="b">
        <v>0</v>
      </c>
      <c r="X111" s="1">
        <v>5</v>
      </c>
      <c r="Y111" s="1" t="b">
        <v>1</v>
      </c>
      <c r="Z111" s="1" t="b">
        <v>1</v>
      </c>
      <c r="AA111" s="1">
        <v>65.7</v>
      </c>
      <c r="AB111" s="1" t="b">
        <v>0</v>
      </c>
      <c r="AC111" s="1">
        <v>0</v>
      </c>
      <c r="AD111" s="1">
        <v>2906579</v>
      </c>
      <c r="AE111" s="1">
        <v>136291885</v>
      </c>
      <c r="AF111" s="1" t="s">
        <v>557</v>
      </c>
      <c r="AG111" s="1" t="s">
        <v>557</v>
      </c>
      <c r="AH111" s="1">
        <v>63</v>
      </c>
      <c r="AI111" s="1">
        <v>62.5</v>
      </c>
      <c r="AJ111" s="1" t="s">
        <v>558</v>
      </c>
      <c r="AK111" s="1" t="s">
        <v>559</v>
      </c>
      <c r="AL111" s="1" t="s">
        <v>560</v>
      </c>
    </row>
    <row r="112" spans="1:38" x14ac:dyDescent="0.6">
      <c r="A112" s="1">
        <v>79</v>
      </c>
      <c r="B112" s="1" t="s">
        <v>103</v>
      </c>
      <c r="C112" s="1">
        <v>53</v>
      </c>
      <c r="D112" s="1" t="s">
        <v>89</v>
      </c>
      <c r="E112" s="1" t="s">
        <v>108</v>
      </c>
      <c r="F112" s="1"/>
      <c r="G112" s="1"/>
      <c r="H112" s="1" t="s">
        <v>91</v>
      </c>
      <c r="I112" s="1" t="s">
        <v>92</v>
      </c>
      <c r="J112" s="1" t="s">
        <v>93</v>
      </c>
      <c r="K112" s="1">
        <v>1</v>
      </c>
      <c r="L112" s="1">
        <v>120</v>
      </c>
      <c r="M112" s="1" t="s">
        <v>14</v>
      </c>
      <c r="N112" s="1" t="s">
        <v>95</v>
      </c>
      <c r="O112" s="1" t="s">
        <v>96</v>
      </c>
      <c r="P112" s="1"/>
      <c r="Q112" s="1" t="s">
        <v>9</v>
      </c>
      <c r="R112" s="1">
        <v>0</v>
      </c>
      <c r="S112" s="1" t="s">
        <v>97</v>
      </c>
      <c r="T112" s="1" t="s">
        <v>97</v>
      </c>
      <c r="U112" s="1" t="b">
        <v>1</v>
      </c>
      <c r="V112" s="1" t="b">
        <v>0</v>
      </c>
      <c r="W112" s="1" t="b">
        <v>0</v>
      </c>
      <c r="X112" s="1">
        <v>5</v>
      </c>
      <c r="Y112" s="1" t="b">
        <v>1</v>
      </c>
      <c r="Z112" s="1" t="b">
        <v>1</v>
      </c>
      <c r="AA112" s="1"/>
      <c r="AB112" s="1" t="b">
        <v>1</v>
      </c>
      <c r="AC112" s="1">
        <v>139166629</v>
      </c>
      <c r="AD112" s="1">
        <v>818267</v>
      </c>
      <c r="AE112" s="1">
        <v>0</v>
      </c>
      <c r="AF112" s="1" t="s">
        <v>561</v>
      </c>
      <c r="AG112" s="1" t="s">
        <v>562</v>
      </c>
      <c r="AH112" s="1">
        <v>68.7</v>
      </c>
      <c r="AI112" s="1">
        <v>69.099999999999994</v>
      </c>
      <c r="AJ112" s="1" t="s">
        <v>563</v>
      </c>
      <c r="AK112" s="1" t="s">
        <v>564</v>
      </c>
      <c r="AL112" s="1" t="s">
        <v>565</v>
      </c>
    </row>
    <row r="113" spans="1:38" x14ac:dyDescent="0.6">
      <c r="A113" s="1">
        <v>79</v>
      </c>
      <c r="B113" s="1" t="s">
        <v>103</v>
      </c>
      <c r="C113" s="1">
        <v>53</v>
      </c>
      <c r="D113" s="1" t="s">
        <v>89</v>
      </c>
      <c r="E113" s="1" t="s">
        <v>108</v>
      </c>
      <c r="F113" s="1"/>
      <c r="G113" s="1"/>
      <c r="H113" s="1" t="s">
        <v>91</v>
      </c>
      <c r="I113" s="1" t="s">
        <v>92</v>
      </c>
      <c r="J113" s="1" t="s">
        <v>93</v>
      </c>
      <c r="K113" s="1">
        <v>1</v>
      </c>
      <c r="L113" s="1">
        <v>120</v>
      </c>
      <c r="M113" s="1" t="s">
        <v>94</v>
      </c>
      <c r="N113" s="1" t="s">
        <v>95</v>
      </c>
      <c r="O113" s="1"/>
      <c r="P113" s="1" t="s">
        <v>96</v>
      </c>
      <c r="Q113" s="1" t="s">
        <v>9</v>
      </c>
      <c r="R113" s="1">
        <v>0</v>
      </c>
      <c r="S113" s="1" t="s">
        <v>97</v>
      </c>
      <c r="T113" s="1" t="s">
        <v>97</v>
      </c>
      <c r="U113" s="1" t="b">
        <v>1</v>
      </c>
      <c r="V113" s="1" t="b">
        <v>0</v>
      </c>
      <c r="W113" s="1" t="b">
        <v>0</v>
      </c>
      <c r="X113" s="1">
        <v>0</v>
      </c>
      <c r="Y113" s="1" t="b">
        <v>1</v>
      </c>
      <c r="Z113" s="1" t="b">
        <v>1</v>
      </c>
      <c r="AA113" s="1">
        <v>73.2</v>
      </c>
      <c r="AB113" s="1" t="b">
        <v>1</v>
      </c>
      <c r="AC113" s="1">
        <v>142458555</v>
      </c>
      <c r="AD113" s="1">
        <v>2244933</v>
      </c>
      <c r="AE113" s="1">
        <v>0</v>
      </c>
      <c r="AF113" s="1" t="s">
        <v>561</v>
      </c>
      <c r="AG113" s="1" t="s">
        <v>562</v>
      </c>
      <c r="AH113" s="1">
        <v>68.7</v>
      </c>
      <c r="AI113" s="1">
        <v>69.099999999999994</v>
      </c>
      <c r="AJ113" s="1" t="s">
        <v>566</v>
      </c>
      <c r="AK113" s="1" t="s">
        <v>567</v>
      </c>
      <c r="AL113" s="1" t="s">
        <v>568</v>
      </c>
    </row>
    <row r="114" spans="1:38" x14ac:dyDescent="0.6">
      <c r="A114" s="1">
        <v>82</v>
      </c>
      <c r="B114" s="1" t="s">
        <v>103</v>
      </c>
      <c r="C114" s="1">
        <v>51</v>
      </c>
      <c r="D114" s="1" t="s">
        <v>89</v>
      </c>
      <c r="E114" s="1" t="s">
        <v>108</v>
      </c>
      <c r="F114" s="1"/>
      <c r="G114" s="1"/>
      <c r="H114" s="1" t="s">
        <v>91</v>
      </c>
      <c r="I114" s="1" t="s">
        <v>92</v>
      </c>
      <c r="J114" s="1" t="s">
        <v>93</v>
      </c>
      <c r="K114" s="1">
        <v>1</v>
      </c>
      <c r="L114" s="1">
        <v>120</v>
      </c>
      <c r="M114" s="1" t="s">
        <v>94</v>
      </c>
      <c r="N114" s="1" t="s">
        <v>95</v>
      </c>
      <c r="O114" s="1"/>
      <c r="P114" s="1" t="s">
        <v>96</v>
      </c>
      <c r="Q114" s="1" t="s">
        <v>9</v>
      </c>
      <c r="R114" s="1">
        <v>0</v>
      </c>
      <c r="S114" s="1" t="s">
        <v>97</v>
      </c>
      <c r="T114" s="1" t="s">
        <v>97</v>
      </c>
      <c r="U114" s="1" t="b">
        <v>1</v>
      </c>
      <c r="V114" s="1" t="b">
        <v>0</v>
      </c>
      <c r="W114" s="1" t="b">
        <v>0</v>
      </c>
      <c r="X114" s="1">
        <v>0</v>
      </c>
      <c r="Y114" s="1" t="b">
        <v>1</v>
      </c>
      <c r="Z114" s="1" t="b">
        <v>1</v>
      </c>
      <c r="AA114" s="1">
        <v>72</v>
      </c>
      <c r="AB114" s="1" t="b">
        <v>1</v>
      </c>
      <c r="AC114" s="1">
        <v>154708517</v>
      </c>
      <c r="AD114" s="1">
        <v>1791451</v>
      </c>
      <c r="AE114" s="1">
        <v>0</v>
      </c>
      <c r="AF114" s="1" t="s">
        <v>569</v>
      </c>
      <c r="AG114" s="1" t="s">
        <v>570</v>
      </c>
      <c r="AH114" s="1">
        <v>68.900000000000006</v>
      </c>
      <c r="AI114" s="1">
        <v>70.099999999999994</v>
      </c>
      <c r="AJ114" s="1" t="s">
        <v>571</v>
      </c>
      <c r="AK114" s="1" t="s">
        <v>572</v>
      </c>
      <c r="AL114" s="1" t="s">
        <v>573</v>
      </c>
    </row>
    <row r="115" spans="1:38" x14ac:dyDescent="0.6">
      <c r="A115" s="1">
        <v>78</v>
      </c>
      <c r="B115" s="1" t="s">
        <v>88</v>
      </c>
      <c r="C115" s="1">
        <v>57</v>
      </c>
      <c r="D115" s="1" t="s">
        <v>89</v>
      </c>
      <c r="E115" s="1" t="s">
        <v>90</v>
      </c>
      <c r="F115" s="1"/>
      <c r="G115" s="1"/>
      <c r="H115" s="1" t="s">
        <v>91</v>
      </c>
      <c r="I115" s="1" t="s">
        <v>92</v>
      </c>
      <c r="J115" s="1" t="s">
        <v>93</v>
      </c>
      <c r="K115" s="1">
        <v>1</v>
      </c>
      <c r="L115" s="1">
        <v>120</v>
      </c>
      <c r="M115" s="1" t="s">
        <v>7</v>
      </c>
      <c r="N115" s="1" t="s">
        <v>7</v>
      </c>
      <c r="O115" s="1" t="s">
        <v>96</v>
      </c>
      <c r="P115" s="1" t="s">
        <v>96</v>
      </c>
      <c r="Q115" s="1" t="s">
        <v>9</v>
      </c>
      <c r="R115" s="1">
        <v>0</v>
      </c>
      <c r="S115" s="1" t="s">
        <v>97</v>
      </c>
      <c r="T115" s="1" t="s">
        <v>97</v>
      </c>
      <c r="U115" s="1" t="b">
        <v>1</v>
      </c>
      <c r="V115" s="1" t="b">
        <v>0</v>
      </c>
      <c r="W115" s="1" t="b">
        <v>0</v>
      </c>
      <c r="X115" s="1">
        <v>5</v>
      </c>
      <c r="Y115" s="1" t="b">
        <v>1</v>
      </c>
      <c r="Z115" s="1" t="b">
        <v>1</v>
      </c>
      <c r="AA115" s="1">
        <v>64.7</v>
      </c>
      <c r="AB115" s="1" t="b">
        <v>0</v>
      </c>
      <c r="AC115" s="1">
        <v>0</v>
      </c>
      <c r="AD115" s="1">
        <v>2728661</v>
      </c>
      <c r="AE115" s="1">
        <v>140401963</v>
      </c>
      <c r="AF115" s="1" t="s">
        <v>574</v>
      </c>
      <c r="AG115" s="1" t="s">
        <v>574</v>
      </c>
      <c r="AH115" s="1">
        <v>61.2</v>
      </c>
      <c r="AI115" s="1">
        <v>60</v>
      </c>
      <c r="AJ115" s="1" t="s">
        <v>575</v>
      </c>
      <c r="AK115" s="1" t="s">
        <v>576</v>
      </c>
      <c r="AL115" s="1" t="s">
        <v>577</v>
      </c>
    </row>
    <row r="116" spans="1:38" x14ac:dyDescent="0.6">
      <c r="A116" s="1">
        <v>83</v>
      </c>
      <c r="B116" s="1" t="s">
        <v>103</v>
      </c>
      <c r="C116" s="1">
        <v>55</v>
      </c>
      <c r="D116" s="1" t="s">
        <v>89</v>
      </c>
      <c r="E116" s="1" t="s">
        <v>108</v>
      </c>
      <c r="F116" s="1"/>
      <c r="G116" s="1"/>
      <c r="H116" s="1" t="s">
        <v>578</v>
      </c>
      <c r="I116" s="1" t="s">
        <v>190</v>
      </c>
      <c r="J116" s="1" t="s">
        <v>191</v>
      </c>
      <c r="K116" s="1">
        <v>1</v>
      </c>
      <c r="L116" s="1">
        <v>120</v>
      </c>
      <c r="M116" s="1" t="s">
        <v>14</v>
      </c>
      <c r="N116" s="1" t="s">
        <v>14</v>
      </c>
      <c r="O116" s="1" t="s">
        <v>96</v>
      </c>
      <c r="P116" s="1"/>
      <c r="Q116" s="1" t="s">
        <v>9</v>
      </c>
      <c r="R116" s="1">
        <v>0</v>
      </c>
      <c r="S116" s="1"/>
      <c r="T116" s="1" t="s">
        <v>97</v>
      </c>
      <c r="U116" s="1"/>
      <c r="V116" s="1" t="b">
        <v>0</v>
      </c>
      <c r="W116" s="1" t="b">
        <v>0</v>
      </c>
      <c r="X116" s="1">
        <v>5</v>
      </c>
      <c r="Y116" s="1" t="b">
        <v>1</v>
      </c>
      <c r="Z116" s="1" t="b">
        <v>1</v>
      </c>
      <c r="AA116" s="1"/>
      <c r="AB116" s="1" t="b">
        <v>1</v>
      </c>
      <c r="AC116" s="1">
        <v>140815655</v>
      </c>
      <c r="AD116" s="1">
        <v>742105</v>
      </c>
      <c r="AE116" s="1">
        <v>0</v>
      </c>
      <c r="AF116" s="1" t="s">
        <v>579</v>
      </c>
      <c r="AG116" s="1"/>
      <c r="AH116" s="1">
        <v>67.7</v>
      </c>
      <c r="AI116" s="1"/>
      <c r="AJ116" s="1" t="s">
        <v>580</v>
      </c>
      <c r="AK116" s="1" t="s">
        <v>581</v>
      </c>
      <c r="AL116" s="1" t="s">
        <v>582</v>
      </c>
    </row>
    <row r="117" spans="1:38" x14ac:dyDescent="0.6">
      <c r="A117" s="1">
        <v>63</v>
      </c>
      <c r="B117" s="1" t="s">
        <v>88</v>
      </c>
      <c r="C117" s="1">
        <v>89</v>
      </c>
      <c r="D117" s="1" t="s">
        <v>153</v>
      </c>
      <c r="E117" s="1" t="s">
        <v>108</v>
      </c>
      <c r="F117" s="1"/>
      <c r="G117" s="1"/>
      <c r="H117" s="1" t="s">
        <v>91</v>
      </c>
      <c r="I117" s="1" t="s">
        <v>92</v>
      </c>
      <c r="J117" s="1" t="s">
        <v>93</v>
      </c>
      <c r="K117" s="1">
        <v>1</v>
      </c>
      <c r="L117" s="1">
        <v>120</v>
      </c>
      <c r="M117" s="1" t="s">
        <v>7</v>
      </c>
      <c r="N117" s="1" t="s">
        <v>7</v>
      </c>
      <c r="O117" s="1" t="s">
        <v>96</v>
      </c>
      <c r="P117" s="1" t="s">
        <v>96</v>
      </c>
      <c r="Q117" s="1" t="s">
        <v>9</v>
      </c>
      <c r="R117" s="1">
        <v>0</v>
      </c>
      <c r="S117" s="1" t="s">
        <v>97</v>
      </c>
      <c r="T117" s="1" t="s">
        <v>97</v>
      </c>
      <c r="U117" s="1" t="b">
        <v>1</v>
      </c>
      <c r="V117" s="1" t="b">
        <v>0</v>
      </c>
      <c r="W117" s="1" t="b">
        <v>0</v>
      </c>
      <c r="X117" s="1">
        <v>5</v>
      </c>
      <c r="Y117" s="1" t="b">
        <v>1</v>
      </c>
      <c r="Z117" s="1" t="b">
        <v>1</v>
      </c>
      <c r="AA117" s="1">
        <v>82.9</v>
      </c>
      <c r="AB117" s="1" t="b">
        <v>0</v>
      </c>
      <c r="AC117" s="1">
        <v>0</v>
      </c>
      <c r="AD117" s="1">
        <v>2659584</v>
      </c>
      <c r="AE117" s="1">
        <v>152005376</v>
      </c>
      <c r="AF117" s="1" t="s">
        <v>583</v>
      </c>
      <c r="AG117" s="1" t="s">
        <v>583</v>
      </c>
      <c r="AH117" s="1">
        <v>86.6</v>
      </c>
      <c r="AI117" s="1">
        <v>81.2</v>
      </c>
      <c r="AJ117" s="1" t="s">
        <v>584</v>
      </c>
      <c r="AK117" s="1" t="s">
        <v>585</v>
      </c>
      <c r="AL117" s="1" t="s">
        <v>586</v>
      </c>
    </row>
    <row r="118" spans="1:38" x14ac:dyDescent="0.6">
      <c r="A118" s="1">
        <v>81</v>
      </c>
      <c r="B118" s="1" t="s">
        <v>103</v>
      </c>
      <c r="C118" s="1"/>
      <c r="D118" s="1"/>
      <c r="E118" s="1" t="s">
        <v>108</v>
      </c>
      <c r="F118" s="1"/>
      <c r="G118" s="1"/>
      <c r="H118" s="1" t="s">
        <v>91</v>
      </c>
      <c r="I118" s="1" t="s">
        <v>92</v>
      </c>
      <c r="J118" s="1" t="s">
        <v>93</v>
      </c>
      <c r="K118" s="1">
        <v>1</v>
      </c>
      <c r="L118" s="1">
        <v>120</v>
      </c>
      <c r="M118" s="1" t="s">
        <v>14</v>
      </c>
      <c r="N118" s="1" t="s">
        <v>95</v>
      </c>
      <c r="O118" s="1" t="s">
        <v>96</v>
      </c>
      <c r="P118" s="1"/>
      <c r="Q118" s="1" t="s">
        <v>9</v>
      </c>
      <c r="R118" s="1">
        <v>0</v>
      </c>
      <c r="S118" s="1" t="s">
        <v>97</v>
      </c>
      <c r="T118" s="1" t="s">
        <v>97</v>
      </c>
      <c r="U118" s="1" t="b">
        <v>1</v>
      </c>
      <c r="V118" s="1" t="b">
        <v>0</v>
      </c>
      <c r="W118" s="1" t="b">
        <v>0</v>
      </c>
      <c r="X118" s="1">
        <v>5</v>
      </c>
      <c r="Y118" s="1" t="b">
        <v>1</v>
      </c>
      <c r="Z118" s="1" t="b">
        <v>1</v>
      </c>
      <c r="AA118" s="1"/>
      <c r="AB118" s="1" t="b">
        <v>1</v>
      </c>
      <c r="AC118" s="1">
        <v>136844977</v>
      </c>
      <c r="AD118" s="1">
        <v>780623</v>
      </c>
      <c r="AE118" s="1">
        <v>0</v>
      </c>
      <c r="AF118" s="1" t="s">
        <v>552</v>
      </c>
      <c r="AG118" s="1" t="s">
        <v>553</v>
      </c>
      <c r="AH118" s="1">
        <v>75.2</v>
      </c>
      <c r="AI118" s="1">
        <v>74.099999999999994</v>
      </c>
      <c r="AJ118" s="1" t="s">
        <v>587</v>
      </c>
      <c r="AK118" s="1" t="s">
        <v>588</v>
      </c>
      <c r="AL118" s="1" t="s">
        <v>589</v>
      </c>
    </row>
    <row r="119" spans="1:38" x14ac:dyDescent="0.6">
      <c r="A119" s="1">
        <v>65</v>
      </c>
      <c r="B119" s="1" t="s">
        <v>103</v>
      </c>
      <c r="C119" s="1">
        <v>89</v>
      </c>
      <c r="D119" s="1" t="s">
        <v>153</v>
      </c>
      <c r="E119" s="1"/>
      <c r="F119" s="1"/>
      <c r="G119" s="1"/>
      <c r="H119" s="1" t="s">
        <v>91</v>
      </c>
      <c r="I119" s="1" t="s">
        <v>92</v>
      </c>
      <c r="J119" s="1" t="s">
        <v>93</v>
      </c>
      <c r="K119" s="1">
        <v>1</v>
      </c>
      <c r="L119" s="1">
        <v>120</v>
      </c>
      <c r="M119" s="1" t="s">
        <v>7</v>
      </c>
      <c r="N119" s="1" t="s">
        <v>7</v>
      </c>
      <c r="O119" s="1" t="s">
        <v>96</v>
      </c>
      <c r="P119" s="1" t="s">
        <v>96</v>
      </c>
      <c r="Q119" s="1" t="s">
        <v>9</v>
      </c>
      <c r="R119" s="1">
        <v>0</v>
      </c>
      <c r="S119" s="1" t="s">
        <v>97</v>
      </c>
      <c r="T119" s="1" t="s">
        <v>97</v>
      </c>
      <c r="U119" s="1" t="b">
        <v>1</v>
      </c>
      <c r="V119" s="1" t="b">
        <v>0</v>
      </c>
      <c r="W119" s="1" t="b">
        <v>0</v>
      </c>
      <c r="X119" s="1">
        <v>5</v>
      </c>
      <c r="Y119" s="1" t="b">
        <v>1</v>
      </c>
      <c r="Z119" s="1" t="b">
        <v>1</v>
      </c>
      <c r="AA119" s="1">
        <v>65.900000000000006</v>
      </c>
      <c r="AB119" s="1" t="b">
        <v>0</v>
      </c>
      <c r="AC119" s="1">
        <v>0</v>
      </c>
      <c r="AD119" s="1">
        <v>3216442</v>
      </c>
      <c r="AE119" s="1">
        <v>156953542</v>
      </c>
      <c r="AF119" s="1" t="s">
        <v>590</v>
      </c>
      <c r="AG119" s="1" t="s">
        <v>590</v>
      </c>
      <c r="AH119" s="1">
        <v>72.599999999999994</v>
      </c>
      <c r="AI119" s="1">
        <v>64.5</v>
      </c>
      <c r="AJ119" s="1" t="s">
        <v>591</v>
      </c>
      <c r="AK119" s="1" t="s">
        <v>592</v>
      </c>
      <c r="AL119" s="1" t="s">
        <v>593</v>
      </c>
    </row>
    <row r="120" spans="1:38" x14ac:dyDescent="0.6">
      <c r="A120" s="1">
        <v>88</v>
      </c>
      <c r="B120" s="1" t="s">
        <v>88</v>
      </c>
      <c r="C120" s="1">
        <v>50</v>
      </c>
      <c r="D120" s="1" t="s">
        <v>89</v>
      </c>
      <c r="E120" s="1" t="s">
        <v>90</v>
      </c>
      <c r="F120" s="1"/>
      <c r="G120" s="1"/>
      <c r="H120" s="1" t="s">
        <v>220</v>
      </c>
      <c r="I120" s="1" t="s">
        <v>221</v>
      </c>
      <c r="J120" s="1" t="s">
        <v>222</v>
      </c>
      <c r="K120" s="1">
        <v>1.25</v>
      </c>
      <c r="L120" s="1">
        <v>120</v>
      </c>
      <c r="M120" s="1" t="s">
        <v>14</v>
      </c>
      <c r="N120" s="1" t="s">
        <v>95</v>
      </c>
      <c r="O120" s="1" t="s">
        <v>96</v>
      </c>
      <c r="P120" s="1"/>
      <c r="Q120" s="1" t="s">
        <v>9</v>
      </c>
      <c r="R120" s="1">
        <v>0</v>
      </c>
      <c r="S120" s="1" t="s">
        <v>97</v>
      </c>
      <c r="T120" s="1" t="s">
        <v>97</v>
      </c>
      <c r="U120" s="1" t="b">
        <v>1</v>
      </c>
      <c r="V120" s="1" t="b">
        <v>0</v>
      </c>
      <c r="W120" s="1" t="b">
        <v>0</v>
      </c>
      <c r="X120" s="1">
        <v>5</v>
      </c>
      <c r="Y120" s="1" t="b">
        <v>1</v>
      </c>
      <c r="Z120" s="1" t="b">
        <v>1</v>
      </c>
      <c r="AA120" s="1"/>
      <c r="AB120" s="1" t="b">
        <v>1</v>
      </c>
      <c r="AC120" s="1">
        <v>134970654</v>
      </c>
      <c r="AD120" s="1">
        <v>557794</v>
      </c>
      <c r="AE120" s="1">
        <v>0</v>
      </c>
      <c r="AF120" s="1" t="s">
        <v>594</v>
      </c>
      <c r="AG120" s="1" t="s">
        <v>595</v>
      </c>
      <c r="AH120" s="1">
        <v>73.599999999999994</v>
      </c>
      <c r="AI120" s="1">
        <v>67.7</v>
      </c>
      <c r="AJ120" s="1" t="s">
        <v>596</v>
      </c>
      <c r="AK120" s="1" t="s">
        <v>597</v>
      </c>
      <c r="AL120" s="1" t="s">
        <v>598</v>
      </c>
    </row>
    <row r="121" spans="1:38" x14ac:dyDescent="0.6">
      <c r="A121" s="1">
        <v>88</v>
      </c>
      <c r="B121" s="1" t="s">
        <v>88</v>
      </c>
      <c r="C121" s="1">
        <v>50</v>
      </c>
      <c r="D121" s="1" t="s">
        <v>89</v>
      </c>
      <c r="E121" s="1" t="s">
        <v>90</v>
      </c>
      <c r="F121" s="1"/>
      <c r="G121" s="1"/>
      <c r="H121" s="1" t="s">
        <v>220</v>
      </c>
      <c r="I121" s="1" t="s">
        <v>221</v>
      </c>
      <c r="J121" s="1" t="s">
        <v>222</v>
      </c>
      <c r="K121" s="1">
        <v>1.25</v>
      </c>
      <c r="L121" s="1">
        <v>120</v>
      </c>
      <c r="M121" s="1" t="s">
        <v>94</v>
      </c>
      <c r="N121" s="1" t="s">
        <v>95</v>
      </c>
      <c r="O121" s="1"/>
      <c r="P121" s="1" t="s">
        <v>96</v>
      </c>
      <c r="Q121" s="1" t="s">
        <v>9</v>
      </c>
      <c r="R121" s="1">
        <v>0</v>
      </c>
      <c r="S121" s="1" t="s">
        <v>97</v>
      </c>
      <c r="T121" s="1" t="s">
        <v>97</v>
      </c>
      <c r="U121" s="1" t="b">
        <v>1</v>
      </c>
      <c r="V121" s="1" t="b">
        <v>0</v>
      </c>
      <c r="W121" s="1" t="b">
        <v>0</v>
      </c>
      <c r="X121" s="1">
        <v>0</v>
      </c>
      <c r="Y121" s="1" t="b">
        <v>1</v>
      </c>
      <c r="Z121" s="1" t="b">
        <v>1</v>
      </c>
      <c r="AA121" s="1">
        <v>71.7</v>
      </c>
      <c r="AB121" s="1" t="b">
        <v>1</v>
      </c>
      <c r="AC121" s="1">
        <v>144422517</v>
      </c>
      <c r="AD121" s="1">
        <v>1591691</v>
      </c>
      <c r="AE121" s="1">
        <v>0</v>
      </c>
      <c r="AF121" s="1" t="s">
        <v>594</v>
      </c>
      <c r="AG121" s="1" t="s">
        <v>595</v>
      </c>
      <c r="AH121" s="1">
        <v>73.599999999999994</v>
      </c>
      <c r="AI121" s="1">
        <v>67.7</v>
      </c>
      <c r="AJ121" s="1" t="s">
        <v>599</v>
      </c>
      <c r="AK121" s="1" t="s">
        <v>600</v>
      </c>
      <c r="AL121" s="1" t="s">
        <v>601</v>
      </c>
    </row>
    <row r="122" spans="1:38" x14ac:dyDescent="0.6">
      <c r="A122" s="1">
        <v>89</v>
      </c>
      <c r="B122" s="1" t="s">
        <v>103</v>
      </c>
      <c r="C122" s="1">
        <v>64</v>
      </c>
      <c r="D122" s="1" t="s">
        <v>127</v>
      </c>
      <c r="E122" s="1" t="s">
        <v>108</v>
      </c>
      <c r="F122" s="1"/>
      <c r="G122" s="1"/>
      <c r="H122" s="1" t="s">
        <v>220</v>
      </c>
      <c r="I122" s="1" t="s">
        <v>221</v>
      </c>
      <c r="J122" s="1" t="s">
        <v>222</v>
      </c>
      <c r="K122" s="1">
        <v>1.25</v>
      </c>
      <c r="L122" s="1">
        <v>120</v>
      </c>
      <c r="M122" s="1" t="s">
        <v>14</v>
      </c>
      <c r="N122" s="1" t="s">
        <v>95</v>
      </c>
      <c r="O122" s="1" t="s">
        <v>96</v>
      </c>
      <c r="P122" s="1"/>
      <c r="Q122" s="1" t="s">
        <v>9</v>
      </c>
      <c r="R122" s="1">
        <v>0</v>
      </c>
      <c r="S122" s="1" t="s">
        <v>97</v>
      </c>
      <c r="T122" s="1" t="s">
        <v>97</v>
      </c>
      <c r="U122" s="1" t="b">
        <v>1</v>
      </c>
      <c r="V122" s="1" t="b">
        <v>0</v>
      </c>
      <c r="W122" s="1" t="b">
        <v>0</v>
      </c>
      <c r="X122" s="1">
        <v>5</v>
      </c>
      <c r="Y122" s="1" t="b">
        <v>1</v>
      </c>
      <c r="Z122" s="1" t="b">
        <v>1</v>
      </c>
      <c r="AA122" s="1"/>
      <c r="AB122" s="1" t="b">
        <v>1</v>
      </c>
      <c r="AC122" s="1">
        <v>151855451</v>
      </c>
      <c r="AD122" s="1">
        <v>712357</v>
      </c>
      <c r="AE122" s="1">
        <v>0</v>
      </c>
      <c r="AF122" s="1" t="s">
        <v>602</v>
      </c>
      <c r="AG122" s="1" t="s">
        <v>603</v>
      </c>
      <c r="AH122" s="1">
        <v>64</v>
      </c>
      <c r="AI122" s="1">
        <v>63.2</v>
      </c>
      <c r="AJ122" s="1" t="s">
        <v>604</v>
      </c>
      <c r="AK122" s="1" t="s">
        <v>605</v>
      </c>
      <c r="AL122" s="1" t="s">
        <v>606</v>
      </c>
    </row>
    <row r="123" spans="1:38" x14ac:dyDescent="0.6">
      <c r="A123" s="1">
        <v>91</v>
      </c>
      <c r="B123" s="1" t="s">
        <v>103</v>
      </c>
      <c r="C123" s="1">
        <v>56</v>
      </c>
      <c r="D123" s="1" t="s">
        <v>89</v>
      </c>
      <c r="E123" s="1" t="s">
        <v>108</v>
      </c>
      <c r="F123" s="1"/>
      <c r="G123" s="1"/>
      <c r="H123" s="1" t="s">
        <v>220</v>
      </c>
      <c r="I123" s="1" t="s">
        <v>221</v>
      </c>
      <c r="J123" s="1" t="s">
        <v>222</v>
      </c>
      <c r="K123" s="1">
        <v>1.25</v>
      </c>
      <c r="L123" s="1">
        <v>120</v>
      </c>
      <c r="M123" s="1" t="s">
        <v>14</v>
      </c>
      <c r="N123" s="1" t="s">
        <v>95</v>
      </c>
      <c r="O123" s="1" t="s">
        <v>96</v>
      </c>
      <c r="P123" s="1"/>
      <c r="Q123" s="1" t="s">
        <v>9</v>
      </c>
      <c r="R123" s="1">
        <v>0</v>
      </c>
      <c r="S123" s="1" t="s">
        <v>97</v>
      </c>
      <c r="T123" s="1" t="s">
        <v>97</v>
      </c>
      <c r="U123" s="1" t="b">
        <v>1</v>
      </c>
      <c r="V123" s="1" t="b">
        <v>0</v>
      </c>
      <c r="W123" s="1" t="b">
        <v>0</v>
      </c>
      <c r="X123" s="1">
        <v>5</v>
      </c>
      <c r="Y123" s="1" t="b">
        <v>1</v>
      </c>
      <c r="Z123" s="1" t="b">
        <v>1</v>
      </c>
      <c r="AA123" s="1"/>
      <c r="AB123" s="1" t="b">
        <v>1</v>
      </c>
      <c r="AC123" s="1">
        <v>133124122</v>
      </c>
      <c r="AD123" s="1">
        <v>569318</v>
      </c>
      <c r="AE123" s="1">
        <v>0</v>
      </c>
      <c r="AF123" s="1" t="s">
        <v>607</v>
      </c>
      <c r="AG123" s="1" t="s">
        <v>608</v>
      </c>
      <c r="AH123" s="1">
        <v>90.1</v>
      </c>
      <c r="AI123" s="1">
        <v>76.400000000000006</v>
      </c>
      <c r="AJ123" s="1" t="s">
        <v>609</v>
      </c>
      <c r="AK123" s="1" t="s">
        <v>610</v>
      </c>
      <c r="AL123" s="1" t="s">
        <v>611</v>
      </c>
    </row>
    <row r="124" spans="1:38" x14ac:dyDescent="0.6">
      <c r="A124" s="1">
        <v>89</v>
      </c>
      <c r="B124" s="1" t="s">
        <v>103</v>
      </c>
      <c r="C124" s="1">
        <v>64</v>
      </c>
      <c r="D124" s="1" t="s">
        <v>127</v>
      </c>
      <c r="E124" s="1" t="s">
        <v>108</v>
      </c>
      <c r="F124" s="1"/>
      <c r="G124" s="1"/>
      <c r="H124" s="1" t="s">
        <v>220</v>
      </c>
      <c r="I124" s="1" t="s">
        <v>221</v>
      </c>
      <c r="J124" s="1" t="s">
        <v>222</v>
      </c>
      <c r="K124" s="1">
        <v>1.25</v>
      </c>
      <c r="L124" s="1">
        <v>120</v>
      </c>
      <c r="M124" s="1" t="s">
        <v>94</v>
      </c>
      <c r="N124" s="1" t="s">
        <v>95</v>
      </c>
      <c r="O124" s="1"/>
      <c r="P124" s="1" t="s">
        <v>96</v>
      </c>
      <c r="Q124" s="1" t="s">
        <v>9</v>
      </c>
      <c r="R124" s="1">
        <v>0</v>
      </c>
      <c r="S124" s="1" t="s">
        <v>97</v>
      </c>
      <c r="T124" s="1" t="s">
        <v>97</v>
      </c>
      <c r="U124" s="1" t="b">
        <v>1</v>
      </c>
      <c r="V124" s="1" t="b">
        <v>0</v>
      </c>
      <c r="W124" s="1" t="b">
        <v>0</v>
      </c>
      <c r="X124" s="1">
        <v>0</v>
      </c>
      <c r="Y124" s="1" t="b">
        <v>1</v>
      </c>
      <c r="Z124" s="1" t="b">
        <v>1</v>
      </c>
      <c r="AA124" s="1">
        <v>64.7</v>
      </c>
      <c r="AB124" s="1" t="b">
        <v>1</v>
      </c>
      <c r="AC124" s="1">
        <v>152041807</v>
      </c>
      <c r="AD124" s="1">
        <v>2098865</v>
      </c>
      <c r="AE124" s="1">
        <v>0</v>
      </c>
      <c r="AF124" s="1" t="s">
        <v>602</v>
      </c>
      <c r="AG124" s="1" t="s">
        <v>603</v>
      </c>
      <c r="AH124" s="1">
        <v>64</v>
      </c>
      <c r="AI124" s="1">
        <v>63.2</v>
      </c>
      <c r="AJ124" s="1" t="s">
        <v>612</v>
      </c>
      <c r="AK124" s="1" t="s">
        <v>613</v>
      </c>
      <c r="AL124" s="1" t="s">
        <v>614</v>
      </c>
    </row>
    <row r="125" spans="1:38" x14ac:dyDescent="0.6">
      <c r="A125" s="1">
        <v>82</v>
      </c>
      <c r="B125" s="1" t="s">
        <v>103</v>
      </c>
      <c r="C125" s="1">
        <v>51</v>
      </c>
      <c r="D125" s="1" t="s">
        <v>89</v>
      </c>
      <c r="E125" s="1" t="s">
        <v>108</v>
      </c>
      <c r="F125" s="1"/>
      <c r="G125" s="1"/>
      <c r="H125" s="1" t="s">
        <v>91</v>
      </c>
      <c r="I125" s="1" t="s">
        <v>92</v>
      </c>
      <c r="J125" s="1" t="s">
        <v>93</v>
      </c>
      <c r="K125" s="1">
        <v>1</v>
      </c>
      <c r="L125" s="1">
        <v>120</v>
      </c>
      <c r="M125" s="1" t="s">
        <v>14</v>
      </c>
      <c r="N125" s="1" t="s">
        <v>95</v>
      </c>
      <c r="O125" s="1" t="s">
        <v>96</v>
      </c>
      <c r="P125" s="1"/>
      <c r="Q125" s="1" t="s">
        <v>9</v>
      </c>
      <c r="R125" s="1">
        <v>0</v>
      </c>
      <c r="S125" s="1" t="s">
        <v>97</v>
      </c>
      <c r="T125" s="1" t="s">
        <v>97</v>
      </c>
      <c r="U125" s="1" t="b">
        <v>1</v>
      </c>
      <c r="V125" s="1" t="b">
        <v>0</v>
      </c>
      <c r="W125" s="1" t="b">
        <v>0</v>
      </c>
      <c r="X125" s="1">
        <v>5</v>
      </c>
      <c r="Y125" s="1" t="b">
        <v>1</v>
      </c>
      <c r="Z125" s="1" t="b">
        <v>1</v>
      </c>
      <c r="AA125" s="1"/>
      <c r="AB125" s="1" t="b">
        <v>1</v>
      </c>
      <c r="AC125" s="1">
        <v>138853549</v>
      </c>
      <c r="AD125" s="1">
        <v>607059</v>
      </c>
      <c r="AE125" s="1">
        <v>0</v>
      </c>
      <c r="AF125" s="1" t="s">
        <v>569</v>
      </c>
      <c r="AG125" s="1" t="s">
        <v>570</v>
      </c>
      <c r="AH125" s="1">
        <v>68.900000000000006</v>
      </c>
      <c r="AI125" s="1">
        <v>70.099999999999994</v>
      </c>
      <c r="AJ125" s="1" t="s">
        <v>615</v>
      </c>
      <c r="AK125" s="1" t="s">
        <v>616</v>
      </c>
      <c r="AL125" s="1" t="s">
        <v>617</v>
      </c>
    </row>
    <row r="126" spans="1:38" x14ac:dyDescent="0.6">
      <c r="A126" s="1">
        <v>84</v>
      </c>
      <c r="B126" s="1" t="s">
        <v>103</v>
      </c>
      <c r="C126" s="1">
        <v>54</v>
      </c>
      <c r="D126" s="1" t="s">
        <v>89</v>
      </c>
      <c r="E126" s="1" t="s">
        <v>108</v>
      </c>
      <c r="F126" s="1"/>
      <c r="G126" s="1"/>
      <c r="H126" s="1" t="s">
        <v>220</v>
      </c>
      <c r="I126" s="1" t="s">
        <v>221</v>
      </c>
      <c r="J126" s="1" t="s">
        <v>222</v>
      </c>
      <c r="K126" s="1">
        <v>1.25</v>
      </c>
      <c r="L126" s="1">
        <v>120</v>
      </c>
      <c r="M126" s="1" t="s">
        <v>14</v>
      </c>
      <c r="N126" s="1" t="s">
        <v>95</v>
      </c>
      <c r="O126" s="1" t="s">
        <v>96</v>
      </c>
      <c r="P126" s="1"/>
      <c r="Q126" s="1" t="s">
        <v>9</v>
      </c>
      <c r="R126" s="1">
        <v>0</v>
      </c>
      <c r="S126" s="1" t="s">
        <v>97</v>
      </c>
      <c r="T126" s="1" t="s">
        <v>97</v>
      </c>
      <c r="U126" s="1" t="b">
        <v>1</v>
      </c>
      <c r="V126" s="1" t="b">
        <v>0</v>
      </c>
      <c r="W126" s="1" t="b">
        <v>0</v>
      </c>
      <c r="X126" s="1">
        <v>5</v>
      </c>
      <c r="Y126" s="1" t="b">
        <v>1</v>
      </c>
      <c r="Z126" s="1" t="b">
        <v>1</v>
      </c>
      <c r="AA126" s="1"/>
      <c r="AB126" s="1" t="b">
        <v>1</v>
      </c>
      <c r="AC126" s="1">
        <v>133020797</v>
      </c>
      <c r="AD126" s="1">
        <v>410499</v>
      </c>
      <c r="AE126" s="1">
        <v>0</v>
      </c>
      <c r="AF126" s="1" t="s">
        <v>618</v>
      </c>
      <c r="AG126" s="1" t="s">
        <v>619</v>
      </c>
      <c r="AH126" s="1">
        <v>74.900000000000006</v>
      </c>
      <c r="AI126" s="1">
        <v>72.5</v>
      </c>
      <c r="AJ126" s="1" t="s">
        <v>620</v>
      </c>
      <c r="AK126" s="1" t="s">
        <v>621</v>
      </c>
      <c r="AL126" s="1" t="s">
        <v>622</v>
      </c>
    </row>
    <row r="127" spans="1:38" x14ac:dyDescent="0.6">
      <c r="A127" s="1">
        <v>94</v>
      </c>
      <c r="B127" s="1" t="s">
        <v>103</v>
      </c>
      <c r="C127" s="1">
        <v>62</v>
      </c>
      <c r="D127" s="1" t="s">
        <v>127</v>
      </c>
      <c r="E127" s="1" t="s">
        <v>108</v>
      </c>
      <c r="F127" s="1"/>
      <c r="G127" s="1"/>
      <c r="H127" s="1" t="s">
        <v>220</v>
      </c>
      <c r="I127" s="1" t="s">
        <v>221</v>
      </c>
      <c r="J127" s="1" t="s">
        <v>222</v>
      </c>
      <c r="K127" s="1">
        <v>1.25</v>
      </c>
      <c r="L127" s="1">
        <v>120</v>
      </c>
      <c r="M127" s="1" t="s">
        <v>14</v>
      </c>
      <c r="N127" s="1" t="s">
        <v>95</v>
      </c>
      <c r="O127" s="1" t="s">
        <v>96</v>
      </c>
      <c r="P127" s="1"/>
      <c r="Q127" s="1" t="s">
        <v>9</v>
      </c>
      <c r="R127" s="1">
        <v>0</v>
      </c>
      <c r="S127" s="1" t="s">
        <v>97</v>
      </c>
      <c r="T127" s="1" t="s">
        <v>97</v>
      </c>
      <c r="U127" s="1" t="b">
        <v>1</v>
      </c>
      <c r="V127" s="1" t="b">
        <v>0</v>
      </c>
      <c r="W127" s="1" t="b">
        <v>0</v>
      </c>
      <c r="X127" s="1">
        <v>5</v>
      </c>
      <c r="Y127" s="1" t="b">
        <v>1</v>
      </c>
      <c r="Z127" s="1" t="b">
        <v>1</v>
      </c>
      <c r="AA127" s="1"/>
      <c r="AB127" s="1" t="b">
        <v>1</v>
      </c>
      <c r="AC127" s="1">
        <v>118466434</v>
      </c>
      <c r="AD127" s="1">
        <v>546942</v>
      </c>
      <c r="AE127" s="1">
        <v>0</v>
      </c>
      <c r="AF127" s="1" t="s">
        <v>623</v>
      </c>
      <c r="AG127" s="1" t="s">
        <v>624</v>
      </c>
      <c r="AH127" s="1">
        <v>62.4</v>
      </c>
      <c r="AI127" s="1">
        <v>56.6</v>
      </c>
      <c r="AJ127" s="1" t="s">
        <v>625</v>
      </c>
      <c r="AK127" s="1" t="s">
        <v>626</v>
      </c>
      <c r="AL127" s="1" t="s">
        <v>627</v>
      </c>
    </row>
    <row r="128" spans="1:38" x14ac:dyDescent="0.6">
      <c r="A128" s="1">
        <v>92</v>
      </c>
      <c r="B128" s="1" t="s">
        <v>88</v>
      </c>
      <c r="C128" s="1">
        <v>63</v>
      </c>
      <c r="D128" s="1" t="s">
        <v>127</v>
      </c>
      <c r="E128" s="1" t="s">
        <v>108</v>
      </c>
      <c r="F128" s="1"/>
      <c r="G128" s="1"/>
      <c r="H128" s="1" t="s">
        <v>220</v>
      </c>
      <c r="I128" s="1" t="s">
        <v>221</v>
      </c>
      <c r="J128" s="1" t="s">
        <v>222</v>
      </c>
      <c r="K128" s="1">
        <v>1.25</v>
      </c>
      <c r="L128" s="1">
        <v>120</v>
      </c>
      <c r="M128" s="1" t="s">
        <v>7</v>
      </c>
      <c r="N128" s="1" t="s">
        <v>7</v>
      </c>
      <c r="O128" s="1" t="s">
        <v>96</v>
      </c>
      <c r="P128" s="1" t="s">
        <v>96</v>
      </c>
      <c r="Q128" s="1" t="s">
        <v>9</v>
      </c>
      <c r="R128" s="1">
        <v>0</v>
      </c>
      <c r="S128" s="1" t="s">
        <v>97</v>
      </c>
      <c r="T128" s="1" t="s">
        <v>97</v>
      </c>
      <c r="U128" s="1" t="b">
        <v>1</v>
      </c>
      <c r="V128" s="1" t="b">
        <v>0</v>
      </c>
      <c r="W128" s="1" t="b">
        <v>0</v>
      </c>
      <c r="X128" s="1">
        <v>5</v>
      </c>
      <c r="Y128" s="1" t="b">
        <v>1</v>
      </c>
      <c r="Z128" s="1" t="b">
        <v>1</v>
      </c>
      <c r="AA128" s="1">
        <v>67.8</v>
      </c>
      <c r="AB128" s="1" t="b">
        <v>0</v>
      </c>
      <c r="AC128" s="1">
        <v>0</v>
      </c>
      <c r="AD128" s="1">
        <v>2281295</v>
      </c>
      <c r="AE128" s="1">
        <v>122761393</v>
      </c>
      <c r="AF128" s="1" t="s">
        <v>628</v>
      </c>
      <c r="AG128" s="1" t="s">
        <v>628</v>
      </c>
      <c r="AH128" s="1">
        <v>62.3</v>
      </c>
      <c r="AI128" s="1">
        <v>64.3</v>
      </c>
      <c r="AJ128" s="1" t="s">
        <v>629</v>
      </c>
      <c r="AK128" s="1" t="s">
        <v>630</v>
      </c>
      <c r="AL128" s="1" t="s">
        <v>631</v>
      </c>
    </row>
    <row r="129" spans="1:38" x14ac:dyDescent="0.6">
      <c r="A129" s="1">
        <v>94</v>
      </c>
      <c r="B129" s="1" t="s">
        <v>103</v>
      </c>
      <c r="C129" s="1">
        <v>62</v>
      </c>
      <c r="D129" s="1" t="s">
        <v>127</v>
      </c>
      <c r="E129" s="1" t="s">
        <v>108</v>
      </c>
      <c r="F129" s="1"/>
      <c r="G129" s="1"/>
      <c r="H129" s="1" t="s">
        <v>220</v>
      </c>
      <c r="I129" s="1" t="s">
        <v>221</v>
      </c>
      <c r="J129" s="1" t="s">
        <v>222</v>
      </c>
      <c r="K129" s="1">
        <v>1.25</v>
      </c>
      <c r="L129" s="1">
        <v>120</v>
      </c>
      <c r="M129" s="1" t="s">
        <v>94</v>
      </c>
      <c r="N129" s="1" t="s">
        <v>95</v>
      </c>
      <c r="O129" s="1"/>
      <c r="P129" s="1" t="s">
        <v>96</v>
      </c>
      <c r="Q129" s="1" t="s">
        <v>9</v>
      </c>
      <c r="R129" s="1">
        <v>0</v>
      </c>
      <c r="S129" s="1" t="s">
        <v>97</v>
      </c>
      <c r="T129" s="1" t="s">
        <v>97</v>
      </c>
      <c r="U129" s="1" t="b">
        <v>1</v>
      </c>
      <c r="V129" s="1" t="b">
        <v>0</v>
      </c>
      <c r="W129" s="1" t="b">
        <v>0</v>
      </c>
      <c r="X129" s="1">
        <v>0</v>
      </c>
      <c r="Y129" s="1" t="b">
        <v>1</v>
      </c>
      <c r="Z129" s="1" t="b">
        <v>1</v>
      </c>
      <c r="AA129" s="1">
        <v>58.3</v>
      </c>
      <c r="AB129" s="1" t="b">
        <v>1</v>
      </c>
      <c r="AC129" s="1">
        <v>135671897</v>
      </c>
      <c r="AD129" s="1">
        <v>1429415</v>
      </c>
      <c r="AE129" s="1">
        <v>0</v>
      </c>
      <c r="AF129" s="1" t="s">
        <v>623</v>
      </c>
      <c r="AG129" s="1" t="s">
        <v>624</v>
      </c>
      <c r="AH129" s="1">
        <v>62.4</v>
      </c>
      <c r="AI129" s="1">
        <v>56.6</v>
      </c>
      <c r="AJ129" s="1" t="s">
        <v>632</v>
      </c>
      <c r="AK129" s="1" t="s">
        <v>633</v>
      </c>
      <c r="AL129" s="1" t="s">
        <v>634</v>
      </c>
    </row>
    <row r="130" spans="1:38" x14ac:dyDescent="0.6">
      <c r="A130" s="1">
        <v>96</v>
      </c>
      <c r="B130" s="1" t="s">
        <v>103</v>
      </c>
      <c r="C130" s="1">
        <v>63</v>
      </c>
      <c r="D130" s="1" t="s">
        <v>127</v>
      </c>
      <c r="E130" s="1" t="s">
        <v>90</v>
      </c>
      <c r="F130" s="1"/>
      <c r="G130" s="1"/>
      <c r="H130" s="1" t="s">
        <v>220</v>
      </c>
      <c r="I130" s="1" t="s">
        <v>221</v>
      </c>
      <c r="J130" s="1" t="s">
        <v>222</v>
      </c>
      <c r="K130" s="1">
        <v>1.25</v>
      </c>
      <c r="L130" s="1">
        <v>120</v>
      </c>
      <c r="M130" s="1" t="s">
        <v>94</v>
      </c>
      <c r="N130" s="1" t="s">
        <v>95</v>
      </c>
      <c r="O130" s="1"/>
      <c r="P130" s="1" t="s">
        <v>96</v>
      </c>
      <c r="Q130" s="1" t="s">
        <v>9</v>
      </c>
      <c r="R130" s="1">
        <v>0</v>
      </c>
      <c r="S130" s="1" t="s">
        <v>97</v>
      </c>
      <c r="T130" s="1" t="s">
        <v>97</v>
      </c>
      <c r="U130" s="1" t="b">
        <v>1</v>
      </c>
      <c r="V130" s="1" t="b">
        <v>0</v>
      </c>
      <c r="W130" s="1" t="b">
        <v>0</v>
      </c>
      <c r="X130" s="1">
        <v>0</v>
      </c>
      <c r="Y130" s="1" t="b">
        <v>1</v>
      </c>
      <c r="Z130" s="1" t="b">
        <v>1</v>
      </c>
      <c r="AA130" s="1">
        <v>73.7</v>
      </c>
      <c r="AB130" s="1" t="b">
        <v>1</v>
      </c>
      <c r="AC130" s="1">
        <v>146009776</v>
      </c>
      <c r="AD130" s="1">
        <v>1577296</v>
      </c>
      <c r="AE130" s="1">
        <v>0</v>
      </c>
      <c r="AF130" s="1" t="s">
        <v>635</v>
      </c>
      <c r="AG130" s="1" t="s">
        <v>636</v>
      </c>
      <c r="AH130" s="1">
        <v>65.900000000000006</v>
      </c>
      <c r="AI130" s="1">
        <v>68.7</v>
      </c>
      <c r="AJ130" s="1" t="s">
        <v>637</v>
      </c>
      <c r="AK130" s="1" t="s">
        <v>638</v>
      </c>
      <c r="AL130" s="1" t="s">
        <v>639</v>
      </c>
    </row>
    <row r="131" spans="1:38" x14ac:dyDescent="0.6">
      <c r="A131" s="1">
        <v>90</v>
      </c>
      <c r="B131" s="1" t="s">
        <v>88</v>
      </c>
      <c r="C131" s="1">
        <v>64</v>
      </c>
      <c r="D131" s="1" t="s">
        <v>127</v>
      </c>
      <c r="E131" s="1" t="s">
        <v>108</v>
      </c>
      <c r="F131" s="1"/>
      <c r="G131" s="1"/>
      <c r="H131" s="1" t="s">
        <v>220</v>
      </c>
      <c r="I131" s="1" t="s">
        <v>221</v>
      </c>
      <c r="J131" s="1" t="s">
        <v>222</v>
      </c>
      <c r="K131" s="1">
        <v>1.25</v>
      </c>
      <c r="L131" s="1">
        <v>120</v>
      </c>
      <c r="M131" s="1" t="s">
        <v>7</v>
      </c>
      <c r="N131" s="1" t="s">
        <v>7</v>
      </c>
      <c r="O131" s="1" t="s">
        <v>96</v>
      </c>
      <c r="P131" s="1" t="s">
        <v>96</v>
      </c>
      <c r="Q131" s="1" t="s">
        <v>9</v>
      </c>
      <c r="R131" s="1">
        <v>0</v>
      </c>
      <c r="S131" s="1" t="s">
        <v>97</v>
      </c>
      <c r="T131" s="1" t="s">
        <v>97</v>
      </c>
      <c r="U131" s="1" t="b">
        <v>1</v>
      </c>
      <c r="V131" s="1" t="b">
        <v>0</v>
      </c>
      <c r="W131" s="1" t="b">
        <v>0</v>
      </c>
      <c r="X131" s="1">
        <v>5</v>
      </c>
      <c r="Y131" s="1" t="b">
        <v>1</v>
      </c>
      <c r="Z131" s="1" t="b">
        <v>1</v>
      </c>
      <c r="AA131" s="1">
        <v>74.3</v>
      </c>
      <c r="AB131" s="1" t="b">
        <v>0</v>
      </c>
      <c r="AC131" s="1">
        <v>0</v>
      </c>
      <c r="AD131" s="1">
        <v>1576157</v>
      </c>
      <c r="AE131" s="1">
        <v>156496675</v>
      </c>
      <c r="AF131" s="1" t="s">
        <v>640</v>
      </c>
      <c r="AG131" s="1" t="s">
        <v>640</v>
      </c>
      <c r="AH131" s="1">
        <v>72.7</v>
      </c>
      <c r="AI131" s="1">
        <v>71.3</v>
      </c>
      <c r="AJ131" s="1" t="s">
        <v>641</v>
      </c>
      <c r="AK131" s="1" t="s">
        <v>642</v>
      </c>
      <c r="AL131" s="1" t="s">
        <v>643</v>
      </c>
    </row>
    <row r="132" spans="1:38" x14ac:dyDescent="0.6">
      <c r="A132" s="1">
        <v>84</v>
      </c>
      <c r="B132" s="1" t="s">
        <v>103</v>
      </c>
      <c r="C132" s="1">
        <v>54</v>
      </c>
      <c r="D132" s="1" t="s">
        <v>89</v>
      </c>
      <c r="E132" s="1" t="s">
        <v>108</v>
      </c>
      <c r="F132" s="1"/>
      <c r="G132" s="1"/>
      <c r="H132" s="1" t="s">
        <v>220</v>
      </c>
      <c r="I132" s="1" t="s">
        <v>221</v>
      </c>
      <c r="J132" s="1" t="s">
        <v>222</v>
      </c>
      <c r="K132" s="1">
        <v>1.25</v>
      </c>
      <c r="L132" s="1">
        <v>120</v>
      </c>
      <c r="M132" s="1" t="s">
        <v>94</v>
      </c>
      <c r="N132" s="1" t="s">
        <v>95</v>
      </c>
      <c r="O132" s="1"/>
      <c r="P132" s="1" t="s">
        <v>96</v>
      </c>
      <c r="Q132" s="1" t="s">
        <v>9</v>
      </c>
      <c r="R132" s="1">
        <v>0</v>
      </c>
      <c r="S132" s="1" t="s">
        <v>97</v>
      </c>
      <c r="T132" s="1" t="s">
        <v>97</v>
      </c>
      <c r="U132" s="1" t="b">
        <v>1</v>
      </c>
      <c r="V132" s="1" t="b">
        <v>0</v>
      </c>
      <c r="W132" s="1" t="b">
        <v>0</v>
      </c>
      <c r="X132" s="1">
        <v>0</v>
      </c>
      <c r="Y132" s="1" t="b">
        <v>1</v>
      </c>
      <c r="Z132" s="1" t="b">
        <v>1</v>
      </c>
      <c r="AA132" s="1">
        <v>75.599999999999994</v>
      </c>
      <c r="AB132" s="1" t="b">
        <v>1</v>
      </c>
      <c r="AC132" s="1">
        <v>137894229</v>
      </c>
      <c r="AD132" s="1">
        <v>1566379</v>
      </c>
      <c r="AE132" s="1">
        <v>0</v>
      </c>
      <c r="AF132" s="1" t="s">
        <v>618</v>
      </c>
      <c r="AG132" s="1" t="s">
        <v>619</v>
      </c>
      <c r="AH132" s="1">
        <v>74.900000000000006</v>
      </c>
      <c r="AI132" s="1">
        <v>72.5</v>
      </c>
      <c r="AJ132" s="1" t="s">
        <v>644</v>
      </c>
      <c r="AK132" s="1" t="s">
        <v>645</v>
      </c>
      <c r="AL132" s="1" t="s">
        <v>646</v>
      </c>
    </row>
    <row r="133" spans="1:38" x14ac:dyDescent="0.6">
      <c r="A133" s="1">
        <v>93</v>
      </c>
      <c r="B133" s="1" t="s">
        <v>88</v>
      </c>
      <c r="C133" s="1">
        <v>65</v>
      </c>
      <c r="D133" s="1" t="s">
        <v>127</v>
      </c>
      <c r="E133" s="1" t="s">
        <v>108</v>
      </c>
      <c r="F133" s="1"/>
      <c r="G133" s="1"/>
      <c r="H133" s="1" t="s">
        <v>220</v>
      </c>
      <c r="I133" s="1" t="s">
        <v>221</v>
      </c>
      <c r="J133" s="1" t="s">
        <v>222</v>
      </c>
      <c r="K133" s="1">
        <v>1.25</v>
      </c>
      <c r="L133" s="1">
        <v>120</v>
      </c>
      <c r="M133" s="1" t="s">
        <v>7</v>
      </c>
      <c r="N133" s="1" t="s">
        <v>7</v>
      </c>
      <c r="O133" s="1" t="s">
        <v>96</v>
      </c>
      <c r="P133" s="1" t="s">
        <v>96</v>
      </c>
      <c r="Q133" s="1" t="s">
        <v>9</v>
      </c>
      <c r="R133" s="1">
        <v>0</v>
      </c>
      <c r="S133" s="1" t="s">
        <v>97</v>
      </c>
      <c r="T133" s="1" t="s">
        <v>97</v>
      </c>
      <c r="U133" s="1" t="b">
        <v>1</v>
      </c>
      <c r="V133" s="1" t="b">
        <v>0</v>
      </c>
      <c r="W133" s="1" t="b">
        <v>0</v>
      </c>
      <c r="X133" s="1">
        <v>5</v>
      </c>
      <c r="Y133" s="1" t="b">
        <v>1</v>
      </c>
      <c r="Z133" s="1" t="b">
        <v>1</v>
      </c>
      <c r="AA133" s="1">
        <v>63.2</v>
      </c>
      <c r="AB133" s="1" t="b">
        <v>0</v>
      </c>
      <c r="AC133" s="1">
        <v>0</v>
      </c>
      <c r="AD133" s="1">
        <v>2179632</v>
      </c>
      <c r="AE133" s="1">
        <v>133610960</v>
      </c>
      <c r="AF133" s="1" t="s">
        <v>647</v>
      </c>
      <c r="AG133" s="1" t="s">
        <v>647</v>
      </c>
      <c r="AH133" s="1">
        <v>69.400000000000006</v>
      </c>
      <c r="AI133" s="1">
        <v>63.4</v>
      </c>
      <c r="AJ133" s="1" t="s">
        <v>648</v>
      </c>
      <c r="AK133" s="1" t="s">
        <v>649</v>
      </c>
      <c r="AL133" s="1" t="s">
        <v>650</v>
      </c>
    </row>
    <row r="134" spans="1:38" x14ac:dyDescent="0.6">
      <c r="A134" s="1">
        <v>96</v>
      </c>
      <c r="B134" s="1" t="s">
        <v>103</v>
      </c>
      <c r="C134" s="1">
        <v>63</v>
      </c>
      <c r="D134" s="1" t="s">
        <v>127</v>
      </c>
      <c r="E134" s="1" t="s">
        <v>90</v>
      </c>
      <c r="F134" s="1"/>
      <c r="G134" s="1"/>
      <c r="H134" s="1" t="s">
        <v>220</v>
      </c>
      <c r="I134" s="1" t="s">
        <v>221</v>
      </c>
      <c r="J134" s="1" t="s">
        <v>222</v>
      </c>
      <c r="K134" s="1">
        <v>1.25</v>
      </c>
      <c r="L134" s="1">
        <v>120</v>
      </c>
      <c r="M134" s="1" t="s">
        <v>14</v>
      </c>
      <c r="N134" s="1" t="s">
        <v>95</v>
      </c>
      <c r="O134" s="1" t="s">
        <v>96</v>
      </c>
      <c r="P134" s="1"/>
      <c r="Q134" s="1" t="s">
        <v>9</v>
      </c>
      <c r="R134" s="1">
        <v>0</v>
      </c>
      <c r="S134" s="1" t="s">
        <v>97</v>
      </c>
      <c r="T134" s="1" t="s">
        <v>97</v>
      </c>
      <c r="U134" s="1" t="b">
        <v>1</v>
      </c>
      <c r="V134" s="1" t="b">
        <v>0</v>
      </c>
      <c r="W134" s="1" t="b">
        <v>0</v>
      </c>
      <c r="X134" s="1">
        <v>5</v>
      </c>
      <c r="Y134" s="1" t="b">
        <v>1</v>
      </c>
      <c r="Z134" s="1" t="b">
        <v>1</v>
      </c>
      <c r="AA134" s="1"/>
      <c r="AB134" s="1" t="b">
        <v>1</v>
      </c>
      <c r="AC134" s="1">
        <v>130561272</v>
      </c>
      <c r="AD134" s="1">
        <v>510728</v>
      </c>
      <c r="AE134" s="1">
        <v>0</v>
      </c>
      <c r="AF134" s="1" t="s">
        <v>635</v>
      </c>
      <c r="AG134" s="1" t="s">
        <v>636</v>
      </c>
      <c r="AH134" s="1">
        <v>65.900000000000006</v>
      </c>
      <c r="AI134" s="1">
        <v>68.7</v>
      </c>
      <c r="AJ134" s="1" t="s">
        <v>651</v>
      </c>
      <c r="AK134" s="1" t="s">
        <v>652</v>
      </c>
      <c r="AL134" s="1" t="s">
        <v>653</v>
      </c>
    </row>
    <row r="135" spans="1:38" x14ac:dyDescent="0.6">
      <c r="A135" s="1">
        <v>95</v>
      </c>
      <c r="B135" s="1" t="s">
        <v>88</v>
      </c>
      <c r="C135" s="1">
        <v>54</v>
      </c>
      <c r="D135" s="1" t="s">
        <v>89</v>
      </c>
      <c r="E135" s="1" t="s">
        <v>108</v>
      </c>
      <c r="F135" s="1"/>
      <c r="G135" s="1"/>
      <c r="H135" s="1" t="s">
        <v>220</v>
      </c>
      <c r="I135" s="1" t="s">
        <v>221</v>
      </c>
      <c r="J135" s="1" t="s">
        <v>222</v>
      </c>
      <c r="K135" s="1">
        <v>1.25</v>
      </c>
      <c r="L135" s="1">
        <v>120</v>
      </c>
      <c r="M135" s="1" t="s">
        <v>7</v>
      </c>
      <c r="N135" s="1" t="s">
        <v>7</v>
      </c>
      <c r="O135" s="1" t="s">
        <v>96</v>
      </c>
      <c r="P135" s="1" t="s">
        <v>96</v>
      </c>
      <c r="Q135" s="1" t="s">
        <v>9</v>
      </c>
      <c r="R135" s="1">
        <v>0</v>
      </c>
      <c r="S135" s="1" t="s">
        <v>97</v>
      </c>
      <c r="T135" s="1" t="s">
        <v>97</v>
      </c>
      <c r="U135" s="1" t="b">
        <v>1</v>
      </c>
      <c r="V135" s="1" t="b">
        <v>0</v>
      </c>
      <c r="W135" s="1" t="b">
        <v>0</v>
      </c>
      <c r="X135" s="1">
        <v>5</v>
      </c>
      <c r="Y135" s="1" t="b">
        <v>1</v>
      </c>
      <c r="Z135" s="1" t="b">
        <v>1</v>
      </c>
      <c r="AA135" s="1">
        <v>68.3</v>
      </c>
      <c r="AB135" s="1" t="b">
        <v>0</v>
      </c>
      <c r="AC135" s="1">
        <v>0</v>
      </c>
      <c r="AD135" s="1">
        <v>2389434</v>
      </c>
      <c r="AE135" s="1">
        <v>121604678</v>
      </c>
      <c r="AF135" s="1" t="s">
        <v>654</v>
      </c>
      <c r="AG135" s="1" t="s">
        <v>654</v>
      </c>
      <c r="AH135" s="1">
        <v>71.8</v>
      </c>
      <c r="AI135" s="1">
        <v>65.7</v>
      </c>
      <c r="AJ135" s="1" t="s">
        <v>655</v>
      </c>
      <c r="AK135" s="1" t="s">
        <v>656</v>
      </c>
      <c r="AL135" s="1" t="s">
        <v>657</v>
      </c>
    </row>
    <row r="136" spans="1:38" x14ac:dyDescent="0.6">
      <c r="A136" s="1">
        <v>97</v>
      </c>
      <c r="B136" s="1" t="s">
        <v>103</v>
      </c>
      <c r="C136" s="1">
        <v>58</v>
      </c>
      <c r="D136" s="1" t="s">
        <v>89</v>
      </c>
      <c r="E136" s="1" t="s">
        <v>90</v>
      </c>
      <c r="F136" s="1"/>
      <c r="G136" s="1"/>
      <c r="H136" s="1" t="s">
        <v>220</v>
      </c>
      <c r="I136" s="1" t="s">
        <v>221</v>
      </c>
      <c r="J136" s="1" t="s">
        <v>222</v>
      </c>
      <c r="K136" s="1">
        <v>1.25</v>
      </c>
      <c r="L136" s="1">
        <v>120</v>
      </c>
      <c r="M136" s="1" t="s">
        <v>14</v>
      </c>
      <c r="N136" s="1" t="s">
        <v>95</v>
      </c>
      <c r="O136" s="1" t="s">
        <v>96</v>
      </c>
      <c r="P136" s="1"/>
      <c r="Q136" s="1" t="s">
        <v>9</v>
      </c>
      <c r="R136" s="1">
        <v>0</v>
      </c>
      <c r="S136" s="1" t="s">
        <v>97</v>
      </c>
      <c r="T136" s="1" t="s">
        <v>97</v>
      </c>
      <c r="U136" s="1" t="b">
        <v>1</v>
      </c>
      <c r="V136" s="1" t="b">
        <v>0</v>
      </c>
      <c r="W136" s="1" t="b">
        <v>0</v>
      </c>
      <c r="X136" s="1">
        <v>5</v>
      </c>
      <c r="Y136" s="1" t="b">
        <v>1</v>
      </c>
      <c r="Z136" s="1" t="b">
        <v>1</v>
      </c>
      <c r="AA136" s="1"/>
      <c r="AB136" s="1" t="b">
        <v>1</v>
      </c>
      <c r="AC136" s="1">
        <v>136452549</v>
      </c>
      <c r="AD136" s="1">
        <v>648763</v>
      </c>
      <c r="AE136" s="1">
        <v>0</v>
      </c>
      <c r="AF136" s="1" t="s">
        <v>658</v>
      </c>
      <c r="AG136" s="1" t="s">
        <v>659</v>
      </c>
      <c r="AH136" s="1">
        <v>64.7</v>
      </c>
      <c r="AI136" s="1">
        <v>55.2</v>
      </c>
      <c r="AJ136" s="1" t="s">
        <v>660</v>
      </c>
      <c r="AK136" s="1" t="s">
        <v>661</v>
      </c>
      <c r="AL136" s="1" t="s">
        <v>662</v>
      </c>
    </row>
    <row r="137" spans="1:38" x14ac:dyDescent="0.6">
      <c r="A137" s="1">
        <v>98</v>
      </c>
      <c r="B137" s="1" t="s">
        <v>103</v>
      </c>
      <c r="C137" s="1">
        <v>54</v>
      </c>
      <c r="D137" s="1" t="s">
        <v>89</v>
      </c>
      <c r="E137" s="1" t="s">
        <v>108</v>
      </c>
      <c r="F137" s="1"/>
      <c r="G137" s="1"/>
      <c r="H137" s="1" t="s">
        <v>220</v>
      </c>
      <c r="I137" s="1" t="s">
        <v>221</v>
      </c>
      <c r="J137" s="1" t="s">
        <v>222</v>
      </c>
      <c r="K137" s="1">
        <v>1.25</v>
      </c>
      <c r="L137" s="1">
        <v>120</v>
      </c>
      <c r="M137" s="1" t="s">
        <v>7</v>
      </c>
      <c r="N137" s="1" t="s">
        <v>7</v>
      </c>
      <c r="O137" s="1" t="s">
        <v>96</v>
      </c>
      <c r="P137" s="1" t="s">
        <v>96</v>
      </c>
      <c r="Q137" s="1" t="s">
        <v>9</v>
      </c>
      <c r="R137" s="1">
        <v>0</v>
      </c>
      <c r="S137" s="1" t="s">
        <v>97</v>
      </c>
      <c r="T137" s="1" t="s">
        <v>97</v>
      </c>
      <c r="U137" s="1" t="b">
        <v>1</v>
      </c>
      <c r="V137" s="1" t="b">
        <v>0</v>
      </c>
      <c r="W137" s="1" t="b">
        <v>0</v>
      </c>
      <c r="X137" s="1">
        <v>5</v>
      </c>
      <c r="Y137" s="1" t="b">
        <v>1</v>
      </c>
      <c r="Z137" s="1" t="b">
        <v>1</v>
      </c>
      <c r="AA137" s="1">
        <v>61.8</v>
      </c>
      <c r="AB137" s="1" t="b">
        <v>0</v>
      </c>
      <c r="AC137" s="1">
        <v>0</v>
      </c>
      <c r="AD137" s="1">
        <v>2889575</v>
      </c>
      <c r="AE137" s="1">
        <v>155445401</v>
      </c>
      <c r="AF137" s="1" t="s">
        <v>663</v>
      </c>
      <c r="AG137" s="1" t="s">
        <v>663</v>
      </c>
      <c r="AH137" s="1">
        <v>64</v>
      </c>
      <c r="AI137" s="1">
        <v>60.7</v>
      </c>
      <c r="AJ137" s="1" t="s">
        <v>664</v>
      </c>
      <c r="AK137" s="1" t="s">
        <v>665</v>
      </c>
      <c r="AL137" s="1" t="s">
        <v>666</v>
      </c>
    </row>
    <row r="138" spans="1:38" x14ac:dyDescent="0.6">
      <c r="A138" s="1">
        <v>86</v>
      </c>
      <c r="B138" s="1" t="s">
        <v>88</v>
      </c>
      <c r="C138" s="1">
        <v>71</v>
      </c>
      <c r="D138" s="1" t="s">
        <v>119</v>
      </c>
      <c r="E138" s="1" t="s">
        <v>108</v>
      </c>
      <c r="F138" s="1"/>
      <c r="G138" s="1"/>
      <c r="H138" s="1" t="s">
        <v>220</v>
      </c>
      <c r="I138" s="1" t="s">
        <v>221</v>
      </c>
      <c r="J138" s="1" t="s">
        <v>222</v>
      </c>
      <c r="K138" s="1">
        <v>1.25</v>
      </c>
      <c r="L138" s="1">
        <v>120</v>
      </c>
      <c r="M138" s="1" t="s">
        <v>7</v>
      </c>
      <c r="N138" s="1" t="s">
        <v>7</v>
      </c>
      <c r="O138" s="1" t="s">
        <v>96</v>
      </c>
      <c r="P138" s="1" t="s">
        <v>96</v>
      </c>
      <c r="Q138" s="1" t="s">
        <v>9</v>
      </c>
      <c r="R138" s="1">
        <v>0</v>
      </c>
      <c r="S138" s="1" t="s">
        <v>97</v>
      </c>
      <c r="T138" s="1" t="s">
        <v>97</v>
      </c>
      <c r="U138" s="1" t="b">
        <v>1</v>
      </c>
      <c r="V138" s="1" t="b">
        <v>0</v>
      </c>
      <c r="W138" s="1" t="b">
        <v>0</v>
      </c>
      <c r="X138" s="1">
        <v>5</v>
      </c>
      <c r="Y138" s="1" t="b">
        <v>1</v>
      </c>
      <c r="Z138" s="1" t="b">
        <v>1</v>
      </c>
      <c r="AA138" s="1">
        <v>76.599999999999994</v>
      </c>
      <c r="AB138" s="1" t="b">
        <v>0</v>
      </c>
      <c r="AC138" s="1">
        <v>0</v>
      </c>
      <c r="AD138" s="1">
        <v>2962350</v>
      </c>
      <c r="AE138" s="1">
        <v>150391890</v>
      </c>
      <c r="AF138" s="1" t="s">
        <v>667</v>
      </c>
      <c r="AG138" s="1" t="s">
        <v>667</v>
      </c>
      <c r="AH138" s="1">
        <v>79.900000000000006</v>
      </c>
      <c r="AI138" s="1">
        <v>75.400000000000006</v>
      </c>
      <c r="AJ138" s="1" t="s">
        <v>668</v>
      </c>
      <c r="AK138" s="1" t="s">
        <v>669</v>
      </c>
      <c r="AL138" s="1" t="s">
        <v>670</v>
      </c>
    </row>
    <row r="139" spans="1:38" x14ac:dyDescent="0.6">
      <c r="A139" s="1">
        <v>87</v>
      </c>
      <c r="B139" s="1" t="s">
        <v>88</v>
      </c>
      <c r="C139" s="1">
        <v>56</v>
      </c>
      <c r="D139" s="1" t="s">
        <v>89</v>
      </c>
      <c r="E139" s="1" t="s">
        <v>108</v>
      </c>
      <c r="F139" s="1"/>
      <c r="G139" s="1"/>
      <c r="H139" s="1" t="s">
        <v>220</v>
      </c>
      <c r="I139" s="1" t="s">
        <v>221</v>
      </c>
      <c r="J139" s="1" t="s">
        <v>222</v>
      </c>
      <c r="K139" s="1">
        <v>1.25</v>
      </c>
      <c r="L139" s="1">
        <v>120</v>
      </c>
      <c r="M139" s="1" t="s">
        <v>14</v>
      </c>
      <c r="N139" s="1" t="s">
        <v>95</v>
      </c>
      <c r="O139" s="1" t="s">
        <v>96</v>
      </c>
      <c r="P139" s="1"/>
      <c r="Q139" s="1" t="s">
        <v>9</v>
      </c>
      <c r="R139" s="1">
        <v>0</v>
      </c>
      <c r="S139" s="1" t="s">
        <v>97</v>
      </c>
      <c r="T139" s="1" t="s">
        <v>97</v>
      </c>
      <c r="U139" s="1" t="b">
        <v>1</v>
      </c>
      <c r="V139" s="1" t="b">
        <v>0</v>
      </c>
      <c r="W139" s="1" t="b">
        <v>0</v>
      </c>
      <c r="X139" s="1">
        <v>5</v>
      </c>
      <c r="Y139" s="1" t="b">
        <v>1</v>
      </c>
      <c r="Z139" s="1" t="b">
        <v>1</v>
      </c>
      <c r="AA139" s="1"/>
      <c r="AB139" s="1" t="b">
        <v>1</v>
      </c>
      <c r="AC139" s="1">
        <v>153537060</v>
      </c>
      <c r="AD139" s="1">
        <v>603612</v>
      </c>
      <c r="AE139" s="1">
        <v>0</v>
      </c>
      <c r="AF139" s="1" t="s">
        <v>671</v>
      </c>
      <c r="AG139" s="1" t="s">
        <v>672</v>
      </c>
      <c r="AH139" s="1">
        <v>81.099999999999994</v>
      </c>
      <c r="AI139" s="1">
        <v>80.2</v>
      </c>
      <c r="AJ139" s="1" t="s">
        <v>673</v>
      </c>
      <c r="AK139" s="1" t="s">
        <v>674</v>
      </c>
      <c r="AL139" s="1" t="s">
        <v>675</v>
      </c>
    </row>
    <row r="140" spans="1:38" x14ac:dyDescent="0.6">
      <c r="A140" s="1">
        <v>102</v>
      </c>
      <c r="B140" s="1" t="s">
        <v>88</v>
      </c>
      <c r="C140" s="1">
        <v>51</v>
      </c>
      <c r="D140" s="1" t="s">
        <v>89</v>
      </c>
      <c r="E140" s="1" t="s">
        <v>90</v>
      </c>
      <c r="F140" s="1"/>
      <c r="G140" s="1"/>
      <c r="H140" s="1" t="s">
        <v>220</v>
      </c>
      <c r="I140" s="1" t="s">
        <v>221</v>
      </c>
      <c r="J140" s="1" t="s">
        <v>222</v>
      </c>
      <c r="K140" s="1">
        <v>1.25</v>
      </c>
      <c r="L140" s="1">
        <v>120</v>
      </c>
      <c r="M140" s="1" t="s">
        <v>14</v>
      </c>
      <c r="N140" s="1" t="s">
        <v>95</v>
      </c>
      <c r="O140" s="1" t="s">
        <v>96</v>
      </c>
      <c r="P140" s="1"/>
      <c r="Q140" s="1" t="s">
        <v>9</v>
      </c>
      <c r="R140" s="1">
        <v>0</v>
      </c>
      <c r="S140" s="1" t="s">
        <v>97</v>
      </c>
      <c r="T140" s="1" t="s">
        <v>97</v>
      </c>
      <c r="U140" s="1" t="b">
        <v>1</v>
      </c>
      <c r="V140" s="1" t="b">
        <v>0</v>
      </c>
      <c r="W140" s="1" t="b">
        <v>0</v>
      </c>
      <c r="X140" s="1">
        <v>5</v>
      </c>
      <c r="Y140" s="1" t="b">
        <v>1</v>
      </c>
      <c r="Z140" s="1" t="b">
        <v>1</v>
      </c>
      <c r="AA140" s="1"/>
      <c r="AB140" s="1" t="b">
        <v>1</v>
      </c>
      <c r="AC140" s="1">
        <v>120230796</v>
      </c>
      <c r="AD140" s="1">
        <v>617588</v>
      </c>
      <c r="AE140" s="1">
        <v>0</v>
      </c>
      <c r="AF140" s="1" t="s">
        <v>676</v>
      </c>
      <c r="AG140" s="1" t="s">
        <v>677</v>
      </c>
      <c r="AH140" s="1">
        <v>69.099999999999994</v>
      </c>
      <c r="AI140" s="1">
        <v>70.099999999999994</v>
      </c>
      <c r="AJ140" s="1" t="s">
        <v>678</v>
      </c>
      <c r="AK140" s="1" t="s">
        <v>679</v>
      </c>
      <c r="AL140" s="1" t="s">
        <v>680</v>
      </c>
    </row>
    <row r="141" spans="1:38" x14ac:dyDescent="0.6">
      <c r="A141" s="1">
        <v>101</v>
      </c>
      <c r="B141" s="1" t="s">
        <v>103</v>
      </c>
      <c r="C141" s="1">
        <v>50</v>
      </c>
      <c r="D141" s="1" t="s">
        <v>89</v>
      </c>
      <c r="E141" s="1" t="s">
        <v>90</v>
      </c>
      <c r="F141" s="1"/>
      <c r="G141" s="1"/>
      <c r="H141" s="1" t="s">
        <v>220</v>
      </c>
      <c r="I141" s="1" t="s">
        <v>221</v>
      </c>
      <c r="J141" s="1" t="s">
        <v>222</v>
      </c>
      <c r="K141" s="1">
        <v>1.25</v>
      </c>
      <c r="L141" s="1">
        <v>120</v>
      </c>
      <c r="M141" s="1" t="s">
        <v>14</v>
      </c>
      <c r="N141" s="1" t="s">
        <v>95</v>
      </c>
      <c r="O141" s="1" t="s">
        <v>96</v>
      </c>
      <c r="P141" s="1"/>
      <c r="Q141" s="1" t="s">
        <v>9</v>
      </c>
      <c r="R141" s="1">
        <v>0</v>
      </c>
      <c r="S141" s="1" t="s">
        <v>97</v>
      </c>
      <c r="T141" s="1" t="s">
        <v>97</v>
      </c>
      <c r="U141" s="1" t="b">
        <v>1</v>
      </c>
      <c r="V141" s="1" t="b">
        <v>0</v>
      </c>
      <c r="W141" s="1" t="b">
        <v>0</v>
      </c>
      <c r="X141" s="1">
        <v>5</v>
      </c>
      <c r="Y141" s="1" t="b">
        <v>1</v>
      </c>
      <c r="Z141" s="1" t="b">
        <v>1</v>
      </c>
      <c r="AA141" s="1"/>
      <c r="AB141" s="1" t="b">
        <v>1</v>
      </c>
      <c r="AC141" s="1">
        <v>127483857</v>
      </c>
      <c r="AD141" s="1">
        <v>442415</v>
      </c>
      <c r="AE141" s="1">
        <v>0</v>
      </c>
      <c r="AF141" s="1" t="s">
        <v>681</v>
      </c>
      <c r="AG141" s="1" t="s">
        <v>682</v>
      </c>
      <c r="AH141" s="1">
        <v>74.2</v>
      </c>
      <c r="AI141" s="1">
        <v>66.8</v>
      </c>
      <c r="AJ141" s="1" t="s">
        <v>683</v>
      </c>
      <c r="AK141" s="1" t="s">
        <v>684</v>
      </c>
      <c r="AL141" s="1" t="s">
        <v>685</v>
      </c>
    </row>
    <row r="142" spans="1:38" x14ac:dyDescent="0.6">
      <c r="A142" s="1">
        <v>100</v>
      </c>
      <c r="B142" s="1" t="s">
        <v>88</v>
      </c>
      <c r="C142" s="1">
        <v>56</v>
      </c>
      <c r="D142" s="1" t="s">
        <v>89</v>
      </c>
      <c r="E142" s="1" t="s">
        <v>108</v>
      </c>
      <c r="F142" s="1"/>
      <c r="G142" s="1"/>
      <c r="H142" s="1" t="s">
        <v>220</v>
      </c>
      <c r="I142" s="1" t="s">
        <v>221</v>
      </c>
      <c r="J142" s="1" t="s">
        <v>222</v>
      </c>
      <c r="K142" s="1">
        <v>1.25</v>
      </c>
      <c r="L142" s="1">
        <v>120</v>
      </c>
      <c r="M142" s="1" t="s">
        <v>7</v>
      </c>
      <c r="N142" s="1" t="s">
        <v>7</v>
      </c>
      <c r="O142" s="1" t="s">
        <v>96</v>
      </c>
      <c r="P142" s="1" t="s">
        <v>96</v>
      </c>
      <c r="Q142" s="1" t="s">
        <v>9</v>
      </c>
      <c r="R142" s="1">
        <v>0</v>
      </c>
      <c r="S142" s="1" t="s">
        <v>97</v>
      </c>
      <c r="T142" s="1" t="s">
        <v>97</v>
      </c>
      <c r="U142" s="1" t="b">
        <v>1</v>
      </c>
      <c r="V142" s="1" t="b">
        <v>0</v>
      </c>
      <c r="W142" s="1" t="b">
        <v>0</v>
      </c>
      <c r="X142" s="1">
        <v>5</v>
      </c>
      <c r="Y142" s="1" t="b">
        <v>1</v>
      </c>
      <c r="Z142" s="1" t="b">
        <v>1</v>
      </c>
      <c r="AA142" s="1">
        <v>78.099999999999994</v>
      </c>
      <c r="AB142" s="1" t="b">
        <v>0</v>
      </c>
      <c r="AC142" s="1">
        <v>0</v>
      </c>
      <c r="AD142" s="1">
        <v>2418207</v>
      </c>
      <c r="AE142" s="1">
        <v>143858145</v>
      </c>
      <c r="AF142" s="1" t="s">
        <v>686</v>
      </c>
      <c r="AG142" s="1" t="s">
        <v>686</v>
      </c>
      <c r="AH142" s="1">
        <v>79.5</v>
      </c>
      <c r="AI142" s="1">
        <v>76</v>
      </c>
      <c r="AJ142" s="1" t="s">
        <v>687</v>
      </c>
      <c r="AK142" s="1" t="s">
        <v>688</v>
      </c>
      <c r="AL142" s="1" t="s">
        <v>689</v>
      </c>
    </row>
    <row r="143" spans="1:38" x14ac:dyDescent="0.6">
      <c r="A143" s="1">
        <v>104</v>
      </c>
      <c r="B143" s="1" t="s">
        <v>103</v>
      </c>
      <c r="C143" s="1">
        <v>54</v>
      </c>
      <c r="D143" s="1" t="s">
        <v>89</v>
      </c>
      <c r="E143" s="1" t="s">
        <v>90</v>
      </c>
      <c r="F143" s="1"/>
      <c r="G143" s="1"/>
      <c r="H143" s="1" t="s">
        <v>220</v>
      </c>
      <c r="I143" s="1" t="s">
        <v>221</v>
      </c>
      <c r="J143" s="1" t="s">
        <v>222</v>
      </c>
      <c r="K143" s="1">
        <v>1.25</v>
      </c>
      <c r="L143" s="1">
        <v>120</v>
      </c>
      <c r="M143" s="1" t="s">
        <v>94</v>
      </c>
      <c r="N143" s="1" t="s">
        <v>95</v>
      </c>
      <c r="O143" s="1"/>
      <c r="P143" s="1" t="s">
        <v>96</v>
      </c>
      <c r="Q143" s="1" t="s">
        <v>110</v>
      </c>
      <c r="R143" s="1">
        <v>3</v>
      </c>
      <c r="S143" s="1" t="s">
        <v>97</v>
      </c>
      <c r="T143" s="1" t="s">
        <v>110</v>
      </c>
      <c r="U143" s="1" t="b">
        <v>0</v>
      </c>
      <c r="V143" s="1" t="b">
        <v>1</v>
      </c>
      <c r="W143" s="1" t="b">
        <v>0</v>
      </c>
      <c r="X143" s="1">
        <v>0</v>
      </c>
      <c r="Y143" s="1" t="b">
        <v>1</v>
      </c>
      <c r="Z143" s="1" t="b">
        <v>1</v>
      </c>
      <c r="AA143" s="1">
        <v>67.3</v>
      </c>
      <c r="AB143" s="1" t="b">
        <v>1</v>
      </c>
      <c r="AC143" s="1">
        <v>139428698</v>
      </c>
      <c r="AD143" s="1">
        <v>1604774</v>
      </c>
      <c r="AE143" s="1">
        <v>0</v>
      </c>
      <c r="AF143" s="1" t="s">
        <v>690</v>
      </c>
      <c r="AG143" s="1" t="s">
        <v>691</v>
      </c>
      <c r="AH143" s="1">
        <v>62.3</v>
      </c>
      <c r="AI143" s="1">
        <v>62.7</v>
      </c>
      <c r="AJ143" s="1" t="s">
        <v>692</v>
      </c>
      <c r="AK143" s="1" t="s">
        <v>693</v>
      </c>
      <c r="AL143" s="1" t="s">
        <v>694</v>
      </c>
    </row>
    <row r="144" spans="1:38" x14ac:dyDescent="0.6">
      <c r="A144" s="1">
        <v>91</v>
      </c>
      <c r="B144" s="1" t="s">
        <v>103</v>
      </c>
      <c r="C144" s="1">
        <v>56</v>
      </c>
      <c r="D144" s="1" t="s">
        <v>89</v>
      </c>
      <c r="E144" s="1" t="s">
        <v>108</v>
      </c>
      <c r="F144" s="1"/>
      <c r="G144" s="1"/>
      <c r="H144" s="1" t="s">
        <v>220</v>
      </c>
      <c r="I144" s="1" t="s">
        <v>221</v>
      </c>
      <c r="J144" s="1" t="s">
        <v>222</v>
      </c>
      <c r="K144" s="1">
        <v>1.25</v>
      </c>
      <c r="L144" s="1">
        <v>120</v>
      </c>
      <c r="M144" s="1" t="s">
        <v>94</v>
      </c>
      <c r="N144" s="1" t="s">
        <v>95</v>
      </c>
      <c r="O144" s="1"/>
      <c r="P144" s="1" t="s">
        <v>96</v>
      </c>
      <c r="Q144" s="1" t="s">
        <v>9</v>
      </c>
      <c r="R144" s="1">
        <v>0</v>
      </c>
      <c r="S144" s="1" t="s">
        <v>97</v>
      </c>
      <c r="T144" s="1" t="s">
        <v>97</v>
      </c>
      <c r="U144" s="1" t="b">
        <v>1</v>
      </c>
      <c r="V144" s="1" t="b">
        <v>0</v>
      </c>
      <c r="W144" s="1" t="b">
        <v>0</v>
      </c>
      <c r="X144" s="1">
        <v>0</v>
      </c>
      <c r="Y144" s="1" t="b">
        <v>1</v>
      </c>
      <c r="Z144" s="1" t="b">
        <v>1</v>
      </c>
      <c r="AA144" s="1">
        <v>80</v>
      </c>
      <c r="AB144" s="1" t="b">
        <v>1</v>
      </c>
      <c r="AC144" s="1">
        <v>149035026</v>
      </c>
      <c r="AD144" s="1">
        <v>1435630</v>
      </c>
      <c r="AE144" s="1">
        <v>0</v>
      </c>
      <c r="AF144" s="1" t="s">
        <v>607</v>
      </c>
      <c r="AG144" s="1" t="s">
        <v>608</v>
      </c>
      <c r="AH144" s="1">
        <v>90.1</v>
      </c>
      <c r="AI144" s="1">
        <v>76.400000000000006</v>
      </c>
      <c r="AJ144" s="1" t="s">
        <v>695</v>
      </c>
      <c r="AK144" s="1" t="s">
        <v>696</v>
      </c>
      <c r="AL144" s="1" t="s">
        <v>697</v>
      </c>
    </row>
    <row r="145" spans="1:38" x14ac:dyDescent="0.6">
      <c r="A145" s="1">
        <v>97</v>
      </c>
      <c r="B145" s="1" t="s">
        <v>103</v>
      </c>
      <c r="C145" s="1">
        <v>58</v>
      </c>
      <c r="D145" s="1" t="s">
        <v>89</v>
      </c>
      <c r="E145" s="1" t="s">
        <v>90</v>
      </c>
      <c r="F145" s="1"/>
      <c r="G145" s="1"/>
      <c r="H145" s="1" t="s">
        <v>220</v>
      </c>
      <c r="I145" s="1" t="s">
        <v>221</v>
      </c>
      <c r="J145" s="1" t="s">
        <v>222</v>
      </c>
      <c r="K145" s="1">
        <v>1.25</v>
      </c>
      <c r="L145" s="1">
        <v>120</v>
      </c>
      <c r="M145" s="1" t="s">
        <v>94</v>
      </c>
      <c r="N145" s="1" t="s">
        <v>95</v>
      </c>
      <c r="O145" s="1"/>
      <c r="P145" s="1" t="s">
        <v>96</v>
      </c>
      <c r="Q145" s="1" t="s">
        <v>9</v>
      </c>
      <c r="R145" s="1">
        <v>0</v>
      </c>
      <c r="S145" s="1" t="s">
        <v>97</v>
      </c>
      <c r="T145" s="1" t="s">
        <v>97</v>
      </c>
      <c r="U145" s="1" t="b">
        <v>1</v>
      </c>
      <c r="V145" s="1" t="b">
        <v>0</v>
      </c>
      <c r="W145" s="1" t="b">
        <v>0</v>
      </c>
      <c r="X145" s="1">
        <v>0</v>
      </c>
      <c r="Y145" s="1" t="b">
        <v>1</v>
      </c>
      <c r="Z145" s="1" t="b">
        <v>1</v>
      </c>
      <c r="AA145" s="1">
        <v>56.2</v>
      </c>
      <c r="AB145" s="1" t="b">
        <v>1</v>
      </c>
      <c r="AC145" s="1">
        <v>135880228</v>
      </c>
      <c r="AD145" s="1">
        <v>2007516</v>
      </c>
      <c r="AE145" s="1">
        <v>0</v>
      </c>
      <c r="AF145" s="1" t="s">
        <v>658</v>
      </c>
      <c r="AG145" s="1" t="s">
        <v>659</v>
      </c>
      <c r="AH145" s="1">
        <v>64.7</v>
      </c>
      <c r="AI145" s="1">
        <v>55.2</v>
      </c>
      <c r="AJ145" s="1" t="s">
        <v>698</v>
      </c>
      <c r="AK145" s="1" t="s">
        <v>699</v>
      </c>
      <c r="AL145" s="1" t="s">
        <v>700</v>
      </c>
    </row>
    <row r="146" spans="1:38" x14ac:dyDescent="0.6">
      <c r="A146" s="1">
        <v>101</v>
      </c>
      <c r="B146" s="1" t="s">
        <v>103</v>
      </c>
      <c r="C146" s="1">
        <v>50</v>
      </c>
      <c r="D146" s="1" t="s">
        <v>89</v>
      </c>
      <c r="E146" s="1" t="s">
        <v>90</v>
      </c>
      <c r="F146" s="1"/>
      <c r="G146" s="1"/>
      <c r="H146" s="1" t="s">
        <v>220</v>
      </c>
      <c r="I146" s="1" t="s">
        <v>221</v>
      </c>
      <c r="J146" s="1" t="s">
        <v>222</v>
      </c>
      <c r="K146" s="1">
        <v>1.25</v>
      </c>
      <c r="L146" s="1">
        <v>120</v>
      </c>
      <c r="M146" s="1" t="s">
        <v>94</v>
      </c>
      <c r="N146" s="1" t="s">
        <v>95</v>
      </c>
      <c r="O146" s="1"/>
      <c r="P146" s="1" t="s">
        <v>96</v>
      </c>
      <c r="Q146" s="1" t="s">
        <v>9</v>
      </c>
      <c r="R146" s="1">
        <v>0</v>
      </c>
      <c r="S146" s="1" t="s">
        <v>97</v>
      </c>
      <c r="T146" s="1" t="s">
        <v>97</v>
      </c>
      <c r="U146" s="1" t="b">
        <v>1</v>
      </c>
      <c r="V146" s="1" t="b">
        <v>0</v>
      </c>
      <c r="W146" s="1" t="b">
        <v>0</v>
      </c>
      <c r="X146" s="1">
        <v>0</v>
      </c>
      <c r="Y146" s="1" t="b">
        <v>1</v>
      </c>
      <c r="Z146" s="1" t="b">
        <v>1</v>
      </c>
      <c r="AA146" s="1">
        <v>69.8</v>
      </c>
      <c r="AB146" s="1" t="b">
        <v>1</v>
      </c>
      <c r="AC146" s="1">
        <v>134756496</v>
      </c>
      <c r="AD146" s="1">
        <v>1296240</v>
      </c>
      <c r="AE146" s="1">
        <v>0</v>
      </c>
      <c r="AF146" s="1" t="s">
        <v>681</v>
      </c>
      <c r="AG146" s="1" t="s">
        <v>682</v>
      </c>
      <c r="AH146" s="1">
        <v>74.2</v>
      </c>
      <c r="AI146" s="1">
        <v>66.8</v>
      </c>
      <c r="AJ146" s="1" t="s">
        <v>701</v>
      </c>
      <c r="AK146" s="1" t="s">
        <v>702</v>
      </c>
      <c r="AL146" s="1" t="s">
        <v>703</v>
      </c>
    </row>
    <row r="147" spans="1:38" x14ac:dyDescent="0.6">
      <c r="A147" s="1">
        <v>87</v>
      </c>
      <c r="B147" s="1" t="s">
        <v>88</v>
      </c>
      <c r="C147" s="1">
        <v>56</v>
      </c>
      <c r="D147" s="1" t="s">
        <v>89</v>
      </c>
      <c r="E147" s="1" t="s">
        <v>108</v>
      </c>
      <c r="F147" s="1"/>
      <c r="G147" s="1"/>
      <c r="H147" s="1" t="s">
        <v>220</v>
      </c>
      <c r="I147" s="1" t="s">
        <v>221</v>
      </c>
      <c r="J147" s="1" t="s">
        <v>222</v>
      </c>
      <c r="K147" s="1">
        <v>1.25</v>
      </c>
      <c r="L147" s="1">
        <v>120</v>
      </c>
      <c r="M147" s="1" t="s">
        <v>94</v>
      </c>
      <c r="N147" s="1" t="s">
        <v>95</v>
      </c>
      <c r="O147" s="1"/>
      <c r="P147" s="1" t="s">
        <v>96</v>
      </c>
      <c r="Q147" s="1" t="s">
        <v>9</v>
      </c>
      <c r="R147" s="1">
        <v>0</v>
      </c>
      <c r="S147" s="1" t="s">
        <v>97</v>
      </c>
      <c r="T147" s="1" t="s">
        <v>97</v>
      </c>
      <c r="U147" s="1" t="b">
        <v>1</v>
      </c>
      <c r="V147" s="1" t="b">
        <v>0</v>
      </c>
      <c r="W147" s="1" t="b">
        <v>0</v>
      </c>
      <c r="X147" s="1">
        <v>0</v>
      </c>
      <c r="Y147" s="1" t="b">
        <v>1</v>
      </c>
      <c r="Z147" s="1" t="b">
        <v>1</v>
      </c>
      <c r="AA147" s="1">
        <v>83.7</v>
      </c>
      <c r="AB147" s="1" t="b">
        <v>1</v>
      </c>
      <c r="AC147" s="1">
        <v>160642052</v>
      </c>
      <c r="AD147" s="1">
        <v>1625084</v>
      </c>
      <c r="AE147" s="1">
        <v>0</v>
      </c>
      <c r="AF147" s="1" t="s">
        <v>671</v>
      </c>
      <c r="AG147" s="1" t="s">
        <v>672</v>
      </c>
      <c r="AH147" s="1">
        <v>81.099999999999994</v>
      </c>
      <c r="AI147" s="1">
        <v>80.2</v>
      </c>
      <c r="AJ147" s="1" t="s">
        <v>704</v>
      </c>
      <c r="AK147" s="1" t="s">
        <v>705</v>
      </c>
      <c r="AL147" s="1" t="s">
        <v>706</v>
      </c>
    </row>
    <row r="148" spans="1:38" x14ac:dyDescent="0.6">
      <c r="A148" s="1">
        <v>106</v>
      </c>
      <c r="B148" s="1" t="s">
        <v>88</v>
      </c>
      <c r="C148" s="1">
        <v>61</v>
      </c>
      <c r="D148" s="1" t="s">
        <v>127</v>
      </c>
      <c r="E148" s="1" t="s">
        <v>90</v>
      </c>
      <c r="F148" s="1"/>
      <c r="G148" s="1"/>
      <c r="H148" s="1" t="s">
        <v>220</v>
      </c>
      <c r="I148" s="1" t="s">
        <v>221</v>
      </c>
      <c r="J148" s="1" t="s">
        <v>285</v>
      </c>
      <c r="K148" s="1">
        <v>1.25</v>
      </c>
      <c r="L148" s="1">
        <v>120</v>
      </c>
      <c r="M148" s="1" t="s">
        <v>94</v>
      </c>
      <c r="N148" s="1" t="s">
        <v>95</v>
      </c>
      <c r="O148" s="1"/>
      <c r="P148" s="1" t="s">
        <v>96</v>
      </c>
      <c r="Q148" s="1" t="s">
        <v>9</v>
      </c>
      <c r="R148" s="1">
        <v>0</v>
      </c>
      <c r="S148" s="1" t="s">
        <v>97</v>
      </c>
      <c r="T148" s="1" t="s">
        <v>97</v>
      </c>
      <c r="U148" s="1" t="b">
        <v>1</v>
      </c>
      <c r="V148" s="1" t="b">
        <v>0</v>
      </c>
      <c r="W148" s="1" t="b">
        <v>0</v>
      </c>
      <c r="X148" s="1">
        <v>0</v>
      </c>
      <c r="Y148" s="1" t="b">
        <v>1</v>
      </c>
      <c r="Z148" s="1" t="b">
        <v>1</v>
      </c>
      <c r="AA148" s="1">
        <v>68.599999999999994</v>
      </c>
      <c r="AB148" s="1" t="b">
        <v>1</v>
      </c>
      <c r="AC148" s="1">
        <v>129537237</v>
      </c>
      <c r="AD148" s="1">
        <v>1796907</v>
      </c>
      <c r="AE148" s="1">
        <v>0</v>
      </c>
      <c r="AF148" s="1" t="s">
        <v>707</v>
      </c>
      <c r="AG148" s="1" t="s">
        <v>708</v>
      </c>
      <c r="AH148" s="1">
        <v>71.5</v>
      </c>
      <c r="AI148" s="1">
        <v>65.900000000000006</v>
      </c>
      <c r="AJ148" s="1" t="s">
        <v>709</v>
      </c>
      <c r="AK148" s="1" t="s">
        <v>710</v>
      </c>
      <c r="AL148" s="1" t="s">
        <v>711</v>
      </c>
    </row>
    <row r="149" spans="1:38" x14ac:dyDescent="0.6">
      <c r="A149" s="1">
        <v>99</v>
      </c>
      <c r="B149" s="1" t="s">
        <v>88</v>
      </c>
      <c r="C149" s="1">
        <v>50</v>
      </c>
      <c r="D149" s="1" t="s">
        <v>89</v>
      </c>
      <c r="E149" s="1" t="s">
        <v>90</v>
      </c>
      <c r="F149" s="1"/>
      <c r="G149" s="1"/>
      <c r="H149" s="1" t="s">
        <v>220</v>
      </c>
      <c r="I149" s="1" t="s">
        <v>221</v>
      </c>
      <c r="J149" s="1" t="s">
        <v>222</v>
      </c>
      <c r="K149" s="1">
        <v>1.25</v>
      </c>
      <c r="L149" s="1">
        <v>120</v>
      </c>
      <c r="M149" s="1" t="s">
        <v>94</v>
      </c>
      <c r="N149" s="1" t="s">
        <v>95</v>
      </c>
      <c r="O149" s="1"/>
      <c r="P149" s="1" t="s">
        <v>96</v>
      </c>
      <c r="Q149" s="1" t="s">
        <v>9</v>
      </c>
      <c r="R149" s="1">
        <v>0</v>
      </c>
      <c r="S149" s="1" t="s">
        <v>97</v>
      </c>
      <c r="T149" s="1" t="s">
        <v>97</v>
      </c>
      <c r="U149" s="1" t="b">
        <v>1</v>
      </c>
      <c r="V149" s="1" t="b">
        <v>0</v>
      </c>
      <c r="W149" s="1" t="b">
        <v>0</v>
      </c>
      <c r="X149" s="1">
        <v>0</v>
      </c>
      <c r="Y149" s="1" t="b">
        <v>1</v>
      </c>
      <c r="Z149" s="1" t="b">
        <v>1</v>
      </c>
      <c r="AA149" s="1">
        <v>79.400000000000006</v>
      </c>
      <c r="AB149" s="1" t="b">
        <v>1</v>
      </c>
      <c r="AC149" s="1">
        <v>163630098</v>
      </c>
      <c r="AD149" s="1">
        <v>1782766</v>
      </c>
      <c r="AE149" s="1">
        <v>0</v>
      </c>
      <c r="AF149" s="1" t="s">
        <v>712</v>
      </c>
      <c r="AG149" s="1" t="s">
        <v>713</v>
      </c>
      <c r="AH149" s="1">
        <v>78.2</v>
      </c>
      <c r="AI149" s="1">
        <v>74.400000000000006</v>
      </c>
      <c r="AJ149" s="1" t="s">
        <v>714</v>
      </c>
      <c r="AK149" s="1" t="s">
        <v>715</v>
      </c>
      <c r="AL149" s="1" t="s">
        <v>716</v>
      </c>
    </row>
    <row r="150" spans="1:38" x14ac:dyDescent="0.6">
      <c r="A150" s="1">
        <v>99</v>
      </c>
      <c r="B150" s="1" t="s">
        <v>88</v>
      </c>
      <c r="C150" s="1">
        <v>50</v>
      </c>
      <c r="D150" s="1" t="s">
        <v>89</v>
      </c>
      <c r="E150" s="1" t="s">
        <v>90</v>
      </c>
      <c r="F150" s="1"/>
      <c r="G150" s="1"/>
      <c r="H150" s="1" t="s">
        <v>220</v>
      </c>
      <c r="I150" s="1" t="s">
        <v>221</v>
      </c>
      <c r="J150" s="1" t="s">
        <v>222</v>
      </c>
      <c r="K150" s="1">
        <v>1.25</v>
      </c>
      <c r="L150" s="1">
        <v>120</v>
      </c>
      <c r="M150" s="1" t="s">
        <v>14</v>
      </c>
      <c r="N150" s="1" t="s">
        <v>95</v>
      </c>
      <c r="O150" s="1" t="s">
        <v>96</v>
      </c>
      <c r="P150" s="1"/>
      <c r="Q150" s="1" t="s">
        <v>9</v>
      </c>
      <c r="R150" s="1">
        <v>0</v>
      </c>
      <c r="S150" s="1" t="s">
        <v>97</v>
      </c>
      <c r="T150" s="1" t="s">
        <v>97</v>
      </c>
      <c r="U150" s="1" t="b">
        <v>1</v>
      </c>
      <c r="V150" s="1" t="b">
        <v>0</v>
      </c>
      <c r="W150" s="1" t="b">
        <v>0</v>
      </c>
      <c r="X150" s="1">
        <v>5</v>
      </c>
      <c r="Y150" s="1" t="b">
        <v>1</v>
      </c>
      <c r="Z150" s="1" t="b">
        <v>1</v>
      </c>
      <c r="AA150" s="1"/>
      <c r="AB150" s="1" t="b">
        <v>1</v>
      </c>
      <c r="AC150" s="1">
        <v>144076444</v>
      </c>
      <c r="AD150" s="1">
        <v>627044</v>
      </c>
      <c r="AE150" s="1">
        <v>0</v>
      </c>
      <c r="AF150" s="1" t="s">
        <v>712</v>
      </c>
      <c r="AG150" s="1" t="s">
        <v>713</v>
      </c>
      <c r="AH150" s="1">
        <v>78.2</v>
      </c>
      <c r="AI150" s="1">
        <v>74.400000000000006</v>
      </c>
      <c r="AJ150" s="1" t="s">
        <v>717</v>
      </c>
      <c r="AK150" s="1" t="s">
        <v>718</v>
      </c>
      <c r="AL150" s="1" t="s">
        <v>719</v>
      </c>
    </row>
    <row r="151" spans="1:38" x14ac:dyDescent="0.6">
      <c r="A151" s="1">
        <v>104</v>
      </c>
      <c r="B151" s="1" t="s">
        <v>103</v>
      </c>
      <c r="C151" s="1">
        <v>54</v>
      </c>
      <c r="D151" s="1" t="s">
        <v>89</v>
      </c>
      <c r="E151" s="1" t="s">
        <v>90</v>
      </c>
      <c r="F151" s="1"/>
      <c r="G151" s="1"/>
      <c r="H151" s="1" t="s">
        <v>220</v>
      </c>
      <c r="I151" s="1" t="s">
        <v>221</v>
      </c>
      <c r="J151" s="1" t="s">
        <v>222</v>
      </c>
      <c r="K151" s="1">
        <v>1.25</v>
      </c>
      <c r="L151" s="1">
        <v>120</v>
      </c>
      <c r="M151" s="1" t="s">
        <v>14</v>
      </c>
      <c r="N151" s="1" t="s">
        <v>95</v>
      </c>
      <c r="O151" s="1" t="s">
        <v>96</v>
      </c>
      <c r="P151" s="1"/>
      <c r="Q151" s="1" t="s">
        <v>110</v>
      </c>
      <c r="R151" s="1">
        <v>3</v>
      </c>
      <c r="S151" s="1" t="s">
        <v>97</v>
      </c>
      <c r="T151" s="1" t="s">
        <v>110</v>
      </c>
      <c r="U151" s="1" t="b">
        <v>0</v>
      </c>
      <c r="V151" s="1" t="b">
        <v>1</v>
      </c>
      <c r="W151" s="1" t="b">
        <v>0</v>
      </c>
      <c r="X151" s="1">
        <v>4</v>
      </c>
      <c r="Y151" s="1" t="b">
        <v>1</v>
      </c>
      <c r="Z151" s="1" t="b">
        <v>1</v>
      </c>
      <c r="AA151" s="1"/>
      <c r="AB151" s="1" t="b">
        <v>1</v>
      </c>
      <c r="AC151" s="1">
        <v>133500760</v>
      </c>
      <c r="AD151" s="1">
        <v>454824</v>
      </c>
      <c r="AE151" s="1">
        <v>0</v>
      </c>
      <c r="AF151" s="1" t="s">
        <v>690</v>
      </c>
      <c r="AG151" s="1" t="s">
        <v>691</v>
      </c>
      <c r="AH151" s="1">
        <v>62.3</v>
      </c>
      <c r="AI151" s="1">
        <v>62.7</v>
      </c>
      <c r="AJ151" s="1" t="s">
        <v>720</v>
      </c>
      <c r="AK151" s="1" t="s">
        <v>721</v>
      </c>
      <c r="AL151" s="1" t="s">
        <v>722</v>
      </c>
    </row>
    <row r="152" spans="1:38" x14ac:dyDescent="0.6">
      <c r="A152" s="1">
        <v>106</v>
      </c>
      <c r="B152" s="1" t="s">
        <v>88</v>
      </c>
      <c r="C152" s="1">
        <v>61</v>
      </c>
      <c r="D152" s="1" t="s">
        <v>127</v>
      </c>
      <c r="E152" s="1" t="s">
        <v>90</v>
      </c>
      <c r="F152" s="1"/>
      <c r="G152" s="1"/>
      <c r="H152" s="1" t="s">
        <v>220</v>
      </c>
      <c r="I152" s="1" t="s">
        <v>221</v>
      </c>
      <c r="J152" s="1" t="s">
        <v>285</v>
      </c>
      <c r="K152" s="1">
        <v>1.25</v>
      </c>
      <c r="L152" s="1">
        <v>120</v>
      </c>
      <c r="M152" s="1" t="s">
        <v>14</v>
      </c>
      <c r="N152" s="1" t="s">
        <v>95</v>
      </c>
      <c r="O152" s="1" t="s">
        <v>96</v>
      </c>
      <c r="P152" s="1"/>
      <c r="Q152" s="1" t="s">
        <v>9</v>
      </c>
      <c r="R152" s="1">
        <v>0</v>
      </c>
      <c r="S152" s="1" t="s">
        <v>97</v>
      </c>
      <c r="T152" s="1" t="s">
        <v>97</v>
      </c>
      <c r="U152" s="1" t="b">
        <v>1</v>
      </c>
      <c r="V152" s="1" t="b">
        <v>0</v>
      </c>
      <c r="W152" s="1" t="b">
        <v>0</v>
      </c>
      <c r="X152" s="1">
        <v>5</v>
      </c>
      <c r="Y152" s="1" t="b">
        <v>1</v>
      </c>
      <c r="Z152" s="1" t="b">
        <v>1</v>
      </c>
      <c r="AA152" s="1"/>
      <c r="AB152" s="1" t="b">
        <v>1</v>
      </c>
      <c r="AC152" s="1">
        <v>128954342</v>
      </c>
      <c r="AD152" s="1">
        <v>544794</v>
      </c>
      <c r="AE152" s="1">
        <v>0</v>
      </c>
      <c r="AF152" s="1" t="s">
        <v>707</v>
      </c>
      <c r="AG152" s="1" t="s">
        <v>708</v>
      </c>
      <c r="AH152" s="1">
        <v>71.5</v>
      </c>
      <c r="AI152" s="1">
        <v>65.900000000000006</v>
      </c>
      <c r="AJ152" s="1" t="s">
        <v>723</v>
      </c>
      <c r="AK152" s="1" t="s">
        <v>724</v>
      </c>
      <c r="AL152" s="1" t="s">
        <v>725</v>
      </c>
    </row>
    <row r="153" spans="1:38" x14ac:dyDescent="0.6">
      <c r="A153" s="1">
        <v>107</v>
      </c>
      <c r="B153" s="1" t="s">
        <v>88</v>
      </c>
      <c r="C153" s="1">
        <v>53</v>
      </c>
      <c r="D153" s="1" t="s">
        <v>89</v>
      </c>
      <c r="E153" s="1" t="s">
        <v>108</v>
      </c>
      <c r="F153" s="1"/>
      <c r="G153" s="1"/>
      <c r="H153" s="1" t="s">
        <v>91</v>
      </c>
      <c r="I153" s="1" t="s">
        <v>92</v>
      </c>
      <c r="J153" s="1" t="s">
        <v>109</v>
      </c>
      <c r="K153" s="1">
        <v>1</v>
      </c>
      <c r="L153" s="1">
        <v>120</v>
      </c>
      <c r="M153" s="1" t="s">
        <v>7</v>
      </c>
      <c r="N153" s="1" t="s">
        <v>7</v>
      </c>
      <c r="O153" s="1" t="s">
        <v>96</v>
      </c>
      <c r="P153" s="1" t="s">
        <v>96</v>
      </c>
      <c r="Q153" s="1" t="s">
        <v>110</v>
      </c>
      <c r="R153" s="1">
        <v>3</v>
      </c>
      <c r="S153" s="1" t="s">
        <v>97</v>
      </c>
      <c r="T153" s="1" t="s">
        <v>110</v>
      </c>
      <c r="U153" s="1" t="b">
        <v>0</v>
      </c>
      <c r="V153" s="1" t="b">
        <v>1</v>
      </c>
      <c r="W153" s="1" t="b">
        <v>0</v>
      </c>
      <c r="X153" s="1">
        <v>4</v>
      </c>
      <c r="Y153" s="1" t="b">
        <v>1</v>
      </c>
      <c r="Z153" s="1" t="b">
        <v>1</v>
      </c>
      <c r="AA153" s="1">
        <v>53.6</v>
      </c>
      <c r="AB153" s="1" t="b">
        <v>0</v>
      </c>
      <c r="AC153" s="1">
        <v>0</v>
      </c>
      <c r="AD153" s="1">
        <v>3459603</v>
      </c>
      <c r="AE153" s="1">
        <v>114767341</v>
      </c>
      <c r="AF153" s="1" t="s">
        <v>726</v>
      </c>
      <c r="AG153" s="1" t="s">
        <v>726</v>
      </c>
      <c r="AH153" s="1">
        <v>68.400000000000006</v>
      </c>
      <c r="AI153" s="1">
        <v>55.2</v>
      </c>
      <c r="AJ153" s="1" t="s">
        <v>727</v>
      </c>
      <c r="AK153" s="1" t="s">
        <v>728</v>
      </c>
      <c r="AL153" s="1" t="s">
        <v>729</v>
      </c>
    </row>
    <row r="154" spans="1:38" x14ac:dyDescent="0.6">
      <c r="A154" s="1">
        <v>109</v>
      </c>
      <c r="B154" s="1" t="s">
        <v>88</v>
      </c>
      <c r="C154" s="1">
        <v>50</v>
      </c>
      <c r="D154" s="1" t="s">
        <v>89</v>
      </c>
      <c r="E154" s="1" t="s">
        <v>90</v>
      </c>
      <c r="F154" s="1"/>
      <c r="G154" s="1"/>
      <c r="H154" s="1" t="s">
        <v>91</v>
      </c>
      <c r="I154" s="1" t="s">
        <v>92</v>
      </c>
      <c r="J154" s="1" t="s">
        <v>109</v>
      </c>
      <c r="K154" s="1">
        <v>1</v>
      </c>
      <c r="L154" s="1">
        <v>120</v>
      </c>
      <c r="M154" s="1" t="s">
        <v>7</v>
      </c>
      <c r="N154" s="1" t="s">
        <v>7</v>
      </c>
      <c r="O154" s="1" t="s">
        <v>96</v>
      </c>
      <c r="P154" s="1" t="s">
        <v>96</v>
      </c>
      <c r="Q154" s="1" t="s">
        <v>9</v>
      </c>
      <c r="R154" s="1">
        <v>0</v>
      </c>
      <c r="S154" s="1" t="s">
        <v>97</v>
      </c>
      <c r="T154" s="1" t="s">
        <v>97</v>
      </c>
      <c r="U154" s="1" t="b">
        <v>1</v>
      </c>
      <c r="V154" s="1" t="b">
        <v>0</v>
      </c>
      <c r="W154" s="1" t="b">
        <v>0</v>
      </c>
      <c r="X154" s="1">
        <v>5</v>
      </c>
      <c r="Y154" s="1" t="b">
        <v>1</v>
      </c>
      <c r="Z154" s="1" t="b">
        <v>1</v>
      </c>
      <c r="AA154" s="1">
        <v>76.900000000000006</v>
      </c>
      <c r="AB154" s="1" t="b">
        <v>0</v>
      </c>
      <c r="AC154" s="1">
        <v>0</v>
      </c>
      <c r="AD154" s="1">
        <v>1878459</v>
      </c>
      <c r="AE154" s="1">
        <v>110057029</v>
      </c>
      <c r="AF154" s="1" t="s">
        <v>730</v>
      </c>
      <c r="AG154" s="1" t="s">
        <v>730</v>
      </c>
      <c r="AH154" s="1">
        <v>83.3</v>
      </c>
      <c r="AI154" s="1">
        <v>75.599999999999994</v>
      </c>
      <c r="AJ154" s="1" t="s">
        <v>731</v>
      </c>
      <c r="AK154" s="1" t="s">
        <v>732</v>
      </c>
      <c r="AL154" s="1" t="s">
        <v>733</v>
      </c>
    </row>
    <row r="155" spans="1:38" x14ac:dyDescent="0.6">
      <c r="A155" s="1">
        <v>110</v>
      </c>
      <c r="B155" s="1" t="s">
        <v>103</v>
      </c>
      <c r="C155" s="1">
        <v>58</v>
      </c>
      <c r="D155" s="1" t="s">
        <v>89</v>
      </c>
      <c r="E155" s="1" t="s">
        <v>108</v>
      </c>
      <c r="F155" s="1"/>
      <c r="G155" s="1"/>
      <c r="H155" s="1" t="s">
        <v>91</v>
      </c>
      <c r="I155" s="1" t="s">
        <v>92</v>
      </c>
      <c r="J155" s="1" t="s">
        <v>109</v>
      </c>
      <c r="K155" s="1">
        <v>1</v>
      </c>
      <c r="L155" s="1">
        <v>120</v>
      </c>
      <c r="M155" s="1" t="s">
        <v>94</v>
      </c>
      <c r="N155" s="1" t="s">
        <v>95</v>
      </c>
      <c r="O155" s="1"/>
      <c r="P155" s="1" t="s">
        <v>96</v>
      </c>
      <c r="Q155" s="1" t="s">
        <v>110</v>
      </c>
      <c r="R155" s="1">
        <v>3</v>
      </c>
      <c r="S155" s="1" t="s">
        <v>97</v>
      </c>
      <c r="T155" s="1" t="s">
        <v>110</v>
      </c>
      <c r="U155" s="1" t="b">
        <v>0</v>
      </c>
      <c r="V155" s="1" t="b">
        <v>1</v>
      </c>
      <c r="W155" s="1" t="b">
        <v>0</v>
      </c>
      <c r="X155" s="1">
        <v>0</v>
      </c>
      <c r="Y155" s="1" t="b">
        <v>1</v>
      </c>
      <c r="Z155" s="1" t="b">
        <v>1</v>
      </c>
      <c r="AA155" s="1">
        <v>70.2</v>
      </c>
      <c r="AB155" s="1" t="b">
        <v>1</v>
      </c>
      <c r="AC155" s="1">
        <v>154289160</v>
      </c>
      <c r="AD155" s="1">
        <v>1948664</v>
      </c>
      <c r="AE155" s="1">
        <v>0</v>
      </c>
      <c r="AF155" s="1" t="s">
        <v>734</v>
      </c>
      <c r="AG155" s="1" t="s">
        <v>735</v>
      </c>
      <c r="AH155" s="1">
        <v>69.8</v>
      </c>
      <c r="AI155" s="1">
        <v>67.5</v>
      </c>
      <c r="AJ155" s="1" t="s">
        <v>736</v>
      </c>
      <c r="AK155" s="1" t="s">
        <v>737</v>
      </c>
      <c r="AL155" s="1" t="s">
        <v>738</v>
      </c>
    </row>
    <row r="156" spans="1:38" x14ac:dyDescent="0.6">
      <c r="A156" s="1">
        <v>110</v>
      </c>
      <c r="B156" s="1" t="s">
        <v>103</v>
      </c>
      <c r="C156" s="1">
        <v>58</v>
      </c>
      <c r="D156" s="1" t="s">
        <v>89</v>
      </c>
      <c r="E156" s="1" t="s">
        <v>108</v>
      </c>
      <c r="F156" s="1"/>
      <c r="G156" s="1"/>
      <c r="H156" s="1" t="s">
        <v>91</v>
      </c>
      <c r="I156" s="1" t="s">
        <v>92</v>
      </c>
      <c r="J156" s="1" t="s">
        <v>109</v>
      </c>
      <c r="K156" s="1">
        <v>1</v>
      </c>
      <c r="L156" s="1">
        <v>120</v>
      </c>
      <c r="M156" s="1" t="s">
        <v>14</v>
      </c>
      <c r="N156" s="1" t="s">
        <v>95</v>
      </c>
      <c r="O156" s="1" t="s">
        <v>96</v>
      </c>
      <c r="P156" s="1"/>
      <c r="Q156" s="1" t="s">
        <v>110</v>
      </c>
      <c r="R156" s="1">
        <v>3</v>
      </c>
      <c r="S156" s="1" t="s">
        <v>97</v>
      </c>
      <c r="T156" s="1" t="s">
        <v>110</v>
      </c>
      <c r="U156" s="1" t="b">
        <v>0</v>
      </c>
      <c r="V156" s="1" t="b">
        <v>1</v>
      </c>
      <c r="W156" s="1" t="b">
        <v>0</v>
      </c>
      <c r="X156" s="1">
        <v>4</v>
      </c>
      <c r="Y156" s="1" t="b">
        <v>1</v>
      </c>
      <c r="Z156" s="1" t="b">
        <v>1</v>
      </c>
      <c r="AA156" s="1"/>
      <c r="AB156" s="1" t="b">
        <v>1</v>
      </c>
      <c r="AC156" s="1">
        <v>144441348</v>
      </c>
      <c r="AD156" s="1">
        <v>524284</v>
      </c>
      <c r="AE156" s="1">
        <v>0</v>
      </c>
      <c r="AF156" s="1" t="s">
        <v>734</v>
      </c>
      <c r="AG156" s="1" t="s">
        <v>735</v>
      </c>
      <c r="AH156" s="1">
        <v>69.8</v>
      </c>
      <c r="AI156" s="1">
        <v>67.5</v>
      </c>
      <c r="AJ156" s="1" t="s">
        <v>739</v>
      </c>
      <c r="AK156" s="1" t="s">
        <v>740</v>
      </c>
      <c r="AL156" s="1" t="s">
        <v>741</v>
      </c>
    </row>
    <row r="157" spans="1:38" x14ac:dyDescent="0.6">
      <c r="A157" s="1">
        <v>111</v>
      </c>
      <c r="B157" s="1" t="s">
        <v>88</v>
      </c>
      <c r="C157" s="1">
        <v>51</v>
      </c>
      <c r="D157" s="1" t="s">
        <v>89</v>
      </c>
      <c r="E157" s="1" t="s">
        <v>108</v>
      </c>
      <c r="F157" s="1"/>
      <c r="G157" s="1"/>
      <c r="H157" s="1" t="s">
        <v>91</v>
      </c>
      <c r="I157" s="1" t="s">
        <v>92</v>
      </c>
      <c r="J157" s="1" t="s">
        <v>109</v>
      </c>
      <c r="K157" s="1">
        <v>1</v>
      </c>
      <c r="L157" s="1">
        <v>120</v>
      </c>
      <c r="M157" s="1" t="s">
        <v>7</v>
      </c>
      <c r="N157" s="1" t="s">
        <v>7</v>
      </c>
      <c r="O157" s="1" t="s">
        <v>96</v>
      </c>
      <c r="P157" s="1" t="s">
        <v>96</v>
      </c>
      <c r="Q157" s="1" t="s">
        <v>9</v>
      </c>
      <c r="R157" s="1">
        <v>0</v>
      </c>
      <c r="S157" s="1" t="s">
        <v>97</v>
      </c>
      <c r="T157" s="1" t="s">
        <v>97</v>
      </c>
      <c r="U157" s="1" t="b">
        <v>1</v>
      </c>
      <c r="V157" s="1" t="b">
        <v>0</v>
      </c>
      <c r="W157" s="1" t="b">
        <v>0</v>
      </c>
      <c r="X157" s="1">
        <v>5</v>
      </c>
      <c r="Y157" s="1" t="b">
        <v>1</v>
      </c>
      <c r="Z157" s="1" t="b">
        <v>1</v>
      </c>
      <c r="AA157" s="1">
        <v>65</v>
      </c>
      <c r="AB157" s="1" t="b">
        <v>0</v>
      </c>
      <c r="AC157" s="1">
        <v>0</v>
      </c>
      <c r="AD157" s="1">
        <v>3253697</v>
      </c>
      <c r="AE157" s="1">
        <v>154556991</v>
      </c>
      <c r="AF157" s="1" t="s">
        <v>742</v>
      </c>
      <c r="AG157" s="1" t="s">
        <v>742</v>
      </c>
      <c r="AH157" s="1">
        <v>73.7</v>
      </c>
      <c r="AI157" s="1">
        <v>64.5</v>
      </c>
      <c r="AJ157" s="1" t="s">
        <v>743</v>
      </c>
      <c r="AK157" s="1" t="s">
        <v>744</v>
      </c>
      <c r="AL157" s="1" t="s">
        <v>745</v>
      </c>
    </row>
    <row r="158" spans="1:38" x14ac:dyDescent="0.6">
      <c r="A158" s="1">
        <v>112</v>
      </c>
      <c r="B158" s="1" t="s">
        <v>88</v>
      </c>
      <c r="C158" s="1">
        <v>51</v>
      </c>
      <c r="D158" s="1" t="s">
        <v>89</v>
      </c>
      <c r="E158" s="1" t="s">
        <v>90</v>
      </c>
      <c r="F158" s="1"/>
      <c r="G158" s="1"/>
      <c r="H158" s="1" t="s">
        <v>91</v>
      </c>
      <c r="I158" s="1" t="s">
        <v>92</v>
      </c>
      <c r="J158" s="1" t="s">
        <v>109</v>
      </c>
      <c r="K158" s="1">
        <v>1</v>
      </c>
      <c r="L158" s="1">
        <v>120</v>
      </c>
      <c r="M158" s="1" t="s">
        <v>7</v>
      </c>
      <c r="N158" s="1" t="s">
        <v>7</v>
      </c>
      <c r="O158" s="1" t="s">
        <v>96</v>
      </c>
      <c r="P158" s="1" t="s">
        <v>96</v>
      </c>
      <c r="Q158" s="1" t="s">
        <v>9</v>
      </c>
      <c r="R158" s="1">
        <v>0</v>
      </c>
      <c r="S158" s="1" t="s">
        <v>97</v>
      </c>
      <c r="T158" s="1" t="s">
        <v>97</v>
      </c>
      <c r="U158" s="1" t="b">
        <v>1</v>
      </c>
      <c r="V158" s="1" t="b">
        <v>0</v>
      </c>
      <c r="W158" s="1" t="b">
        <v>0</v>
      </c>
      <c r="X158" s="1">
        <v>5</v>
      </c>
      <c r="Y158" s="1" t="b">
        <v>1</v>
      </c>
      <c r="Z158" s="1" t="b">
        <v>1</v>
      </c>
      <c r="AA158" s="1">
        <v>85</v>
      </c>
      <c r="AB158" s="1" t="b">
        <v>0</v>
      </c>
      <c r="AC158" s="1">
        <v>0</v>
      </c>
      <c r="AD158" s="1">
        <v>2623423</v>
      </c>
      <c r="AE158" s="1">
        <v>151255105</v>
      </c>
      <c r="AF158" s="1" t="s">
        <v>746</v>
      </c>
      <c r="AG158" s="1" t="s">
        <v>746</v>
      </c>
      <c r="AH158" s="1">
        <v>81.400000000000006</v>
      </c>
      <c r="AI158" s="1">
        <v>80.3</v>
      </c>
      <c r="AJ158" s="1" t="s">
        <v>747</v>
      </c>
      <c r="AK158" s="1" t="s">
        <v>748</v>
      </c>
      <c r="AL158" s="1" t="s">
        <v>749</v>
      </c>
    </row>
    <row r="159" spans="1:38" x14ac:dyDescent="0.6">
      <c r="A159" s="1">
        <v>103</v>
      </c>
      <c r="B159" s="1" t="s">
        <v>103</v>
      </c>
      <c r="C159" s="1">
        <v>57</v>
      </c>
      <c r="D159" s="1" t="s">
        <v>89</v>
      </c>
      <c r="E159" s="1" t="s">
        <v>90</v>
      </c>
      <c r="F159" s="1"/>
      <c r="G159" s="1"/>
      <c r="H159" s="1" t="s">
        <v>220</v>
      </c>
      <c r="I159" s="1" t="s">
        <v>221</v>
      </c>
      <c r="J159" s="1" t="s">
        <v>222</v>
      </c>
      <c r="K159" s="1">
        <v>1.25</v>
      </c>
      <c r="L159" s="1">
        <v>120</v>
      </c>
      <c r="M159" s="1" t="s">
        <v>7</v>
      </c>
      <c r="N159" s="1" t="s">
        <v>7</v>
      </c>
      <c r="O159" s="1" t="s">
        <v>96</v>
      </c>
      <c r="P159" s="1" t="s">
        <v>96</v>
      </c>
      <c r="Q159" s="1" t="s">
        <v>9</v>
      </c>
      <c r="R159" s="1">
        <v>0</v>
      </c>
      <c r="S159" s="1" t="s">
        <v>97</v>
      </c>
      <c r="T159" s="1" t="s">
        <v>97</v>
      </c>
      <c r="U159" s="1" t="b">
        <v>1</v>
      </c>
      <c r="V159" s="1" t="b">
        <v>0</v>
      </c>
      <c r="W159" s="1" t="b">
        <v>0</v>
      </c>
      <c r="X159" s="1">
        <v>5</v>
      </c>
      <c r="Y159" s="1" t="b">
        <v>1</v>
      </c>
      <c r="Z159" s="1" t="b">
        <v>1</v>
      </c>
      <c r="AA159" s="1">
        <v>86.8</v>
      </c>
      <c r="AB159" s="1" t="b">
        <v>0</v>
      </c>
      <c r="AC159" s="1">
        <v>0</v>
      </c>
      <c r="AD159" s="1">
        <v>3089040</v>
      </c>
      <c r="AE159" s="1">
        <v>118283632</v>
      </c>
      <c r="AF159" s="1" t="s">
        <v>750</v>
      </c>
      <c r="AG159" s="1" t="s">
        <v>750</v>
      </c>
      <c r="AH159" s="1">
        <v>81.400000000000006</v>
      </c>
      <c r="AI159" s="1">
        <v>81.400000000000006</v>
      </c>
      <c r="AJ159" s="1" t="s">
        <v>751</v>
      </c>
      <c r="AK159" s="1" t="s">
        <v>752</v>
      </c>
      <c r="AL159" s="1" t="s">
        <v>753</v>
      </c>
    </row>
    <row r="160" spans="1:38" x14ac:dyDescent="0.6">
      <c r="A160" s="1">
        <v>120</v>
      </c>
      <c r="B160" s="1" t="s">
        <v>103</v>
      </c>
      <c r="C160" s="1">
        <v>60</v>
      </c>
      <c r="D160" s="1" t="s">
        <v>127</v>
      </c>
      <c r="E160" s="1" t="s">
        <v>108</v>
      </c>
      <c r="F160" s="1"/>
      <c r="G160" s="1"/>
      <c r="H160" s="1" t="s">
        <v>91</v>
      </c>
      <c r="I160" s="1" t="s">
        <v>92</v>
      </c>
      <c r="J160" s="1" t="s">
        <v>109</v>
      </c>
      <c r="K160" s="1">
        <v>1</v>
      </c>
      <c r="L160" s="1">
        <v>120</v>
      </c>
      <c r="M160" s="1" t="s">
        <v>14</v>
      </c>
      <c r="N160" s="1" t="s">
        <v>95</v>
      </c>
      <c r="O160" s="1" t="s">
        <v>96</v>
      </c>
      <c r="P160" s="1"/>
      <c r="Q160" s="1" t="s">
        <v>237</v>
      </c>
      <c r="R160" s="1">
        <v>0</v>
      </c>
      <c r="S160" s="1" t="s">
        <v>237</v>
      </c>
      <c r="T160" s="1" t="s">
        <v>97</v>
      </c>
      <c r="U160" s="1" t="b">
        <v>0</v>
      </c>
      <c r="V160" s="1" t="b">
        <v>1</v>
      </c>
      <c r="W160" s="1" t="b">
        <v>0</v>
      </c>
      <c r="X160" s="1">
        <v>5</v>
      </c>
      <c r="Y160" s="1" t="b">
        <v>1</v>
      </c>
      <c r="Z160" s="1" t="b">
        <v>1</v>
      </c>
      <c r="AA160" s="1"/>
      <c r="AB160" s="1" t="b">
        <v>1</v>
      </c>
      <c r="AC160" s="1">
        <v>127668240</v>
      </c>
      <c r="AD160" s="1">
        <v>520176</v>
      </c>
      <c r="AE160" s="1">
        <v>0</v>
      </c>
      <c r="AF160" s="1" t="s">
        <v>754</v>
      </c>
      <c r="AG160" s="1" t="s">
        <v>755</v>
      </c>
      <c r="AH160" s="1">
        <v>57.8</v>
      </c>
      <c r="AI160" s="1">
        <v>58.7</v>
      </c>
      <c r="AJ160" s="1" t="s">
        <v>756</v>
      </c>
      <c r="AK160" s="1" t="s">
        <v>757</v>
      </c>
      <c r="AL160" s="1" t="s">
        <v>758</v>
      </c>
    </row>
    <row r="161" spans="1:38" x14ac:dyDescent="0.6">
      <c r="A161" s="1">
        <v>114</v>
      </c>
      <c r="B161" s="1" t="s">
        <v>88</v>
      </c>
      <c r="C161" s="1">
        <v>53</v>
      </c>
      <c r="D161" s="1" t="s">
        <v>89</v>
      </c>
      <c r="E161" s="1" t="s">
        <v>90</v>
      </c>
      <c r="F161" s="1"/>
      <c r="G161" s="1"/>
      <c r="H161" s="1" t="s">
        <v>91</v>
      </c>
      <c r="I161" s="1" t="s">
        <v>92</v>
      </c>
      <c r="J161" s="1" t="s">
        <v>109</v>
      </c>
      <c r="K161" s="1">
        <v>1</v>
      </c>
      <c r="L161" s="1">
        <v>120</v>
      </c>
      <c r="M161" s="1" t="s">
        <v>94</v>
      </c>
      <c r="N161" s="1" t="s">
        <v>95</v>
      </c>
      <c r="O161" s="1"/>
      <c r="P161" s="1" t="s">
        <v>96</v>
      </c>
      <c r="Q161" s="1" t="s">
        <v>9</v>
      </c>
      <c r="R161" s="1">
        <v>0</v>
      </c>
      <c r="S161" s="1" t="s">
        <v>97</v>
      </c>
      <c r="T161" s="1" t="s">
        <v>97</v>
      </c>
      <c r="U161" s="1" t="b">
        <v>1</v>
      </c>
      <c r="V161" s="1" t="b">
        <v>0</v>
      </c>
      <c r="W161" s="1" t="b">
        <v>0</v>
      </c>
      <c r="X161" s="1">
        <v>0</v>
      </c>
      <c r="Y161" s="1" t="b">
        <v>1</v>
      </c>
      <c r="Z161" s="1" t="b">
        <v>1</v>
      </c>
      <c r="AA161" s="1">
        <v>65</v>
      </c>
      <c r="AB161" s="1" t="b">
        <v>1</v>
      </c>
      <c r="AC161" s="1">
        <v>130324215</v>
      </c>
      <c r="AD161" s="1">
        <v>1796361</v>
      </c>
      <c r="AE161" s="1">
        <v>0</v>
      </c>
      <c r="AF161" s="1" t="s">
        <v>759</v>
      </c>
      <c r="AG161" s="1" t="s">
        <v>760</v>
      </c>
      <c r="AH161" s="1">
        <v>63.8</v>
      </c>
      <c r="AI161" s="1">
        <v>61.1</v>
      </c>
      <c r="AJ161" s="1" t="s">
        <v>761</v>
      </c>
      <c r="AK161" s="1" t="s">
        <v>762</v>
      </c>
      <c r="AL161" s="1" t="s">
        <v>763</v>
      </c>
    </row>
    <row r="162" spans="1:38" x14ac:dyDescent="0.6">
      <c r="A162" s="1">
        <v>121</v>
      </c>
      <c r="B162" s="1" t="s">
        <v>103</v>
      </c>
      <c r="C162" s="1">
        <v>59</v>
      </c>
      <c r="D162" s="1" t="s">
        <v>89</v>
      </c>
      <c r="E162" s="1" t="s">
        <v>108</v>
      </c>
      <c r="F162" s="1"/>
      <c r="G162" s="1"/>
      <c r="H162" s="1" t="s">
        <v>91</v>
      </c>
      <c r="I162" s="1" t="s">
        <v>92</v>
      </c>
      <c r="J162" s="1" t="s">
        <v>109</v>
      </c>
      <c r="K162" s="1">
        <v>1</v>
      </c>
      <c r="L162" s="1">
        <v>120</v>
      </c>
      <c r="M162" s="1" t="s">
        <v>14</v>
      </c>
      <c r="N162" s="1" t="s">
        <v>95</v>
      </c>
      <c r="O162" s="1" t="s">
        <v>96</v>
      </c>
      <c r="P162" s="1"/>
      <c r="Q162" s="1" t="s">
        <v>9</v>
      </c>
      <c r="R162" s="1">
        <v>0</v>
      </c>
      <c r="S162" s="1" t="s">
        <v>97</v>
      </c>
      <c r="T162" s="1" t="s">
        <v>97</v>
      </c>
      <c r="U162" s="1" t="b">
        <v>1</v>
      </c>
      <c r="V162" s="1" t="b">
        <v>0</v>
      </c>
      <c r="W162" s="1" t="b">
        <v>0</v>
      </c>
      <c r="X162" s="1">
        <v>5</v>
      </c>
      <c r="Y162" s="1" t="b">
        <v>1</v>
      </c>
      <c r="Z162" s="1" t="b">
        <v>1</v>
      </c>
      <c r="AA162" s="1"/>
      <c r="AB162" s="1" t="b">
        <v>1</v>
      </c>
      <c r="AC162" s="1">
        <v>146904892</v>
      </c>
      <c r="AD162" s="1">
        <v>682180</v>
      </c>
      <c r="AE162" s="1">
        <v>0</v>
      </c>
      <c r="AF162" s="1" t="s">
        <v>764</v>
      </c>
      <c r="AG162" s="1" t="s">
        <v>765</v>
      </c>
      <c r="AH162" s="1">
        <v>82.7</v>
      </c>
      <c r="AI162" s="1">
        <v>72.2</v>
      </c>
      <c r="AJ162" s="1" t="s">
        <v>766</v>
      </c>
      <c r="AK162" s="1" t="s">
        <v>767</v>
      </c>
      <c r="AL162" s="1" t="s">
        <v>768</v>
      </c>
    </row>
    <row r="163" spans="1:38" x14ac:dyDescent="0.6">
      <c r="A163" s="1">
        <v>102</v>
      </c>
      <c r="B163" s="1" t="s">
        <v>88</v>
      </c>
      <c r="C163" s="1">
        <v>51</v>
      </c>
      <c r="D163" s="1" t="s">
        <v>89</v>
      </c>
      <c r="E163" s="1" t="s">
        <v>90</v>
      </c>
      <c r="F163" s="1"/>
      <c r="G163" s="1"/>
      <c r="H163" s="1" t="s">
        <v>220</v>
      </c>
      <c r="I163" s="1" t="s">
        <v>221</v>
      </c>
      <c r="J163" s="1" t="s">
        <v>222</v>
      </c>
      <c r="K163" s="1">
        <v>1.25</v>
      </c>
      <c r="L163" s="1">
        <v>120</v>
      </c>
      <c r="M163" s="1" t="s">
        <v>94</v>
      </c>
      <c r="N163" s="1" t="s">
        <v>95</v>
      </c>
      <c r="O163" s="1"/>
      <c r="P163" s="1" t="s">
        <v>96</v>
      </c>
      <c r="Q163" s="1" t="s">
        <v>9</v>
      </c>
      <c r="R163" s="1">
        <v>0</v>
      </c>
      <c r="S163" s="1" t="s">
        <v>97</v>
      </c>
      <c r="T163" s="1" t="s">
        <v>97</v>
      </c>
      <c r="U163" s="1" t="b">
        <v>1</v>
      </c>
      <c r="V163" s="1" t="b">
        <v>0</v>
      </c>
      <c r="W163" s="1" t="b">
        <v>0</v>
      </c>
      <c r="X163" s="1">
        <v>0</v>
      </c>
      <c r="Y163" s="1" t="b">
        <v>1</v>
      </c>
      <c r="Z163" s="1" t="b">
        <v>1</v>
      </c>
      <c r="AA163" s="1">
        <v>72.7</v>
      </c>
      <c r="AB163" s="1" t="b">
        <v>1</v>
      </c>
      <c r="AC163" s="1">
        <v>157287663</v>
      </c>
      <c r="AD163" s="1">
        <v>2358033</v>
      </c>
      <c r="AE163" s="1">
        <v>0</v>
      </c>
      <c r="AF163" s="1" t="s">
        <v>676</v>
      </c>
      <c r="AG163" s="1" t="s">
        <v>677</v>
      </c>
      <c r="AH163" s="1">
        <v>69.099999999999994</v>
      </c>
      <c r="AI163" s="1">
        <v>70.099999999999994</v>
      </c>
      <c r="AJ163" s="1" t="s">
        <v>769</v>
      </c>
      <c r="AK163" s="1" t="s">
        <v>770</v>
      </c>
      <c r="AL163" s="1" t="s">
        <v>771</v>
      </c>
    </row>
    <row r="164" spans="1:38" x14ac:dyDescent="0.6">
      <c r="A164" s="1">
        <v>122</v>
      </c>
      <c r="B164" s="1" t="s">
        <v>103</v>
      </c>
      <c r="C164" s="1">
        <v>68</v>
      </c>
      <c r="D164" s="1" t="s">
        <v>127</v>
      </c>
      <c r="E164" s="1" t="s">
        <v>90</v>
      </c>
      <c r="F164" s="1"/>
      <c r="G164" s="1"/>
      <c r="H164" s="1" t="s">
        <v>91</v>
      </c>
      <c r="I164" s="1" t="s">
        <v>92</v>
      </c>
      <c r="J164" s="1" t="s">
        <v>109</v>
      </c>
      <c r="K164" s="1">
        <v>1</v>
      </c>
      <c r="L164" s="1">
        <v>120</v>
      </c>
      <c r="M164" s="1" t="s">
        <v>94</v>
      </c>
      <c r="N164" s="1" t="s">
        <v>95</v>
      </c>
      <c r="O164" s="1"/>
      <c r="P164" s="1" t="s">
        <v>96</v>
      </c>
      <c r="Q164" s="1" t="s">
        <v>9</v>
      </c>
      <c r="R164" s="1">
        <v>0</v>
      </c>
      <c r="S164" s="1" t="s">
        <v>97</v>
      </c>
      <c r="T164" s="1" t="s">
        <v>97</v>
      </c>
      <c r="U164" s="1" t="b">
        <v>1</v>
      </c>
      <c r="V164" s="1" t="b">
        <v>0</v>
      </c>
      <c r="W164" s="1" t="b">
        <v>0</v>
      </c>
      <c r="X164" s="1">
        <v>0</v>
      </c>
      <c r="Y164" s="1" t="b">
        <v>1</v>
      </c>
      <c r="Z164" s="1" t="b">
        <v>1</v>
      </c>
      <c r="AA164" s="1">
        <v>78.7</v>
      </c>
      <c r="AB164" s="1" t="b">
        <v>1</v>
      </c>
      <c r="AC164" s="1">
        <v>155722953</v>
      </c>
      <c r="AD164" s="1">
        <v>1825591</v>
      </c>
      <c r="AE164" s="1">
        <v>0</v>
      </c>
      <c r="AF164" s="1" t="s">
        <v>772</v>
      </c>
      <c r="AG164" s="1" t="s">
        <v>773</v>
      </c>
      <c r="AH164" s="1">
        <v>78.900000000000006</v>
      </c>
      <c r="AI164" s="1">
        <v>76.5</v>
      </c>
      <c r="AJ164" s="1" t="s">
        <v>774</v>
      </c>
      <c r="AK164" s="1" t="s">
        <v>775</v>
      </c>
      <c r="AL164" s="1" t="s">
        <v>776</v>
      </c>
    </row>
    <row r="165" spans="1:38" x14ac:dyDescent="0.6">
      <c r="A165" s="1">
        <v>114</v>
      </c>
      <c r="B165" s="1" t="s">
        <v>88</v>
      </c>
      <c r="C165" s="1">
        <v>53</v>
      </c>
      <c r="D165" s="1" t="s">
        <v>89</v>
      </c>
      <c r="E165" s="1" t="s">
        <v>90</v>
      </c>
      <c r="F165" s="1"/>
      <c r="G165" s="1"/>
      <c r="H165" s="1" t="s">
        <v>91</v>
      </c>
      <c r="I165" s="1" t="s">
        <v>92</v>
      </c>
      <c r="J165" s="1" t="s">
        <v>109</v>
      </c>
      <c r="K165" s="1">
        <v>1</v>
      </c>
      <c r="L165" s="1">
        <v>120</v>
      </c>
      <c r="M165" s="1" t="s">
        <v>14</v>
      </c>
      <c r="N165" s="1" t="s">
        <v>95</v>
      </c>
      <c r="O165" s="1" t="s">
        <v>96</v>
      </c>
      <c r="P165" s="1"/>
      <c r="Q165" s="1" t="s">
        <v>9</v>
      </c>
      <c r="R165" s="1">
        <v>0</v>
      </c>
      <c r="S165" s="1" t="s">
        <v>97</v>
      </c>
      <c r="T165" s="1" t="s">
        <v>97</v>
      </c>
      <c r="U165" s="1" t="b">
        <v>1</v>
      </c>
      <c r="V165" s="1" t="b">
        <v>0</v>
      </c>
      <c r="W165" s="1" t="b">
        <v>0</v>
      </c>
      <c r="X165" s="1">
        <v>5</v>
      </c>
      <c r="Y165" s="1" t="b">
        <v>1</v>
      </c>
      <c r="Z165" s="1" t="b">
        <v>1</v>
      </c>
      <c r="AA165" s="1"/>
      <c r="AB165" s="1" t="b">
        <v>1</v>
      </c>
      <c r="AC165" s="1">
        <v>125994810</v>
      </c>
      <c r="AD165" s="1">
        <v>620742</v>
      </c>
      <c r="AE165" s="1">
        <v>0</v>
      </c>
      <c r="AF165" s="1" t="s">
        <v>759</v>
      </c>
      <c r="AG165" s="1" t="s">
        <v>760</v>
      </c>
      <c r="AH165" s="1">
        <v>63.8</v>
      </c>
      <c r="AI165" s="1">
        <v>61.1</v>
      </c>
      <c r="AJ165" s="1" t="s">
        <v>777</v>
      </c>
      <c r="AK165" s="1" t="s">
        <v>778</v>
      </c>
      <c r="AL165" s="1" t="s">
        <v>779</v>
      </c>
    </row>
    <row r="166" spans="1:38" x14ac:dyDescent="0.6">
      <c r="A166" s="1">
        <v>121</v>
      </c>
      <c r="B166" s="1" t="s">
        <v>103</v>
      </c>
      <c r="C166" s="1">
        <v>59</v>
      </c>
      <c r="D166" s="1" t="s">
        <v>89</v>
      </c>
      <c r="E166" s="1" t="s">
        <v>108</v>
      </c>
      <c r="F166" s="1"/>
      <c r="G166" s="1"/>
      <c r="H166" s="1" t="s">
        <v>91</v>
      </c>
      <c r="I166" s="1" t="s">
        <v>92</v>
      </c>
      <c r="J166" s="1" t="s">
        <v>109</v>
      </c>
      <c r="K166" s="1">
        <v>1</v>
      </c>
      <c r="L166" s="1">
        <v>120</v>
      </c>
      <c r="M166" s="1" t="s">
        <v>94</v>
      </c>
      <c r="N166" s="1" t="s">
        <v>95</v>
      </c>
      <c r="O166" s="1"/>
      <c r="P166" s="1" t="s">
        <v>96</v>
      </c>
      <c r="Q166" s="1" t="s">
        <v>9</v>
      </c>
      <c r="R166" s="1">
        <v>0</v>
      </c>
      <c r="S166" s="1" t="s">
        <v>97</v>
      </c>
      <c r="T166" s="1" t="s">
        <v>97</v>
      </c>
      <c r="U166" s="1" t="b">
        <v>1</v>
      </c>
      <c r="V166" s="1" t="b">
        <v>0</v>
      </c>
      <c r="W166" s="1" t="b">
        <v>0</v>
      </c>
      <c r="X166" s="1">
        <v>0</v>
      </c>
      <c r="Y166" s="1" t="b">
        <v>1</v>
      </c>
      <c r="Z166" s="1" t="b">
        <v>1</v>
      </c>
      <c r="AA166" s="1">
        <v>74.400000000000006</v>
      </c>
      <c r="AB166" s="1" t="b">
        <v>1</v>
      </c>
      <c r="AC166" s="1">
        <v>153562895</v>
      </c>
      <c r="AD166" s="1">
        <v>2150641</v>
      </c>
      <c r="AE166" s="1">
        <v>0</v>
      </c>
      <c r="AF166" s="1" t="s">
        <v>764</v>
      </c>
      <c r="AG166" s="1" t="s">
        <v>765</v>
      </c>
      <c r="AH166" s="1">
        <v>82.7</v>
      </c>
      <c r="AI166" s="1">
        <v>72.2</v>
      </c>
      <c r="AJ166" s="1" t="s">
        <v>780</v>
      </c>
      <c r="AK166" s="1" t="s">
        <v>781</v>
      </c>
      <c r="AL166" s="1" t="s">
        <v>782</v>
      </c>
    </row>
    <row r="167" spans="1:38" x14ac:dyDescent="0.6">
      <c r="A167" s="1">
        <v>116</v>
      </c>
      <c r="B167" s="1" t="s">
        <v>88</v>
      </c>
      <c r="C167" s="1">
        <v>54</v>
      </c>
      <c r="D167" s="1" t="s">
        <v>89</v>
      </c>
      <c r="E167" s="1" t="s">
        <v>108</v>
      </c>
      <c r="F167" s="1"/>
      <c r="G167" s="1"/>
      <c r="H167" s="1" t="s">
        <v>91</v>
      </c>
      <c r="I167" s="1" t="s">
        <v>92</v>
      </c>
      <c r="J167" s="1" t="s">
        <v>109</v>
      </c>
      <c r="K167" s="1">
        <v>1</v>
      </c>
      <c r="L167" s="1">
        <v>120</v>
      </c>
      <c r="M167" s="1" t="s">
        <v>7</v>
      </c>
      <c r="N167" s="1" t="s">
        <v>7</v>
      </c>
      <c r="O167" s="1" t="s">
        <v>96</v>
      </c>
      <c r="P167" s="1" t="s">
        <v>96</v>
      </c>
      <c r="Q167" s="1" t="s">
        <v>9</v>
      </c>
      <c r="R167" s="1">
        <v>0</v>
      </c>
      <c r="S167" s="1" t="s">
        <v>97</v>
      </c>
      <c r="T167" s="1" t="s">
        <v>97</v>
      </c>
      <c r="U167" s="1" t="b">
        <v>1</v>
      </c>
      <c r="V167" s="1" t="b">
        <v>0</v>
      </c>
      <c r="W167" s="1" t="b">
        <v>0</v>
      </c>
      <c r="X167" s="1">
        <v>5</v>
      </c>
      <c r="Y167" s="1" t="b">
        <v>1</v>
      </c>
      <c r="Z167" s="1" t="b">
        <v>1</v>
      </c>
      <c r="AA167" s="1">
        <v>78.400000000000006</v>
      </c>
      <c r="AB167" s="1" t="b">
        <v>0</v>
      </c>
      <c r="AC167" s="1">
        <v>0</v>
      </c>
      <c r="AD167" s="1">
        <v>2639202</v>
      </c>
      <c r="AE167" s="1">
        <v>151239326</v>
      </c>
      <c r="AF167" s="1" t="s">
        <v>783</v>
      </c>
      <c r="AG167" s="1" t="s">
        <v>783</v>
      </c>
      <c r="AH167" s="1">
        <v>85.2</v>
      </c>
      <c r="AI167" s="1">
        <v>78.3</v>
      </c>
      <c r="AJ167" s="1" t="s">
        <v>784</v>
      </c>
      <c r="AK167" s="1" t="s">
        <v>785</v>
      </c>
      <c r="AL167" s="1" t="s">
        <v>786</v>
      </c>
    </row>
    <row r="168" spans="1:38" x14ac:dyDescent="0.6">
      <c r="A168" s="1">
        <v>115</v>
      </c>
      <c r="B168" s="1" t="s">
        <v>103</v>
      </c>
      <c r="C168" s="1">
        <v>54</v>
      </c>
      <c r="D168" s="1" t="s">
        <v>89</v>
      </c>
      <c r="E168" s="1" t="s">
        <v>108</v>
      </c>
      <c r="F168" s="1"/>
      <c r="G168" s="1"/>
      <c r="H168" s="1" t="s">
        <v>91</v>
      </c>
      <c r="I168" s="1" t="s">
        <v>92</v>
      </c>
      <c r="J168" s="1" t="s">
        <v>109</v>
      </c>
      <c r="K168" s="1">
        <v>1</v>
      </c>
      <c r="L168" s="1">
        <v>120</v>
      </c>
      <c r="M168" s="1" t="s">
        <v>7</v>
      </c>
      <c r="N168" s="1" t="s">
        <v>7</v>
      </c>
      <c r="O168" s="1" t="s">
        <v>96</v>
      </c>
      <c r="P168" s="1" t="s">
        <v>96</v>
      </c>
      <c r="Q168" s="1" t="s">
        <v>9</v>
      </c>
      <c r="R168" s="1">
        <v>0</v>
      </c>
      <c r="S168" s="1" t="s">
        <v>97</v>
      </c>
      <c r="T168" s="1" t="s">
        <v>97</v>
      </c>
      <c r="U168" s="1" t="b">
        <v>1</v>
      </c>
      <c r="V168" s="1" t="b">
        <v>0</v>
      </c>
      <c r="W168" s="1" t="b">
        <v>0</v>
      </c>
      <c r="X168" s="1">
        <v>5</v>
      </c>
      <c r="Y168" s="1" t="b">
        <v>1</v>
      </c>
      <c r="Z168" s="1" t="b">
        <v>1</v>
      </c>
      <c r="AA168" s="1">
        <v>76.7</v>
      </c>
      <c r="AB168" s="1" t="b">
        <v>0</v>
      </c>
      <c r="AC168" s="1">
        <v>0</v>
      </c>
      <c r="AD168" s="1">
        <v>2654718</v>
      </c>
      <c r="AE168" s="1">
        <v>157515266</v>
      </c>
      <c r="AF168" s="1" t="s">
        <v>787</v>
      </c>
      <c r="AG168" s="1" t="s">
        <v>787</v>
      </c>
      <c r="AH168" s="1">
        <v>79.099999999999994</v>
      </c>
      <c r="AI168" s="1">
        <v>75.099999999999994</v>
      </c>
      <c r="AJ168" s="1" t="s">
        <v>788</v>
      </c>
      <c r="AK168" s="1" t="s">
        <v>789</v>
      </c>
      <c r="AL168" s="1" t="s">
        <v>790</v>
      </c>
    </row>
    <row r="169" spans="1:38" x14ac:dyDescent="0.6">
      <c r="A169" s="1">
        <v>117</v>
      </c>
      <c r="B169" s="1" t="s">
        <v>103</v>
      </c>
      <c r="C169" s="1">
        <v>65</v>
      </c>
      <c r="D169" s="1" t="s">
        <v>127</v>
      </c>
      <c r="E169" s="1" t="s">
        <v>108</v>
      </c>
      <c r="F169" s="1"/>
      <c r="G169" s="1"/>
      <c r="H169" s="1" t="s">
        <v>91</v>
      </c>
      <c r="I169" s="1" t="s">
        <v>92</v>
      </c>
      <c r="J169" s="1" t="s">
        <v>109</v>
      </c>
      <c r="K169" s="1">
        <v>1</v>
      </c>
      <c r="L169" s="1">
        <v>120</v>
      </c>
      <c r="M169" s="1" t="s">
        <v>94</v>
      </c>
      <c r="N169" s="1" t="s">
        <v>236</v>
      </c>
      <c r="O169" s="1"/>
      <c r="P169" s="1" t="s">
        <v>96</v>
      </c>
      <c r="Q169" s="1" t="s">
        <v>9</v>
      </c>
      <c r="R169" s="1">
        <v>0</v>
      </c>
      <c r="S169" s="1" t="s">
        <v>97</v>
      </c>
      <c r="T169" s="1"/>
      <c r="U169" s="1"/>
      <c r="V169" s="1" t="b">
        <v>0</v>
      </c>
      <c r="W169" s="1" t="b">
        <v>0</v>
      </c>
      <c r="X169" s="1">
        <v>0</v>
      </c>
      <c r="Y169" s="1" t="b">
        <v>1</v>
      </c>
      <c r="Z169" s="1" t="b">
        <v>1</v>
      </c>
      <c r="AA169" s="1">
        <v>67.400000000000006</v>
      </c>
      <c r="AB169" s="1" t="b">
        <v>1</v>
      </c>
      <c r="AC169" s="1">
        <v>178296351</v>
      </c>
      <c r="AD169" s="1">
        <v>1796577</v>
      </c>
      <c r="AE169" s="1">
        <v>0</v>
      </c>
      <c r="AF169" s="1"/>
      <c r="AG169" s="1" t="s">
        <v>791</v>
      </c>
      <c r="AH169" s="1"/>
      <c r="AI169" s="1">
        <v>63.1</v>
      </c>
      <c r="AJ169" s="1" t="s">
        <v>792</v>
      </c>
      <c r="AK169" s="1" t="s">
        <v>793</v>
      </c>
      <c r="AL169" s="1" t="s">
        <v>794</v>
      </c>
    </row>
    <row r="170" spans="1:38" x14ac:dyDescent="0.6">
      <c r="A170" s="1">
        <v>105</v>
      </c>
      <c r="B170" s="1" t="s">
        <v>88</v>
      </c>
      <c r="C170" s="1">
        <v>74</v>
      </c>
      <c r="D170" s="1" t="s">
        <v>119</v>
      </c>
      <c r="E170" s="1" t="s">
        <v>90</v>
      </c>
      <c r="F170" s="1"/>
      <c r="G170" s="1"/>
      <c r="H170" s="1" t="s">
        <v>220</v>
      </c>
      <c r="I170" s="1" t="s">
        <v>221</v>
      </c>
      <c r="J170" s="1" t="s">
        <v>285</v>
      </c>
      <c r="K170" s="1">
        <v>1.25</v>
      </c>
      <c r="L170" s="1">
        <v>120</v>
      </c>
      <c r="M170" s="1" t="s">
        <v>7</v>
      </c>
      <c r="N170" s="1" t="s">
        <v>7</v>
      </c>
      <c r="O170" s="1" t="s">
        <v>96</v>
      </c>
      <c r="P170" s="1" t="s">
        <v>96</v>
      </c>
      <c r="Q170" s="1" t="s">
        <v>9</v>
      </c>
      <c r="R170" s="1">
        <v>0</v>
      </c>
      <c r="S170" s="1" t="s">
        <v>97</v>
      </c>
      <c r="T170" s="1" t="s">
        <v>97</v>
      </c>
      <c r="U170" s="1" t="b">
        <v>1</v>
      </c>
      <c r="V170" s="1" t="b">
        <v>0</v>
      </c>
      <c r="W170" s="1" t="b">
        <v>0</v>
      </c>
      <c r="X170" s="1">
        <v>5</v>
      </c>
      <c r="Y170" s="1" t="b">
        <v>1</v>
      </c>
      <c r="Z170" s="1" t="b">
        <v>1</v>
      </c>
      <c r="AA170" s="1">
        <v>59</v>
      </c>
      <c r="AB170" s="1" t="b">
        <v>0</v>
      </c>
      <c r="AC170" s="1">
        <v>0</v>
      </c>
      <c r="AD170" s="1">
        <v>2703400</v>
      </c>
      <c r="AE170" s="1">
        <v>138330072</v>
      </c>
      <c r="AF170" s="1" t="s">
        <v>795</v>
      </c>
      <c r="AG170" s="1" t="s">
        <v>795</v>
      </c>
      <c r="AH170" s="1">
        <v>63.9</v>
      </c>
      <c r="AI170" s="1">
        <v>57.4</v>
      </c>
      <c r="AJ170" s="1" t="s">
        <v>796</v>
      </c>
      <c r="AK170" s="1" t="s">
        <v>797</v>
      </c>
      <c r="AL170" s="1" t="s">
        <v>798</v>
      </c>
    </row>
    <row r="171" spans="1:38" x14ac:dyDescent="0.6">
      <c r="A171" s="1">
        <v>124</v>
      </c>
      <c r="B171" s="1" t="s">
        <v>88</v>
      </c>
      <c r="C171" s="1">
        <v>50</v>
      </c>
      <c r="D171" s="1" t="s">
        <v>89</v>
      </c>
      <c r="E171" s="1" t="s">
        <v>108</v>
      </c>
      <c r="F171" s="1"/>
      <c r="G171" s="1"/>
      <c r="H171" s="1" t="s">
        <v>91</v>
      </c>
      <c r="I171" s="1" t="s">
        <v>92</v>
      </c>
      <c r="J171" s="1" t="s">
        <v>109</v>
      </c>
      <c r="K171" s="1">
        <v>1</v>
      </c>
      <c r="L171" s="1">
        <v>120</v>
      </c>
      <c r="M171" s="1" t="s">
        <v>7</v>
      </c>
      <c r="N171" s="1" t="s">
        <v>7</v>
      </c>
      <c r="O171" s="1" t="s">
        <v>96</v>
      </c>
      <c r="P171" s="1" t="s">
        <v>96</v>
      </c>
      <c r="Q171" s="1" t="s">
        <v>9</v>
      </c>
      <c r="R171" s="1">
        <v>0</v>
      </c>
      <c r="S171" s="1" t="s">
        <v>97</v>
      </c>
      <c r="T171" s="1" t="s">
        <v>97</v>
      </c>
      <c r="U171" s="1" t="b">
        <v>1</v>
      </c>
      <c r="V171" s="1" t="b">
        <v>0</v>
      </c>
      <c r="W171" s="1" t="b">
        <v>0</v>
      </c>
      <c r="X171" s="1">
        <v>5</v>
      </c>
      <c r="Y171" s="1" t="b">
        <v>1</v>
      </c>
      <c r="Z171" s="1" t="b">
        <v>1</v>
      </c>
      <c r="AA171" s="1">
        <v>74.7</v>
      </c>
      <c r="AB171" s="1" t="b">
        <v>0</v>
      </c>
      <c r="AC171" s="1">
        <v>0</v>
      </c>
      <c r="AD171" s="1">
        <v>2445750</v>
      </c>
      <c r="AE171" s="1">
        <v>134131274</v>
      </c>
      <c r="AF171" s="1" t="s">
        <v>799</v>
      </c>
      <c r="AG171" s="1" t="s">
        <v>799</v>
      </c>
      <c r="AH171" s="1">
        <v>86.3</v>
      </c>
      <c r="AI171" s="1">
        <v>75.3</v>
      </c>
      <c r="AJ171" s="1" t="s">
        <v>800</v>
      </c>
      <c r="AK171" s="1" t="s">
        <v>801</v>
      </c>
      <c r="AL171" s="1" t="s">
        <v>802</v>
      </c>
    </row>
    <row r="172" spans="1:38" x14ac:dyDescent="0.6">
      <c r="A172" s="1">
        <v>123</v>
      </c>
      <c r="B172" s="1" t="s">
        <v>88</v>
      </c>
      <c r="C172" s="1">
        <v>65</v>
      </c>
      <c r="D172" s="1" t="s">
        <v>127</v>
      </c>
      <c r="E172" s="1" t="s">
        <v>108</v>
      </c>
      <c r="F172" s="1"/>
      <c r="G172" s="1"/>
      <c r="H172" s="1" t="s">
        <v>91</v>
      </c>
      <c r="I172" s="1" t="s">
        <v>92</v>
      </c>
      <c r="J172" s="1" t="s">
        <v>109</v>
      </c>
      <c r="K172" s="1">
        <v>1</v>
      </c>
      <c r="L172" s="1">
        <v>120</v>
      </c>
      <c r="M172" s="1" t="s">
        <v>94</v>
      </c>
      <c r="N172" s="1" t="s">
        <v>95</v>
      </c>
      <c r="O172" s="1"/>
      <c r="P172" s="1" t="s">
        <v>96</v>
      </c>
      <c r="Q172" s="1" t="s">
        <v>110</v>
      </c>
      <c r="R172" s="1">
        <v>3</v>
      </c>
      <c r="S172" s="1" t="s">
        <v>110</v>
      </c>
      <c r="T172" s="1" t="s">
        <v>97</v>
      </c>
      <c r="U172" s="1" t="b">
        <v>0</v>
      </c>
      <c r="V172" s="1" t="b">
        <v>1</v>
      </c>
      <c r="W172" s="1" t="b">
        <v>0</v>
      </c>
      <c r="X172" s="1">
        <v>0</v>
      </c>
      <c r="Y172" s="1" t="b">
        <v>1</v>
      </c>
      <c r="Z172" s="1" t="b">
        <v>1</v>
      </c>
      <c r="AA172" s="1">
        <v>60.5</v>
      </c>
      <c r="AB172" s="1" t="b">
        <v>1</v>
      </c>
      <c r="AC172" s="1">
        <v>177094155</v>
      </c>
      <c r="AD172" s="1">
        <v>1688053</v>
      </c>
      <c r="AE172" s="1">
        <v>0</v>
      </c>
      <c r="AF172" s="1" t="s">
        <v>803</v>
      </c>
      <c r="AG172" s="1" t="s">
        <v>804</v>
      </c>
      <c r="AH172" s="1">
        <v>57.7</v>
      </c>
      <c r="AI172" s="1">
        <v>55.9</v>
      </c>
      <c r="AJ172" s="1" t="s">
        <v>805</v>
      </c>
      <c r="AK172" s="1" t="s">
        <v>806</v>
      </c>
      <c r="AL172" s="1" t="s">
        <v>807</v>
      </c>
    </row>
    <row r="173" spans="1:38" x14ac:dyDescent="0.6">
      <c r="A173" s="1">
        <v>123</v>
      </c>
      <c r="B173" s="1" t="s">
        <v>88</v>
      </c>
      <c r="C173" s="1">
        <v>65</v>
      </c>
      <c r="D173" s="1" t="s">
        <v>127</v>
      </c>
      <c r="E173" s="1" t="s">
        <v>108</v>
      </c>
      <c r="F173" s="1"/>
      <c r="G173" s="1"/>
      <c r="H173" s="1" t="s">
        <v>91</v>
      </c>
      <c r="I173" s="1" t="s">
        <v>92</v>
      </c>
      <c r="J173" s="1" t="s">
        <v>109</v>
      </c>
      <c r="K173" s="1">
        <v>1</v>
      </c>
      <c r="L173" s="1">
        <v>120</v>
      </c>
      <c r="M173" s="1" t="s">
        <v>14</v>
      </c>
      <c r="N173" s="1" t="s">
        <v>95</v>
      </c>
      <c r="O173" s="1" t="s">
        <v>96</v>
      </c>
      <c r="P173" s="1"/>
      <c r="Q173" s="1" t="s">
        <v>110</v>
      </c>
      <c r="R173" s="1">
        <v>3</v>
      </c>
      <c r="S173" s="1" t="s">
        <v>110</v>
      </c>
      <c r="T173" s="1" t="s">
        <v>97</v>
      </c>
      <c r="U173" s="1" t="b">
        <v>0</v>
      </c>
      <c r="V173" s="1" t="b">
        <v>1</v>
      </c>
      <c r="W173" s="1" t="b">
        <v>0</v>
      </c>
      <c r="X173" s="1">
        <v>5</v>
      </c>
      <c r="Y173" s="1" t="b">
        <v>1</v>
      </c>
      <c r="Z173" s="1" t="b">
        <v>1</v>
      </c>
      <c r="AA173" s="1"/>
      <c r="AB173" s="1" t="b">
        <v>1</v>
      </c>
      <c r="AC173" s="1">
        <v>171643512</v>
      </c>
      <c r="AD173" s="1">
        <v>585096</v>
      </c>
      <c r="AE173" s="1">
        <v>0</v>
      </c>
      <c r="AF173" s="1" t="s">
        <v>803</v>
      </c>
      <c r="AG173" s="1" t="s">
        <v>804</v>
      </c>
      <c r="AH173" s="1">
        <v>57.7</v>
      </c>
      <c r="AI173" s="1">
        <v>55.9</v>
      </c>
      <c r="AJ173" s="1" t="s">
        <v>808</v>
      </c>
      <c r="AK173" s="1" t="s">
        <v>809</v>
      </c>
      <c r="AL173" s="1" t="s">
        <v>810</v>
      </c>
    </row>
    <row r="174" spans="1:38" x14ac:dyDescent="0.6">
      <c r="A174" s="1">
        <v>113</v>
      </c>
      <c r="B174" s="1" t="s">
        <v>88</v>
      </c>
      <c r="C174" s="1">
        <v>52</v>
      </c>
      <c r="D174" s="1" t="s">
        <v>89</v>
      </c>
      <c r="E174" s="1" t="s">
        <v>90</v>
      </c>
      <c r="F174" s="1"/>
      <c r="G174" s="1"/>
      <c r="H174" s="1" t="s">
        <v>91</v>
      </c>
      <c r="I174" s="1" t="s">
        <v>92</v>
      </c>
      <c r="J174" s="1" t="s">
        <v>109</v>
      </c>
      <c r="K174" s="1">
        <v>1</v>
      </c>
      <c r="L174" s="1">
        <v>120</v>
      </c>
      <c r="M174" s="1" t="s">
        <v>7</v>
      </c>
      <c r="N174" s="1" t="s">
        <v>7</v>
      </c>
      <c r="O174" s="1" t="s">
        <v>96</v>
      </c>
      <c r="P174" s="1" t="s">
        <v>96</v>
      </c>
      <c r="Q174" s="1" t="s">
        <v>9</v>
      </c>
      <c r="R174" s="1">
        <v>0</v>
      </c>
      <c r="S174" s="1" t="s">
        <v>97</v>
      </c>
      <c r="T174" s="1" t="s">
        <v>97</v>
      </c>
      <c r="U174" s="1" t="b">
        <v>1</v>
      </c>
      <c r="V174" s="1" t="b">
        <v>0</v>
      </c>
      <c r="W174" s="1" t="b">
        <v>0</v>
      </c>
      <c r="X174" s="1">
        <v>5</v>
      </c>
      <c r="Y174" s="1" t="b">
        <v>1</v>
      </c>
      <c r="Z174" s="1" t="b">
        <v>1</v>
      </c>
      <c r="AA174" s="1">
        <v>67.400000000000006</v>
      </c>
      <c r="AB174" s="1" t="b">
        <v>0</v>
      </c>
      <c r="AC174" s="1">
        <v>0</v>
      </c>
      <c r="AD174" s="1">
        <v>2181135</v>
      </c>
      <c r="AE174" s="1">
        <v>134920177</v>
      </c>
      <c r="AF174" s="1" t="s">
        <v>811</v>
      </c>
      <c r="AG174" s="1" t="s">
        <v>811</v>
      </c>
      <c r="AH174" s="1">
        <v>72.3</v>
      </c>
      <c r="AI174" s="1">
        <v>65.599999999999994</v>
      </c>
      <c r="AJ174" s="1" t="s">
        <v>812</v>
      </c>
      <c r="AK174" s="1" t="s">
        <v>813</v>
      </c>
      <c r="AL174" s="1" t="s">
        <v>814</v>
      </c>
    </row>
    <row r="175" spans="1:38" x14ac:dyDescent="0.6">
      <c r="A175" s="1">
        <v>120</v>
      </c>
      <c r="B175" s="1" t="s">
        <v>103</v>
      </c>
      <c r="C175" s="1">
        <v>60</v>
      </c>
      <c r="D175" s="1" t="s">
        <v>127</v>
      </c>
      <c r="E175" s="1" t="s">
        <v>108</v>
      </c>
      <c r="F175" s="1"/>
      <c r="G175" s="1"/>
      <c r="H175" s="1" t="s">
        <v>91</v>
      </c>
      <c r="I175" s="1" t="s">
        <v>92</v>
      </c>
      <c r="J175" s="1" t="s">
        <v>109</v>
      </c>
      <c r="K175" s="1">
        <v>1</v>
      </c>
      <c r="L175" s="1">
        <v>120</v>
      </c>
      <c r="M175" s="1" t="s">
        <v>94</v>
      </c>
      <c r="N175" s="1" t="s">
        <v>95</v>
      </c>
      <c r="O175" s="1"/>
      <c r="P175" s="1" t="s">
        <v>96</v>
      </c>
      <c r="Q175" s="1" t="s">
        <v>237</v>
      </c>
      <c r="R175" s="1">
        <v>0</v>
      </c>
      <c r="S175" s="1" t="s">
        <v>237</v>
      </c>
      <c r="T175" s="1" t="s">
        <v>97</v>
      </c>
      <c r="U175" s="1" t="b">
        <v>0</v>
      </c>
      <c r="V175" s="1" t="b">
        <v>1</v>
      </c>
      <c r="W175" s="1" t="b">
        <v>0</v>
      </c>
      <c r="X175" s="1">
        <v>0</v>
      </c>
      <c r="Y175" s="1" t="b">
        <v>1</v>
      </c>
      <c r="Z175" s="1" t="b">
        <v>1</v>
      </c>
      <c r="AA175" s="1">
        <v>61.8</v>
      </c>
      <c r="AB175" s="1" t="b">
        <v>1</v>
      </c>
      <c r="AC175" s="1">
        <v>138530479</v>
      </c>
      <c r="AD175" s="1">
        <v>1454417</v>
      </c>
      <c r="AE175" s="1">
        <v>0</v>
      </c>
      <c r="AF175" s="1" t="s">
        <v>754</v>
      </c>
      <c r="AG175" s="1" t="s">
        <v>755</v>
      </c>
      <c r="AH175" s="1">
        <v>57.8</v>
      </c>
      <c r="AI175" s="1">
        <v>58.7</v>
      </c>
      <c r="AJ175" s="1" t="s">
        <v>815</v>
      </c>
      <c r="AK175" s="1" t="s">
        <v>816</v>
      </c>
      <c r="AL175" s="1" t="s">
        <v>817</v>
      </c>
    </row>
    <row r="176" spans="1:38" x14ac:dyDescent="0.6">
      <c r="A176" s="1">
        <v>126</v>
      </c>
      <c r="B176" s="1" t="s">
        <v>88</v>
      </c>
      <c r="C176" s="1"/>
      <c r="D176" s="1"/>
      <c r="E176" s="1" t="s">
        <v>90</v>
      </c>
      <c r="F176" s="1"/>
      <c r="G176" s="1"/>
      <c r="H176" s="1" t="s">
        <v>91</v>
      </c>
      <c r="I176" s="1" t="s">
        <v>92</v>
      </c>
      <c r="J176" s="1" t="s">
        <v>109</v>
      </c>
      <c r="K176" s="1">
        <v>1</v>
      </c>
      <c r="L176" s="1">
        <v>120</v>
      </c>
      <c r="M176" s="1" t="s">
        <v>94</v>
      </c>
      <c r="N176" s="1" t="s">
        <v>95</v>
      </c>
      <c r="O176" s="1"/>
      <c r="P176" s="1" t="s">
        <v>96</v>
      </c>
      <c r="Q176" s="1" t="s">
        <v>9</v>
      </c>
      <c r="R176" s="1">
        <v>0</v>
      </c>
      <c r="S176" s="1" t="s">
        <v>97</v>
      </c>
      <c r="T176" s="1" t="s">
        <v>97</v>
      </c>
      <c r="U176" s="1" t="b">
        <v>1</v>
      </c>
      <c r="V176" s="1" t="b">
        <v>0</v>
      </c>
      <c r="W176" s="1" t="b">
        <v>0</v>
      </c>
      <c r="X176" s="1">
        <v>0</v>
      </c>
      <c r="Y176" s="1" t="b">
        <v>1</v>
      </c>
      <c r="Z176" s="1" t="b">
        <v>1</v>
      </c>
      <c r="AA176" s="1">
        <v>71</v>
      </c>
      <c r="AB176" s="1" t="b">
        <v>1</v>
      </c>
      <c r="AC176" s="1">
        <v>175695832</v>
      </c>
      <c r="AD176" s="1">
        <v>1775656</v>
      </c>
      <c r="AE176" s="1">
        <v>0</v>
      </c>
      <c r="AF176" s="1" t="s">
        <v>818</v>
      </c>
      <c r="AG176" s="1" t="s">
        <v>819</v>
      </c>
      <c r="AH176" s="1">
        <v>75.8</v>
      </c>
      <c r="AI176" s="1">
        <v>69.7</v>
      </c>
      <c r="AJ176" s="1" t="s">
        <v>820</v>
      </c>
      <c r="AK176" s="1" t="s">
        <v>821</v>
      </c>
      <c r="AL176" s="1" t="s">
        <v>822</v>
      </c>
    </row>
    <row r="177" spans="1:38" x14ac:dyDescent="0.6">
      <c r="A177" s="1">
        <v>126</v>
      </c>
      <c r="B177" s="1" t="s">
        <v>88</v>
      </c>
      <c r="C177" s="1"/>
      <c r="D177" s="1"/>
      <c r="E177" s="1" t="s">
        <v>90</v>
      </c>
      <c r="F177" s="1"/>
      <c r="G177" s="1"/>
      <c r="H177" s="1" t="s">
        <v>91</v>
      </c>
      <c r="I177" s="1" t="s">
        <v>92</v>
      </c>
      <c r="J177" s="1" t="s">
        <v>109</v>
      </c>
      <c r="K177" s="1">
        <v>1</v>
      </c>
      <c r="L177" s="1">
        <v>120</v>
      </c>
      <c r="M177" s="1" t="s">
        <v>14</v>
      </c>
      <c r="N177" s="1" t="s">
        <v>95</v>
      </c>
      <c r="O177" s="1" t="s">
        <v>96</v>
      </c>
      <c r="P177" s="1"/>
      <c r="Q177" s="1" t="s">
        <v>9</v>
      </c>
      <c r="R177" s="1">
        <v>0</v>
      </c>
      <c r="S177" s="1" t="s">
        <v>97</v>
      </c>
      <c r="T177" s="1" t="s">
        <v>97</v>
      </c>
      <c r="U177" s="1" t="b">
        <v>1</v>
      </c>
      <c r="V177" s="1" t="b">
        <v>0</v>
      </c>
      <c r="W177" s="1" t="b">
        <v>0</v>
      </c>
      <c r="X177" s="1">
        <v>5</v>
      </c>
      <c r="Y177" s="1" t="b">
        <v>1</v>
      </c>
      <c r="Z177" s="1" t="b">
        <v>1</v>
      </c>
      <c r="AA177" s="1"/>
      <c r="AB177" s="1" t="b">
        <v>1</v>
      </c>
      <c r="AC177" s="1">
        <v>160876562</v>
      </c>
      <c r="AD177" s="1">
        <v>604142</v>
      </c>
      <c r="AE177" s="1">
        <v>0</v>
      </c>
      <c r="AF177" s="1" t="s">
        <v>818</v>
      </c>
      <c r="AG177" s="1" t="s">
        <v>819</v>
      </c>
      <c r="AH177" s="1">
        <v>75.8</v>
      </c>
      <c r="AI177" s="1">
        <v>69.7</v>
      </c>
      <c r="AJ177" s="1" t="s">
        <v>823</v>
      </c>
      <c r="AK177" s="1" t="s">
        <v>824</v>
      </c>
      <c r="AL177" s="1" t="s">
        <v>825</v>
      </c>
    </row>
    <row r="178" spans="1:38" x14ac:dyDescent="0.6">
      <c r="A178" s="1">
        <v>125</v>
      </c>
      <c r="B178" s="1" t="s">
        <v>88</v>
      </c>
      <c r="C178" s="1"/>
      <c r="D178" s="1"/>
      <c r="E178" s="1" t="s">
        <v>108</v>
      </c>
      <c r="F178" s="1"/>
      <c r="G178" s="1"/>
      <c r="H178" s="1" t="s">
        <v>91</v>
      </c>
      <c r="I178" s="1" t="s">
        <v>92</v>
      </c>
      <c r="J178" s="1" t="s">
        <v>109</v>
      </c>
      <c r="K178" s="1">
        <v>1</v>
      </c>
      <c r="L178" s="1">
        <v>120</v>
      </c>
      <c r="M178" s="1" t="s">
        <v>7</v>
      </c>
      <c r="N178" s="1" t="s">
        <v>7</v>
      </c>
      <c r="O178" s="1" t="s">
        <v>96</v>
      </c>
      <c r="P178" s="1" t="s">
        <v>96</v>
      </c>
      <c r="Q178" s="1" t="s">
        <v>110</v>
      </c>
      <c r="R178" s="1">
        <v>3</v>
      </c>
      <c r="S178" s="1" t="s">
        <v>110</v>
      </c>
      <c r="T178" s="1" t="s">
        <v>97</v>
      </c>
      <c r="U178" s="1" t="b">
        <v>0</v>
      </c>
      <c r="V178" s="1" t="b">
        <v>1</v>
      </c>
      <c r="W178" s="1" t="b">
        <v>0</v>
      </c>
      <c r="X178" s="1">
        <v>5</v>
      </c>
      <c r="Y178" s="1" t="b">
        <v>1</v>
      </c>
      <c r="Z178" s="1" t="b">
        <v>1</v>
      </c>
      <c r="AA178" s="1">
        <v>74</v>
      </c>
      <c r="AB178" s="1" t="b">
        <v>0</v>
      </c>
      <c r="AC178" s="1">
        <v>0</v>
      </c>
      <c r="AD178" s="1">
        <v>3110366</v>
      </c>
      <c r="AE178" s="1">
        <v>165972514</v>
      </c>
      <c r="AF178" s="1" t="s">
        <v>826</v>
      </c>
      <c r="AG178" s="1" t="s">
        <v>826</v>
      </c>
      <c r="AH178" s="1">
        <v>82.4</v>
      </c>
      <c r="AI178" s="1">
        <v>72</v>
      </c>
      <c r="AJ178" s="1" t="s">
        <v>827</v>
      </c>
      <c r="AK178" s="1" t="s">
        <v>828</v>
      </c>
      <c r="AL178" s="1" t="s">
        <v>829</v>
      </c>
    </row>
    <row r="179" spans="1:38" x14ac:dyDescent="0.6">
      <c r="A179" s="1">
        <v>122</v>
      </c>
      <c r="B179" s="1" t="s">
        <v>103</v>
      </c>
      <c r="C179" s="1">
        <v>68</v>
      </c>
      <c r="D179" s="1" t="s">
        <v>127</v>
      </c>
      <c r="E179" s="1" t="s">
        <v>90</v>
      </c>
      <c r="F179" s="1"/>
      <c r="G179" s="1"/>
      <c r="H179" s="1" t="s">
        <v>91</v>
      </c>
      <c r="I179" s="1" t="s">
        <v>92</v>
      </c>
      <c r="J179" s="1" t="s">
        <v>109</v>
      </c>
      <c r="K179" s="1">
        <v>1</v>
      </c>
      <c r="L179" s="1">
        <v>120</v>
      </c>
      <c r="M179" s="1" t="s">
        <v>14</v>
      </c>
      <c r="N179" s="1" t="s">
        <v>95</v>
      </c>
      <c r="O179" s="1" t="s">
        <v>96</v>
      </c>
      <c r="P179" s="1"/>
      <c r="Q179" s="1" t="s">
        <v>9</v>
      </c>
      <c r="R179" s="1">
        <v>0</v>
      </c>
      <c r="S179" s="1" t="s">
        <v>97</v>
      </c>
      <c r="T179" s="1" t="s">
        <v>97</v>
      </c>
      <c r="U179" s="1" t="b">
        <v>1</v>
      </c>
      <c r="V179" s="1" t="b">
        <v>0</v>
      </c>
      <c r="W179" s="1" t="b">
        <v>0</v>
      </c>
      <c r="X179" s="1">
        <v>5</v>
      </c>
      <c r="Y179" s="1" t="b">
        <v>1</v>
      </c>
      <c r="Z179" s="1" t="b">
        <v>1</v>
      </c>
      <c r="AA179" s="1"/>
      <c r="AB179" s="1" t="b">
        <v>1</v>
      </c>
      <c r="AC179" s="1">
        <v>145509593</v>
      </c>
      <c r="AD179" s="1">
        <v>504615</v>
      </c>
      <c r="AE179" s="1">
        <v>0</v>
      </c>
      <c r="AF179" s="1" t="s">
        <v>772</v>
      </c>
      <c r="AG179" s="1" t="s">
        <v>773</v>
      </c>
      <c r="AH179" s="1">
        <v>78.900000000000006</v>
      </c>
      <c r="AI179" s="1">
        <v>76.5</v>
      </c>
      <c r="AJ179" s="1" t="s">
        <v>830</v>
      </c>
      <c r="AK179" s="1" t="s">
        <v>831</v>
      </c>
      <c r="AL179" s="1" t="s">
        <v>832</v>
      </c>
    </row>
    <row r="180" spans="1:38" x14ac:dyDescent="0.6">
      <c r="A180" s="1">
        <v>127</v>
      </c>
      <c r="B180" s="1" t="s">
        <v>103</v>
      </c>
      <c r="C180" s="1"/>
      <c r="D180" s="1"/>
      <c r="E180" s="1" t="s">
        <v>108</v>
      </c>
      <c r="F180" s="1"/>
      <c r="G180" s="1"/>
      <c r="H180" s="1" t="s">
        <v>91</v>
      </c>
      <c r="I180" s="1" t="s">
        <v>92</v>
      </c>
      <c r="J180" s="1" t="s">
        <v>109</v>
      </c>
      <c r="K180" s="1">
        <v>1</v>
      </c>
      <c r="L180" s="1">
        <v>120</v>
      </c>
      <c r="M180" s="1" t="s">
        <v>14</v>
      </c>
      <c r="N180" s="1" t="s">
        <v>95</v>
      </c>
      <c r="O180" s="1" t="s">
        <v>96</v>
      </c>
      <c r="P180" s="1"/>
      <c r="Q180" s="1" t="s">
        <v>9</v>
      </c>
      <c r="R180" s="1">
        <v>0</v>
      </c>
      <c r="S180" s="1" t="s">
        <v>97</v>
      </c>
      <c r="T180" s="1" t="s">
        <v>97</v>
      </c>
      <c r="U180" s="1" t="b">
        <v>1</v>
      </c>
      <c r="V180" s="1" t="b">
        <v>0</v>
      </c>
      <c r="W180" s="1" t="b">
        <v>0</v>
      </c>
      <c r="X180" s="1">
        <v>5</v>
      </c>
      <c r="Y180" s="1" t="b">
        <v>1</v>
      </c>
      <c r="Z180" s="1" t="b">
        <v>1</v>
      </c>
      <c r="AA180" s="1"/>
      <c r="AB180" s="1" t="b">
        <v>1</v>
      </c>
      <c r="AC180" s="1">
        <v>177244144</v>
      </c>
      <c r="AD180" s="1">
        <v>489488</v>
      </c>
      <c r="AE180" s="1">
        <v>0</v>
      </c>
      <c r="AF180" s="1" t="s">
        <v>833</v>
      </c>
      <c r="AG180" s="1" t="s">
        <v>834</v>
      </c>
      <c r="AH180" s="1">
        <v>53.7</v>
      </c>
      <c r="AI180" s="1">
        <v>59.1</v>
      </c>
      <c r="AJ180" s="1" t="s">
        <v>835</v>
      </c>
      <c r="AK180" s="1" t="s">
        <v>836</v>
      </c>
      <c r="AL180" s="1" t="s">
        <v>837</v>
      </c>
    </row>
    <row r="181" spans="1:38" x14ac:dyDescent="0.6">
      <c r="A181" s="1">
        <v>118</v>
      </c>
      <c r="B181" s="1" t="s">
        <v>103</v>
      </c>
      <c r="C181" s="1">
        <v>62</v>
      </c>
      <c r="D181" s="1" t="s">
        <v>127</v>
      </c>
      <c r="E181" s="1" t="s">
        <v>90</v>
      </c>
      <c r="F181" s="1"/>
      <c r="G181" s="1"/>
      <c r="H181" s="1" t="s">
        <v>91</v>
      </c>
      <c r="I181" s="1" t="s">
        <v>92</v>
      </c>
      <c r="J181" s="1" t="s">
        <v>109</v>
      </c>
      <c r="K181" s="1">
        <v>1</v>
      </c>
      <c r="L181" s="1">
        <v>120</v>
      </c>
      <c r="M181" s="1" t="s">
        <v>7</v>
      </c>
      <c r="N181" s="1" t="s">
        <v>7</v>
      </c>
      <c r="O181" s="1" t="s">
        <v>96</v>
      </c>
      <c r="P181" s="1" t="s">
        <v>96</v>
      </c>
      <c r="Q181" s="1" t="s">
        <v>9</v>
      </c>
      <c r="R181" s="1">
        <v>0</v>
      </c>
      <c r="S181" s="1" t="s">
        <v>97</v>
      </c>
      <c r="T181" s="1" t="s">
        <v>97</v>
      </c>
      <c r="U181" s="1" t="b">
        <v>1</v>
      </c>
      <c r="V181" s="1" t="b">
        <v>0</v>
      </c>
      <c r="W181" s="1" t="b">
        <v>0</v>
      </c>
      <c r="X181" s="1">
        <v>5</v>
      </c>
      <c r="Y181" s="1" t="b">
        <v>1</v>
      </c>
      <c r="Z181" s="1" t="b">
        <v>1</v>
      </c>
      <c r="AA181" s="1">
        <v>67.2</v>
      </c>
      <c r="AB181" s="1" t="b">
        <v>0</v>
      </c>
      <c r="AC181" s="1">
        <v>0</v>
      </c>
      <c r="AD181" s="1">
        <v>1863327</v>
      </c>
      <c r="AE181" s="1">
        <v>134975841</v>
      </c>
      <c r="AF181" s="1" t="s">
        <v>838</v>
      </c>
      <c r="AG181" s="1" t="s">
        <v>838</v>
      </c>
      <c r="AH181" s="1">
        <v>57.5</v>
      </c>
      <c r="AI181" s="1">
        <v>61.2</v>
      </c>
      <c r="AJ181" s="1" t="s">
        <v>839</v>
      </c>
      <c r="AK181" s="1" t="s">
        <v>840</v>
      </c>
      <c r="AL181" s="1" t="s">
        <v>841</v>
      </c>
    </row>
    <row r="182" spans="1:38" x14ac:dyDescent="0.6">
      <c r="A182" s="1">
        <v>119</v>
      </c>
      <c r="B182" s="1" t="s">
        <v>88</v>
      </c>
      <c r="C182" s="1">
        <v>56</v>
      </c>
      <c r="D182" s="1" t="s">
        <v>89</v>
      </c>
      <c r="E182" s="1" t="s">
        <v>108</v>
      </c>
      <c r="F182" s="1"/>
      <c r="G182" s="1"/>
      <c r="H182" s="1" t="s">
        <v>91</v>
      </c>
      <c r="I182" s="1" t="s">
        <v>92</v>
      </c>
      <c r="J182" s="1" t="s">
        <v>109</v>
      </c>
      <c r="K182" s="1">
        <v>1</v>
      </c>
      <c r="L182" s="1">
        <v>120</v>
      </c>
      <c r="M182" s="1" t="s">
        <v>7</v>
      </c>
      <c r="N182" s="1" t="s">
        <v>7</v>
      </c>
      <c r="O182" s="1" t="s">
        <v>96</v>
      </c>
      <c r="P182" s="1" t="s">
        <v>96</v>
      </c>
      <c r="Q182" s="1" t="s">
        <v>9</v>
      </c>
      <c r="R182" s="1">
        <v>0</v>
      </c>
      <c r="S182" s="1" t="s">
        <v>97</v>
      </c>
      <c r="T182" s="1" t="s">
        <v>97</v>
      </c>
      <c r="U182" s="1" t="b">
        <v>1</v>
      </c>
      <c r="V182" s="1" t="b">
        <v>0</v>
      </c>
      <c r="W182" s="1" t="b">
        <v>0</v>
      </c>
      <c r="X182" s="1">
        <v>5</v>
      </c>
      <c r="Y182" s="1" t="b">
        <v>1</v>
      </c>
      <c r="Z182" s="1" t="b">
        <v>1</v>
      </c>
      <c r="AA182" s="1">
        <v>80.3</v>
      </c>
      <c r="AB182" s="1" t="b">
        <v>0</v>
      </c>
      <c r="AC182" s="1">
        <v>0</v>
      </c>
      <c r="AD182" s="1">
        <v>2841199</v>
      </c>
      <c r="AE182" s="1">
        <v>150775185</v>
      </c>
      <c r="AF182" s="1" t="s">
        <v>842</v>
      </c>
      <c r="AG182" s="1" t="s">
        <v>842</v>
      </c>
      <c r="AH182" s="1">
        <v>89.2</v>
      </c>
      <c r="AI182" s="1">
        <v>79.900000000000006</v>
      </c>
      <c r="AJ182" s="1" t="s">
        <v>843</v>
      </c>
      <c r="AK182" s="1" t="s">
        <v>844</v>
      </c>
      <c r="AL182" s="1" t="s">
        <v>845</v>
      </c>
    </row>
    <row r="183" spans="1:38" x14ac:dyDescent="0.6">
      <c r="A183" s="1">
        <v>132</v>
      </c>
      <c r="B183" s="1" t="s">
        <v>103</v>
      </c>
      <c r="C183" s="1"/>
      <c r="D183" s="1"/>
      <c r="E183" s="1" t="s">
        <v>90</v>
      </c>
      <c r="F183" s="1"/>
      <c r="G183" s="1"/>
      <c r="H183" s="1" t="s">
        <v>91</v>
      </c>
      <c r="I183" s="1" t="s">
        <v>92</v>
      </c>
      <c r="J183" s="1" t="s">
        <v>109</v>
      </c>
      <c r="K183" s="1">
        <v>1</v>
      </c>
      <c r="L183" s="1">
        <v>120</v>
      </c>
      <c r="M183" s="1" t="s">
        <v>94</v>
      </c>
      <c r="N183" s="1" t="s">
        <v>95</v>
      </c>
      <c r="O183" s="1"/>
      <c r="P183" s="1" t="s">
        <v>96</v>
      </c>
      <c r="Q183" s="1" t="s">
        <v>9</v>
      </c>
      <c r="R183" s="1">
        <v>0</v>
      </c>
      <c r="S183" s="1" t="s">
        <v>97</v>
      </c>
      <c r="T183" s="1" t="s">
        <v>97</v>
      </c>
      <c r="U183" s="1" t="b">
        <v>1</v>
      </c>
      <c r="V183" s="1" t="b">
        <v>0</v>
      </c>
      <c r="W183" s="1" t="b">
        <v>0</v>
      </c>
      <c r="X183" s="1">
        <v>0</v>
      </c>
      <c r="Y183" s="1" t="b">
        <v>1</v>
      </c>
      <c r="Z183" s="1" t="b">
        <v>1</v>
      </c>
      <c r="AA183" s="1">
        <v>70.2</v>
      </c>
      <c r="AB183" s="1" t="b">
        <v>1</v>
      </c>
      <c r="AC183" s="1">
        <v>142597203</v>
      </c>
      <c r="AD183" s="1">
        <v>1581997</v>
      </c>
      <c r="AE183" s="1">
        <v>0</v>
      </c>
      <c r="AF183" s="1" t="s">
        <v>846</v>
      </c>
      <c r="AG183" s="1" t="s">
        <v>847</v>
      </c>
      <c r="AH183" s="1">
        <v>72.7</v>
      </c>
      <c r="AI183" s="1">
        <v>67.2</v>
      </c>
      <c r="AJ183" s="1" t="s">
        <v>848</v>
      </c>
      <c r="AK183" s="1" t="s">
        <v>849</v>
      </c>
      <c r="AL183" s="1" t="s">
        <v>850</v>
      </c>
    </row>
    <row r="184" spans="1:38" x14ac:dyDescent="0.6">
      <c r="A184" s="1">
        <v>129</v>
      </c>
      <c r="B184" s="1" t="s">
        <v>103</v>
      </c>
      <c r="C184" s="1"/>
      <c r="D184" s="1"/>
      <c r="E184" s="1" t="s">
        <v>90</v>
      </c>
      <c r="F184" s="1"/>
      <c r="G184" s="1"/>
      <c r="H184" s="1" t="s">
        <v>91</v>
      </c>
      <c r="I184" s="1" t="s">
        <v>92</v>
      </c>
      <c r="J184" s="1" t="s">
        <v>109</v>
      </c>
      <c r="K184" s="1">
        <v>1</v>
      </c>
      <c r="L184" s="1">
        <v>120</v>
      </c>
      <c r="M184" s="1" t="s">
        <v>7</v>
      </c>
      <c r="N184" s="1" t="s">
        <v>7</v>
      </c>
      <c r="O184" s="1" t="s">
        <v>96</v>
      </c>
      <c r="P184" s="1" t="s">
        <v>96</v>
      </c>
      <c r="Q184" s="1" t="s">
        <v>9</v>
      </c>
      <c r="R184" s="1">
        <v>0</v>
      </c>
      <c r="S184" s="1" t="s">
        <v>97</v>
      </c>
      <c r="T184" s="1" t="s">
        <v>97</v>
      </c>
      <c r="U184" s="1" t="b">
        <v>1</v>
      </c>
      <c r="V184" s="1" t="b">
        <v>0</v>
      </c>
      <c r="W184" s="1" t="b">
        <v>0</v>
      </c>
      <c r="X184" s="1">
        <v>5</v>
      </c>
      <c r="Y184" s="1" t="b">
        <v>1</v>
      </c>
      <c r="Z184" s="1" t="b">
        <v>1</v>
      </c>
      <c r="AA184" s="1">
        <v>67.400000000000006</v>
      </c>
      <c r="AB184" s="1" t="b">
        <v>0</v>
      </c>
      <c r="AC184" s="1">
        <v>0</v>
      </c>
      <c r="AD184" s="1">
        <v>2795579</v>
      </c>
      <c r="AE184" s="1">
        <v>156850117</v>
      </c>
      <c r="AF184" s="1" t="s">
        <v>851</v>
      </c>
      <c r="AG184" s="1" t="s">
        <v>851</v>
      </c>
      <c r="AH184" s="1">
        <v>69.5</v>
      </c>
      <c r="AI184" s="1">
        <v>62.9</v>
      </c>
      <c r="AJ184" s="1" t="s">
        <v>852</v>
      </c>
      <c r="AK184" s="1" t="s">
        <v>853</v>
      </c>
      <c r="AL184" s="1" t="s">
        <v>854</v>
      </c>
    </row>
    <row r="185" spans="1:38" x14ac:dyDescent="0.6">
      <c r="A185" s="1">
        <v>130</v>
      </c>
      <c r="B185" s="1" t="s">
        <v>103</v>
      </c>
      <c r="C185" s="1"/>
      <c r="D185" s="1"/>
      <c r="E185" s="1" t="s">
        <v>108</v>
      </c>
      <c r="F185" s="1"/>
      <c r="G185" s="1"/>
      <c r="H185" s="1" t="s">
        <v>91</v>
      </c>
      <c r="I185" s="1" t="s">
        <v>92</v>
      </c>
      <c r="J185" s="1" t="s">
        <v>109</v>
      </c>
      <c r="K185" s="1">
        <v>1</v>
      </c>
      <c r="L185" s="1">
        <v>120</v>
      </c>
      <c r="M185" s="1" t="s">
        <v>14</v>
      </c>
      <c r="N185" s="1" t="s">
        <v>95</v>
      </c>
      <c r="O185" s="1" t="s">
        <v>96</v>
      </c>
      <c r="P185" s="1"/>
      <c r="Q185" s="1" t="s">
        <v>9</v>
      </c>
      <c r="R185" s="1">
        <v>0</v>
      </c>
      <c r="S185" s="1" t="s">
        <v>97</v>
      </c>
      <c r="T185" s="1" t="s">
        <v>97</v>
      </c>
      <c r="U185" s="1" t="b">
        <v>1</v>
      </c>
      <c r="V185" s="1" t="b">
        <v>0</v>
      </c>
      <c r="W185" s="1" t="b">
        <v>0</v>
      </c>
      <c r="X185" s="1">
        <v>5</v>
      </c>
      <c r="Y185" s="1" t="b">
        <v>1</v>
      </c>
      <c r="Z185" s="1" t="b">
        <v>1</v>
      </c>
      <c r="AA185" s="1"/>
      <c r="AB185" s="1" t="b">
        <v>1</v>
      </c>
      <c r="AC185" s="1">
        <v>167274324</v>
      </c>
      <c r="AD185" s="1">
        <v>497836</v>
      </c>
      <c r="AE185" s="1">
        <v>0</v>
      </c>
      <c r="AF185" s="1" t="s">
        <v>855</v>
      </c>
      <c r="AG185" s="1" t="s">
        <v>856</v>
      </c>
      <c r="AH185" s="1">
        <v>70.400000000000006</v>
      </c>
      <c r="AI185" s="1">
        <v>69.2</v>
      </c>
      <c r="AJ185" s="1" t="s">
        <v>857</v>
      </c>
      <c r="AK185" s="1" t="s">
        <v>858</v>
      </c>
      <c r="AL185" s="1" t="s">
        <v>859</v>
      </c>
    </row>
    <row r="186" spans="1:38" x14ac:dyDescent="0.6">
      <c r="A186" s="1">
        <v>128</v>
      </c>
      <c r="B186" s="1" t="s">
        <v>103</v>
      </c>
      <c r="C186" s="1"/>
      <c r="D186" s="1"/>
      <c r="E186" s="1" t="s">
        <v>90</v>
      </c>
      <c r="F186" s="1"/>
      <c r="G186" s="1"/>
      <c r="H186" s="1" t="s">
        <v>91</v>
      </c>
      <c r="I186" s="1" t="s">
        <v>92</v>
      </c>
      <c r="J186" s="1" t="s">
        <v>109</v>
      </c>
      <c r="K186" s="1">
        <v>1</v>
      </c>
      <c r="L186" s="1">
        <v>120</v>
      </c>
      <c r="M186" s="1" t="s">
        <v>7</v>
      </c>
      <c r="N186" s="1" t="s">
        <v>7</v>
      </c>
      <c r="O186" s="1" t="s">
        <v>96</v>
      </c>
      <c r="P186" s="1" t="s">
        <v>96</v>
      </c>
      <c r="Q186" s="1" t="s">
        <v>9</v>
      </c>
      <c r="R186" s="1">
        <v>0</v>
      </c>
      <c r="S186" s="1" t="s">
        <v>97</v>
      </c>
      <c r="T186" s="1" t="s">
        <v>97</v>
      </c>
      <c r="U186" s="1" t="b">
        <v>1</v>
      </c>
      <c r="V186" s="1" t="b">
        <v>0</v>
      </c>
      <c r="W186" s="1" t="b">
        <v>0</v>
      </c>
      <c r="X186" s="1">
        <v>5</v>
      </c>
      <c r="Y186" s="1" t="b">
        <v>1</v>
      </c>
      <c r="Z186" s="1" t="b">
        <v>1</v>
      </c>
      <c r="AA186" s="1">
        <v>53.3</v>
      </c>
      <c r="AB186" s="1" t="b">
        <v>0</v>
      </c>
      <c r="AC186" s="1">
        <v>0</v>
      </c>
      <c r="AD186" s="1">
        <v>2188181</v>
      </c>
      <c r="AE186" s="1">
        <v>172661867</v>
      </c>
      <c r="AF186" s="1" t="s">
        <v>860</v>
      </c>
      <c r="AG186" s="1" t="s">
        <v>860</v>
      </c>
      <c r="AH186" s="1">
        <v>55.2</v>
      </c>
      <c r="AI186" s="1">
        <v>51.7</v>
      </c>
      <c r="AJ186" s="1" t="s">
        <v>861</v>
      </c>
      <c r="AK186" s="1" t="s">
        <v>862</v>
      </c>
      <c r="AL186" s="1" t="s">
        <v>863</v>
      </c>
    </row>
    <row r="187" spans="1:38" x14ac:dyDescent="0.6">
      <c r="A187" s="1">
        <v>131</v>
      </c>
      <c r="B187" s="1" t="s">
        <v>88</v>
      </c>
      <c r="C187" s="1"/>
      <c r="D187" s="1"/>
      <c r="E187" s="1" t="s">
        <v>108</v>
      </c>
      <c r="F187" s="1"/>
      <c r="G187" s="1"/>
      <c r="H187" s="1" t="s">
        <v>91</v>
      </c>
      <c r="I187" s="1" t="s">
        <v>92</v>
      </c>
      <c r="J187" s="1" t="s">
        <v>109</v>
      </c>
      <c r="K187" s="1">
        <v>1</v>
      </c>
      <c r="L187" s="1">
        <v>120</v>
      </c>
      <c r="M187" s="1" t="s">
        <v>14</v>
      </c>
      <c r="N187" s="1" t="s">
        <v>14</v>
      </c>
      <c r="O187" s="1" t="s">
        <v>96</v>
      </c>
      <c r="P187" s="1"/>
      <c r="Q187" s="1" t="s">
        <v>9</v>
      </c>
      <c r="R187" s="1">
        <v>0</v>
      </c>
      <c r="S187" s="1"/>
      <c r="T187" s="1" t="s">
        <v>97</v>
      </c>
      <c r="U187" s="1"/>
      <c r="V187" s="1" t="b">
        <v>0</v>
      </c>
      <c r="W187" s="1" t="b">
        <v>0</v>
      </c>
      <c r="X187" s="1">
        <v>5</v>
      </c>
      <c r="Y187" s="1" t="b">
        <v>1</v>
      </c>
      <c r="Z187" s="1" t="b">
        <v>1</v>
      </c>
      <c r="AA187" s="1"/>
      <c r="AB187" s="1" t="b">
        <v>1</v>
      </c>
      <c r="AC187" s="1">
        <v>173004794</v>
      </c>
      <c r="AD187" s="1">
        <v>796678</v>
      </c>
      <c r="AE187" s="1">
        <v>0</v>
      </c>
      <c r="AF187" s="1" t="s">
        <v>864</v>
      </c>
      <c r="AG187" s="1"/>
      <c r="AH187" s="1">
        <v>65.8</v>
      </c>
      <c r="AI187" s="1"/>
      <c r="AJ187" s="1" t="s">
        <v>865</v>
      </c>
      <c r="AK187" s="1" t="s">
        <v>866</v>
      </c>
      <c r="AL187" s="1" t="s">
        <v>867</v>
      </c>
    </row>
    <row r="188" spans="1:38" x14ac:dyDescent="0.6">
      <c r="A188" s="1">
        <v>137</v>
      </c>
      <c r="B188" s="1" t="s">
        <v>88</v>
      </c>
      <c r="C188" s="1"/>
      <c r="D188" s="1"/>
      <c r="E188" s="1" t="s">
        <v>108</v>
      </c>
      <c r="F188" s="1"/>
      <c r="G188" s="1"/>
      <c r="H188" s="1" t="s">
        <v>91</v>
      </c>
      <c r="I188" s="1" t="s">
        <v>92</v>
      </c>
      <c r="J188" s="1" t="s">
        <v>109</v>
      </c>
      <c r="K188" s="1">
        <v>1</v>
      </c>
      <c r="L188" s="1">
        <v>120</v>
      </c>
      <c r="M188" s="1" t="s">
        <v>7</v>
      </c>
      <c r="N188" s="1" t="s">
        <v>7</v>
      </c>
      <c r="O188" s="1" t="s">
        <v>96</v>
      </c>
      <c r="P188" s="1" t="s">
        <v>96</v>
      </c>
      <c r="Q188" s="1" t="s">
        <v>9</v>
      </c>
      <c r="R188" s="1">
        <v>0</v>
      </c>
      <c r="S188" s="1" t="s">
        <v>97</v>
      </c>
      <c r="T188" s="1" t="s">
        <v>97</v>
      </c>
      <c r="U188" s="1" t="b">
        <v>1</v>
      </c>
      <c r="V188" s="1" t="b">
        <v>0</v>
      </c>
      <c r="W188" s="1" t="b">
        <v>0</v>
      </c>
      <c r="X188" s="1">
        <v>5</v>
      </c>
      <c r="Y188" s="1" t="b">
        <v>1</v>
      </c>
      <c r="Z188" s="1" t="b">
        <v>1</v>
      </c>
      <c r="AA188" s="1">
        <v>73.7</v>
      </c>
      <c r="AB188" s="1" t="b">
        <v>0</v>
      </c>
      <c r="AC188" s="1">
        <v>0</v>
      </c>
      <c r="AD188" s="1">
        <v>2915181</v>
      </c>
      <c r="AE188" s="1">
        <v>147817619</v>
      </c>
      <c r="AF188" s="1" t="s">
        <v>868</v>
      </c>
      <c r="AG188" s="1" t="s">
        <v>868</v>
      </c>
      <c r="AH188" s="1">
        <v>76.5</v>
      </c>
      <c r="AI188" s="1">
        <v>72.2</v>
      </c>
      <c r="AJ188" s="1" t="s">
        <v>869</v>
      </c>
      <c r="AK188" s="1" t="s">
        <v>870</v>
      </c>
      <c r="AL188" s="1" t="s">
        <v>871</v>
      </c>
    </row>
    <row r="189" spans="1:38" x14ac:dyDescent="0.6">
      <c r="A189" s="1">
        <v>133</v>
      </c>
      <c r="B189" s="1" t="s">
        <v>88</v>
      </c>
      <c r="C189" s="1"/>
      <c r="D189" s="1"/>
      <c r="E189" s="1" t="s">
        <v>108</v>
      </c>
      <c r="F189" s="1"/>
      <c r="G189" s="1"/>
      <c r="H189" s="1" t="s">
        <v>91</v>
      </c>
      <c r="I189" s="1" t="s">
        <v>92</v>
      </c>
      <c r="J189" s="1" t="s">
        <v>109</v>
      </c>
      <c r="K189" s="1">
        <v>1</v>
      </c>
      <c r="L189" s="1">
        <v>120</v>
      </c>
      <c r="M189" s="1" t="s">
        <v>7</v>
      </c>
      <c r="N189" s="1" t="s">
        <v>7</v>
      </c>
      <c r="O189" s="1" t="s">
        <v>96</v>
      </c>
      <c r="P189" s="1" t="s">
        <v>96</v>
      </c>
      <c r="Q189" s="1" t="s">
        <v>9</v>
      </c>
      <c r="R189" s="1">
        <v>0</v>
      </c>
      <c r="S189" s="1" t="s">
        <v>97</v>
      </c>
      <c r="T189" s="1" t="s">
        <v>97</v>
      </c>
      <c r="U189" s="1" t="b">
        <v>1</v>
      </c>
      <c r="V189" s="1" t="b">
        <v>0</v>
      </c>
      <c r="W189" s="1" t="b">
        <v>0</v>
      </c>
      <c r="X189" s="1">
        <v>5</v>
      </c>
      <c r="Y189" s="1" t="b">
        <v>1</v>
      </c>
      <c r="Z189" s="1" t="b">
        <v>1</v>
      </c>
      <c r="AA189" s="1">
        <v>69.3</v>
      </c>
      <c r="AB189" s="1" t="b">
        <v>0</v>
      </c>
      <c r="AC189" s="1">
        <v>0</v>
      </c>
      <c r="AD189" s="1">
        <v>2765768</v>
      </c>
      <c r="AE189" s="1">
        <v>166317112</v>
      </c>
      <c r="AF189" s="1" t="s">
        <v>872</v>
      </c>
      <c r="AG189" s="1" t="s">
        <v>872</v>
      </c>
      <c r="AH189" s="1">
        <v>60.9</v>
      </c>
      <c r="AI189" s="1">
        <v>65.2</v>
      </c>
      <c r="AJ189" s="1" t="s">
        <v>873</v>
      </c>
      <c r="AK189" s="1" t="s">
        <v>874</v>
      </c>
      <c r="AL189" s="1" t="s">
        <v>875</v>
      </c>
    </row>
    <row r="190" spans="1:38" x14ac:dyDescent="0.6">
      <c r="A190" s="1">
        <v>136</v>
      </c>
      <c r="B190" s="1" t="s">
        <v>88</v>
      </c>
      <c r="C190" s="1"/>
      <c r="D190" s="1"/>
      <c r="E190" s="1" t="s">
        <v>108</v>
      </c>
      <c r="F190" s="1"/>
      <c r="G190" s="1"/>
      <c r="H190" s="1" t="s">
        <v>91</v>
      </c>
      <c r="I190" s="1" t="s">
        <v>92</v>
      </c>
      <c r="J190" s="1" t="s">
        <v>109</v>
      </c>
      <c r="K190" s="1">
        <v>1</v>
      </c>
      <c r="L190" s="1">
        <v>120</v>
      </c>
      <c r="M190" s="1" t="s">
        <v>7</v>
      </c>
      <c r="N190" s="1" t="s">
        <v>7</v>
      </c>
      <c r="O190" s="1" t="s">
        <v>96</v>
      </c>
      <c r="P190" s="1" t="s">
        <v>96</v>
      </c>
      <c r="Q190" s="1" t="s">
        <v>9</v>
      </c>
      <c r="R190" s="1">
        <v>0</v>
      </c>
      <c r="S190" s="1" t="s">
        <v>97</v>
      </c>
      <c r="T190" s="1" t="s">
        <v>97</v>
      </c>
      <c r="U190" s="1" t="b">
        <v>1</v>
      </c>
      <c r="V190" s="1" t="b">
        <v>0</v>
      </c>
      <c r="W190" s="1" t="b">
        <v>0</v>
      </c>
      <c r="X190" s="1">
        <v>5</v>
      </c>
      <c r="Y190" s="1" t="b">
        <v>1</v>
      </c>
      <c r="Z190" s="1" t="b">
        <v>1</v>
      </c>
      <c r="AA190" s="1">
        <v>61.1</v>
      </c>
      <c r="AB190" s="1" t="b">
        <v>0</v>
      </c>
      <c r="AC190" s="1">
        <v>0</v>
      </c>
      <c r="AD190" s="1">
        <v>2774162</v>
      </c>
      <c r="AE190" s="1">
        <v>151628654</v>
      </c>
      <c r="AF190" s="1" t="s">
        <v>876</v>
      </c>
      <c r="AG190" s="1" t="s">
        <v>876</v>
      </c>
      <c r="AH190" s="1">
        <v>52.3</v>
      </c>
      <c r="AI190" s="1">
        <v>56.9</v>
      </c>
      <c r="AJ190" s="1" t="s">
        <v>877</v>
      </c>
      <c r="AK190" s="1" t="s">
        <v>878</v>
      </c>
      <c r="AL190" s="1" t="s">
        <v>879</v>
      </c>
    </row>
    <row r="191" spans="1:38" x14ac:dyDescent="0.6">
      <c r="A191" s="1">
        <v>140</v>
      </c>
      <c r="B191" s="1" t="s">
        <v>88</v>
      </c>
      <c r="C191" s="1">
        <v>56</v>
      </c>
      <c r="D191" s="1" t="s">
        <v>89</v>
      </c>
      <c r="E191" s="1" t="s">
        <v>90</v>
      </c>
      <c r="F191" s="1"/>
      <c r="G191" s="1"/>
      <c r="H191" s="1" t="s">
        <v>91</v>
      </c>
      <c r="I191" s="1" t="s">
        <v>92</v>
      </c>
      <c r="J191" s="1" t="s">
        <v>93</v>
      </c>
      <c r="K191" s="1">
        <v>1</v>
      </c>
      <c r="L191" s="1">
        <v>120</v>
      </c>
      <c r="M191" s="1" t="s">
        <v>94</v>
      </c>
      <c r="N191" s="1" t="s">
        <v>236</v>
      </c>
      <c r="O191" s="1"/>
      <c r="P191" s="1" t="s">
        <v>96</v>
      </c>
      <c r="Q191" s="1" t="s">
        <v>110</v>
      </c>
      <c r="R191" s="1">
        <v>3</v>
      </c>
      <c r="S191" s="1" t="s">
        <v>110</v>
      </c>
      <c r="T191" s="1"/>
      <c r="U191" s="1"/>
      <c r="V191" s="1" t="b">
        <v>0</v>
      </c>
      <c r="W191" s="1" t="b">
        <v>0</v>
      </c>
      <c r="X191" s="1">
        <v>0</v>
      </c>
      <c r="Y191" s="1" t="b">
        <v>1</v>
      </c>
      <c r="Z191" s="1" t="b">
        <v>1</v>
      </c>
      <c r="AA191" s="1">
        <v>79.7</v>
      </c>
      <c r="AB191" s="1" t="b">
        <v>1</v>
      </c>
      <c r="AC191" s="1">
        <v>148958776</v>
      </c>
      <c r="AD191" s="1">
        <v>987592</v>
      </c>
      <c r="AE191" s="1">
        <v>0</v>
      </c>
      <c r="AF191" s="1"/>
      <c r="AG191" s="1" t="s">
        <v>880</v>
      </c>
      <c r="AH191" s="1"/>
      <c r="AI191" s="1">
        <v>74.2</v>
      </c>
      <c r="AJ191" s="1" t="s">
        <v>881</v>
      </c>
      <c r="AK191" s="1" t="s">
        <v>882</v>
      </c>
      <c r="AL191" s="1" t="s">
        <v>883</v>
      </c>
    </row>
    <row r="192" spans="1:38" x14ac:dyDescent="0.6">
      <c r="A192" s="1">
        <v>127</v>
      </c>
      <c r="B192" s="1" t="s">
        <v>103</v>
      </c>
      <c r="C192" s="1"/>
      <c r="D192" s="1"/>
      <c r="E192" s="1" t="s">
        <v>108</v>
      </c>
      <c r="F192" s="1"/>
      <c r="G192" s="1"/>
      <c r="H192" s="1" t="s">
        <v>91</v>
      </c>
      <c r="I192" s="1" t="s">
        <v>92</v>
      </c>
      <c r="J192" s="1" t="s">
        <v>109</v>
      </c>
      <c r="K192" s="1">
        <v>1</v>
      </c>
      <c r="L192" s="1">
        <v>120</v>
      </c>
      <c r="M192" s="1" t="s">
        <v>94</v>
      </c>
      <c r="N192" s="1" t="s">
        <v>95</v>
      </c>
      <c r="O192" s="1"/>
      <c r="P192" s="1" t="s">
        <v>96</v>
      </c>
      <c r="Q192" s="1" t="s">
        <v>9</v>
      </c>
      <c r="R192" s="1">
        <v>0</v>
      </c>
      <c r="S192" s="1" t="s">
        <v>97</v>
      </c>
      <c r="T192" s="1" t="s">
        <v>97</v>
      </c>
      <c r="U192" s="1" t="b">
        <v>1</v>
      </c>
      <c r="V192" s="1" t="b">
        <v>0</v>
      </c>
      <c r="W192" s="1" t="b">
        <v>0</v>
      </c>
      <c r="X192" s="1">
        <v>0</v>
      </c>
      <c r="Y192" s="1" t="b">
        <v>1</v>
      </c>
      <c r="Z192" s="1" t="b">
        <v>1</v>
      </c>
      <c r="AA192" s="1">
        <v>60.2</v>
      </c>
      <c r="AB192" s="1" t="b">
        <v>1</v>
      </c>
      <c r="AC192" s="1">
        <v>180858205</v>
      </c>
      <c r="AD192" s="1">
        <v>1331875</v>
      </c>
      <c r="AE192" s="1">
        <v>0</v>
      </c>
      <c r="AF192" s="1" t="s">
        <v>833</v>
      </c>
      <c r="AG192" s="1" t="s">
        <v>834</v>
      </c>
      <c r="AH192" s="1">
        <v>53.7</v>
      </c>
      <c r="AI192" s="1">
        <v>59.1</v>
      </c>
      <c r="AJ192" s="1" t="s">
        <v>884</v>
      </c>
      <c r="AK192" s="1" t="s">
        <v>885</v>
      </c>
      <c r="AL192" s="1" t="s">
        <v>886</v>
      </c>
    </row>
    <row r="193" spans="1:38" x14ac:dyDescent="0.6">
      <c r="A193" s="1">
        <v>141</v>
      </c>
      <c r="B193" s="1" t="s">
        <v>88</v>
      </c>
      <c r="C193" s="1">
        <v>50</v>
      </c>
      <c r="D193" s="1" t="s">
        <v>89</v>
      </c>
      <c r="E193" s="1" t="s">
        <v>108</v>
      </c>
      <c r="F193" s="1"/>
      <c r="G193" s="1"/>
      <c r="H193" s="1" t="s">
        <v>91</v>
      </c>
      <c r="I193" s="1" t="s">
        <v>92</v>
      </c>
      <c r="J193" s="1" t="s">
        <v>93</v>
      </c>
      <c r="K193" s="1">
        <v>1</v>
      </c>
      <c r="L193" s="1">
        <v>120</v>
      </c>
      <c r="M193" s="1" t="s">
        <v>7</v>
      </c>
      <c r="N193" s="1" t="s">
        <v>7</v>
      </c>
      <c r="O193" s="1" t="s">
        <v>96</v>
      </c>
      <c r="P193" s="1" t="s">
        <v>96</v>
      </c>
      <c r="Q193" s="1" t="s">
        <v>9</v>
      </c>
      <c r="R193" s="1">
        <v>0</v>
      </c>
      <c r="S193" s="1" t="s">
        <v>97</v>
      </c>
      <c r="T193" s="1" t="s">
        <v>97</v>
      </c>
      <c r="U193" s="1" t="b">
        <v>1</v>
      </c>
      <c r="V193" s="1" t="b">
        <v>0</v>
      </c>
      <c r="W193" s="1" t="b">
        <v>0</v>
      </c>
      <c r="X193" s="1">
        <v>5</v>
      </c>
      <c r="Y193" s="1" t="b">
        <v>1</v>
      </c>
      <c r="Z193" s="1" t="b">
        <v>1</v>
      </c>
      <c r="AA193" s="1">
        <v>87.9</v>
      </c>
      <c r="AB193" s="1" t="b">
        <v>0</v>
      </c>
      <c r="AC193" s="1">
        <v>0</v>
      </c>
      <c r="AD193" s="1">
        <v>2412663</v>
      </c>
      <c r="AE193" s="1">
        <v>156446601</v>
      </c>
      <c r="AF193" s="1" t="s">
        <v>887</v>
      </c>
      <c r="AG193" s="1" t="s">
        <v>887</v>
      </c>
      <c r="AH193" s="1">
        <v>88.9</v>
      </c>
      <c r="AI193" s="1">
        <v>85.1</v>
      </c>
      <c r="AJ193" s="1" t="s">
        <v>888</v>
      </c>
      <c r="AK193" s="1" t="s">
        <v>889</v>
      </c>
      <c r="AL193" s="1" t="s">
        <v>890</v>
      </c>
    </row>
    <row r="194" spans="1:38" x14ac:dyDescent="0.6">
      <c r="A194" s="1">
        <v>139</v>
      </c>
      <c r="B194" s="1" t="s">
        <v>88</v>
      </c>
      <c r="C194" s="1"/>
      <c r="D194" s="1"/>
      <c r="E194" s="1" t="s">
        <v>108</v>
      </c>
      <c r="F194" s="1"/>
      <c r="G194" s="1"/>
      <c r="H194" s="1" t="s">
        <v>91</v>
      </c>
      <c r="I194" s="1" t="s">
        <v>92</v>
      </c>
      <c r="J194" s="1" t="s">
        <v>109</v>
      </c>
      <c r="K194" s="1">
        <v>1</v>
      </c>
      <c r="L194" s="1">
        <v>120</v>
      </c>
      <c r="M194" s="1" t="s">
        <v>7</v>
      </c>
      <c r="N194" s="1" t="s">
        <v>7</v>
      </c>
      <c r="O194" s="1" t="s">
        <v>96</v>
      </c>
      <c r="P194" s="1" t="s">
        <v>96</v>
      </c>
      <c r="Q194" s="1" t="s">
        <v>9</v>
      </c>
      <c r="R194" s="1">
        <v>0</v>
      </c>
      <c r="S194" s="1" t="s">
        <v>97</v>
      </c>
      <c r="T194" s="1" t="s">
        <v>97</v>
      </c>
      <c r="U194" s="1" t="b">
        <v>1</v>
      </c>
      <c r="V194" s="1" t="b">
        <v>0</v>
      </c>
      <c r="W194" s="1" t="b">
        <v>0</v>
      </c>
      <c r="X194" s="1">
        <v>5</v>
      </c>
      <c r="Y194" s="1" t="b">
        <v>1</v>
      </c>
      <c r="Z194" s="1" t="b">
        <v>1</v>
      </c>
      <c r="AA194" s="1">
        <v>76.599999999999994</v>
      </c>
      <c r="AB194" s="1" t="b">
        <v>0</v>
      </c>
      <c r="AC194" s="1">
        <v>0</v>
      </c>
      <c r="AD194" s="1">
        <v>2282818</v>
      </c>
      <c r="AE194" s="1">
        <v>165227198</v>
      </c>
      <c r="AF194" s="1" t="s">
        <v>891</v>
      </c>
      <c r="AG194" s="1" t="s">
        <v>891</v>
      </c>
      <c r="AH194" s="1">
        <v>78.900000000000006</v>
      </c>
      <c r="AI194" s="1">
        <v>76.099999999999994</v>
      </c>
      <c r="AJ194" s="1" t="s">
        <v>892</v>
      </c>
      <c r="AK194" s="1" t="s">
        <v>893</v>
      </c>
      <c r="AL194" s="1" t="s">
        <v>894</v>
      </c>
    </row>
    <row r="195" spans="1:38" x14ac:dyDescent="0.6">
      <c r="A195" s="1">
        <v>132</v>
      </c>
      <c r="B195" s="1" t="s">
        <v>103</v>
      </c>
      <c r="C195" s="1"/>
      <c r="D195" s="1"/>
      <c r="E195" s="1" t="s">
        <v>90</v>
      </c>
      <c r="F195" s="1"/>
      <c r="G195" s="1"/>
      <c r="H195" s="1" t="s">
        <v>91</v>
      </c>
      <c r="I195" s="1" t="s">
        <v>92</v>
      </c>
      <c r="J195" s="1" t="s">
        <v>109</v>
      </c>
      <c r="K195" s="1">
        <v>1</v>
      </c>
      <c r="L195" s="1">
        <v>120</v>
      </c>
      <c r="M195" s="1" t="s">
        <v>14</v>
      </c>
      <c r="N195" s="1" t="s">
        <v>95</v>
      </c>
      <c r="O195" s="1" t="s">
        <v>96</v>
      </c>
      <c r="P195" s="1"/>
      <c r="Q195" s="1" t="s">
        <v>9</v>
      </c>
      <c r="R195" s="1">
        <v>0</v>
      </c>
      <c r="S195" s="1" t="s">
        <v>97</v>
      </c>
      <c r="T195" s="1" t="s">
        <v>97</v>
      </c>
      <c r="U195" s="1" t="b">
        <v>1</v>
      </c>
      <c r="V195" s="1" t="b">
        <v>0</v>
      </c>
      <c r="W195" s="1" t="b">
        <v>0</v>
      </c>
      <c r="X195" s="1">
        <v>5</v>
      </c>
      <c r="Y195" s="1" t="b">
        <v>1</v>
      </c>
      <c r="Z195" s="1" t="b">
        <v>1</v>
      </c>
      <c r="AA195" s="1"/>
      <c r="AB195" s="1" t="b">
        <v>1</v>
      </c>
      <c r="AC195" s="1">
        <v>139466462</v>
      </c>
      <c r="AD195" s="1">
        <v>518434</v>
      </c>
      <c r="AE195" s="1">
        <v>0</v>
      </c>
      <c r="AF195" s="1" t="s">
        <v>846</v>
      </c>
      <c r="AG195" s="1" t="s">
        <v>847</v>
      </c>
      <c r="AH195" s="1">
        <v>72.7</v>
      </c>
      <c r="AI195" s="1">
        <v>67.2</v>
      </c>
      <c r="AJ195" s="1" t="s">
        <v>895</v>
      </c>
      <c r="AK195" s="1" t="s">
        <v>896</v>
      </c>
      <c r="AL195" s="1" t="s">
        <v>897</v>
      </c>
    </row>
    <row r="196" spans="1:38" x14ac:dyDescent="0.6">
      <c r="A196" s="1">
        <v>144</v>
      </c>
      <c r="B196" s="1" t="s">
        <v>88</v>
      </c>
      <c r="C196" s="1">
        <v>56</v>
      </c>
      <c r="D196" s="1" t="s">
        <v>89</v>
      </c>
      <c r="E196" s="1" t="s">
        <v>90</v>
      </c>
      <c r="F196" s="1"/>
      <c r="G196" s="1"/>
      <c r="H196" s="1" t="s">
        <v>91</v>
      </c>
      <c r="I196" s="1" t="s">
        <v>92</v>
      </c>
      <c r="J196" s="1" t="s">
        <v>93</v>
      </c>
      <c r="K196" s="1">
        <v>1</v>
      </c>
      <c r="L196" s="1">
        <v>120</v>
      </c>
      <c r="M196" s="1" t="s">
        <v>7</v>
      </c>
      <c r="N196" s="1" t="s">
        <v>7</v>
      </c>
      <c r="O196" s="1" t="s">
        <v>96</v>
      </c>
      <c r="P196" s="1" t="s">
        <v>96</v>
      </c>
      <c r="Q196" s="1" t="s">
        <v>9</v>
      </c>
      <c r="R196" s="1">
        <v>0</v>
      </c>
      <c r="S196" s="1" t="s">
        <v>97</v>
      </c>
      <c r="T196" s="1" t="s">
        <v>97</v>
      </c>
      <c r="U196" s="1" t="b">
        <v>1</v>
      </c>
      <c r="V196" s="1" t="b">
        <v>0</v>
      </c>
      <c r="W196" s="1" t="b">
        <v>0</v>
      </c>
      <c r="X196" s="1">
        <v>5</v>
      </c>
      <c r="Y196" s="1" t="b">
        <v>1</v>
      </c>
      <c r="Z196" s="1" t="b">
        <v>1</v>
      </c>
      <c r="AA196" s="1">
        <v>86.1</v>
      </c>
      <c r="AB196" s="1" t="b">
        <v>0</v>
      </c>
      <c r="AC196" s="1">
        <v>0</v>
      </c>
      <c r="AD196" s="1">
        <v>1959948</v>
      </c>
      <c r="AE196" s="1">
        <v>151132148</v>
      </c>
      <c r="AF196" s="1" t="s">
        <v>898</v>
      </c>
      <c r="AG196" s="1" t="s">
        <v>898</v>
      </c>
      <c r="AH196" s="1">
        <v>83.6</v>
      </c>
      <c r="AI196" s="1">
        <v>79.900000000000006</v>
      </c>
      <c r="AJ196" s="1" t="s">
        <v>899</v>
      </c>
      <c r="AK196" s="1" t="s">
        <v>900</v>
      </c>
      <c r="AL196" s="1" t="s">
        <v>901</v>
      </c>
    </row>
    <row r="197" spans="1:38" x14ac:dyDescent="0.6">
      <c r="A197" s="1">
        <v>145</v>
      </c>
      <c r="B197" s="1" t="s">
        <v>88</v>
      </c>
      <c r="C197" s="1">
        <v>51</v>
      </c>
      <c r="D197" s="1" t="s">
        <v>89</v>
      </c>
      <c r="E197" s="1" t="s">
        <v>108</v>
      </c>
      <c r="F197" s="1"/>
      <c r="G197" s="1"/>
      <c r="H197" s="1" t="s">
        <v>91</v>
      </c>
      <c r="I197" s="1" t="s">
        <v>92</v>
      </c>
      <c r="J197" s="1" t="s">
        <v>93</v>
      </c>
      <c r="K197" s="1">
        <v>1</v>
      </c>
      <c r="L197" s="1">
        <v>120</v>
      </c>
      <c r="M197" s="1" t="s">
        <v>14</v>
      </c>
      <c r="N197" s="1" t="s">
        <v>95</v>
      </c>
      <c r="O197" s="1" t="s">
        <v>96</v>
      </c>
      <c r="P197" s="1"/>
      <c r="Q197" s="1" t="s">
        <v>9</v>
      </c>
      <c r="R197" s="1">
        <v>0</v>
      </c>
      <c r="S197" s="1" t="s">
        <v>97</v>
      </c>
      <c r="T197" s="1" t="s">
        <v>97</v>
      </c>
      <c r="U197" s="1" t="b">
        <v>1</v>
      </c>
      <c r="V197" s="1" t="b">
        <v>0</v>
      </c>
      <c r="W197" s="1" t="b">
        <v>0</v>
      </c>
      <c r="X197" s="1">
        <v>5</v>
      </c>
      <c r="Y197" s="1" t="b">
        <v>1</v>
      </c>
      <c r="Z197" s="1" t="b">
        <v>1</v>
      </c>
      <c r="AA197" s="1"/>
      <c r="AB197" s="1" t="b">
        <v>1</v>
      </c>
      <c r="AC197" s="1">
        <v>154208509</v>
      </c>
      <c r="AD197" s="1">
        <v>718595</v>
      </c>
      <c r="AE197" s="1">
        <v>0</v>
      </c>
      <c r="AF197" s="1" t="s">
        <v>902</v>
      </c>
      <c r="AG197" s="1" t="s">
        <v>903</v>
      </c>
      <c r="AH197" s="1">
        <v>69</v>
      </c>
      <c r="AI197" s="1">
        <v>63.3</v>
      </c>
      <c r="AJ197" s="1" t="s">
        <v>904</v>
      </c>
      <c r="AK197" s="1" t="s">
        <v>905</v>
      </c>
      <c r="AL197" s="1" t="s">
        <v>906</v>
      </c>
    </row>
    <row r="198" spans="1:38" x14ac:dyDescent="0.6">
      <c r="A198" s="1">
        <v>145</v>
      </c>
      <c r="B198" s="1" t="s">
        <v>88</v>
      </c>
      <c r="C198" s="1">
        <v>51</v>
      </c>
      <c r="D198" s="1" t="s">
        <v>89</v>
      </c>
      <c r="E198" s="1" t="s">
        <v>108</v>
      </c>
      <c r="F198" s="1"/>
      <c r="G198" s="1"/>
      <c r="H198" s="1" t="s">
        <v>91</v>
      </c>
      <c r="I198" s="1" t="s">
        <v>92</v>
      </c>
      <c r="J198" s="1" t="s">
        <v>93</v>
      </c>
      <c r="K198" s="1">
        <v>1</v>
      </c>
      <c r="L198" s="1">
        <v>120</v>
      </c>
      <c r="M198" s="1" t="s">
        <v>94</v>
      </c>
      <c r="N198" s="1" t="s">
        <v>95</v>
      </c>
      <c r="O198" s="1"/>
      <c r="P198" s="1" t="s">
        <v>96</v>
      </c>
      <c r="Q198" s="1" t="s">
        <v>9</v>
      </c>
      <c r="R198" s="1">
        <v>0</v>
      </c>
      <c r="S198" s="1" t="s">
        <v>97</v>
      </c>
      <c r="T198" s="1" t="s">
        <v>97</v>
      </c>
      <c r="U198" s="1" t="b">
        <v>1</v>
      </c>
      <c r="V198" s="1" t="b">
        <v>0</v>
      </c>
      <c r="W198" s="1" t="b">
        <v>0</v>
      </c>
      <c r="X198" s="1">
        <v>0</v>
      </c>
      <c r="Y198" s="1" t="b">
        <v>1</v>
      </c>
      <c r="Z198" s="1" t="b">
        <v>1</v>
      </c>
      <c r="AA198" s="1">
        <v>65.3</v>
      </c>
      <c r="AB198" s="1" t="b">
        <v>1</v>
      </c>
      <c r="AC198" s="1">
        <v>153187836</v>
      </c>
      <c r="AD198" s="1">
        <v>2001412</v>
      </c>
      <c r="AE198" s="1">
        <v>0</v>
      </c>
      <c r="AF198" s="1" t="s">
        <v>902</v>
      </c>
      <c r="AG198" s="1" t="s">
        <v>903</v>
      </c>
      <c r="AH198" s="1">
        <v>69</v>
      </c>
      <c r="AI198" s="1">
        <v>63.3</v>
      </c>
      <c r="AJ198" s="1" t="s">
        <v>907</v>
      </c>
      <c r="AK198" s="1" t="s">
        <v>908</v>
      </c>
      <c r="AL198" s="1" t="s">
        <v>909</v>
      </c>
    </row>
    <row r="199" spans="1:38" x14ac:dyDescent="0.6">
      <c r="A199" s="1">
        <v>130</v>
      </c>
      <c r="B199" s="1" t="s">
        <v>103</v>
      </c>
      <c r="C199" s="1"/>
      <c r="D199" s="1"/>
      <c r="E199" s="1" t="s">
        <v>108</v>
      </c>
      <c r="F199" s="1"/>
      <c r="G199" s="1"/>
      <c r="H199" s="1" t="s">
        <v>91</v>
      </c>
      <c r="I199" s="1" t="s">
        <v>92</v>
      </c>
      <c r="J199" s="1" t="s">
        <v>109</v>
      </c>
      <c r="K199" s="1">
        <v>1</v>
      </c>
      <c r="L199" s="1">
        <v>120</v>
      </c>
      <c r="M199" s="1" t="s">
        <v>94</v>
      </c>
      <c r="N199" s="1" t="s">
        <v>95</v>
      </c>
      <c r="O199" s="1"/>
      <c r="P199" s="1" t="s">
        <v>96</v>
      </c>
      <c r="Q199" s="1" t="s">
        <v>9</v>
      </c>
      <c r="R199" s="1">
        <v>0</v>
      </c>
      <c r="S199" s="1" t="s">
        <v>97</v>
      </c>
      <c r="T199" s="1" t="s">
        <v>97</v>
      </c>
      <c r="U199" s="1" t="b">
        <v>1</v>
      </c>
      <c r="V199" s="1" t="b">
        <v>0</v>
      </c>
      <c r="W199" s="1" t="b">
        <v>0</v>
      </c>
      <c r="X199" s="1">
        <v>0</v>
      </c>
      <c r="Y199" s="1" t="b">
        <v>1</v>
      </c>
      <c r="Z199" s="1" t="b">
        <v>1</v>
      </c>
      <c r="AA199" s="1">
        <v>71.900000000000006</v>
      </c>
      <c r="AB199" s="1" t="b">
        <v>1</v>
      </c>
      <c r="AC199" s="1">
        <v>168860914</v>
      </c>
      <c r="AD199" s="1">
        <v>1270542</v>
      </c>
      <c r="AE199" s="1">
        <v>0</v>
      </c>
      <c r="AF199" s="1" t="s">
        <v>855</v>
      </c>
      <c r="AG199" s="1" t="s">
        <v>856</v>
      </c>
      <c r="AH199" s="1">
        <v>70.400000000000006</v>
      </c>
      <c r="AI199" s="1">
        <v>69.2</v>
      </c>
      <c r="AJ199" s="1" t="s">
        <v>910</v>
      </c>
      <c r="AK199" s="1" t="s">
        <v>911</v>
      </c>
      <c r="AL199" s="1" t="s">
        <v>912</v>
      </c>
    </row>
    <row r="200" spans="1:38" x14ac:dyDescent="0.6">
      <c r="A200" s="1">
        <v>147</v>
      </c>
      <c r="B200" s="1" t="s">
        <v>103</v>
      </c>
      <c r="C200" s="1">
        <v>62</v>
      </c>
      <c r="D200" s="1" t="s">
        <v>127</v>
      </c>
      <c r="E200" s="1" t="s">
        <v>90</v>
      </c>
      <c r="F200" s="1"/>
      <c r="G200" s="1"/>
      <c r="H200" s="1" t="s">
        <v>91</v>
      </c>
      <c r="I200" s="1" t="s">
        <v>92</v>
      </c>
      <c r="J200" s="1" t="s">
        <v>93</v>
      </c>
      <c r="K200" s="1">
        <v>1</v>
      </c>
      <c r="L200" s="1">
        <v>120</v>
      </c>
      <c r="M200" s="1" t="s">
        <v>14</v>
      </c>
      <c r="N200" s="1" t="s">
        <v>95</v>
      </c>
      <c r="O200" s="1" t="s">
        <v>96</v>
      </c>
      <c r="P200" s="1"/>
      <c r="Q200" s="1" t="s">
        <v>9</v>
      </c>
      <c r="R200" s="1">
        <v>0</v>
      </c>
      <c r="S200" s="1" t="s">
        <v>97</v>
      </c>
      <c r="T200" s="1" t="s">
        <v>97</v>
      </c>
      <c r="U200" s="1" t="b">
        <v>1</v>
      </c>
      <c r="V200" s="1" t="b">
        <v>0</v>
      </c>
      <c r="W200" s="1" t="b">
        <v>0</v>
      </c>
      <c r="X200" s="1">
        <v>5</v>
      </c>
      <c r="Y200" s="1" t="b">
        <v>1</v>
      </c>
      <c r="Z200" s="1" t="b">
        <v>1</v>
      </c>
      <c r="AA200" s="1"/>
      <c r="AB200" s="1" t="b">
        <v>1</v>
      </c>
      <c r="AC200" s="1">
        <v>137447627</v>
      </c>
      <c r="AD200" s="1">
        <v>702261</v>
      </c>
      <c r="AE200" s="1">
        <v>0</v>
      </c>
      <c r="AF200" s="1" t="s">
        <v>913</v>
      </c>
      <c r="AG200" s="1" t="s">
        <v>914</v>
      </c>
      <c r="AH200" s="1">
        <v>77.900000000000006</v>
      </c>
      <c r="AI200" s="1">
        <v>70.599999999999994</v>
      </c>
      <c r="AJ200" s="1" t="s">
        <v>915</v>
      </c>
      <c r="AK200" s="1" t="s">
        <v>916</v>
      </c>
      <c r="AL200" s="1" t="s">
        <v>917</v>
      </c>
    </row>
    <row r="201" spans="1:38" x14ac:dyDescent="0.6">
      <c r="A201" s="1">
        <v>148</v>
      </c>
      <c r="B201" s="1" t="s">
        <v>88</v>
      </c>
      <c r="C201" s="1">
        <v>79</v>
      </c>
      <c r="D201" s="1" t="s">
        <v>119</v>
      </c>
      <c r="E201" s="1" t="s">
        <v>108</v>
      </c>
      <c r="F201" s="1"/>
      <c r="G201" s="1"/>
      <c r="H201" s="1" t="s">
        <v>91</v>
      </c>
      <c r="I201" s="1" t="s">
        <v>92</v>
      </c>
      <c r="J201" s="1" t="s">
        <v>93</v>
      </c>
      <c r="K201" s="1">
        <v>1</v>
      </c>
      <c r="L201" s="1">
        <v>120</v>
      </c>
      <c r="M201" s="1" t="s">
        <v>94</v>
      </c>
      <c r="N201" s="1" t="s">
        <v>95</v>
      </c>
      <c r="O201" s="1"/>
      <c r="P201" s="1" t="s">
        <v>96</v>
      </c>
      <c r="Q201" s="1" t="s">
        <v>9</v>
      </c>
      <c r="R201" s="1">
        <v>0</v>
      </c>
      <c r="S201" s="1" t="s">
        <v>97</v>
      </c>
      <c r="T201" s="1" t="s">
        <v>97</v>
      </c>
      <c r="U201" s="1" t="b">
        <v>1</v>
      </c>
      <c r="V201" s="1" t="b">
        <v>0</v>
      </c>
      <c r="W201" s="1" t="b">
        <v>0</v>
      </c>
      <c r="X201" s="1">
        <v>0</v>
      </c>
      <c r="Y201" s="1" t="b">
        <v>1</v>
      </c>
      <c r="Z201" s="1" t="b">
        <v>1</v>
      </c>
      <c r="AA201" s="1">
        <v>53.2</v>
      </c>
      <c r="AB201" s="1" t="b">
        <v>1</v>
      </c>
      <c r="AC201" s="1">
        <v>138888571</v>
      </c>
      <c r="AD201" s="1">
        <v>2669189</v>
      </c>
      <c r="AE201" s="1">
        <v>0</v>
      </c>
      <c r="AF201" s="1" t="s">
        <v>918</v>
      </c>
      <c r="AG201" s="1" t="s">
        <v>919</v>
      </c>
      <c r="AH201" s="1">
        <v>58.4</v>
      </c>
      <c r="AI201" s="1">
        <v>51.6</v>
      </c>
      <c r="AJ201" s="1" t="s">
        <v>920</v>
      </c>
      <c r="AK201" s="1" t="s">
        <v>921</v>
      </c>
      <c r="AL201" s="1" t="s">
        <v>922</v>
      </c>
    </row>
    <row r="202" spans="1:38" x14ac:dyDescent="0.6">
      <c r="A202" s="1">
        <v>150</v>
      </c>
      <c r="B202" s="1" t="s">
        <v>103</v>
      </c>
      <c r="C202" s="1">
        <v>69</v>
      </c>
      <c r="D202" s="1" t="s">
        <v>127</v>
      </c>
      <c r="E202" s="1" t="s">
        <v>90</v>
      </c>
      <c r="F202" s="1"/>
      <c r="G202" s="1"/>
      <c r="H202" s="1" t="s">
        <v>91</v>
      </c>
      <c r="I202" s="1" t="s">
        <v>92</v>
      </c>
      <c r="J202" s="1" t="s">
        <v>93</v>
      </c>
      <c r="K202" s="1">
        <v>1</v>
      </c>
      <c r="L202" s="1">
        <v>120</v>
      </c>
      <c r="M202" s="1" t="s">
        <v>94</v>
      </c>
      <c r="N202" s="1" t="s">
        <v>95</v>
      </c>
      <c r="O202" s="1"/>
      <c r="P202" s="1" t="s">
        <v>96</v>
      </c>
      <c r="Q202" s="1" t="s">
        <v>9</v>
      </c>
      <c r="R202" s="1">
        <v>0</v>
      </c>
      <c r="S202" s="1" t="s">
        <v>97</v>
      </c>
      <c r="T202" s="1" t="s">
        <v>97</v>
      </c>
      <c r="U202" s="1" t="b">
        <v>1</v>
      </c>
      <c r="V202" s="1" t="b">
        <v>0</v>
      </c>
      <c r="W202" s="1" t="b">
        <v>0</v>
      </c>
      <c r="X202" s="1">
        <v>0</v>
      </c>
      <c r="Y202" s="1" t="b">
        <v>1</v>
      </c>
      <c r="Z202" s="1" t="b">
        <v>1</v>
      </c>
      <c r="AA202" s="1">
        <v>49.1</v>
      </c>
      <c r="AB202" s="1" t="b">
        <v>1</v>
      </c>
      <c r="AC202" s="1">
        <v>125282962</v>
      </c>
      <c r="AD202" s="1">
        <v>2381166</v>
      </c>
      <c r="AE202" s="1">
        <v>0</v>
      </c>
      <c r="AF202" s="1" t="s">
        <v>923</v>
      </c>
      <c r="AG202" s="1" t="s">
        <v>924</v>
      </c>
      <c r="AH202" s="1">
        <v>54.5</v>
      </c>
      <c r="AI202" s="1">
        <v>48.4</v>
      </c>
      <c r="AJ202" s="1" t="s">
        <v>925</v>
      </c>
      <c r="AK202" s="1" t="s">
        <v>926</v>
      </c>
      <c r="AL202" s="1" t="s">
        <v>927</v>
      </c>
    </row>
    <row r="203" spans="1:38" x14ac:dyDescent="0.6">
      <c r="A203" s="1">
        <v>149</v>
      </c>
      <c r="B203" s="1" t="s">
        <v>88</v>
      </c>
      <c r="C203" s="1">
        <v>56</v>
      </c>
      <c r="D203" s="1" t="s">
        <v>89</v>
      </c>
      <c r="E203" s="1" t="s">
        <v>90</v>
      </c>
      <c r="F203" s="1"/>
      <c r="G203" s="1"/>
      <c r="H203" s="1" t="s">
        <v>91</v>
      </c>
      <c r="I203" s="1" t="s">
        <v>92</v>
      </c>
      <c r="J203" s="1" t="s">
        <v>93</v>
      </c>
      <c r="K203" s="1">
        <v>1</v>
      </c>
      <c r="L203" s="1">
        <v>120</v>
      </c>
      <c r="M203" s="1" t="s">
        <v>14</v>
      </c>
      <c r="N203" s="1" t="s">
        <v>14</v>
      </c>
      <c r="O203" s="1" t="s">
        <v>96</v>
      </c>
      <c r="P203" s="1"/>
      <c r="Q203" s="1" t="s">
        <v>200</v>
      </c>
      <c r="R203" s="1">
        <v>1</v>
      </c>
      <c r="S203" s="1"/>
      <c r="T203" s="1" t="s">
        <v>200</v>
      </c>
      <c r="U203" s="1"/>
      <c r="V203" s="1" t="b">
        <v>0</v>
      </c>
      <c r="W203" s="1" t="b">
        <v>1</v>
      </c>
      <c r="X203" s="1">
        <v>6</v>
      </c>
      <c r="Y203" s="1" t="b">
        <v>1</v>
      </c>
      <c r="Z203" s="1" t="b">
        <v>1</v>
      </c>
      <c r="AA203" s="1"/>
      <c r="AB203" s="1" t="b">
        <v>1</v>
      </c>
      <c r="AC203" s="1">
        <v>155724026</v>
      </c>
      <c r="AD203" s="1">
        <v>513798</v>
      </c>
      <c r="AE203" s="1">
        <v>0</v>
      </c>
      <c r="AF203" s="1" t="s">
        <v>928</v>
      </c>
      <c r="AG203" s="1"/>
      <c r="AH203" s="1">
        <v>71.2</v>
      </c>
      <c r="AI203" s="1"/>
      <c r="AJ203" s="1" t="s">
        <v>929</v>
      </c>
      <c r="AK203" s="1" t="s">
        <v>930</v>
      </c>
      <c r="AL203" s="1" t="s">
        <v>931</v>
      </c>
    </row>
    <row r="204" spans="1:38" x14ac:dyDescent="0.6">
      <c r="A204" s="1">
        <v>151</v>
      </c>
      <c r="B204" s="1" t="s">
        <v>88</v>
      </c>
      <c r="C204" s="1">
        <v>50</v>
      </c>
      <c r="D204" s="1" t="s">
        <v>89</v>
      </c>
      <c r="E204" s="1" t="s">
        <v>108</v>
      </c>
      <c r="F204" s="1"/>
      <c r="G204" s="1"/>
      <c r="H204" s="1" t="s">
        <v>91</v>
      </c>
      <c r="I204" s="1" t="s">
        <v>92</v>
      </c>
      <c r="J204" s="1" t="s">
        <v>93</v>
      </c>
      <c r="K204" s="1">
        <v>1</v>
      </c>
      <c r="L204" s="1">
        <v>120</v>
      </c>
      <c r="M204" s="1" t="s">
        <v>94</v>
      </c>
      <c r="N204" s="1" t="s">
        <v>95</v>
      </c>
      <c r="O204" s="1"/>
      <c r="P204" s="1" t="s">
        <v>96</v>
      </c>
      <c r="Q204" s="1" t="s">
        <v>9</v>
      </c>
      <c r="R204" s="1">
        <v>0</v>
      </c>
      <c r="S204" s="1" t="s">
        <v>97</v>
      </c>
      <c r="T204" s="1" t="s">
        <v>97</v>
      </c>
      <c r="U204" s="1" t="b">
        <v>1</v>
      </c>
      <c r="V204" s="1" t="b">
        <v>0</v>
      </c>
      <c r="W204" s="1" t="b">
        <v>0</v>
      </c>
      <c r="X204" s="1">
        <v>0</v>
      </c>
      <c r="Y204" s="1" t="b">
        <v>1</v>
      </c>
      <c r="Z204" s="1" t="b">
        <v>1</v>
      </c>
      <c r="AA204" s="1">
        <v>63.6</v>
      </c>
      <c r="AB204" s="1" t="b">
        <v>1</v>
      </c>
      <c r="AC204" s="1">
        <v>135098144</v>
      </c>
      <c r="AD204" s="1">
        <v>2789600</v>
      </c>
      <c r="AE204" s="1">
        <v>0</v>
      </c>
      <c r="AF204" s="1" t="s">
        <v>932</v>
      </c>
      <c r="AG204" s="1" t="s">
        <v>933</v>
      </c>
      <c r="AH204" s="1">
        <v>68.2</v>
      </c>
      <c r="AI204" s="1">
        <v>62.4</v>
      </c>
      <c r="AJ204" s="1" t="s">
        <v>934</v>
      </c>
      <c r="AK204" s="1" t="s">
        <v>935</v>
      </c>
      <c r="AL204" s="1" t="s">
        <v>936</v>
      </c>
    </row>
    <row r="205" spans="1:38" x14ac:dyDescent="0.6">
      <c r="A205" s="1">
        <v>151</v>
      </c>
      <c r="B205" s="1" t="s">
        <v>88</v>
      </c>
      <c r="C205" s="1">
        <v>50</v>
      </c>
      <c r="D205" s="1" t="s">
        <v>89</v>
      </c>
      <c r="E205" s="1" t="s">
        <v>108</v>
      </c>
      <c r="F205" s="1"/>
      <c r="G205" s="1"/>
      <c r="H205" s="1" t="s">
        <v>91</v>
      </c>
      <c r="I205" s="1" t="s">
        <v>92</v>
      </c>
      <c r="J205" s="1" t="s">
        <v>93</v>
      </c>
      <c r="K205" s="1">
        <v>1</v>
      </c>
      <c r="L205" s="1">
        <v>120</v>
      </c>
      <c r="M205" s="1" t="s">
        <v>14</v>
      </c>
      <c r="N205" s="1" t="s">
        <v>95</v>
      </c>
      <c r="O205" s="1" t="s">
        <v>96</v>
      </c>
      <c r="P205" s="1"/>
      <c r="Q205" s="1" t="s">
        <v>9</v>
      </c>
      <c r="R205" s="1">
        <v>0</v>
      </c>
      <c r="S205" s="1" t="s">
        <v>97</v>
      </c>
      <c r="T205" s="1" t="s">
        <v>97</v>
      </c>
      <c r="U205" s="1" t="b">
        <v>1</v>
      </c>
      <c r="V205" s="1" t="b">
        <v>0</v>
      </c>
      <c r="W205" s="1" t="b">
        <v>0</v>
      </c>
      <c r="X205" s="1">
        <v>5</v>
      </c>
      <c r="Y205" s="1" t="b">
        <v>1</v>
      </c>
      <c r="Z205" s="1" t="b">
        <v>1</v>
      </c>
      <c r="AA205" s="1"/>
      <c r="AB205" s="1" t="b">
        <v>1</v>
      </c>
      <c r="AC205" s="1">
        <v>142678581</v>
      </c>
      <c r="AD205" s="1">
        <v>976331</v>
      </c>
      <c r="AE205" s="1">
        <v>0</v>
      </c>
      <c r="AF205" s="1" t="s">
        <v>932</v>
      </c>
      <c r="AG205" s="1" t="s">
        <v>933</v>
      </c>
      <c r="AH205" s="1">
        <v>68.2</v>
      </c>
      <c r="AI205" s="1">
        <v>62.4</v>
      </c>
      <c r="AJ205" s="1" t="s">
        <v>937</v>
      </c>
      <c r="AK205" s="1" t="s">
        <v>938</v>
      </c>
      <c r="AL205" s="1" t="s">
        <v>939</v>
      </c>
    </row>
    <row r="206" spans="1:38" x14ac:dyDescent="0.6">
      <c r="A206" s="1">
        <v>153</v>
      </c>
      <c r="B206" s="1" t="s">
        <v>103</v>
      </c>
      <c r="C206" s="1">
        <v>52</v>
      </c>
      <c r="D206" s="1" t="s">
        <v>89</v>
      </c>
      <c r="E206" s="1" t="s">
        <v>90</v>
      </c>
      <c r="F206" s="1"/>
      <c r="G206" s="1"/>
      <c r="H206" s="1" t="s">
        <v>91</v>
      </c>
      <c r="I206" s="1" t="s">
        <v>92</v>
      </c>
      <c r="J206" s="1" t="s">
        <v>93</v>
      </c>
      <c r="K206" s="1">
        <v>1</v>
      </c>
      <c r="L206" s="1">
        <v>120</v>
      </c>
      <c r="M206" s="1" t="s">
        <v>7</v>
      </c>
      <c r="N206" s="1" t="s">
        <v>7</v>
      </c>
      <c r="O206" s="1" t="s">
        <v>96</v>
      </c>
      <c r="P206" s="1" t="s">
        <v>96</v>
      </c>
      <c r="Q206" s="1" t="s">
        <v>9</v>
      </c>
      <c r="R206" s="1">
        <v>0</v>
      </c>
      <c r="S206" s="1" t="s">
        <v>97</v>
      </c>
      <c r="T206" s="1" t="s">
        <v>97</v>
      </c>
      <c r="U206" s="1" t="b">
        <v>1</v>
      </c>
      <c r="V206" s="1" t="b">
        <v>0</v>
      </c>
      <c r="W206" s="1" t="b">
        <v>0</v>
      </c>
      <c r="X206" s="1">
        <v>5</v>
      </c>
      <c r="Y206" s="1" t="b">
        <v>1</v>
      </c>
      <c r="Z206" s="1" t="b">
        <v>1</v>
      </c>
      <c r="AA206" s="1">
        <v>65.2</v>
      </c>
      <c r="AB206" s="1" t="b">
        <v>0</v>
      </c>
      <c r="AC206" s="1">
        <v>0</v>
      </c>
      <c r="AD206" s="1">
        <v>3542299</v>
      </c>
      <c r="AE206" s="1">
        <v>122811109</v>
      </c>
      <c r="AF206" s="1" t="s">
        <v>940</v>
      </c>
      <c r="AG206" s="1" t="s">
        <v>940</v>
      </c>
      <c r="AH206" s="1">
        <v>64.900000000000006</v>
      </c>
      <c r="AI206" s="1">
        <v>62.6</v>
      </c>
      <c r="AJ206" s="1" t="s">
        <v>941</v>
      </c>
      <c r="AK206" s="1" t="s">
        <v>942</v>
      </c>
      <c r="AL206" s="1" t="s">
        <v>943</v>
      </c>
    </row>
    <row r="207" spans="1:38" x14ac:dyDescent="0.6">
      <c r="A207" s="1">
        <v>152</v>
      </c>
      <c r="B207" s="1" t="s">
        <v>103</v>
      </c>
      <c r="C207" s="1">
        <v>50</v>
      </c>
      <c r="D207" s="1" t="s">
        <v>89</v>
      </c>
      <c r="E207" s="1" t="s">
        <v>90</v>
      </c>
      <c r="F207" s="1"/>
      <c r="G207" s="1"/>
      <c r="H207" s="1" t="s">
        <v>91</v>
      </c>
      <c r="I207" s="1" t="s">
        <v>92</v>
      </c>
      <c r="J207" s="1" t="s">
        <v>93</v>
      </c>
      <c r="K207" s="1">
        <v>1</v>
      </c>
      <c r="L207" s="1">
        <v>120</v>
      </c>
      <c r="M207" s="1" t="s">
        <v>7</v>
      </c>
      <c r="N207" s="1" t="s">
        <v>7</v>
      </c>
      <c r="O207" s="1" t="s">
        <v>96</v>
      </c>
      <c r="P207" s="1" t="s">
        <v>96</v>
      </c>
      <c r="Q207" s="1" t="s">
        <v>9</v>
      </c>
      <c r="R207" s="1">
        <v>0</v>
      </c>
      <c r="S207" s="1" t="s">
        <v>97</v>
      </c>
      <c r="T207" s="1" t="s">
        <v>97</v>
      </c>
      <c r="U207" s="1" t="b">
        <v>1</v>
      </c>
      <c r="V207" s="1" t="b">
        <v>0</v>
      </c>
      <c r="W207" s="1" t="b">
        <v>0</v>
      </c>
      <c r="X207" s="1">
        <v>5</v>
      </c>
      <c r="Y207" s="1" t="b">
        <v>1</v>
      </c>
      <c r="Z207" s="1" t="b">
        <v>1</v>
      </c>
      <c r="AA207" s="1">
        <v>70.900000000000006</v>
      </c>
      <c r="AB207" s="1" t="b">
        <v>0</v>
      </c>
      <c r="AC207" s="1">
        <v>0</v>
      </c>
      <c r="AD207" s="1">
        <v>3416972</v>
      </c>
      <c r="AE207" s="1">
        <v>127917172</v>
      </c>
      <c r="AF207" s="1" t="s">
        <v>944</v>
      </c>
      <c r="AG207" s="1" t="s">
        <v>944</v>
      </c>
      <c r="AH207" s="1">
        <v>73.599999999999994</v>
      </c>
      <c r="AI207" s="1">
        <v>67.5</v>
      </c>
      <c r="AJ207" s="1" t="s">
        <v>945</v>
      </c>
      <c r="AK207" s="1" t="s">
        <v>946</v>
      </c>
      <c r="AL207" s="1" t="s">
        <v>947</v>
      </c>
    </row>
    <row r="208" spans="1:38" x14ac:dyDescent="0.6">
      <c r="A208" s="1">
        <v>154</v>
      </c>
      <c r="B208" s="1" t="s">
        <v>88</v>
      </c>
      <c r="C208" s="1">
        <v>53</v>
      </c>
      <c r="D208" s="1" t="s">
        <v>89</v>
      </c>
      <c r="E208" s="1" t="s">
        <v>108</v>
      </c>
      <c r="F208" s="1"/>
      <c r="G208" s="1"/>
      <c r="H208" s="1" t="s">
        <v>91</v>
      </c>
      <c r="I208" s="1" t="s">
        <v>92</v>
      </c>
      <c r="J208" s="1" t="s">
        <v>93</v>
      </c>
      <c r="K208" s="1">
        <v>1</v>
      </c>
      <c r="L208" s="1">
        <v>120</v>
      </c>
      <c r="M208" s="1" t="s">
        <v>14</v>
      </c>
      <c r="N208" s="1" t="s">
        <v>95</v>
      </c>
      <c r="O208" s="1" t="s">
        <v>96</v>
      </c>
      <c r="P208" s="1"/>
      <c r="Q208" s="1" t="s">
        <v>9</v>
      </c>
      <c r="R208" s="1">
        <v>0</v>
      </c>
      <c r="S208" s="1" t="s">
        <v>97</v>
      </c>
      <c r="T208" s="1" t="s">
        <v>97</v>
      </c>
      <c r="U208" s="1" t="b">
        <v>1</v>
      </c>
      <c r="V208" s="1" t="b">
        <v>0</v>
      </c>
      <c r="W208" s="1" t="b">
        <v>0</v>
      </c>
      <c r="X208" s="1">
        <v>5</v>
      </c>
      <c r="Y208" s="1" t="b">
        <v>1</v>
      </c>
      <c r="Z208" s="1" t="b">
        <v>1</v>
      </c>
      <c r="AA208" s="1"/>
      <c r="AB208" s="1" t="b">
        <v>1</v>
      </c>
      <c r="AC208" s="1">
        <v>143083545</v>
      </c>
      <c r="AD208" s="1">
        <v>833511</v>
      </c>
      <c r="AE208" s="1">
        <v>0</v>
      </c>
      <c r="AF208" s="1" t="s">
        <v>948</v>
      </c>
      <c r="AG208" s="1" t="s">
        <v>949</v>
      </c>
      <c r="AH208" s="1">
        <v>70.8</v>
      </c>
      <c r="AI208" s="1">
        <v>70.900000000000006</v>
      </c>
      <c r="AJ208" s="1" t="s">
        <v>950</v>
      </c>
      <c r="AK208" s="1" t="s">
        <v>951</v>
      </c>
      <c r="AL208" s="1" t="s">
        <v>952</v>
      </c>
    </row>
    <row r="209" spans="1:38" x14ac:dyDescent="0.6">
      <c r="A209" s="1">
        <v>148</v>
      </c>
      <c r="B209" s="1" t="s">
        <v>88</v>
      </c>
      <c r="C209" s="1">
        <v>79</v>
      </c>
      <c r="D209" s="1" t="s">
        <v>119</v>
      </c>
      <c r="E209" s="1" t="s">
        <v>108</v>
      </c>
      <c r="F209" s="1"/>
      <c r="G209" s="1"/>
      <c r="H209" s="1" t="s">
        <v>91</v>
      </c>
      <c r="I209" s="1" t="s">
        <v>92</v>
      </c>
      <c r="J209" s="1" t="s">
        <v>93</v>
      </c>
      <c r="K209" s="1">
        <v>1</v>
      </c>
      <c r="L209" s="1">
        <v>120</v>
      </c>
      <c r="M209" s="1" t="s">
        <v>14</v>
      </c>
      <c r="N209" s="1" t="s">
        <v>95</v>
      </c>
      <c r="O209" s="1" t="s">
        <v>96</v>
      </c>
      <c r="P209" s="1"/>
      <c r="Q209" s="1" t="s">
        <v>9</v>
      </c>
      <c r="R209" s="1">
        <v>0</v>
      </c>
      <c r="S209" s="1" t="s">
        <v>97</v>
      </c>
      <c r="T209" s="1" t="s">
        <v>97</v>
      </c>
      <c r="U209" s="1" t="b">
        <v>1</v>
      </c>
      <c r="V209" s="1" t="b">
        <v>0</v>
      </c>
      <c r="W209" s="1" t="b">
        <v>0</v>
      </c>
      <c r="X209" s="1">
        <v>5</v>
      </c>
      <c r="Y209" s="1" t="b">
        <v>1</v>
      </c>
      <c r="Z209" s="1" t="b">
        <v>1</v>
      </c>
      <c r="AA209" s="1"/>
      <c r="AB209" s="1" t="b">
        <v>1</v>
      </c>
      <c r="AC209" s="1">
        <v>140618779</v>
      </c>
      <c r="AD209" s="1">
        <v>938981</v>
      </c>
      <c r="AE209" s="1">
        <v>0</v>
      </c>
      <c r="AF209" s="1" t="s">
        <v>918</v>
      </c>
      <c r="AG209" s="1" t="s">
        <v>919</v>
      </c>
      <c r="AH209" s="1">
        <v>58.4</v>
      </c>
      <c r="AI209" s="1">
        <v>51.6</v>
      </c>
      <c r="AJ209" s="1" t="s">
        <v>953</v>
      </c>
      <c r="AK209" s="1" t="s">
        <v>954</v>
      </c>
      <c r="AL209" s="1" t="s">
        <v>955</v>
      </c>
    </row>
    <row r="210" spans="1:38" x14ac:dyDescent="0.6">
      <c r="A210" s="1">
        <v>150</v>
      </c>
      <c r="B210" s="1" t="s">
        <v>103</v>
      </c>
      <c r="C210" s="1">
        <v>69</v>
      </c>
      <c r="D210" s="1" t="s">
        <v>127</v>
      </c>
      <c r="E210" s="1" t="s">
        <v>90</v>
      </c>
      <c r="F210" s="1"/>
      <c r="G210" s="1"/>
      <c r="H210" s="1" t="s">
        <v>91</v>
      </c>
      <c r="I210" s="1" t="s">
        <v>92</v>
      </c>
      <c r="J210" s="1" t="s">
        <v>93</v>
      </c>
      <c r="K210" s="1">
        <v>1</v>
      </c>
      <c r="L210" s="1">
        <v>120</v>
      </c>
      <c r="M210" s="1" t="s">
        <v>14</v>
      </c>
      <c r="N210" s="1" t="s">
        <v>95</v>
      </c>
      <c r="O210" s="1" t="s">
        <v>96</v>
      </c>
      <c r="P210" s="1"/>
      <c r="Q210" s="1" t="s">
        <v>9</v>
      </c>
      <c r="R210" s="1">
        <v>0</v>
      </c>
      <c r="S210" s="1" t="s">
        <v>97</v>
      </c>
      <c r="T210" s="1" t="s">
        <v>97</v>
      </c>
      <c r="U210" s="1" t="b">
        <v>1</v>
      </c>
      <c r="V210" s="1" t="b">
        <v>0</v>
      </c>
      <c r="W210" s="1" t="b">
        <v>0</v>
      </c>
      <c r="X210" s="1">
        <v>5</v>
      </c>
      <c r="Y210" s="1" t="b">
        <v>1</v>
      </c>
      <c r="Z210" s="1" t="b">
        <v>1</v>
      </c>
      <c r="AA210" s="1"/>
      <c r="AB210" s="1" t="b">
        <v>1</v>
      </c>
      <c r="AC210" s="1">
        <v>123486384</v>
      </c>
      <c r="AD210" s="1">
        <v>769872</v>
      </c>
      <c r="AE210" s="1">
        <v>0</v>
      </c>
      <c r="AF210" s="1" t="s">
        <v>923</v>
      </c>
      <c r="AG210" s="1" t="s">
        <v>924</v>
      </c>
      <c r="AH210" s="1">
        <v>54.5</v>
      </c>
      <c r="AI210" s="1">
        <v>48.4</v>
      </c>
      <c r="AJ210" s="1" t="s">
        <v>956</v>
      </c>
      <c r="AK210" s="1" t="s">
        <v>957</v>
      </c>
      <c r="AL210" s="1" t="s">
        <v>958</v>
      </c>
    </row>
    <row r="211" spans="1:38" x14ac:dyDescent="0.6">
      <c r="A211" s="1">
        <v>147</v>
      </c>
      <c r="B211" s="1" t="s">
        <v>103</v>
      </c>
      <c r="C211" s="1">
        <v>62</v>
      </c>
      <c r="D211" s="1" t="s">
        <v>127</v>
      </c>
      <c r="E211" s="1" t="s">
        <v>90</v>
      </c>
      <c r="F211" s="1"/>
      <c r="G211" s="1"/>
      <c r="H211" s="1" t="s">
        <v>91</v>
      </c>
      <c r="I211" s="1" t="s">
        <v>92</v>
      </c>
      <c r="J211" s="1" t="s">
        <v>93</v>
      </c>
      <c r="K211" s="1">
        <v>1</v>
      </c>
      <c r="L211" s="1">
        <v>120</v>
      </c>
      <c r="M211" s="1" t="s">
        <v>94</v>
      </c>
      <c r="N211" s="1" t="s">
        <v>95</v>
      </c>
      <c r="O211" s="1"/>
      <c r="P211" s="1" t="s">
        <v>96</v>
      </c>
      <c r="Q211" s="1" t="s">
        <v>9</v>
      </c>
      <c r="R211" s="1">
        <v>0</v>
      </c>
      <c r="S211" s="1" t="s">
        <v>97</v>
      </c>
      <c r="T211" s="1" t="s">
        <v>97</v>
      </c>
      <c r="U211" s="1" t="b">
        <v>1</v>
      </c>
      <c r="V211" s="1" t="b">
        <v>0</v>
      </c>
      <c r="W211" s="1" t="b">
        <v>0</v>
      </c>
      <c r="X211" s="1">
        <v>0</v>
      </c>
      <c r="Y211" s="1" t="b">
        <v>1</v>
      </c>
      <c r="Z211" s="1" t="b">
        <v>1</v>
      </c>
      <c r="AA211" s="1">
        <v>73.099999999999994</v>
      </c>
      <c r="AB211" s="1" t="b">
        <v>1</v>
      </c>
      <c r="AC211" s="1">
        <v>140614900</v>
      </c>
      <c r="AD211" s="1">
        <v>1991436</v>
      </c>
      <c r="AE211" s="1">
        <v>0</v>
      </c>
      <c r="AF211" s="1" t="s">
        <v>913</v>
      </c>
      <c r="AG211" s="1" t="s">
        <v>914</v>
      </c>
      <c r="AH211" s="1">
        <v>77.900000000000006</v>
      </c>
      <c r="AI211" s="1">
        <v>70.599999999999994</v>
      </c>
      <c r="AJ211" s="1" t="s">
        <v>959</v>
      </c>
      <c r="AK211" s="1" t="s">
        <v>960</v>
      </c>
      <c r="AL211" s="1" t="s">
        <v>961</v>
      </c>
    </row>
    <row r="212" spans="1:38" x14ac:dyDescent="0.6">
      <c r="A212" s="1">
        <v>138</v>
      </c>
      <c r="B212" s="1" t="s">
        <v>103</v>
      </c>
      <c r="C212" s="1"/>
      <c r="D212" s="1"/>
      <c r="E212" s="1" t="s">
        <v>108</v>
      </c>
      <c r="F212" s="1"/>
      <c r="G212" s="1"/>
      <c r="H212" s="1" t="s">
        <v>91</v>
      </c>
      <c r="I212" s="1" t="s">
        <v>92</v>
      </c>
      <c r="J212" s="1" t="s">
        <v>109</v>
      </c>
      <c r="K212" s="1">
        <v>1</v>
      </c>
      <c r="L212" s="1">
        <v>120</v>
      </c>
      <c r="M212" s="1" t="s">
        <v>7</v>
      </c>
      <c r="N212" s="1" t="s">
        <v>7</v>
      </c>
      <c r="O212" s="1" t="s">
        <v>96</v>
      </c>
      <c r="P212" s="1" t="s">
        <v>96</v>
      </c>
      <c r="Q212" s="1" t="s">
        <v>9</v>
      </c>
      <c r="R212" s="1">
        <v>0</v>
      </c>
      <c r="S212" s="1" t="s">
        <v>97</v>
      </c>
      <c r="T212" s="1" t="s">
        <v>97</v>
      </c>
      <c r="U212" s="1" t="b">
        <v>1</v>
      </c>
      <c r="V212" s="1" t="b">
        <v>0</v>
      </c>
      <c r="W212" s="1" t="b">
        <v>0</v>
      </c>
      <c r="X212" s="1">
        <v>5</v>
      </c>
      <c r="Y212" s="1" t="b">
        <v>1</v>
      </c>
      <c r="Z212" s="1" t="b">
        <v>1</v>
      </c>
      <c r="AA212" s="1">
        <v>63.1</v>
      </c>
      <c r="AB212" s="1" t="b">
        <v>0</v>
      </c>
      <c r="AC212" s="1">
        <v>0</v>
      </c>
      <c r="AD212" s="1">
        <v>2375677</v>
      </c>
      <c r="AE212" s="1">
        <v>169066499</v>
      </c>
      <c r="AF212" s="1" t="s">
        <v>962</v>
      </c>
      <c r="AG212" s="1" t="s">
        <v>962</v>
      </c>
      <c r="AH212" s="1">
        <v>57.4</v>
      </c>
      <c r="AI212" s="1">
        <v>59.9</v>
      </c>
      <c r="AJ212" s="1" t="s">
        <v>963</v>
      </c>
      <c r="AK212" s="1" t="s">
        <v>964</v>
      </c>
      <c r="AL212" s="1" t="s">
        <v>965</v>
      </c>
    </row>
    <row r="213" spans="1:38" x14ac:dyDescent="0.6">
      <c r="A213" s="1">
        <v>143</v>
      </c>
      <c r="B213" s="1" t="s">
        <v>103</v>
      </c>
      <c r="C213" s="1">
        <v>50</v>
      </c>
      <c r="D213" s="1" t="s">
        <v>89</v>
      </c>
      <c r="E213" s="1" t="s">
        <v>90</v>
      </c>
      <c r="F213" s="1"/>
      <c r="G213" s="1"/>
      <c r="H213" s="1" t="s">
        <v>91</v>
      </c>
      <c r="I213" s="1" t="s">
        <v>92</v>
      </c>
      <c r="J213" s="1" t="s">
        <v>93</v>
      </c>
      <c r="K213" s="1">
        <v>1</v>
      </c>
      <c r="L213" s="1">
        <v>120</v>
      </c>
      <c r="M213" s="1" t="s">
        <v>7</v>
      </c>
      <c r="N213" s="1" t="s">
        <v>7</v>
      </c>
      <c r="O213" s="1" t="s">
        <v>96</v>
      </c>
      <c r="P213" s="1" t="s">
        <v>96</v>
      </c>
      <c r="Q213" s="1" t="s">
        <v>9</v>
      </c>
      <c r="R213" s="1">
        <v>0</v>
      </c>
      <c r="S213" s="1" t="s">
        <v>97</v>
      </c>
      <c r="T213" s="1" t="s">
        <v>97</v>
      </c>
      <c r="U213" s="1" t="b">
        <v>1</v>
      </c>
      <c r="V213" s="1" t="b">
        <v>0</v>
      </c>
      <c r="W213" s="1" t="b">
        <v>0</v>
      </c>
      <c r="X213" s="1">
        <v>5</v>
      </c>
      <c r="Y213" s="1" t="b">
        <v>1</v>
      </c>
      <c r="Z213" s="1" t="b">
        <v>1</v>
      </c>
      <c r="AA213" s="1">
        <v>71.400000000000006</v>
      </c>
      <c r="AB213" s="1" t="b">
        <v>0</v>
      </c>
      <c r="AC213" s="1">
        <v>0</v>
      </c>
      <c r="AD213" s="1">
        <v>2003812</v>
      </c>
      <c r="AE213" s="1">
        <v>147156124</v>
      </c>
      <c r="AF213" s="1" t="s">
        <v>966</v>
      </c>
      <c r="AG213" s="1" t="s">
        <v>966</v>
      </c>
      <c r="AH213" s="1">
        <v>79.900000000000006</v>
      </c>
      <c r="AI213" s="1">
        <v>68.400000000000006</v>
      </c>
      <c r="AJ213" s="1" t="s">
        <v>967</v>
      </c>
      <c r="AK213" s="1" t="s">
        <v>968</v>
      </c>
      <c r="AL213" s="1" t="s">
        <v>969</v>
      </c>
    </row>
    <row r="214" spans="1:38" x14ac:dyDescent="0.6">
      <c r="A214" s="1">
        <v>160</v>
      </c>
      <c r="B214" s="1" t="s">
        <v>88</v>
      </c>
      <c r="C214" s="1">
        <v>58</v>
      </c>
      <c r="D214" s="1" t="s">
        <v>89</v>
      </c>
      <c r="E214" s="1" t="s">
        <v>108</v>
      </c>
      <c r="F214" s="1"/>
      <c r="G214" s="1"/>
      <c r="H214" s="1" t="s">
        <v>91</v>
      </c>
      <c r="I214" s="1" t="s">
        <v>92</v>
      </c>
      <c r="J214" s="1" t="s">
        <v>93</v>
      </c>
      <c r="K214" s="1">
        <v>1</v>
      </c>
      <c r="L214" s="1">
        <v>120</v>
      </c>
      <c r="M214" s="1" t="s">
        <v>94</v>
      </c>
      <c r="N214" s="1" t="s">
        <v>95</v>
      </c>
      <c r="O214" s="1"/>
      <c r="P214" s="1" t="s">
        <v>96</v>
      </c>
      <c r="Q214" s="1" t="s">
        <v>9</v>
      </c>
      <c r="R214" s="1">
        <v>0</v>
      </c>
      <c r="S214" s="1" t="s">
        <v>97</v>
      </c>
      <c r="T214" s="1" t="s">
        <v>97</v>
      </c>
      <c r="U214" s="1" t="b">
        <v>1</v>
      </c>
      <c r="V214" s="1" t="b">
        <v>0</v>
      </c>
      <c r="W214" s="1" t="b">
        <v>0</v>
      </c>
      <c r="X214" s="1">
        <v>0</v>
      </c>
      <c r="Y214" s="1" t="b">
        <v>1</v>
      </c>
      <c r="Z214" s="1" t="b">
        <v>1</v>
      </c>
      <c r="AA214" s="1">
        <v>59</v>
      </c>
      <c r="AB214" s="1" t="b">
        <v>1</v>
      </c>
      <c r="AC214" s="1">
        <v>133923762</v>
      </c>
      <c r="AD214" s="1">
        <v>1866830</v>
      </c>
      <c r="AE214" s="1">
        <v>0</v>
      </c>
      <c r="AF214" s="1" t="s">
        <v>970</v>
      </c>
      <c r="AG214" s="1" t="s">
        <v>971</v>
      </c>
      <c r="AH214" s="1">
        <v>57</v>
      </c>
      <c r="AI214" s="1">
        <v>56.4</v>
      </c>
      <c r="AJ214" s="1" t="s">
        <v>972</v>
      </c>
      <c r="AK214" s="1" t="s">
        <v>973</v>
      </c>
      <c r="AL214" s="1" t="s">
        <v>974</v>
      </c>
    </row>
    <row r="215" spans="1:38" x14ac:dyDescent="0.6">
      <c r="A215" s="1">
        <v>158</v>
      </c>
      <c r="B215" s="1" t="s">
        <v>103</v>
      </c>
      <c r="C215" s="1">
        <v>50</v>
      </c>
      <c r="D215" s="1" t="s">
        <v>89</v>
      </c>
      <c r="E215" s="1" t="s">
        <v>90</v>
      </c>
      <c r="F215" s="1"/>
      <c r="G215" s="1"/>
      <c r="H215" s="1" t="s">
        <v>91</v>
      </c>
      <c r="I215" s="1" t="s">
        <v>92</v>
      </c>
      <c r="J215" s="1" t="s">
        <v>93</v>
      </c>
      <c r="K215" s="1">
        <v>1</v>
      </c>
      <c r="L215" s="1">
        <v>120</v>
      </c>
      <c r="M215" s="1" t="s">
        <v>94</v>
      </c>
      <c r="N215" s="1" t="s">
        <v>95</v>
      </c>
      <c r="O215" s="1"/>
      <c r="P215" s="1" t="s">
        <v>96</v>
      </c>
      <c r="Q215" s="1" t="s">
        <v>9</v>
      </c>
      <c r="R215" s="1">
        <v>0</v>
      </c>
      <c r="S215" s="1" t="s">
        <v>97</v>
      </c>
      <c r="T215" s="1" t="s">
        <v>97</v>
      </c>
      <c r="U215" s="1" t="b">
        <v>1</v>
      </c>
      <c r="V215" s="1" t="b">
        <v>0</v>
      </c>
      <c r="W215" s="1" t="b">
        <v>0</v>
      </c>
      <c r="X215" s="1">
        <v>0</v>
      </c>
      <c r="Y215" s="1" t="b">
        <v>1</v>
      </c>
      <c r="Z215" s="1" t="b">
        <v>1</v>
      </c>
      <c r="AA215" s="1">
        <v>71.8</v>
      </c>
      <c r="AB215" s="1" t="b">
        <v>1</v>
      </c>
      <c r="AC215" s="1">
        <v>141671504</v>
      </c>
      <c r="AD215" s="1">
        <v>1721264</v>
      </c>
      <c r="AE215" s="1">
        <v>0</v>
      </c>
      <c r="AF215" s="1" t="s">
        <v>975</v>
      </c>
      <c r="AG215" s="1" t="s">
        <v>976</v>
      </c>
      <c r="AH215" s="1">
        <v>75.7</v>
      </c>
      <c r="AI215" s="1">
        <v>68.5</v>
      </c>
      <c r="AJ215" s="1" t="s">
        <v>977</v>
      </c>
      <c r="AK215" s="1" t="s">
        <v>978</v>
      </c>
      <c r="AL215" s="1" t="s">
        <v>979</v>
      </c>
    </row>
    <row r="216" spans="1:38" x14ac:dyDescent="0.6">
      <c r="A216" s="1">
        <v>155</v>
      </c>
      <c r="B216" s="1" t="s">
        <v>103</v>
      </c>
      <c r="C216" s="1">
        <v>56</v>
      </c>
      <c r="D216" s="1" t="s">
        <v>89</v>
      </c>
      <c r="E216" s="1" t="s">
        <v>108</v>
      </c>
      <c r="F216" s="1"/>
      <c r="G216" s="1"/>
      <c r="H216" s="1" t="s">
        <v>91</v>
      </c>
      <c r="I216" s="1" t="s">
        <v>92</v>
      </c>
      <c r="J216" s="1" t="s">
        <v>93</v>
      </c>
      <c r="K216" s="1">
        <v>1</v>
      </c>
      <c r="L216" s="1">
        <v>120</v>
      </c>
      <c r="M216" s="1" t="s">
        <v>7</v>
      </c>
      <c r="N216" s="1" t="s">
        <v>7</v>
      </c>
      <c r="O216" s="1" t="s">
        <v>96</v>
      </c>
      <c r="P216" s="1" t="s">
        <v>96</v>
      </c>
      <c r="Q216" s="1" t="s">
        <v>9</v>
      </c>
      <c r="R216" s="1">
        <v>0</v>
      </c>
      <c r="S216" s="1" t="s">
        <v>97</v>
      </c>
      <c r="T216" s="1" t="s">
        <v>97</v>
      </c>
      <c r="U216" s="1" t="b">
        <v>1</v>
      </c>
      <c r="V216" s="1" t="b">
        <v>0</v>
      </c>
      <c r="W216" s="1" t="b">
        <v>0</v>
      </c>
      <c r="X216" s="1">
        <v>5</v>
      </c>
      <c r="Y216" s="1" t="b">
        <v>1</v>
      </c>
      <c r="Z216" s="1" t="b">
        <v>1</v>
      </c>
      <c r="AA216" s="1">
        <v>86.7</v>
      </c>
      <c r="AB216" s="1" t="b">
        <v>0</v>
      </c>
      <c r="AC216" s="1">
        <v>0</v>
      </c>
      <c r="AD216" s="1">
        <v>3151258</v>
      </c>
      <c r="AE216" s="1">
        <v>136309350</v>
      </c>
      <c r="AF216" s="1" t="s">
        <v>980</v>
      </c>
      <c r="AG216" s="1" t="s">
        <v>980</v>
      </c>
      <c r="AH216" s="1">
        <v>84.2</v>
      </c>
      <c r="AI216" s="1">
        <v>83.3</v>
      </c>
      <c r="AJ216" s="1" t="s">
        <v>981</v>
      </c>
      <c r="AK216" s="1" t="s">
        <v>982</v>
      </c>
      <c r="AL216" s="1" t="s">
        <v>983</v>
      </c>
    </row>
    <row r="217" spans="1:38" x14ac:dyDescent="0.6">
      <c r="A217" s="1">
        <v>159</v>
      </c>
      <c r="B217" s="1" t="s">
        <v>88</v>
      </c>
      <c r="C217" s="1">
        <v>57</v>
      </c>
      <c r="D217" s="1" t="s">
        <v>89</v>
      </c>
      <c r="E217" s="1" t="s">
        <v>90</v>
      </c>
      <c r="F217" s="1"/>
      <c r="G217" s="1"/>
      <c r="H217" s="1" t="s">
        <v>91</v>
      </c>
      <c r="I217" s="1" t="s">
        <v>92</v>
      </c>
      <c r="J217" s="1" t="s">
        <v>93</v>
      </c>
      <c r="K217" s="1">
        <v>1</v>
      </c>
      <c r="L217" s="1">
        <v>120</v>
      </c>
      <c r="M217" s="1" t="s">
        <v>7</v>
      </c>
      <c r="N217" s="1" t="s">
        <v>7</v>
      </c>
      <c r="O217" s="1" t="s">
        <v>96</v>
      </c>
      <c r="P217" s="1" t="s">
        <v>96</v>
      </c>
      <c r="Q217" s="1" t="s">
        <v>9</v>
      </c>
      <c r="R217" s="1">
        <v>0</v>
      </c>
      <c r="S217" s="1" t="s">
        <v>97</v>
      </c>
      <c r="T217" s="1" t="s">
        <v>97</v>
      </c>
      <c r="U217" s="1" t="b">
        <v>1</v>
      </c>
      <c r="V217" s="1" t="b">
        <v>0</v>
      </c>
      <c r="W217" s="1" t="b">
        <v>0</v>
      </c>
      <c r="X217" s="1">
        <v>5</v>
      </c>
      <c r="Y217" s="1" t="b">
        <v>1</v>
      </c>
      <c r="Z217" s="1" t="b">
        <v>1</v>
      </c>
      <c r="AA217" s="1">
        <v>61.7</v>
      </c>
      <c r="AB217" s="1" t="b">
        <v>0</v>
      </c>
      <c r="AC217" s="1">
        <v>0</v>
      </c>
      <c r="AD217" s="1">
        <v>2829836</v>
      </c>
      <c r="AE217" s="1">
        <v>121950708</v>
      </c>
      <c r="AF217" s="1" t="s">
        <v>984</v>
      </c>
      <c r="AG217" s="1" t="s">
        <v>984</v>
      </c>
      <c r="AH217" s="1">
        <v>60.6</v>
      </c>
      <c r="AI217" s="1">
        <v>58.3</v>
      </c>
      <c r="AJ217" s="1" t="s">
        <v>985</v>
      </c>
      <c r="AK217" s="1" t="s">
        <v>986</v>
      </c>
      <c r="AL217" s="1" t="s">
        <v>987</v>
      </c>
    </row>
    <row r="218" spans="1:38" x14ac:dyDescent="0.6">
      <c r="A218" s="1">
        <v>158</v>
      </c>
      <c r="B218" s="1" t="s">
        <v>103</v>
      </c>
      <c r="C218" s="1">
        <v>50</v>
      </c>
      <c r="D218" s="1" t="s">
        <v>89</v>
      </c>
      <c r="E218" s="1" t="s">
        <v>90</v>
      </c>
      <c r="F218" s="1"/>
      <c r="G218" s="1"/>
      <c r="H218" s="1" t="s">
        <v>91</v>
      </c>
      <c r="I218" s="1" t="s">
        <v>92</v>
      </c>
      <c r="J218" s="1" t="s">
        <v>93</v>
      </c>
      <c r="K218" s="1">
        <v>1</v>
      </c>
      <c r="L218" s="1">
        <v>120</v>
      </c>
      <c r="M218" s="1" t="s">
        <v>14</v>
      </c>
      <c r="N218" s="1" t="s">
        <v>95</v>
      </c>
      <c r="O218" s="1" t="s">
        <v>96</v>
      </c>
      <c r="P218" s="1"/>
      <c r="Q218" s="1" t="s">
        <v>9</v>
      </c>
      <c r="R218" s="1">
        <v>0</v>
      </c>
      <c r="S218" s="1" t="s">
        <v>97</v>
      </c>
      <c r="T218" s="1" t="s">
        <v>97</v>
      </c>
      <c r="U218" s="1" t="b">
        <v>1</v>
      </c>
      <c r="V218" s="1" t="b">
        <v>0</v>
      </c>
      <c r="W218" s="1" t="b">
        <v>0</v>
      </c>
      <c r="X218" s="1">
        <v>5</v>
      </c>
      <c r="Y218" s="1" t="b">
        <v>1</v>
      </c>
      <c r="Z218" s="1" t="b">
        <v>1</v>
      </c>
      <c r="AA218" s="1"/>
      <c r="AB218" s="1" t="b">
        <v>1</v>
      </c>
      <c r="AC218" s="1">
        <v>136847224</v>
      </c>
      <c r="AD218" s="1">
        <v>516232</v>
      </c>
      <c r="AE218" s="1">
        <v>0</v>
      </c>
      <c r="AF218" s="1" t="s">
        <v>975</v>
      </c>
      <c r="AG218" s="1" t="s">
        <v>976</v>
      </c>
      <c r="AH218" s="1">
        <v>75.7</v>
      </c>
      <c r="AI218" s="1">
        <v>68.5</v>
      </c>
      <c r="AJ218" s="1" t="s">
        <v>988</v>
      </c>
      <c r="AK218" s="1" t="s">
        <v>989</v>
      </c>
      <c r="AL218" s="1" t="s">
        <v>990</v>
      </c>
    </row>
    <row r="219" spans="1:38" x14ac:dyDescent="0.6">
      <c r="A219" s="1">
        <v>156</v>
      </c>
      <c r="B219" s="1" t="s">
        <v>103</v>
      </c>
      <c r="C219" s="1">
        <v>63</v>
      </c>
      <c r="D219" s="1" t="s">
        <v>127</v>
      </c>
      <c r="E219" s="1" t="s">
        <v>90</v>
      </c>
      <c r="F219" s="1"/>
      <c r="G219" s="1"/>
      <c r="H219" s="1" t="s">
        <v>91</v>
      </c>
      <c r="I219" s="1" t="s">
        <v>92</v>
      </c>
      <c r="J219" s="1" t="s">
        <v>93</v>
      </c>
      <c r="K219" s="1">
        <v>1</v>
      </c>
      <c r="L219" s="1">
        <v>120</v>
      </c>
      <c r="M219" s="1" t="s">
        <v>7</v>
      </c>
      <c r="N219" s="1" t="s">
        <v>7</v>
      </c>
      <c r="O219" s="1" t="s">
        <v>96</v>
      </c>
      <c r="P219" s="1" t="s">
        <v>96</v>
      </c>
      <c r="Q219" s="1" t="s">
        <v>9</v>
      </c>
      <c r="R219" s="1">
        <v>0</v>
      </c>
      <c r="S219" s="1" t="s">
        <v>97</v>
      </c>
      <c r="T219" s="1" t="s">
        <v>97</v>
      </c>
      <c r="U219" s="1" t="b">
        <v>1</v>
      </c>
      <c r="V219" s="1" t="b">
        <v>0</v>
      </c>
      <c r="W219" s="1" t="b">
        <v>0</v>
      </c>
      <c r="X219" s="1">
        <v>5</v>
      </c>
      <c r="Y219" s="1" t="b">
        <v>1</v>
      </c>
      <c r="Z219" s="1" t="b">
        <v>1</v>
      </c>
      <c r="AA219" s="1">
        <v>71.7</v>
      </c>
      <c r="AB219" s="1" t="b">
        <v>0</v>
      </c>
      <c r="AC219" s="1">
        <v>0</v>
      </c>
      <c r="AD219" s="1">
        <v>2820525</v>
      </c>
      <c r="AE219" s="1">
        <v>125367891</v>
      </c>
      <c r="AF219" s="1" t="s">
        <v>991</v>
      </c>
      <c r="AG219" s="1" t="s">
        <v>991</v>
      </c>
      <c r="AH219" s="1">
        <v>70.5</v>
      </c>
      <c r="AI219" s="1">
        <v>68.3</v>
      </c>
      <c r="AJ219" s="1" t="s">
        <v>992</v>
      </c>
      <c r="AK219" s="1" t="s">
        <v>993</v>
      </c>
      <c r="AL219" s="1" t="s">
        <v>994</v>
      </c>
    </row>
    <row r="220" spans="1:38" x14ac:dyDescent="0.6">
      <c r="A220" s="1">
        <v>142</v>
      </c>
      <c r="B220" s="1" t="s">
        <v>88</v>
      </c>
      <c r="C220" s="1">
        <v>58</v>
      </c>
      <c r="D220" s="1" t="s">
        <v>89</v>
      </c>
      <c r="E220" s="1" t="s">
        <v>108</v>
      </c>
      <c r="F220" s="1"/>
      <c r="G220" s="1"/>
      <c r="H220" s="1" t="s">
        <v>91</v>
      </c>
      <c r="I220" s="1" t="s">
        <v>92</v>
      </c>
      <c r="J220" s="1" t="s">
        <v>93</v>
      </c>
      <c r="K220" s="1">
        <v>1</v>
      </c>
      <c r="L220" s="1">
        <v>120</v>
      </c>
      <c r="M220" s="1" t="s">
        <v>7</v>
      </c>
      <c r="N220" s="1" t="s">
        <v>7</v>
      </c>
      <c r="O220" s="1" t="s">
        <v>96</v>
      </c>
      <c r="P220" s="1" t="s">
        <v>96</v>
      </c>
      <c r="Q220" s="1" t="s">
        <v>9</v>
      </c>
      <c r="R220" s="1">
        <v>0</v>
      </c>
      <c r="S220" s="1" t="s">
        <v>97</v>
      </c>
      <c r="T220" s="1" t="s">
        <v>97</v>
      </c>
      <c r="U220" s="1" t="b">
        <v>1</v>
      </c>
      <c r="V220" s="1" t="b">
        <v>0</v>
      </c>
      <c r="W220" s="1" t="b">
        <v>0</v>
      </c>
      <c r="X220" s="1">
        <v>5</v>
      </c>
      <c r="Y220" s="1" t="b">
        <v>1</v>
      </c>
      <c r="Z220" s="1" t="b">
        <v>1</v>
      </c>
      <c r="AA220" s="1">
        <v>70.8</v>
      </c>
      <c r="AB220" s="1" t="b">
        <v>0</v>
      </c>
      <c r="AC220" s="1">
        <v>0</v>
      </c>
      <c r="AD220" s="1">
        <v>2284828</v>
      </c>
      <c r="AE220" s="1">
        <v>173089508</v>
      </c>
      <c r="AF220" s="1" t="s">
        <v>995</v>
      </c>
      <c r="AG220" s="1" t="s">
        <v>995</v>
      </c>
      <c r="AH220" s="1">
        <v>62.1</v>
      </c>
      <c r="AI220" s="1">
        <v>67.5</v>
      </c>
      <c r="AJ220" s="1" t="s">
        <v>996</v>
      </c>
      <c r="AK220" s="1" t="s">
        <v>997</v>
      </c>
      <c r="AL220" s="1" t="s">
        <v>998</v>
      </c>
    </row>
    <row r="221" spans="1:38" x14ac:dyDescent="0.6">
      <c r="A221" s="1">
        <v>146</v>
      </c>
      <c r="B221" s="1" t="s">
        <v>88</v>
      </c>
      <c r="C221" s="1">
        <v>61</v>
      </c>
      <c r="D221" s="1" t="s">
        <v>127</v>
      </c>
      <c r="E221" s="1" t="s">
        <v>108</v>
      </c>
      <c r="F221" s="1"/>
      <c r="G221" s="1"/>
      <c r="H221" s="1" t="s">
        <v>91</v>
      </c>
      <c r="I221" s="1" t="s">
        <v>92</v>
      </c>
      <c r="J221" s="1" t="s">
        <v>93</v>
      </c>
      <c r="K221" s="1">
        <v>1</v>
      </c>
      <c r="L221" s="1">
        <v>120</v>
      </c>
      <c r="M221" s="1" t="s">
        <v>7</v>
      </c>
      <c r="N221" s="1" t="s">
        <v>7</v>
      </c>
      <c r="O221" s="1" t="s">
        <v>96</v>
      </c>
      <c r="P221" s="1" t="s">
        <v>96</v>
      </c>
      <c r="Q221" s="1" t="s">
        <v>9</v>
      </c>
      <c r="R221" s="1">
        <v>0</v>
      </c>
      <c r="S221" s="1" t="s">
        <v>97</v>
      </c>
      <c r="T221" s="1" t="s">
        <v>97</v>
      </c>
      <c r="U221" s="1" t="b">
        <v>1</v>
      </c>
      <c r="V221" s="1" t="b">
        <v>0</v>
      </c>
      <c r="W221" s="1" t="b">
        <v>0</v>
      </c>
      <c r="X221" s="1">
        <v>5</v>
      </c>
      <c r="Y221" s="1" t="b">
        <v>1</v>
      </c>
      <c r="Z221" s="1" t="b">
        <v>1</v>
      </c>
      <c r="AA221" s="1">
        <v>64.099999999999994</v>
      </c>
      <c r="AB221" s="1" t="b">
        <v>0</v>
      </c>
      <c r="AC221" s="1">
        <v>0</v>
      </c>
      <c r="AD221" s="1">
        <v>2450570</v>
      </c>
      <c r="AE221" s="1">
        <v>149855094</v>
      </c>
      <c r="AF221" s="1" t="s">
        <v>999</v>
      </c>
      <c r="AG221" s="1" t="s">
        <v>999</v>
      </c>
      <c r="AH221" s="1">
        <v>66.2</v>
      </c>
      <c r="AI221" s="1">
        <v>61.4</v>
      </c>
      <c r="AJ221" s="1" t="s">
        <v>1000</v>
      </c>
      <c r="AK221" s="1" t="s">
        <v>1001</v>
      </c>
      <c r="AL221" s="1" t="s">
        <v>1002</v>
      </c>
    </row>
    <row r="222" spans="1:38" x14ac:dyDescent="0.6">
      <c r="A222" s="1">
        <v>163</v>
      </c>
      <c r="B222" s="1" t="s">
        <v>88</v>
      </c>
      <c r="C222" s="1">
        <v>57</v>
      </c>
      <c r="D222" s="1" t="s">
        <v>89</v>
      </c>
      <c r="E222" s="1" t="s">
        <v>108</v>
      </c>
      <c r="F222" s="1"/>
      <c r="G222" s="1"/>
      <c r="H222" s="1" t="s">
        <v>91</v>
      </c>
      <c r="I222" s="1" t="s">
        <v>92</v>
      </c>
      <c r="J222" s="1" t="s">
        <v>93</v>
      </c>
      <c r="K222" s="1">
        <v>1</v>
      </c>
      <c r="L222" s="1">
        <v>120</v>
      </c>
      <c r="M222" s="1" t="s">
        <v>14</v>
      </c>
      <c r="N222" s="1" t="s">
        <v>95</v>
      </c>
      <c r="O222" s="1" t="s">
        <v>96</v>
      </c>
      <c r="P222" s="1"/>
      <c r="Q222" s="1" t="s">
        <v>9</v>
      </c>
      <c r="R222" s="1">
        <v>0</v>
      </c>
      <c r="S222" s="1" t="s">
        <v>97</v>
      </c>
      <c r="T222" s="1" t="s">
        <v>97</v>
      </c>
      <c r="U222" s="1" t="b">
        <v>1</v>
      </c>
      <c r="V222" s="1" t="b">
        <v>0</v>
      </c>
      <c r="W222" s="1" t="b">
        <v>0</v>
      </c>
      <c r="X222" s="1">
        <v>5</v>
      </c>
      <c r="Y222" s="1" t="b">
        <v>1</v>
      </c>
      <c r="Z222" s="1" t="b">
        <v>1</v>
      </c>
      <c r="AA222" s="1"/>
      <c r="AB222" s="1" t="b">
        <v>1</v>
      </c>
      <c r="AC222" s="1">
        <v>120830607</v>
      </c>
      <c r="AD222" s="1">
        <v>1066353</v>
      </c>
      <c r="AE222" s="1">
        <v>0</v>
      </c>
      <c r="AF222" s="1" t="s">
        <v>1003</v>
      </c>
      <c r="AG222" s="1" t="s">
        <v>1004</v>
      </c>
      <c r="AH222" s="1">
        <v>56.2</v>
      </c>
      <c r="AI222" s="1">
        <v>53.3</v>
      </c>
      <c r="AJ222" s="1" t="s">
        <v>1005</v>
      </c>
      <c r="AK222" s="1" t="s">
        <v>1006</v>
      </c>
      <c r="AL222" s="1" t="s">
        <v>1007</v>
      </c>
    </row>
    <row r="223" spans="1:38" x14ac:dyDescent="0.6">
      <c r="A223" s="1">
        <v>162</v>
      </c>
      <c r="B223" s="1" t="s">
        <v>88</v>
      </c>
      <c r="C223" s="1">
        <v>59</v>
      </c>
      <c r="D223" s="1" t="s">
        <v>89</v>
      </c>
      <c r="E223" s="1" t="s">
        <v>108</v>
      </c>
      <c r="F223" s="1"/>
      <c r="G223" s="1"/>
      <c r="H223" s="1" t="s">
        <v>91</v>
      </c>
      <c r="I223" s="1" t="s">
        <v>92</v>
      </c>
      <c r="J223" s="1" t="s">
        <v>93</v>
      </c>
      <c r="K223" s="1">
        <v>1</v>
      </c>
      <c r="L223" s="1">
        <v>120</v>
      </c>
      <c r="M223" s="1" t="s">
        <v>7</v>
      </c>
      <c r="N223" s="1" t="s">
        <v>7</v>
      </c>
      <c r="O223" s="1" t="s">
        <v>96</v>
      </c>
      <c r="P223" s="1" t="s">
        <v>96</v>
      </c>
      <c r="Q223" s="1" t="s">
        <v>9</v>
      </c>
      <c r="R223" s="1">
        <v>0</v>
      </c>
      <c r="S223" s="1" t="s">
        <v>97</v>
      </c>
      <c r="T223" s="1" t="s">
        <v>97</v>
      </c>
      <c r="U223" s="1" t="b">
        <v>1</v>
      </c>
      <c r="V223" s="1" t="b">
        <v>0</v>
      </c>
      <c r="W223" s="1" t="b">
        <v>0</v>
      </c>
      <c r="X223" s="1">
        <v>5</v>
      </c>
      <c r="Y223" s="1" t="b">
        <v>1</v>
      </c>
      <c r="Z223" s="1" t="b">
        <v>1</v>
      </c>
      <c r="AA223" s="1">
        <v>74.599999999999994</v>
      </c>
      <c r="AB223" s="1" t="b">
        <v>0</v>
      </c>
      <c r="AC223" s="1">
        <v>0</v>
      </c>
      <c r="AD223" s="1">
        <v>2519166</v>
      </c>
      <c r="AE223" s="1">
        <v>140087170</v>
      </c>
      <c r="AF223" s="1" t="s">
        <v>1008</v>
      </c>
      <c r="AG223" s="1" t="s">
        <v>1008</v>
      </c>
      <c r="AH223" s="1">
        <v>78.3</v>
      </c>
      <c r="AI223" s="1">
        <v>74.5</v>
      </c>
      <c r="AJ223" s="1" t="s">
        <v>1009</v>
      </c>
      <c r="AK223" s="1" t="s">
        <v>1010</v>
      </c>
      <c r="AL223" s="1" t="s">
        <v>1011</v>
      </c>
    </row>
    <row r="224" spans="1:38" x14ac:dyDescent="0.6">
      <c r="A224" s="1">
        <v>161</v>
      </c>
      <c r="B224" s="1" t="s">
        <v>88</v>
      </c>
      <c r="C224" s="1">
        <v>59</v>
      </c>
      <c r="D224" s="1" t="s">
        <v>89</v>
      </c>
      <c r="E224" s="1" t="s">
        <v>108</v>
      </c>
      <c r="F224" s="1"/>
      <c r="G224" s="1"/>
      <c r="H224" s="1" t="s">
        <v>91</v>
      </c>
      <c r="I224" s="1" t="s">
        <v>92</v>
      </c>
      <c r="J224" s="1" t="s">
        <v>93</v>
      </c>
      <c r="K224" s="1">
        <v>1</v>
      </c>
      <c r="L224" s="1">
        <v>120</v>
      </c>
      <c r="M224" s="1" t="s">
        <v>7</v>
      </c>
      <c r="N224" s="1" t="s">
        <v>7</v>
      </c>
      <c r="O224" s="1" t="s">
        <v>96</v>
      </c>
      <c r="P224" s="1" t="s">
        <v>96</v>
      </c>
      <c r="Q224" s="1" t="s">
        <v>9</v>
      </c>
      <c r="R224" s="1">
        <v>0</v>
      </c>
      <c r="S224" s="1" t="s">
        <v>97</v>
      </c>
      <c r="T224" s="1" t="s">
        <v>97</v>
      </c>
      <c r="U224" s="1" t="b">
        <v>1</v>
      </c>
      <c r="V224" s="1" t="b">
        <v>0</v>
      </c>
      <c r="W224" s="1" t="b">
        <v>0</v>
      </c>
      <c r="X224" s="1">
        <v>5</v>
      </c>
      <c r="Y224" s="1" t="b">
        <v>1</v>
      </c>
      <c r="Z224" s="1" t="b">
        <v>1</v>
      </c>
      <c r="AA224" s="1">
        <v>64.099999999999994</v>
      </c>
      <c r="AB224" s="1" t="b">
        <v>0</v>
      </c>
      <c r="AC224" s="1">
        <v>0</v>
      </c>
      <c r="AD224" s="1">
        <v>2475027</v>
      </c>
      <c r="AE224" s="1">
        <v>146422765</v>
      </c>
      <c r="AF224" s="1" t="s">
        <v>1012</v>
      </c>
      <c r="AG224" s="1" t="s">
        <v>1012</v>
      </c>
      <c r="AH224" s="1">
        <v>74.599999999999994</v>
      </c>
      <c r="AI224" s="1">
        <v>65.8</v>
      </c>
      <c r="AJ224" s="1" t="s">
        <v>1013</v>
      </c>
      <c r="AK224" s="1" t="s">
        <v>1014</v>
      </c>
      <c r="AL224" s="1" t="s">
        <v>1015</v>
      </c>
    </row>
    <row r="225" spans="1:38" x14ac:dyDescent="0.6">
      <c r="A225" s="1">
        <v>163</v>
      </c>
      <c r="B225" s="1" t="s">
        <v>88</v>
      </c>
      <c r="C225" s="1">
        <v>57</v>
      </c>
      <c r="D225" s="1" t="s">
        <v>89</v>
      </c>
      <c r="E225" s="1" t="s">
        <v>108</v>
      </c>
      <c r="F225" s="1"/>
      <c r="G225" s="1"/>
      <c r="H225" s="1" t="s">
        <v>91</v>
      </c>
      <c r="I225" s="1" t="s">
        <v>92</v>
      </c>
      <c r="J225" s="1" t="s">
        <v>93</v>
      </c>
      <c r="K225" s="1">
        <v>1</v>
      </c>
      <c r="L225" s="1">
        <v>120</v>
      </c>
      <c r="M225" s="1" t="s">
        <v>94</v>
      </c>
      <c r="N225" s="1" t="s">
        <v>95</v>
      </c>
      <c r="O225" s="1"/>
      <c r="P225" s="1" t="s">
        <v>96</v>
      </c>
      <c r="Q225" s="1" t="s">
        <v>9</v>
      </c>
      <c r="R225" s="1">
        <v>0</v>
      </c>
      <c r="S225" s="1" t="s">
        <v>97</v>
      </c>
      <c r="T225" s="1" t="s">
        <v>97</v>
      </c>
      <c r="U225" s="1" t="b">
        <v>1</v>
      </c>
      <c r="V225" s="1" t="b">
        <v>0</v>
      </c>
      <c r="W225" s="1" t="b">
        <v>0</v>
      </c>
      <c r="X225" s="1">
        <v>0</v>
      </c>
      <c r="Y225" s="1" t="b">
        <v>1</v>
      </c>
      <c r="Z225" s="1" t="b">
        <v>1</v>
      </c>
      <c r="AA225" s="1">
        <v>57.3</v>
      </c>
      <c r="AB225" s="1" t="b">
        <v>1</v>
      </c>
      <c r="AC225" s="1">
        <v>128592351</v>
      </c>
      <c r="AD225" s="1">
        <v>2741793</v>
      </c>
      <c r="AE225" s="1">
        <v>0</v>
      </c>
      <c r="AF225" s="1" t="s">
        <v>1003</v>
      </c>
      <c r="AG225" s="1" t="s">
        <v>1004</v>
      </c>
      <c r="AH225" s="1">
        <v>56.2</v>
      </c>
      <c r="AI225" s="1">
        <v>53.3</v>
      </c>
      <c r="AJ225" s="1" t="s">
        <v>1016</v>
      </c>
      <c r="AK225" s="1" t="s">
        <v>1017</v>
      </c>
      <c r="AL225" s="1" t="s">
        <v>1018</v>
      </c>
    </row>
    <row r="226" spans="1:38" x14ac:dyDescent="0.6">
      <c r="A226" s="1">
        <v>165</v>
      </c>
      <c r="B226" s="1" t="s">
        <v>103</v>
      </c>
      <c r="C226" s="1">
        <v>52</v>
      </c>
      <c r="D226" s="1" t="s">
        <v>89</v>
      </c>
      <c r="E226" s="1" t="s">
        <v>90</v>
      </c>
      <c r="F226" s="1"/>
      <c r="G226" s="1"/>
      <c r="H226" s="1" t="s">
        <v>91</v>
      </c>
      <c r="I226" s="1" t="s">
        <v>92</v>
      </c>
      <c r="J226" s="1" t="s">
        <v>93</v>
      </c>
      <c r="K226" s="1">
        <v>1</v>
      </c>
      <c r="L226" s="1">
        <v>120</v>
      </c>
      <c r="M226" s="1" t="s">
        <v>7</v>
      </c>
      <c r="N226" s="1" t="s">
        <v>7</v>
      </c>
      <c r="O226" s="1" t="s">
        <v>96</v>
      </c>
      <c r="P226" s="1" t="s">
        <v>96</v>
      </c>
      <c r="Q226" s="1" t="s">
        <v>9</v>
      </c>
      <c r="R226" s="1">
        <v>0</v>
      </c>
      <c r="S226" s="1" t="s">
        <v>97</v>
      </c>
      <c r="T226" s="1" t="s">
        <v>97</v>
      </c>
      <c r="U226" s="1" t="b">
        <v>1</v>
      </c>
      <c r="V226" s="1" t="b">
        <v>0</v>
      </c>
      <c r="W226" s="1" t="b">
        <v>0</v>
      </c>
      <c r="X226" s="1">
        <v>5</v>
      </c>
      <c r="Y226" s="1" t="b">
        <v>1</v>
      </c>
      <c r="Z226" s="1" t="b">
        <v>1</v>
      </c>
      <c r="AA226" s="1">
        <v>78.400000000000006</v>
      </c>
      <c r="AB226" s="1" t="b">
        <v>0</v>
      </c>
      <c r="AC226" s="1">
        <v>0</v>
      </c>
      <c r="AD226" s="1">
        <v>3041265</v>
      </c>
      <c r="AE226" s="1">
        <v>107583503</v>
      </c>
      <c r="AF226" s="1" t="s">
        <v>1019</v>
      </c>
      <c r="AG226" s="1" t="s">
        <v>1019</v>
      </c>
      <c r="AH226" s="1">
        <v>72.7</v>
      </c>
      <c r="AI226" s="1">
        <v>72.2</v>
      </c>
      <c r="AJ226" s="1" t="s">
        <v>1020</v>
      </c>
      <c r="AK226" s="1" t="s">
        <v>1021</v>
      </c>
      <c r="AL226" s="1" t="s">
        <v>1022</v>
      </c>
    </row>
    <row r="227" spans="1:38" x14ac:dyDescent="0.6">
      <c r="A227" s="1">
        <v>154</v>
      </c>
      <c r="B227" s="1" t="s">
        <v>88</v>
      </c>
      <c r="C227" s="1">
        <v>53</v>
      </c>
      <c r="D227" s="1" t="s">
        <v>89</v>
      </c>
      <c r="E227" s="1" t="s">
        <v>108</v>
      </c>
      <c r="F227" s="1"/>
      <c r="G227" s="1"/>
      <c r="H227" s="1" t="s">
        <v>91</v>
      </c>
      <c r="I227" s="1" t="s">
        <v>92</v>
      </c>
      <c r="J227" s="1" t="s">
        <v>93</v>
      </c>
      <c r="K227" s="1">
        <v>1</v>
      </c>
      <c r="L227" s="1">
        <v>120</v>
      </c>
      <c r="M227" s="1" t="s">
        <v>94</v>
      </c>
      <c r="N227" s="1" t="s">
        <v>95</v>
      </c>
      <c r="O227" s="1"/>
      <c r="P227" s="1" t="s">
        <v>96</v>
      </c>
      <c r="Q227" s="1" t="s">
        <v>9</v>
      </c>
      <c r="R227" s="1">
        <v>0</v>
      </c>
      <c r="S227" s="1" t="s">
        <v>97</v>
      </c>
      <c r="T227" s="1" t="s">
        <v>97</v>
      </c>
      <c r="U227" s="1" t="b">
        <v>1</v>
      </c>
      <c r="V227" s="1" t="b">
        <v>0</v>
      </c>
      <c r="W227" s="1" t="b">
        <v>0</v>
      </c>
      <c r="X227" s="1">
        <v>0</v>
      </c>
      <c r="Y227" s="1" t="b">
        <v>1</v>
      </c>
      <c r="Z227" s="1" t="b">
        <v>1</v>
      </c>
      <c r="AA227" s="1">
        <v>77.400000000000006</v>
      </c>
      <c r="AB227" s="1" t="b">
        <v>1</v>
      </c>
      <c r="AC227" s="1">
        <v>137210326</v>
      </c>
      <c r="AD227" s="1">
        <v>2250282</v>
      </c>
      <c r="AE227" s="1">
        <v>0</v>
      </c>
      <c r="AF227" s="1" t="s">
        <v>948</v>
      </c>
      <c r="AG227" s="1" t="s">
        <v>949</v>
      </c>
      <c r="AH227" s="1">
        <v>70.8</v>
      </c>
      <c r="AI227" s="1">
        <v>70.900000000000006</v>
      </c>
      <c r="AJ227" s="1" t="s">
        <v>1023</v>
      </c>
      <c r="AK227" s="1" t="s">
        <v>1024</v>
      </c>
      <c r="AL227" s="1" t="s">
        <v>1025</v>
      </c>
    </row>
    <row r="228" spans="1:38" x14ac:dyDescent="0.6">
      <c r="A228" s="1">
        <v>166</v>
      </c>
      <c r="B228" s="1" t="s">
        <v>103</v>
      </c>
      <c r="C228" s="1">
        <v>51</v>
      </c>
      <c r="D228" s="1" t="s">
        <v>89</v>
      </c>
      <c r="E228" s="1" t="s">
        <v>90</v>
      </c>
      <c r="F228" s="1"/>
      <c r="G228" s="1"/>
      <c r="H228" s="1" t="s">
        <v>91</v>
      </c>
      <c r="I228" s="1" t="s">
        <v>92</v>
      </c>
      <c r="J228" s="1" t="s">
        <v>93</v>
      </c>
      <c r="K228" s="1">
        <v>1</v>
      </c>
      <c r="L228" s="1">
        <v>120</v>
      </c>
      <c r="M228" s="1" t="s">
        <v>94</v>
      </c>
      <c r="N228" s="1" t="s">
        <v>95</v>
      </c>
      <c r="O228" s="1"/>
      <c r="P228" s="1" t="s">
        <v>96</v>
      </c>
      <c r="Q228" s="1" t="s">
        <v>9</v>
      </c>
      <c r="R228" s="1">
        <v>0</v>
      </c>
      <c r="S228" s="1" t="s">
        <v>97</v>
      </c>
      <c r="T228" s="1" t="s">
        <v>97</v>
      </c>
      <c r="U228" s="1" t="b">
        <v>1</v>
      </c>
      <c r="V228" s="1" t="b">
        <v>0</v>
      </c>
      <c r="W228" s="1" t="b">
        <v>0</v>
      </c>
      <c r="X228" s="1">
        <v>0</v>
      </c>
      <c r="Y228" s="1" t="b">
        <v>1</v>
      </c>
      <c r="Z228" s="1" t="b">
        <v>1</v>
      </c>
      <c r="AA228" s="1">
        <v>66.900000000000006</v>
      </c>
      <c r="AB228" s="1" t="b">
        <v>1</v>
      </c>
      <c r="AC228" s="1">
        <v>139954217</v>
      </c>
      <c r="AD228" s="1">
        <v>1341399</v>
      </c>
      <c r="AE228" s="1">
        <v>0</v>
      </c>
      <c r="AF228" s="1" t="s">
        <v>1026</v>
      </c>
      <c r="AG228" s="1" t="s">
        <v>1027</v>
      </c>
      <c r="AH228" s="1">
        <v>64.7</v>
      </c>
      <c r="AI228" s="1">
        <v>64.599999999999994</v>
      </c>
      <c r="AJ228" s="1" t="s">
        <v>1028</v>
      </c>
      <c r="AK228" s="1" t="s">
        <v>1029</v>
      </c>
      <c r="AL228" s="1" t="s">
        <v>1030</v>
      </c>
    </row>
    <row r="229" spans="1:38" x14ac:dyDescent="0.6">
      <c r="A229" s="1">
        <v>164</v>
      </c>
      <c r="B229" s="1" t="s">
        <v>103</v>
      </c>
      <c r="C229" s="1">
        <v>61</v>
      </c>
      <c r="D229" s="1" t="s">
        <v>127</v>
      </c>
      <c r="E229" s="1" t="s">
        <v>108</v>
      </c>
      <c r="F229" s="1"/>
      <c r="G229" s="1"/>
      <c r="H229" s="1" t="s">
        <v>91</v>
      </c>
      <c r="I229" s="1" t="s">
        <v>92</v>
      </c>
      <c r="J229" s="1" t="s">
        <v>93</v>
      </c>
      <c r="K229" s="1">
        <v>1</v>
      </c>
      <c r="L229" s="1">
        <v>120</v>
      </c>
      <c r="M229" s="1" t="s">
        <v>94</v>
      </c>
      <c r="N229" s="1" t="s">
        <v>95</v>
      </c>
      <c r="O229" s="1"/>
      <c r="P229" s="1" t="s">
        <v>96</v>
      </c>
      <c r="Q229" s="1" t="s">
        <v>9</v>
      </c>
      <c r="R229" s="1">
        <v>0</v>
      </c>
      <c r="S229" s="1" t="s">
        <v>97</v>
      </c>
      <c r="T229" s="1" t="s">
        <v>97</v>
      </c>
      <c r="U229" s="1" t="b">
        <v>1</v>
      </c>
      <c r="V229" s="1" t="b">
        <v>0</v>
      </c>
      <c r="W229" s="1" t="b">
        <v>0</v>
      </c>
      <c r="X229" s="1">
        <v>0</v>
      </c>
      <c r="Y229" s="1" t="b">
        <v>1</v>
      </c>
      <c r="Z229" s="1" t="b">
        <v>1</v>
      </c>
      <c r="AA229" s="1">
        <v>71.7</v>
      </c>
      <c r="AB229" s="1" t="b">
        <v>1</v>
      </c>
      <c r="AC229" s="1">
        <v>160912879</v>
      </c>
      <c r="AD229" s="1">
        <v>2140689</v>
      </c>
      <c r="AE229" s="1">
        <v>0</v>
      </c>
      <c r="AF229" s="1" t="s">
        <v>1031</v>
      </c>
      <c r="AG229" s="1" t="s">
        <v>1032</v>
      </c>
      <c r="AH229" s="1">
        <v>72.400000000000006</v>
      </c>
      <c r="AI229" s="1">
        <v>71.3</v>
      </c>
      <c r="AJ229" s="1" t="s">
        <v>1033</v>
      </c>
      <c r="AK229" s="1" t="s">
        <v>1034</v>
      </c>
      <c r="AL229" s="1" t="s">
        <v>1035</v>
      </c>
    </row>
    <row r="230" spans="1:38" x14ac:dyDescent="0.6">
      <c r="A230" s="1">
        <v>166</v>
      </c>
      <c r="B230" s="1" t="s">
        <v>103</v>
      </c>
      <c r="C230" s="1">
        <v>51</v>
      </c>
      <c r="D230" s="1" t="s">
        <v>89</v>
      </c>
      <c r="E230" s="1" t="s">
        <v>90</v>
      </c>
      <c r="F230" s="1"/>
      <c r="G230" s="1"/>
      <c r="H230" s="1" t="s">
        <v>91</v>
      </c>
      <c r="I230" s="1" t="s">
        <v>92</v>
      </c>
      <c r="J230" s="1" t="s">
        <v>93</v>
      </c>
      <c r="K230" s="1">
        <v>1</v>
      </c>
      <c r="L230" s="1">
        <v>120</v>
      </c>
      <c r="M230" s="1" t="s">
        <v>14</v>
      </c>
      <c r="N230" s="1" t="s">
        <v>95</v>
      </c>
      <c r="O230" s="1" t="s">
        <v>96</v>
      </c>
      <c r="P230" s="1"/>
      <c r="Q230" s="1" t="s">
        <v>9</v>
      </c>
      <c r="R230" s="1">
        <v>0</v>
      </c>
      <c r="S230" s="1" t="s">
        <v>97</v>
      </c>
      <c r="T230" s="1" t="s">
        <v>97</v>
      </c>
      <c r="U230" s="1" t="b">
        <v>1</v>
      </c>
      <c r="V230" s="1" t="b">
        <v>0</v>
      </c>
      <c r="W230" s="1" t="b">
        <v>0</v>
      </c>
      <c r="X230" s="1">
        <v>5</v>
      </c>
      <c r="Y230" s="1" t="b">
        <v>1</v>
      </c>
      <c r="Z230" s="1" t="b">
        <v>1</v>
      </c>
      <c r="AA230" s="1"/>
      <c r="AB230" s="1" t="b">
        <v>1</v>
      </c>
      <c r="AC230" s="1">
        <v>136125212</v>
      </c>
      <c r="AD230" s="1">
        <v>451812</v>
      </c>
      <c r="AE230" s="1">
        <v>0</v>
      </c>
      <c r="AF230" s="1" t="s">
        <v>1026</v>
      </c>
      <c r="AG230" s="1" t="s">
        <v>1027</v>
      </c>
      <c r="AH230" s="1">
        <v>64.7</v>
      </c>
      <c r="AI230" s="1">
        <v>64.599999999999994</v>
      </c>
      <c r="AJ230" s="1" t="s">
        <v>1036</v>
      </c>
      <c r="AK230" s="1" t="s">
        <v>1037</v>
      </c>
      <c r="AL230" s="1" t="s">
        <v>1038</v>
      </c>
    </row>
    <row r="231" spans="1:38" x14ac:dyDescent="0.6">
      <c r="A231" s="1">
        <v>160</v>
      </c>
      <c r="B231" s="1" t="s">
        <v>88</v>
      </c>
      <c r="C231" s="1">
        <v>58</v>
      </c>
      <c r="D231" s="1" t="s">
        <v>89</v>
      </c>
      <c r="E231" s="1" t="s">
        <v>108</v>
      </c>
      <c r="F231" s="1"/>
      <c r="G231" s="1"/>
      <c r="H231" s="1" t="s">
        <v>91</v>
      </c>
      <c r="I231" s="1" t="s">
        <v>92</v>
      </c>
      <c r="J231" s="1" t="s">
        <v>93</v>
      </c>
      <c r="K231" s="1">
        <v>1</v>
      </c>
      <c r="L231" s="1">
        <v>120</v>
      </c>
      <c r="M231" s="1" t="s">
        <v>14</v>
      </c>
      <c r="N231" s="1" t="s">
        <v>95</v>
      </c>
      <c r="O231" s="1" t="s">
        <v>96</v>
      </c>
      <c r="P231" s="1"/>
      <c r="Q231" s="1" t="s">
        <v>9</v>
      </c>
      <c r="R231" s="1">
        <v>0</v>
      </c>
      <c r="S231" s="1" t="s">
        <v>97</v>
      </c>
      <c r="T231" s="1" t="s">
        <v>97</v>
      </c>
      <c r="U231" s="1" t="b">
        <v>1</v>
      </c>
      <c r="V231" s="1" t="b">
        <v>0</v>
      </c>
      <c r="W231" s="1" t="b">
        <v>0</v>
      </c>
      <c r="X231" s="1">
        <v>5</v>
      </c>
      <c r="Y231" s="1" t="b">
        <v>1</v>
      </c>
      <c r="Z231" s="1" t="b">
        <v>1</v>
      </c>
      <c r="AA231" s="1"/>
      <c r="AB231" s="1" t="b">
        <v>1</v>
      </c>
      <c r="AC231" s="1">
        <v>130622554</v>
      </c>
      <c r="AD231" s="1">
        <v>711590</v>
      </c>
      <c r="AE231" s="1">
        <v>0</v>
      </c>
      <c r="AF231" s="1" t="s">
        <v>970</v>
      </c>
      <c r="AG231" s="1" t="s">
        <v>971</v>
      </c>
      <c r="AH231" s="1">
        <v>57</v>
      </c>
      <c r="AI231" s="1">
        <v>56.4</v>
      </c>
      <c r="AJ231" s="1" t="s">
        <v>1039</v>
      </c>
      <c r="AK231" s="1" t="s">
        <v>1040</v>
      </c>
      <c r="AL231" s="1" t="s">
        <v>1041</v>
      </c>
    </row>
    <row r="232" spans="1:38" x14ac:dyDescent="0.6">
      <c r="A232" s="1">
        <v>172</v>
      </c>
      <c r="B232" s="1" t="s">
        <v>88</v>
      </c>
      <c r="C232" s="1">
        <v>52</v>
      </c>
      <c r="D232" s="1" t="s">
        <v>89</v>
      </c>
      <c r="E232" s="1" t="s">
        <v>108</v>
      </c>
      <c r="F232" s="1"/>
      <c r="G232" s="1"/>
      <c r="H232" s="1" t="s">
        <v>189</v>
      </c>
      <c r="I232" s="1" t="s">
        <v>190</v>
      </c>
      <c r="J232" s="1" t="s">
        <v>191</v>
      </c>
      <c r="K232" s="1">
        <v>1</v>
      </c>
      <c r="L232" s="1">
        <v>120</v>
      </c>
      <c r="M232" s="1" t="s">
        <v>14</v>
      </c>
      <c r="N232" s="1" t="s">
        <v>95</v>
      </c>
      <c r="O232" s="1" t="s">
        <v>96</v>
      </c>
      <c r="P232" s="1"/>
      <c r="Q232" s="1" t="s">
        <v>9</v>
      </c>
      <c r="R232" s="1">
        <v>0</v>
      </c>
      <c r="S232" s="1" t="s">
        <v>97</v>
      </c>
      <c r="T232" s="1" t="s">
        <v>97</v>
      </c>
      <c r="U232" s="1" t="b">
        <v>1</v>
      </c>
      <c r="V232" s="1" t="b">
        <v>0</v>
      </c>
      <c r="W232" s="1" t="b">
        <v>0</v>
      </c>
      <c r="X232" s="1">
        <v>5</v>
      </c>
      <c r="Y232" s="1" t="b">
        <v>1</v>
      </c>
      <c r="Z232" s="1" t="b">
        <v>1</v>
      </c>
      <c r="AA232" s="1"/>
      <c r="AB232" s="1" t="b">
        <v>1</v>
      </c>
      <c r="AC232" s="1">
        <v>146855759</v>
      </c>
      <c r="AD232" s="1">
        <v>731313</v>
      </c>
      <c r="AE232" s="1">
        <v>0</v>
      </c>
      <c r="AF232" s="1" t="s">
        <v>1042</v>
      </c>
      <c r="AG232" s="1" t="s">
        <v>1043</v>
      </c>
      <c r="AH232" s="1">
        <v>81.099999999999994</v>
      </c>
      <c r="AI232" s="1">
        <v>77.599999999999994</v>
      </c>
      <c r="AJ232" s="1" t="s">
        <v>1044</v>
      </c>
      <c r="AK232" s="1" t="s">
        <v>1045</v>
      </c>
      <c r="AL232" s="1" t="s">
        <v>1046</v>
      </c>
    </row>
    <row r="233" spans="1:38" x14ac:dyDescent="0.6">
      <c r="A233" s="1">
        <v>174</v>
      </c>
      <c r="B233" s="1" t="s">
        <v>103</v>
      </c>
      <c r="C233" s="1">
        <v>76</v>
      </c>
      <c r="D233" s="1" t="s">
        <v>119</v>
      </c>
      <c r="E233" s="1" t="s">
        <v>90</v>
      </c>
      <c r="F233" s="1"/>
      <c r="G233" s="1"/>
      <c r="H233" s="1" t="s">
        <v>189</v>
      </c>
      <c r="I233" s="1" t="s">
        <v>190</v>
      </c>
      <c r="J233" s="1" t="s">
        <v>191</v>
      </c>
      <c r="K233" s="1">
        <v>1</v>
      </c>
      <c r="L233" s="1">
        <v>120</v>
      </c>
      <c r="M233" s="1" t="s">
        <v>94</v>
      </c>
      <c r="N233" s="1" t="s">
        <v>95</v>
      </c>
      <c r="O233" s="1"/>
      <c r="P233" s="1" t="s">
        <v>96</v>
      </c>
      <c r="Q233" s="1" t="s">
        <v>9</v>
      </c>
      <c r="R233" s="1">
        <v>0</v>
      </c>
      <c r="S233" s="1" t="s">
        <v>97</v>
      </c>
      <c r="T233" s="1" t="s">
        <v>97</v>
      </c>
      <c r="U233" s="1" t="b">
        <v>1</v>
      </c>
      <c r="V233" s="1" t="b">
        <v>0</v>
      </c>
      <c r="W233" s="1" t="b">
        <v>0</v>
      </c>
      <c r="X233" s="1">
        <v>0</v>
      </c>
      <c r="Y233" s="1" t="b">
        <v>1</v>
      </c>
      <c r="Z233" s="1" t="b">
        <v>1</v>
      </c>
      <c r="AA233" s="1">
        <v>55.2</v>
      </c>
      <c r="AB233" s="1" t="b">
        <v>1</v>
      </c>
      <c r="AC233" s="1">
        <v>140475735</v>
      </c>
      <c r="AD233" s="1">
        <v>2130601</v>
      </c>
      <c r="AE233" s="1">
        <v>0</v>
      </c>
      <c r="AF233" s="1" t="s">
        <v>1047</v>
      </c>
      <c r="AG233" s="1" t="s">
        <v>1048</v>
      </c>
      <c r="AH233" s="1">
        <v>60</v>
      </c>
      <c r="AI233" s="1">
        <v>52.9</v>
      </c>
      <c r="AJ233" s="1" t="s">
        <v>1049</v>
      </c>
      <c r="AK233" s="1" t="s">
        <v>1050</v>
      </c>
      <c r="AL233" s="1" t="s">
        <v>1051</v>
      </c>
    </row>
    <row r="234" spans="1:38" x14ac:dyDescent="0.6">
      <c r="A234" s="1">
        <v>157</v>
      </c>
      <c r="B234" s="1" t="s">
        <v>103</v>
      </c>
      <c r="C234" s="1">
        <v>62</v>
      </c>
      <c r="D234" s="1" t="s">
        <v>127</v>
      </c>
      <c r="E234" s="1" t="s">
        <v>108</v>
      </c>
      <c r="F234" s="1"/>
      <c r="G234" s="1"/>
      <c r="H234" s="1" t="s">
        <v>91</v>
      </c>
      <c r="I234" s="1" t="s">
        <v>92</v>
      </c>
      <c r="J234" s="1" t="s">
        <v>93</v>
      </c>
      <c r="K234" s="1">
        <v>1</v>
      </c>
      <c r="L234" s="1">
        <v>120</v>
      </c>
      <c r="M234" s="1" t="s">
        <v>7</v>
      </c>
      <c r="N234" s="1" t="s">
        <v>7</v>
      </c>
      <c r="O234" s="1" t="s">
        <v>96</v>
      </c>
      <c r="P234" s="1" t="s">
        <v>96</v>
      </c>
      <c r="Q234" s="1" t="s">
        <v>9</v>
      </c>
      <c r="R234" s="1">
        <v>0</v>
      </c>
      <c r="S234" s="1" t="s">
        <v>97</v>
      </c>
      <c r="T234" s="1" t="s">
        <v>97</v>
      </c>
      <c r="U234" s="1" t="b">
        <v>1</v>
      </c>
      <c r="V234" s="1" t="b">
        <v>0</v>
      </c>
      <c r="W234" s="1" t="b">
        <v>0</v>
      </c>
      <c r="X234" s="1">
        <v>5</v>
      </c>
      <c r="Y234" s="1" t="b">
        <v>1</v>
      </c>
      <c r="Z234" s="1" t="b">
        <v>1</v>
      </c>
      <c r="AA234" s="1">
        <v>63.7</v>
      </c>
      <c r="AB234" s="1" t="b">
        <v>0</v>
      </c>
      <c r="AC234" s="1">
        <v>0</v>
      </c>
      <c r="AD234" s="1">
        <v>3160972</v>
      </c>
      <c r="AE234" s="1">
        <v>143901812</v>
      </c>
      <c r="AF234" s="1" t="s">
        <v>1052</v>
      </c>
      <c r="AG234" s="1" t="s">
        <v>1052</v>
      </c>
      <c r="AH234" s="1">
        <v>58.9</v>
      </c>
      <c r="AI234" s="1">
        <v>61.3</v>
      </c>
      <c r="AJ234" s="1" t="s">
        <v>1053</v>
      </c>
      <c r="AK234" s="1" t="s">
        <v>1054</v>
      </c>
      <c r="AL234" s="1" t="s">
        <v>1055</v>
      </c>
    </row>
    <row r="235" spans="1:38" x14ac:dyDescent="0.6">
      <c r="A235" s="1">
        <v>167</v>
      </c>
      <c r="B235" s="1" t="s">
        <v>88</v>
      </c>
      <c r="C235" s="1">
        <v>61</v>
      </c>
      <c r="D235" s="1" t="s">
        <v>127</v>
      </c>
      <c r="E235" s="1" t="s">
        <v>90</v>
      </c>
      <c r="F235" s="1"/>
      <c r="G235" s="1"/>
      <c r="H235" s="1" t="s">
        <v>91</v>
      </c>
      <c r="I235" s="1" t="s">
        <v>92</v>
      </c>
      <c r="J235" s="1" t="s">
        <v>93</v>
      </c>
      <c r="K235" s="1">
        <v>1</v>
      </c>
      <c r="L235" s="1">
        <v>120</v>
      </c>
      <c r="M235" s="1" t="s">
        <v>7</v>
      </c>
      <c r="N235" s="1" t="s">
        <v>7</v>
      </c>
      <c r="O235" s="1" t="s">
        <v>96</v>
      </c>
      <c r="P235" s="1" t="s">
        <v>96</v>
      </c>
      <c r="Q235" s="1" t="s">
        <v>200</v>
      </c>
      <c r="R235" s="1">
        <v>1</v>
      </c>
      <c r="S235" s="1" t="s">
        <v>97</v>
      </c>
      <c r="T235" s="1" t="s">
        <v>200</v>
      </c>
      <c r="U235" s="1" t="b">
        <v>0</v>
      </c>
      <c r="V235" s="1" t="b">
        <v>1</v>
      </c>
      <c r="W235" s="1" t="b">
        <v>1</v>
      </c>
      <c r="X235" s="1">
        <v>6</v>
      </c>
      <c r="Y235" s="1" t="b">
        <v>1</v>
      </c>
      <c r="Z235" s="1" t="b">
        <v>1</v>
      </c>
      <c r="AA235" s="1">
        <v>78.8</v>
      </c>
      <c r="AB235" s="1" t="b">
        <v>0</v>
      </c>
      <c r="AC235" s="1">
        <v>0</v>
      </c>
      <c r="AD235" s="1">
        <v>2081246</v>
      </c>
      <c r="AE235" s="1">
        <v>152583714</v>
      </c>
      <c r="AF235" s="1" t="s">
        <v>1056</v>
      </c>
      <c r="AG235" s="1" t="s">
        <v>1056</v>
      </c>
      <c r="AH235" s="1">
        <v>64.5</v>
      </c>
      <c r="AI235" s="1">
        <v>71.900000000000006</v>
      </c>
      <c r="AJ235" s="1" t="s">
        <v>1057</v>
      </c>
      <c r="AK235" s="1" t="s">
        <v>1058</v>
      </c>
      <c r="AL235" s="1" t="s">
        <v>1059</v>
      </c>
    </row>
    <row r="236" spans="1:38" x14ac:dyDescent="0.6">
      <c r="A236" s="1">
        <v>174</v>
      </c>
      <c r="B236" s="1" t="s">
        <v>103</v>
      </c>
      <c r="C236" s="1">
        <v>76</v>
      </c>
      <c r="D236" s="1" t="s">
        <v>119</v>
      </c>
      <c r="E236" s="1" t="s">
        <v>90</v>
      </c>
      <c r="F236" s="1"/>
      <c r="G236" s="1"/>
      <c r="H236" s="1" t="s">
        <v>189</v>
      </c>
      <c r="I236" s="1" t="s">
        <v>190</v>
      </c>
      <c r="J236" s="1" t="s">
        <v>191</v>
      </c>
      <c r="K236" s="1">
        <v>1</v>
      </c>
      <c r="L236" s="1">
        <v>120</v>
      </c>
      <c r="M236" s="1" t="s">
        <v>14</v>
      </c>
      <c r="N236" s="1" t="s">
        <v>95</v>
      </c>
      <c r="O236" s="1" t="s">
        <v>96</v>
      </c>
      <c r="P236" s="1"/>
      <c r="Q236" s="1" t="s">
        <v>9</v>
      </c>
      <c r="R236" s="1">
        <v>0</v>
      </c>
      <c r="S236" s="1" t="s">
        <v>97</v>
      </c>
      <c r="T236" s="1" t="s">
        <v>97</v>
      </c>
      <c r="U236" s="1" t="b">
        <v>1</v>
      </c>
      <c r="V236" s="1" t="b">
        <v>0</v>
      </c>
      <c r="W236" s="1" t="b">
        <v>0</v>
      </c>
      <c r="X236" s="1">
        <v>5</v>
      </c>
      <c r="Y236" s="1" t="b">
        <v>1</v>
      </c>
      <c r="Z236" s="1" t="b">
        <v>1</v>
      </c>
      <c r="AA236" s="1"/>
      <c r="AB236" s="1" t="b">
        <v>1</v>
      </c>
      <c r="AC236" s="1">
        <v>130557607</v>
      </c>
      <c r="AD236" s="1">
        <v>776537</v>
      </c>
      <c r="AE236" s="1">
        <v>0</v>
      </c>
      <c r="AF236" s="1" t="s">
        <v>1047</v>
      </c>
      <c r="AG236" s="1" t="s">
        <v>1048</v>
      </c>
      <c r="AH236" s="1">
        <v>60</v>
      </c>
      <c r="AI236" s="1">
        <v>52.9</v>
      </c>
      <c r="AJ236" s="1" t="s">
        <v>1060</v>
      </c>
      <c r="AK236" s="1" t="s">
        <v>1061</v>
      </c>
      <c r="AL236" s="1" t="s">
        <v>1062</v>
      </c>
    </row>
    <row r="237" spans="1:38" x14ac:dyDescent="0.6">
      <c r="A237" s="1">
        <v>173</v>
      </c>
      <c r="B237" s="1" t="s">
        <v>88</v>
      </c>
      <c r="C237" s="1">
        <v>53</v>
      </c>
      <c r="D237" s="1" t="s">
        <v>89</v>
      </c>
      <c r="E237" s="1" t="s">
        <v>90</v>
      </c>
      <c r="F237" s="1"/>
      <c r="G237" s="1"/>
      <c r="H237" s="1" t="s">
        <v>189</v>
      </c>
      <c r="I237" s="1" t="s">
        <v>190</v>
      </c>
      <c r="J237" s="1" t="s">
        <v>191</v>
      </c>
      <c r="K237" s="1">
        <v>1</v>
      </c>
      <c r="L237" s="1">
        <v>120</v>
      </c>
      <c r="M237" s="1" t="s">
        <v>94</v>
      </c>
      <c r="N237" s="1" t="s">
        <v>236</v>
      </c>
      <c r="O237" s="1"/>
      <c r="P237" s="1" t="s">
        <v>96</v>
      </c>
      <c r="Q237" s="1" t="s">
        <v>9</v>
      </c>
      <c r="R237" s="1">
        <v>0</v>
      </c>
      <c r="S237" s="1" t="s">
        <v>97</v>
      </c>
      <c r="T237" s="1"/>
      <c r="U237" s="1"/>
      <c r="V237" s="1" t="b">
        <v>0</v>
      </c>
      <c r="W237" s="1" t="b">
        <v>0</v>
      </c>
      <c r="X237" s="1">
        <v>0</v>
      </c>
      <c r="Y237" s="1" t="b">
        <v>1</v>
      </c>
      <c r="Z237" s="1" t="b">
        <v>1</v>
      </c>
      <c r="AA237" s="1">
        <v>85.6</v>
      </c>
      <c r="AB237" s="1" t="b">
        <v>1</v>
      </c>
      <c r="AC237" s="1">
        <v>150626364</v>
      </c>
      <c r="AD237" s="1">
        <v>1941444</v>
      </c>
      <c r="AE237" s="1">
        <v>0</v>
      </c>
      <c r="AF237" s="1"/>
      <c r="AG237" s="1" t="s">
        <v>1063</v>
      </c>
      <c r="AH237" s="1"/>
      <c r="AI237" s="1">
        <v>81.900000000000006</v>
      </c>
      <c r="AJ237" s="1" t="s">
        <v>1064</v>
      </c>
      <c r="AK237" s="1" t="s">
        <v>1065</v>
      </c>
      <c r="AL237" s="1" t="s">
        <v>1066</v>
      </c>
    </row>
    <row r="238" spans="1:38" x14ac:dyDescent="0.6">
      <c r="A238" s="1">
        <v>171</v>
      </c>
      <c r="B238" s="1" t="s">
        <v>88</v>
      </c>
      <c r="C238" s="1">
        <v>58</v>
      </c>
      <c r="D238" s="1" t="s">
        <v>89</v>
      </c>
      <c r="E238" s="1" t="s">
        <v>108</v>
      </c>
      <c r="F238" s="1"/>
      <c r="G238" s="1"/>
      <c r="H238" s="1" t="s">
        <v>189</v>
      </c>
      <c r="I238" s="1" t="s">
        <v>190</v>
      </c>
      <c r="J238" s="1" t="s">
        <v>191</v>
      </c>
      <c r="K238" s="1">
        <v>1</v>
      </c>
      <c r="L238" s="1">
        <v>120</v>
      </c>
      <c r="M238" s="1" t="s">
        <v>7</v>
      </c>
      <c r="N238" s="1" t="s">
        <v>7</v>
      </c>
      <c r="O238" s="1" t="s">
        <v>96</v>
      </c>
      <c r="P238" s="1" t="s">
        <v>96</v>
      </c>
      <c r="Q238" s="1" t="s">
        <v>9</v>
      </c>
      <c r="R238" s="1">
        <v>0</v>
      </c>
      <c r="S238" s="1" t="s">
        <v>97</v>
      </c>
      <c r="T238" s="1" t="s">
        <v>97</v>
      </c>
      <c r="U238" s="1" t="b">
        <v>1</v>
      </c>
      <c r="V238" s="1" t="b">
        <v>0</v>
      </c>
      <c r="W238" s="1" t="b">
        <v>0</v>
      </c>
      <c r="X238" s="1">
        <v>5</v>
      </c>
      <c r="Y238" s="1" t="b">
        <v>1</v>
      </c>
      <c r="Z238" s="1" t="b">
        <v>1</v>
      </c>
      <c r="AA238" s="1">
        <v>70.5</v>
      </c>
      <c r="AB238" s="1" t="b">
        <v>0</v>
      </c>
      <c r="AC238" s="1">
        <v>0</v>
      </c>
      <c r="AD238" s="1">
        <v>3370069</v>
      </c>
      <c r="AE238" s="1">
        <v>165450667</v>
      </c>
      <c r="AF238" s="1" t="s">
        <v>1067</v>
      </c>
      <c r="AG238" s="1" t="s">
        <v>1067</v>
      </c>
      <c r="AH238" s="1">
        <v>71.7</v>
      </c>
      <c r="AI238" s="1">
        <v>66.7</v>
      </c>
      <c r="AJ238" s="1" t="s">
        <v>1068</v>
      </c>
      <c r="AK238" s="1" t="s">
        <v>1069</v>
      </c>
      <c r="AL238" s="1" t="s">
        <v>1070</v>
      </c>
    </row>
    <row r="239" spans="1:38" x14ac:dyDescent="0.6">
      <c r="A239" s="1">
        <v>172</v>
      </c>
      <c r="B239" s="1" t="s">
        <v>88</v>
      </c>
      <c r="C239" s="1">
        <v>52</v>
      </c>
      <c r="D239" s="1" t="s">
        <v>89</v>
      </c>
      <c r="E239" s="1" t="s">
        <v>108</v>
      </c>
      <c r="F239" s="1"/>
      <c r="G239" s="1"/>
      <c r="H239" s="1" t="s">
        <v>189</v>
      </c>
      <c r="I239" s="1" t="s">
        <v>190</v>
      </c>
      <c r="J239" s="1" t="s">
        <v>191</v>
      </c>
      <c r="K239" s="1">
        <v>1</v>
      </c>
      <c r="L239" s="1">
        <v>120</v>
      </c>
      <c r="M239" s="1" t="s">
        <v>94</v>
      </c>
      <c r="N239" s="1" t="s">
        <v>95</v>
      </c>
      <c r="O239" s="1"/>
      <c r="P239" s="1" t="s">
        <v>96</v>
      </c>
      <c r="Q239" s="1" t="s">
        <v>9</v>
      </c>
      <c r="R239" s="1">
        <v>0</v>
      </c>
      <c r="S239" s="1" t="s">
        <v>97</v>
      </c>
      <c r="T239" s="1" t="s">
        <v>97</v>
      </c>
      <c r="U239" s="1" t="b">
        <v>1</v>
      </c>
      <c r="V239" s="1" t="b">
        <v>0</v>
      </c>
      <c r="W239" s="1" t="b">
        <v>0</v>
      </c>
      <c r="X239" s="1">
        <v>0</v>
      </c>
      <c r="Y239" s="1" t="b">
        <v>1</v>
      </c>
      <c r="Z239" s="1" t="b">
        <v>1</v>
      </c>
      <c r="AA239" s="1">
        <v>80.900000000000006</v>
      </c>
      <c r="AB239" s="1" t="b">
        <v>1</v>
      </c>
      <c r="AC239" s="1">
        <v>152199293</v>
      </c>
      <c r="AD239" s="1">
        <v>1941379</v>
      </c>
      <c r="AE239" s="1">
        <v>0</v>
      </c>
      <c r="AF239" s="1" t="s">
        <v>1042</v>
      </c>
      <c r="AG239" s="1" t="s">
        <v>1043</v>
      </c>
      <c r="AH239" s="1">
        <v>81.099999999999994</v>
      </c>
      <c r="AI239" s="1">
        <v>77.599999999999994</v>
      </c>
      <c r="AJ239" s="1" t="s">
        <v>1071</v>
      </c>
      <c r="AK239" s="1" t="s">
        <v>1072</v>
      </c>
      <c r="AL239" s="1" t="s">
        <v>1073</v>
      </c>
    </row>
    <row r="240" spans="1:38" x14ac:dyDescent="0.6">
      <c r="A240" s="1">
        <v>177</v>
      </c>
      <c r="B240" s="1" t="s">
        <v>103</v>
      </c>
      <c r="C240" s="1">
        <v>50</v>
      </c>
      <c r="D240" s="1" t="s">
        <v>89</v>
      </c>
      <c r="E240" s="1" t="s">
        <v>108</v>
      </c>
      <c r="F240" s="1"/>
      <c r="G240" s="1"/>
      <c r="H240" s="1" t="s">
        <v>220</v>
      </c>
      <c r="I240" s="1" t="s">
        <v>221</v>
      </c>
      <c r="J240" s="1" t="s">
        <v>222</v>
      </c>
      <c r="K240" s="1">
        <v>1.25</v>
      </c>
      <c r="L240" s="1">
        <v>120</v>
      </c>
      <c r="M240" s="1" t="s">
        <v>94</v>
      </c>
      <c r="N240" s="1" t="s">
        <v>95</v>
      </c>
      <c r="O240" s="1"/>
      <c r="P240" s="1" t="s">
        <v>96</v>
      </c>
      <c r="Q240" s="1" t="s">
        <v>9</v>
      </c>
      <c r="R240" s="1">
        <v>0</v>
      </c>
      <c r="S240" s="1" t="s">
        <v>97</v>
      </c>
      <c r="T240" s="1" t="s">
        <v>97</v>
      </c>
      <c r="U240" s="1" t="b">
        <v>1</v>
      </c>
      <c r="V240" s="1" t="b">
        <v>0</v>
      </c>
      <c r="W240" s="1" t="b">
        <v>0</v>
      </c>
      <c r="X240" s="1">
        <v>0</v>
      </c>
      <c r="Y240" s="1" t="b">
        <v>1</v>
      </c>
      <c r="Z240" s="1" t="b">
        <v>1</v>
      </c>
      <c r="AA240" s="1">
        <v>65</v>
      </c>
      <c r="AB240" s="1" t="b">
        <v>1</v>
      </c>
      <c r="AC240" s="1">
        <v>150352604</v>
      </c>
      <c r="AD240" s="1">
        <v>1690916</v>
      </c>
      <c r="AE240" s="1">
        <v>0</v>
      </c>
      <c r="AF240" s="1" t="s">
        <v>1074</v>
      </c>
      <c r="AG240" s="1" t="s">
        <v>1075</v>
      </c>
      <c r="AH240" s="1">
        <v>69.7</v>
      </c>
      <c r="AI240" s="1">
        <v>63.4</v>
      </c>
      <c r="AJ240" s="1" t="s">
        <v>1076</v>
      </c>
      <c r="AK240" s="1" t="s">
        <v>1077</v>
      </c>
      <c r="AL240" s="1" t="s">
        <v>1078</v>
      </c>
    </row>
    <row r="241" spans="1:38" x14ac:dyDescent="0.6">
      <c r="A241" s="1">
        <v>176</v>
      </c>
      <c r="B241" s="1" t="s">
        <v>88</v>
      </c>
      <c r="C241" s="1">
        <v>57</v>
      </c>
      <c r="D241" s="1" t="s">
        <v>89</v>
      </c>
      <c r="E241" s="1" t="s">
        <v>90</v>
      </c>
      <c r="F241" s="1"/>
      <c r="G241" s="1"/>
      <c r="H241" s="1" t="s">
        <v>220</v>
      </c>
      <c r="I241" s="1" t="s">
        <v>221</v>
      </c>
      <c r="J241" s="1" t="s">
        <v>222</v>
      </c>
      <c r="K241" s="1">
        <v>1.25</v>
      </c>
      <c r="L241" s="1">
        <v>120</v>
      </c>
      <c r="M241" s="1" t="s">
        <v>7</v>
      </c>
      <c r="N241" s="1" t="s">
        <v>7</v>
      </c>
      <c r="O241" s="1" t="s">
        <v>96</v>
      </c>
      <c r="P241" s="1" t="s">
        <v>96</v>
      </c>
      <c r="Q241" s="1" t="s">
        <v>9</v>
      </c>
      <c r="R241" s="1">
        <v>0</v>
      </c>
      <c r="S241" s="1" t="s">
        <v>97</v>
      </c>
      <c r="T241" s="1" t="s">
        <v>97</v>
      </c>
      <c r="U241" s="1" t="b">
        <v>1</v>
      </c>
      <c r="V241" s="1" t="b">
        <v>0</v>
      </c>
      <c r="W241" s="1" t="b">
        <v>0</v>
      </c>
      <c r="X241" s="1">
        <v>5</v>
      </c>
      <c r="Y241" s="1" t="b">
        <v>1</v>
      </c>
      <c r="Z241" s="1" t="b">
        <v>1</v>
      </c>
      <c r="AA241" s="1">
        <v>68</v>
      </c>
      <c r="AB241" s="1" t="b">
        <v>0</v>
      </c>
      <c r="AC241" s="1">
        <v>0</v>
      </c>
      <c r="AD241" s="1">
        <v>3230954</v>
      </c>
      <c r="AE241" s="1">
        <v>140423958</v>
      </c>
      <c r="AF241" s="1" t="s">
        <v>1079</v>
      </c>
      <c r="AG241" s="1" t="s">
        <v>1079</v>
      </c>
      <c r="AH241" s="1">
        <v>69.599999999999994</v>
      </c>
      <c r="AI241" s="1">
        <v>64.2</v>
      </c>
      <c r="AJ241" s="1" t="s">
        <v>1080</v>
      </c>
      <c r="AK241" s="1" t="s">
        <v>1081</v>
      </c>
      <c r="AL241" s="1" t="s">
        <v>1082</v>
      </c>
    </row>
    <row r="242" spans="1:38" x14ac:dyDescent="0.6">
      <c r="A242" s="1">
        <v>178</v>
      </c>
      <c r="B242" s="1" t="s">
        <v>88</v>
      </c>
      <c r="C242" s="1">
        <v>50</v>
      </c>
      <c r="D242" s="1" t="s">
        <v>89</v>
      </c>
      <c r="E242" s="1" t="s">
        <v>108</v>
      </c>
      <c r="F242" s="1"/>
      <c r="G242" s="1"/>
      <c r="H242" s="1" t="s">
        <v>220</v>
      </c>
      <c r="I242" s="1" t="s">
        <v>221</v>
      </c>
      <c r="J242" s="1" t="s">
        <v>222</v>
      </c>
      <c r="K242" s="1">
        <v>1.25</v>
      </c>
      <c r="L242" s="1">
        <v>120</v>
      </c>
      <c r="M242" s="1" t="s">
        <v>14</v>
      </c>
      <c r="N242" s="1" t="s">
        <v>95</v>
      </c>
      <c r="O242" s="1" t="s">
        <v>96</v>
      </c>
      <c r="P242" s="1"/>
      <c r="Q242" s="1" t="s">
        <v>9</v>
      </c>
      <c r="R242" s="1">
        <v>0</v>
      </c>
      <c r="S242" s="1" t="s">
        <v>97</v>
      </c>
      <c r="T242" s="1" t="s">
        <v>97</v>
      </c>
      <c r="U242" s="1" t="b">
        <v>1</v>
      </c>
      <c r="V242" s="1" t="b">
        <v>0</v>
      </c>
      <c r="W242" s="1" t="b">
        <v>0</v>
      </c>
      <c r="X242" s="1">
        <v>5</v>
      </c>
      <c r="Y242" s="1" t="b">
        <v>1</v>
      </c>
      <c r="Z242" s="1" t="b">
        <v>1</v>
      </c>
      <c r="AA242" s="1"/>
      <c r="AB242" s="1" t="b">
        <v>1</v>
      </c>
      <c r="AC242" s="1">
        <v>147587939</v>
      </c>
      <c r="AD242" s="1">
        <v>785565</v>
      </c>
      <c r="AE242" s="1">
        <v>0</v>
      </c>
      <c r="AF242" s="1" t="s">
        <v>1083</v>
      </c>
      <c r="AG242" s="1" t="s">
        <v>1084</v>
      </c>
      <c r="AH242" s="1">
        <v>76.900000000000006</v>
      </c>
      <c r="AI242" s="1">
        <v>71.3</v>
      </c>
      <c r="AJ242" s="1" t="s">
        <v>1085</v>
      </c>
      <c r="AK242" s="1" t="s">
        <v>1086</v>
      </c>
      <c r="AL242" s="1" t="s">
        <v>1087</v>
      </c>
    </row>
    <row r="243" spans="1:38" x14ac:dyDescent="0.6">
      <c r="A243" s="1">
        <v>177</v>
      </c>
      <c r="B243" s="1" t="s">
        <v>103</v>
      </c>
      <c r="C243" s="1">
        <v>50</v>
      </c>
      <c r="D243" s="1" t="s">
        <v>89</v>
      </c>
      <c r="E243" s="1" t="s">
        <v>108</v>
      </c>
      <c r="F243" s="1"/>
      <c r="G243" s="1"/>
      <c r="H243" s="1" t="s">
        <v>220</v>
      </c>
      <c r="I243" s="1" t="s">
        <v>221</v>
      </c>
      <c r="J243" s="1" t="s">
        <v>222</v>
      </c>
      <c r="K243" s="1">
        <v>1.25</v>
      </c>
      <c r="L243" s="1">
        <v>120</v>
      </c>
      <c r="M243" s="1" t="s">
        <v>14</v>
      </c>
      <c r="N243" s="1" t="s">
        <v>95</v>
      </c>
      <c r="O243" s="1" t="s">
        <v>96</v>
      </c>
      <c r="P243" s="1"/>
      <c r="Q243" s="1" t="s">
        <v>9</v>
      </c>
      <c r="R243" s="1">
        <v>0</v>
      </c>
      <c r="S243" s="1" t="s">
        <v>97</v>
      </c>
      <c r="T243" s="1" t="s">
        <v>97</v>
      </c>
      <c r="U243" s="1" t="b">
        <v>1</v>
      </c>
      <c r="V243" s="1" t="b">
        <v>0</v>
      </c>
      <c r="W243" s="1" t="b">
        <v>0</v>
      </c>
      <c r="X243" s="1">
        <v>5</v>
      </c>
      <c r="Y243" s="1" t="b">
        <v>1</v>
      </c>
      <c r="Z243" s="1" t="b">
        <v>1</v>
      </c>
      <c r="AA243" s="1"/>
      <c r="AB243" s="1" t="b">
        <v>1</v>
      </c>
      <c r="AC243" s="1">
        <v>147788420</v>
      </c>
      <c r="AD243" s="1">
        <v>847228</v>
      </c>
      <c r="AE243" s="1">
        <v>0</v>
      </c>
      <c r="AF243" s="1" t="s">
        <v>1074</v>
      </c>
      <c r="AG243" s="1" t="s">
        <v>1075</v>
      </c>
      <c r="AH243" s="1">
        <v>69.7</v>
      </c>
      <c r="AI243" s="1">
        <v>63.4</v>
      </c>
      <c r="AJ243" s="1" t="s">
        <v>1088</v>
      </c>
      <c r="AK243" s="1" t="s">
        <v>1089</v>
      </c>
      <c r="AL243" s="1" t="s">
        <v>1090</v>
      </c>
    </row>
    <row r="244" spans="1:38" x14ac:dyDescent="0.6">
      <c r="A244" s="1">
        <v>164</v>
      </c>
      <c r="B244" s="1" t="s">
        <v>103</v>
      </c>
      <c r="C244" s="1">
        <v>61</v>
      </c>
      <c r="D244" s="1" t="s">
        <v>127</v>
      </c>
      <c r="E244" s="1" t="s">
        <v>108</v>
      </c>
      <c r="F244" s="1"/>
      <c r="G244" s="1"/>
      <c r="H244" s="1" t="s">
        <v>91</v>
      </c>
      <c r="I244" s="1" t="s">
        <v>92</v>
      </c>
      <c r="J244" s="1" t="s">
        <v>93</v>
      </c>
      <c r="K244" s="1">
        <v>1</v>
      </c>
      <c r="L244" s="1">
        <v>120</v>
      </c>
      <c r="M244" s="1" t="s">
        <v>14</v>
      </c>
      <c r="N244" s="1" t="s">
        <v>95</v>
      </c>
      <c r="O244" s="1" t="s">
        <v>96</v>
      </c>
      <c r="P244" s="1"/>
      <c r="Q244" s="1" t="s">
        <v>9</v>
      </c>
      <c r="R244" s="1">
        <v>0</v>
      </c>
      <c r="S244" s="1" t="s">
        <v>97</v>
      </c>
      <c r="T244" s="1" t="s">
        <v>97</v>
      </c>
      <c r="U244" s="1" t="b">
        <v>1</v>
      </c>
      <c r="V244" s="1" t="b">
        <v>0</v>
      </c>
      <c r="W244" s="1" t="b">
        <v>0</v>
      </c>
      <c r="X244" s="1">
        <v>5</v>
      </c>
      <c r="Y244" s="1" t="b">
        <v>1</v>
      </c>
      <c r="Z244" s="1" t="b">
        <v>1</v>
      </c>
      <c r="AA244" s="1"/>
      <c r="AB244" s="1" t="b">
        <v>1</v>
      </c>
      <c r="AC244" s="1">
        <v>160461909</v>
      </c>
      <c r="AD244" s="1">
        <v>756651</v>
      </c>
      <c r="AE244" s="1">
        <v>0</v>
      </c>
      <c r="AF244" s="1" t="s">
        <v>1031</v>
      </c>
      <c r="AG244" s="1" t="s">
        <v>1032</v>
      </c>
      <c r="AH244" s="1">
        <v>72.400000000000006</v>
      </c>
      <c r="AI244" s="1">
        <v>71.3</v>
      </c>
      <c r="AJ244" s="1" t="s">
        <v>1091</v>
      </c>
      <c r="AK244" s="1" t="s">
        <v>1092</v>
      </c>
      <c r="AL244" s="1" t="s">
        <v>1093</v>
      </c>
    </row>
    <row r="245" spans="1:38" x14ac:dyDescent="0.6">
      <c r="A245" s="1">
        <v>179</v>
      </c>
      <c r="B245" s="1" t="s">
        <v>103</v>
      </c>
      <c r="C245" s="1">
        <v>64</v>
      </c>
      <c r="D245" s="1" t="s">
        <v>127</v>
      </c>
      <c r="E245" s="1" t="s">
        <v>90</v>
      </c>
      <c r="F245" s="1"/>
      <c r="G245" s="1"/>
      <c r="H245" s="1" t="s">
        <v>220</v>
      </c>
      <c r="I245" s="1" t="s">
        <v>221</v>
      </c>
      <c r="J245" s="1" t="s">
        <v>222</v>
      </c>
      <c r="K245" s="1">
        <v>1.25</v>
      </c>
      <c r="L245" s="1">
        <v>120</v>
      </c>
      <c r="M245" s="1" t="s">
        <v>94</v>
      </c>
      <c r="N245" s="1" t="s">
        <v>95</v>
      </c>
      <c r="O245" s="1"/>
      <c r="P245" s="1" t="s">
        <v>96</v>
      </c>
      <c r="Q245" s="1" t="s">
        <v>9</v>
      </c>
      <c r="R245" s="1">
        <v>0</v>
      </c>
      <c r="S245" s="1" t="s">
        <v>97</v>
      </c>
      <c r="T245" s="1" t="s">
        <v>97</v>
      </c>
      <c r="U245" s="1" t="b">
        <v>1</v>
      </c>
      <c r="V245" s="1" t="b">
        <v>0</v>
      </c>
      <c r="W245" s="1" t="b">
        <v>0</v>
      </c>
      <c r="X245" s="1">
        <v>0</v>
      </c>
      <c r="Y245" s="1" t="b">
        <v>1</v>
      </c>
      <c r="Z245" s="1" t="b">
        <v>1</v>
      </c>
      <c r="AA245" s="1">
        <v>61.7</v>
      </c>
      <c r="AB245" s="1" t="b">
        <v>1</v>
      </c>
      <c r="AC245" s="1">
        <v>145288695</v>
      </c>
      <c r="AD245" s="1">
        <v>1774089</v>
      </c>
      <c r="AE245" s="1">
        <v>0</v>
      </c>
      <c r="AF245" s="1" t="s">
        <v>1094</v>
      </c>
      <c r="AG245" s="1" t="s">
        <v>1095</v>
      </c>
      <c r="AH245" s="1">
        <v>65.5</v>
      </c>
      <c r="AI245" s="1">
        <v>61.1</v>
      </c>
      <c r="AJ245" s="1" t="s">
        <v>1096</v>
      </c>
      <c r="AK245" s="1" t="s">
        <v>1097</v>
      </c>
      <c r="AL245" s="1" t="s">
        <v>1098</v>
      </c>
    </row>
    <row r="246" spans="1:38" x14ac:dyDescent="0.6">
      <c r="A246" s="1">
        <v>169</v>
      </c>
      <c r="B246" s="1" t="s">
        <v>103</v>
      </c>
      <c r="C246" s="1">
        <v>61</v>
      </c>
      <c r="D246" s="1" t="s">
        <v>127</v>
      </c>
      <c r="E246" s="1" t="s">
        <v>90</v>
      </c>
      <c r="F246" s="1"/>
      <c r="G246" s="1"/>
      <c r="H246" s="1" t="s">
        <v>578</v>
      </c>
      <c r="I246" s="1" t="s">
        <v>190</v>
      </c>
      <c r="J246" s="1" t="s">
        <v>191</v>
      </c>
      <c r="K246" s="1">
        <v>1</v>
      </c>
      <c r="L246" s="1">
        <v>120</v>
      </c>
      <c r="M246" s="1" t="s">
        <v>94</v>
      </c>
      <c r="N246" s="1" t="s">
        <v>236</v>
      </c>
      <c r="O246" s="1"/>
      <c r="P246" s="1" t="s">
        <v>96</v>
      </c>
      <c r="Q246" s="1" t="s">
        <v>9</v>
      </c>
      <c r="R246" s="1">
        <v>0</v>
      </c>
      <c r="S246" s="1" t="s">
        <v>97</v>
      </c>
      <c r="T246" s="1"/>
      <c r="U246" s="1"/>
      <c r="V246" s="1" t="b">
        <v>0</v>
      </c>
      <c r="W246" s="1" t="b">
        <v>0</v>
      </c>
      <c r="X246" s="1">
        <v>0</v>
      </c>
      <c r="Y246" s="1" t="b">
        <v>1</v>
      </c>
      <c r="Z246" s="1" t="b">
        <v>1</v>
      </c>
      <c r="AA246" s="1">
        <v>66.599999999999994</v>
      </c>
      <c r="AB246" s="1" t="b">
        <v>1</v>
      </c>
      <c r="AC246" s="1">
        <v>138680468</v>
      </c>
      <c r="AD246" s="1">
        <v>2090860</v>
      </c>
      <c r="AE246" s="1">
        <v>0</v>
      </c>
      <c r="AF246" s="1"/>
      <c r="AG246" s="1" t="s">
        <v>1099</v>
      </c>
      <c r="AH246" s="1"/>
      <c r="AI246" s="1">
        <v>63.6</v>
      </c>
      <c r="AJ246" s="1" t="s">
        <v>1100</v>
      </c>
      <c r="AK246" s="1" t="s">
        <v>1101</v>
      </c>
      <c r="AL246" s="1" t="s">
        <v>1102</v>
      </c>
    </row>
    <row r="247" spans="1:38" x14ac:dyDescent="0.6">
      <c r="A247" s="1">
        <v>178</v>
      </c>
      <c r="B247" s="1" t="s">
        <v>88</v>
      </c>
      <c r="C247" s="1">
        <v>50</v>
      </c>
      <c r="D247" s="1" t="s">
        <v>89</v>
      </c>
      <c r="E247" s="1" t="s">
        <v>108</v>
      </c>
      <c r="F247" s="1"/>
      <c r="G247" s="1"/>
      <c r="H247" s="1" t="s">
        <v>220</v>
      </c>
      <c r="I247" s="1" t="s">
        <v>221</v>
      </c>
      <c r="J247" s="1" t="s">
        <v>222</v>
      </c>
      <c r="K247" s="1">
        <v>1.25</v>
      </c>
      <c r="L247" s="1">
        <v>120</v>
      </c>
      <c r="M247" s="1" t="s">
        <v>94</v>
      </c>
      <c r="N247" s="1" t="s">
        <v>95</v>
      </c>
      <c r="O247" s="1"/>
      <c r="P247" s="1" t="s">
        <v>96</v>
      </c>
      <c r="Q247" s="1" t="s">
        <v>9</v>
      </c>
      <c r="R247" s="1">
        <v>0</v>
      </c>
      <c r="S247" s="1" t="s">
        <v>97</v>
      </c>
      <c r="T247" s="1" t="s">
        <v>97</v>
      </c>
      <c r="U247" s="1" t="b">
        <v>1</v>
      </c>
      <c r="V247" s="1" t="b">
        <v>0</v>
      </c>
      <c r="W247" s="1" t="b">
        <v>0</v>
      </c>
      <c r="X247" s="1">
        <v>0</v>
      </c>
      <c r="Y247" s="1" t="b">
        <v>1</v>
      </c>
      <c r="Z247" s="1" t="b">
        <v>1</v>
      </c>
      <c r="AA247" s="1">
        <v>72.7</v>
      </c>
      <c r="AB247" s="1" t="b">
        <v>1</v>
      </c>
      <c r="AC247" s="1">
        <v>153293533</v>
      </c>
      <c r="AD247" s="1">
        <v>2157859</v>
      </c>
      <c r="AE247" s="1">
        <v>0</v>
      </c>
      <c r="AF247" s="1" t="s">
        <v>1083</v>
      </c>
      <c r="AG247" s="1" t="s">
        <v>1084</v>
      </c>
      <c r="AH247" s="1">
        <v>76.900000000000006</v>
      </c>
      <c r="AI247" s="1">
        <v>71.3</v>
      </c>
      <c r="AJ247" s="1" t="s">
        <v>1103</v>
      </c>
      <c r="AK247" s="1" t="s">
        <v>1104</v>
      </c>
      <c r="AL247" s="1" t="s">
        <v>1105</v>
      </c>
    </row>
    <row r="248" spans="1:38" x14ac:dyDescent="0.6">
      <c r="A248" s="1">
        <v>180</v>
      </c>
      <c r="B248" s="1" t="s">
        <v>103</v>
      </c>
      <c r="C248" s="1">
        <v>52</v>
      </c>
      <c r="D248" s="1" t="s">
        <v>89</v>
      </c>
      <c r="E248" s="1" t="s">
        <v>90</v>
      </c>
      <c r="F248" s="1"/>
      <c r="G248" s="1"/>
      <c r="H248" s="1" t="s">
        <v>220</v>
      </c>
      <c r="I248" s="1" t="s">
        <v>221</v>
      </c>
      <c r="J248" s="1" t="s">
        <v>222</v>
      </c>
      <c r="K248" s="1">
        <v>1.25</v>
      </c>
      <c r="L248" s="1">
        <v>120</v>
      </c>
      <c r="M248" s="1" t="s">
        <v>94</v>
      </c>
      <c r="N248" s="1" t="s">
        <v>95</v>
      </c>
      <c r="O248" s="1"/>
      <c r="P248" s="1" t="s">
        <v>96</v>
      </c>
      <c r="Q248" s="1" t="s">
        <v>9</v>
      </c>
      <c r="R248" s="1">
        <v>0</v>
      </c>
      <c r="S248" s="1" t="s">
        <v>97</v>
      </c>
      <c r="T248" s="1" t="s">
        <v>97</v>
      </c>
      <c r="U248" s="1" t="b">
        <v>1</v>
      </c>
      <c r="V248" s="1" t="b">
        <v>0</v>
      </c>
      <c r="W248" s="1" t="b">
        <v>0</v>
      </c>
      <c r="X248" s="1">
        <v>0</v>
      </c>
      <c r="Y248" s="1" t="b">
        <v>1</v>
      </c>
      <c r="Z248" s="1" t="b">
        <v>1</v>
      </c>
      <c r="AA248" s="1">
        <v>77.900000000000006</v>
      </c>
      <c r="AB248" s="1" t="b">
        <v>1</v>
      </c>
      <c r="AC248" s="1">
        <v>154834367</v>
      </c>
      <c r="AD248" s="1">
        <v>1403457</v>
      </c>
      <c r="AE248" s="1">
        <v>0</v>
      </c>
      <c r="AF248" s="1" t="s">
        <v>1106</v>
      </c>
      <c r="AG248" s="1" t="s">
        <v>1107</v>
      </c>
      <c r="AH248" s="1">
        <v>75.5</v>
      </c>
      <c r="AI248" s="1">
        <v>73.2</v>
      </c>
      <c r="AJ248" s="1" t="s">
        <v>1108</v>
      </c>
      <c r="AK248" s="1" t="s">
        <v>1109</v>
      </c>
      <c r="AL248" s="1" t="s">
        <v>1110</v>
      </c>
    </row>
    <row r="249" spans="1:38" x14ac:dyDescent="0.6">
      <c r="A249" s="1">
        <v>180</v>
      </c>
      <c r="B249" s="1" t="s">
        <v>103</v>
      </c>
      <c r="C249" s="1">
        <v>52</v>
      </c>
      <c r="D249" s="1" t="s">
        <v>89</v>
      </c>
      <c r="E249" s="1" t="s">
        <v>90</v>
      </c>
      <c r="F249" s="1"/>
      <c r="G249" s="1"/>
      <c r="H249" s="1" t="s">
        <v>220</v>
      </c>
      <c r="I249" s="1" t="s">
        <v>221</v>
      </c>
      <c r="J249" s="1" t="s">
        <v>222</v>
      </c>
      <c r="K249" s="1">
        <v>1.25</v>
      </c>
      <c r="L249" s="1">
        <v>120</v>
      </c>
      <c r="M249" s="1" t="s">
        <v>14</v>
      </c>
      <c r="N249" s="1" t="s">
        <v>95</v>
      </c>
      <c r="O249" s="1" t="s">
        <v>96</v>
      </c>
      <c r="P249" s="1"/>
      <c r="Q249" s="1" t="s">
        <v>9</v>
      </c>
      <c r="R249" s="1">
        <v>0</v>
      </c>
      <c r="S249" s="1" t="s">
        <v>97</v>
      </c>
      <c r="T249" s="1" t="s">
        <v>97</v>
      </c>
      <c r="U249" s="1" t="b">
        <v>1</v>
      </c>
      <c r="V249" s="1" t="b">
        <v>0</v>
      </c>
      <c r="W249" s="1" t="b">
        <v>0</v>
      </c>
      <c r="X249" s="1">
        <v>5</v>
      </c>
      <c r="Y249" s="1" t="b">
        <v>1</v>
      </c>
      <c r="Z249" s="1" t="b">
        <v>1</v>
      </c>
      <c r="AA249" s="1"/>
      <c r="AB249" s="1" t="b">
        <v>1</v>
      </c>
      <c r="AC249" s="1">
        <v>153839139</v>
      </c>
      <c r="AD249" s="1">
        <v>563677</v>
      </c>
      <c r="AE249" s="1">
        <v>0</v>
      </c>
      <c r="AF249" s="1" t="s">
        <v>1106</v>
      </c>
      <c r="AG249" s="1" t="s">
        <v>1107</v>
      </c>
      <c r="AH249" s="1">
        <v>75.5</v>
      </c>
      <c r="AI249" s="1">
        <v>73.2</v>
      </c>
      <c r="AJ249" s="1" t="s">
        <v>1111</v>
      </c>
      <c r="AK249" s="1" t="s">
        <v>1112</v>
      </c>
      <c r="AL249" s="1" t="s">
        <v>1113</v>
      </c>
    </row>
    <row r="250" spans="1:38" x14ac:dyDescent="0.6">
      <c r="A250" s="1">
        <v>175</v>
      </c>
      <c r="B250" s="1" t="s">
        <v>103</v>
      </c>
      <c r="C250" s="1">
        <v>54</v>
      </c>
      <c r="D250" s="1" t="s">
        <v>89</v>
      </c>
      <c r="E250" s="1" t="s">
        <v>108</v>
      </c>
      <c r="F250" s="1"/>
      <c r="G250" s="1"/>
      <c r="H250" s="1" t="s">
        <v>220</v>
      </c>
      <c r="I250" s="1" t="s">
        <v>221</v>
      </c>
      <c r="J250" s="1" t="s">
        <v>222</v>
      </c>
      <c r="K250" s="1">
        <v>1.25</v>
      </c>
      <c r="L250" s="1">
        <v>120</v>
      </c>
      <c r="M250" s="1" t="s">
        <v>94</v>
      </c>
      <c r="N250" s="1" t="s">
        <v>95</v>
      </c>
      <c r="O250" s="1"/>
      <c r="P250" s="1" t="s">
        <v>96</v>
      </c>
      <c r="Q250" s="1" t="s">
        <v>200</v>
      </c>
      <c r="R250" s="1">
        <v>1</v>
      </c>
      <c r="S250" s="1" t="s">
        <v>97</v>
      </c>
      <c r="T250" s="1" t="s">
        <v>200</v>
      </c>
      <c r="U250" s="1" t="b">
        <v>0</v>
      </c>
      <c r="V250" s="1" t="b">
        <v>1</v>
      </c>
      <c r="W250" s="1" t="b">
        <v>0</v>
      </c>
      <c r="X250" s="1">
        <v>0</v>
      </c>
      <c r="Y250" s="1" t="b">
        <v>1</v>
      </c>
      <c r="Z250" s="1" t="b">
        <v>1</v>
      </c>
      <c r="AA250" s="1">
        <v>74.099999999999994</v>
      </c>
      <c r="AB250" s="1" t="b">
        <v>1</v>
      </c>
      <c r="AC250" s="1">
        <v>149855630</v>
      </c>
      <c r="AD250" s="1">
        <v>1925746</v>
      </c>
      <c r="AE250" s="1">
        <v>0</v>
      </c>
      <c r="AF250" s="1" t="s">
        <v>1114</v>
      </c>
      <c r="AG250" s="1" t="s">
        <v>1115</v>
      </c>
      <c r="AH250" s="1">
        <v>70.8</v>
      </c>
      <c r="AI250" s="1">
        <v>71.099999999999994</v>
      </c>
      <c r="AJ250" s="1" t="s">
        <v>1116</v>
      </c>
      <c r="AK250" s="1" t="s">
        <v>1117</v>
      </c>
      <c r="AL250" s="1" t="s">
        <v>1118</v>
      </c>
    </row>
    <row r="251" spans="1:38" x14ac:dyDescent="0.6">
      <c r="A251" s="1">
        <v>185</v>
      </c>
      <c r="B251" s="1" t="s">
        <v>103</v>
      </c>
      <c r="C251" s="1">
        <v>53</v>
      </c>
      <c r="D251" s="1" t="s">
        <v>89</v>
      </c>
      <c r="E251" s="1" t="s">
        <v>108</v>
      </c>
      <c r="F251" s="1"/>
      <c r="G251" s="1"/>
      <c r="H251" s="1" t="s">
        <v>220</v>
      </c>
      <c r="I251" s="1" t="s">
        <v>221</v>
      </c>
      <c r="J251" s="1" t="s">
        <v>222</v>
      </c>
      <c r="K251" s="1">
        <v>1.25</v>
      </c>
      <c r="L251" s="1">
        <v>120</v>
      </c>
      <c r="M251" s="1" t="s">
        <v>14</v>
      </c>
      <c r="N251" s="1" t="s">
        <v>95</v>
      </c>
      <c r="O251" s="1" t="s">
        <v>96</v>
      </c>
      <c r="P251" s="1"/>
      <c r="Q251" s="1" t="s">
        <v>9</v>
      </c>
      <c r="R251" s="1">
        <v>0</v>
      </c>
      <c r="S251" s="1" t="s">
        <v>97</v>
      </c>
      <c r="T251" s="1" t="s">
        <v>97</v>
      </c>
      <c r="U251" s="1" t="b">
        <v>1</v>
      </c>
      <c r="V251" s="1" t="b">
        <v>0</v>
      </c>
      <c r="W251" s="1" t="b">
        <v>0</v>
      </c>
      <c r="X251" s="1">
        <v>5</v>
      </c>
      <c r="Y251" s="1" t="b">
        <v>1</v>
      </c>
      <c r="Z251" s="1" t="b">
        <v>1</v>
      </c>
      <c r="AA251" s="1"/>
      <c r="AB251" s="1" t="b">
        <v>1</v>
      </c>
      <c r="AC251" s="1">
        <v>130937478</v>
      </c>
      <c r="AD251" s="1">
        <v>658810</v>
      </c>
      <c r="AE251" s="1">
        <v>0</v>
      </c>
      <c r="AF251" s="1" t="s">
        <v>1119</v>
      </c>
      <c r="AG251" s="1" t="s">
        <v>1120</v>
      </c>
      <c r="AH251" s="1">
        <v>62.8</v>
      </c>
      <c r="AI251" s="1">
        <v>58.9</v>
      </c>
      <c r="AJ251" s="1" t="s">
        <v>1121</v>
      </c>
      <c r="AK251" s="1" t="s">
        <v>1122</v>
      </c>
      <c r="AL251" s="1" t="s">
        <v>1123</v>
      </c>
    </row>
    <row r="252" spans="1:38" x14ac:dyDescent="0.6">
      <c r="A252" s="1">
        <v>175</v>
      </c>
      <c r="B252" s="1" t="s">
        <v>103</v>
      </c>
      <c r="C252" s="1">
        <v>54</v>
      </c>
      <c r="D252" s="1" t="s">
        <v>89</v>
      </c>
      <c r="E252" s="1" t="s">
        <v>108</v>
      </c>
      <c r="F252" s="1"/>
      <c r="G252" s="1"/>
      <c r="H252" s="1" t="s">
        <v>220</v>
      </c>
      <c r="I252" s="1" t="s">
        <v>221</v>
      </c>
      <c r="J252" s="1" t="s">
        <v>222</v>
      </c>
      <c r="K252" s="1">
        <v>1.25</v>
      </c>
      <c r="L252" s="1">
        <v>120</v>
      </c>
      <c r="M252" s="1" t="s">
        <v>14</v>
      </c>
      <c r="N252" s="1" t="s">
        <v>95</v>
      </c>
      <c r="O252" s="1" t="s">
        <v>96</v>
      </c>
      <c r="P252" s="1"/>
      <c r="Q252" s="1" t="s">
        <v>200</v>
      </c>
      <c r="R252" s="1">
        <v>1</v>
      </c>
      <c r="S252" s="1" t="s">
        <v>97</v>
      </c>
      <c r="T252" s="1" t="s">
        <v>200</v>
      </c>
      <c r="U252" s="1" t="b">
        <v>0</v>
      </c>
      <c r="V252" s="1" t="b">
        <v>1</v>
      </c>
      <c r="W252" s="1" t="b">
        <v>1</v>
      </c>
      <c r="X252" s="1">
        <v>6</v>
      </c>
      <c r="Y252" s="1" t="b">
        <v>1</v>
      </c>
      <c r="Z252" s="1" t="b">
        <v>1</v>
      </c>
      <c r="AA252" s="1"/>
      <c r="AB252" s="1" t="b">
        <v>1</v>
      </c>
      <c r="AC252" s="1">
        <v>138901781</v>
      </c>
      <c r="AD252" s="1">
        <v>820971</v>
      </c>
      <c r="AE252" s="1">
        <v>0</v>
      </c>
      <c r="AF252" s="1" t="s">
        <v>1114</v>
      </c>
      <c r="AG252" s="1" t="s">
        <v>1115</v>
      </c>
      <c r="AH252" s="1">
        <v>70.8</v>
      </c>
      <c r="AI252" s="1">
        <v>71.099999999999994</v>
      </c>
      <c r="AJ252" s="1" t="s">
        <v>1124</v>
      </c>
      <c r="AK252" s="1" t="s">
        <v>1125</v>
      </c>
      <c r="AL252" s="1" t="s">
        <v>1126</v>
      </c>
    </row>
    <row r="253" spans="1:38" x14ac:dyDescent="0.6">
      <c r="A253" s="1">
        <v>181</v>
      </c>
      <c r="B253" s="1" t="s">
        <v>103</v>
      </c>
      <c r="C253" s="1">
        <v>65</v>
      </c>
      <c r="D253" s="1" t="s">
        <v>127</v>
      </c>
      <c r="E253" s="1" t="s">
        <v>108</v>
      </c>
      <c r="F253" s="1"/>
      <c r="G253" s="1"/>
      <c r="H253" s="1" t="s">
        <v>220</v>
      </c>
      <c r="I253" s="1" t="s">
        <v>221</v>
      </c>
      <c r="J253" s="1" t="s">
        <v>222</v>
      </c>
      <c r="K253" s="1">
        <v>1.25</v>
      </c>
      <c r="L253" s="1">
        <v>120</v>
      </c>
      <c r="M253" s="1" t="s">
        <v>94</v>
      </c>
      <c r="N253" s="1" t="s">
        <v>95</v>
      </c>
      <c r="O253" s="1"/>
      <c r="P253" s="1" t="s">
        <v>96</v>
      </c>
      <c r="Q253" s="1" t="s">
        <v>9</v>
      </c>
      <c r="R253" s="1">
        <v>0</v>
      </c>
      <c r="S253" s="1" t="s">
        <v>97</v>
      </c>
      <c r="T253" s="1" t="s">
        <v>97</v>
      </c>
      <c r="U253" s="1" t="b">
        <v>1</v>
      </c>
      <c r="V253" s="1" t="b">
        <v>0</v>
      </c>
      <c r="W253" s="1" t="b">
        <v>0</v>
      </c>
      <c r="X253" s="1">
        <v>0</v>
      </c>
      <c r="Y253" s="1" t="b">
        <v>1</v>
      </c>
      <c r="Z253" s="1" t="b">
        <v>1</v>
      </c>
      <c r="AA253" s="1">
        <v>79.400000000000006</v>
      </c>
      <c r="AB253" s="1" t="b">
        <v>1</v>
      </c>
      <c r="AC253" s="1">
        <v>155137597</v>
      </c>
      <c r="AD253" s="1">
        <v>2148803</v>
      </c>
      <c r="AE253" s="1">
        <v>0</v>
      </c>
      <c r="AF253" s="1" t="s">
        <v>1127</v>
      </c>
      <c r="AG253" s="1" t="s">
        <v>1128</v>
      </c>
      <c r="AH253" s="1">
        <v>86.5</v>
      </c>
      <c r="AI253" s="1">
        <v>78</v>
      </c>
      <c r="AJ253" s="1" t="s">
        <v>1129</v>
      </c>
      <c r="AK253" s="1" t="s">
        <v>1130</v>
      </c>
      <c r="AL253" s="1" t="s">
        <v>1131</v>
      </c>
    </row>
    <row r="254" spans="1:38" x14ac:dyDescent="0.6">
      <c r="A254" s="1">
        <v>184</v>
      </c>
      <c r="B254" s="1" t="s">
        <v>88</v>
      </c>
      <c r="C254" s="1">
        <v>78</v>
      </c>
      <c r="D254" s="1" t="s">
        <v>119</v>
      </c>
      <c r="E254" s="1" t="s">
        <v>108</v>
      </c>
      <c r="F254" s="1"/>
      <c r="G254" s="1"/>
      <c r="H254" s="1" t="s">
        <v>220</v>
      </c>
      <c r="I254" s="1" t="s">
        <v>221</v>
      </c>
      <c r="J254" s="1" t="s">
        <v>222</v>
      </c>
      <c r="K254" s="1">
        <v>1.25</v>
      </c>
      <c r="L254" s="1">
        <v>120</v>
      </c>
      <c r="M254" s="1" t="s">
        <v>94</v>
      </c>
      <c r="N254" s="1" t="s">
        <v>95</v>
      </c>
      <c r="O254" s="1"/>
      <c r="P254" s="1" t="s">
        <v>96</v>
      </c>
      <c r="Q254" s="1" t="s">
        <v>9</v>
      </c>
      <c r="R254" s="1">
        <v>0</v>
      </c>
      <c r="S254" s="1" t="s">
        <v>97</v>
      </c>
      <c r="T254" s="1" t="s">
        <v>97</v>
      </c>
      <c r="U254" s="1" t="b">
        <v>1</v>
      </c>
      <c r="V254" s="1" t="b">
        <v>0</v>
      </c>
      <c r="W254" s="1" t="b">
        <v>0</v>
      </c>
      <c r="X254" s="1">
        <v>0</v>
      </c>
      <c r="Y254" s="1" t="b">
        <v>1</v>
      </c>
      <c r="Z254" s="1" t="b">
        <v>1</v>
      </c>
      <c r="AA254" s="1">
        <v>58.4</v>
      </c>
      <c r="AB254" s="1" t="b">
        <v>1</v>
      </c>
      <c r="AC254" s="1">
        <v>137777618</v>
      </c>
      <c r="AD254" s="1">
        <v>1945134</v>
      </c>
      <c r="AE254" s="1">
        <v>0</v>
      </c>
      <c r="AF254" s="1" t="s">
        <v>1132</v>
      </c>
      <c r="AG254" s="1" t="s">
        <v>1133</v>
      </c>
      <c r="AH254" s="1">
        <v>67.5</v>
      </c>
      <c r="AI254" s="1">
        <v>58.8</v>
      </c>
      <c r="AJ254" s="1" t="s">
        <v>1134</v>
      </c>
      <c r="AK254" s="1" t="s">
        <v>1135</v>
      </c>
      <c r="AL254" s="1" t="s">
        <v>1136</v>
      </c>
    </row>
    <row r="255" spans="1:38" x14ac:dyDescent="0.6">
      <c r="A255" s="1">
        <v>168</v>
      </c>
      <c r="B255" s="1" t="s">
        <v>103</v>
      </c>
      <c r="C255" s="1">
        <v>53</v>
      </c>
      <c r="D255" s="1" t="s">
        <v>89</v>
      </c>
      <c r="E255" s="1" t="s">
        <v>108</v>
      </c>
      <c r="F255" s="1"/>
      <c r="G255" s="1"/>
      <c r="H255" s="1" t="s">
        <v>91</v>
      </c>
      <c r="I255" s="1" t="s">
        <v>92</v>
      </c>
      <c r="J255" s="1" t="s">
        <v>93</v>
      </c>
      <c r="K255" s="1">
        <v>1</v>
      </c>
      <c r="L255" s="1">
        <v>120</v>
      </c>
      <c r="M255" s="1" t="s">
        <v>7</v>
      </c>
      <c r="N255" s="1" t="s">
        <v>7</v>
      </c>
      <c r="O255" s="1" t="s">
        <v>96</v>
      </c>
      <c r="P255" s="1" t="s">
        <v>96</v>
      </c>
      <c r="Q255" s="1" t="s">
        <v>9</v>
      </c>
      <c r="R255" s="1">
        <v>0</v>
      </c>
      <c r="S255" s="1" t="s">
        <v>97</v>
      </c>
      <c r="T255" s="1" t="s">
        <v>97</v>
      </c>
      <c r="U255" s="1" t="b">
        <v>1</v>
      </c>
      <c r="V255" s="1" t="b">
        <v>0</v>
      </c>
      <c r="W255" s="1" t="b">
        <v>0</v>
      </c>
      <c r="X255" s="1">
        <v>5</v>
      </c>
      <c r="Y255" s="1" t="b">
        <v>1</v>
      </c>
      <c r="Z255" s="1" t="b">
        <v>1</v>
      </c>
      <c r="AA255" s="1">
        <v>65.599999999999994</v>
      </c>
      <c r="AB255" s="1" t="b">
        <v>0</v>
      </c>
      <c r="AC255" s="1">
        <v>0</v>
      </c>
      <c r="AD255" s="1">
        <v>2809501</v>
      </c>
      <c r="AE255" s="1">
        <v>156311907</v>
      </c>
      <c r="AF255" s="1" t="s">
        <v>1137</v>
      </c>
      <c r="AG255" s="1" t="s">
        <v>1137</v>
      </c>
      <c r="AH255" s="1">
        <v>58.9</v>
      </c>
      <c r="AI255" s="1">
        <v>62.7</v>
      </c>
      <c r="AJ255" s="1" t="s">
        <v>1138</v>
      </c>
      <c r="AK255" s="1" t="s">
        <v>1139</v>
      </c>
      <c r="AL255" s="1" t="s">
        <v>1140</v>
      </c>
    </row>
    <row r="256" spans="1:38" x14ac:dyDescent="0.6">
      <c r="A256" s="1">
        <v>184</v>
      </c>
      <c r="B256" s="1" t="s">
        <v>88</v>
      </c>
      <c r="C256" s="1">
        <v>78</v>
      </c>
      <c r="D256" s="1" t="s">
        <v>119</v>
      </c>
      <c r="E256" s="1" t="s">
        <v>108</v>
      </c>
      <c r="F256" s="1"/>
      <c r="G256" s="1"/>
      <c r="H256" s="1" t="s">
        <v>220</v>
      </c>
      <c r="I256" s="1" t="s">
        <v>221</v>
      </c>
      <c r="J256" s="1" t="s">
        <v>222</v>
      </c>
      <c r="K256" s="1">
        <v>1.25</v>
      </c>
      <c r="L256" s="1">
        <v>120</v>
      </c>
      <c r="M256" s="1" t="s">
        <v>14</v>
      </c>
      <c r="N256" s="1" t="s">
        <v>95</v>
      </c>
      <c r="O256" s="1" t="s">
        <v>96</v>
      </c>
      <c r="P256" s="1"/>
      <c r="Q256" s="1" t="s">
        <v>9</v>
      </c>
      <c r="R256" s="1">
        <v>0</v>
      </c>
      <c r="S256" s="1" t="s">
        <v>97</v>
      </c>
      <c r="T256" s="1" t="s">
        <v>97</v>
      </c>
      <c r="U256" s="1" t="b">
        <v>1</v>
      </c>
      <c r="V256" s="1" t="b">
        <v>0</v>
      </c>
      <c r="W256" s="1" t="b">
        <v>0</v>
      </c>
      <c r="X256" s="1">
        <v>5</v>
      </c>
      <c r="Y256" s="1" t="b">
        <v>1</v>
      </c>
      <c r="Z256" s="1" t="b">
        <v>1</v>
      </c>
      <c r="AA256" s="1"/>
      <c r="AB256" s="1" t="b">
        <v>1</v>
      </c>
      <c r="AC256" s="1">
        <v>137885326</v>
      </c>
      <c r="AD256" s="1">
        <v>788850</v>
      </c>
      <c r="AE256" s="1">
        <v>0</v>
      </c>
      <c r="AF256" s="1" t="s">
        <v>1132</v>
      </c>
      <c r="AG256" s="1" t="s">
        <v>1133</v>
      </c>
      <c r="AH256" s="1">
        <v>67.5</v>
      </c>
      <c r="AI256" s="1">
        <v>58.8</v>
      </c>
      <c r="AJ256" s="1" t="s">
        <v>1141</v>
      </c>
      <c r="AK256" s="1" t="s">
        <v>1142</v>
      </c>
      <c r="AL256" s="1" t="s">
        <v>1143</v>
      </c>
    </row>
    <row r="257" spans="1:38" x14ac:dyDescent="0.6">
      <c r="A257" s="1">
        <v>182</v>
      </c>
      <c r="B257" s="1" t="s">
        <v>103</v>
      </c>
      <c r="C257" s="1">
        <v>53</v>
      </c>
      <c r="D257" s="1" t="s">
        <v>89</v>
      </c>
      <c r="E257" s="1" t="s">
        <v>108</v>
      </c>
      <c r="F257" s="1"/>
      <c r="G257" s="1"/>
      <c r="H257" s="1" t="s">
        <v>220</v>
      </c>
      <c r="I257" s="1" t="s">
        <v>221</v>
      </c>
      <c r="J257" s="1" t="s">
        <v>222</v>
      </c>
      <c r="K257" s="1">
        <v>1.25</v>
      </c>
      <c r="L257" s="1">
        <v>120</v>
      </c>
      <c r="M257" s="1" t="s">
        <v>14</v>
      </c>
      <c r="N257" s="1" t="s">
        <v>95</v>
      </c>
      <c r="O257" s="1" t="s">
        <v>96</v>
      </c>
      <c r="P257" s="1"/>
      <c r="Q257" s="1" t="s">
        <v>9</v>
      </c>
      <c r="R257" s="1">
        <v>0</v>
      </c>
      <c r="S257" s="1" t="s">
        <v>97</v>
      </c>
      <c r="T257" s="1" t="s">
        <v>97</v>
      </c>
      <c r="U257" s="1" t="b">
        <v>1</v>
      </c>
      <c r="V257" s="1" t="b">
        <v>0</v>
      </c>
      <c r="W257" s="1" t="b">
        <v>0</v>
      </c>
      <c r="X257" s="1">
        <v>5</v>
      </c>
      <c r="Y257" s="1" t="b">
        <v>1</v>
      </c>
      <c r="Z257" s="1" t="b">
        <v>1</v>
      </c>
      <c r="AA257" s="1"/>
      <c r="AB257" s="1" t="b">
        <v>1</v>
      </c>
      <c r="AC257" s="1">
        <v>148447650</v>
      </c>
      <c r="AD257" s="1">
        <v>712286</v>
      </c>
      <c r="AE257" s="1">
        <v>0</v>
      </c>
      <c r="AF257" s="1" t="s">
        <v>1144</v>
      </c>
      <c r="AG257" s="1" t="s">
        <v>1145</v>
      </c>
      <c r="AH257" s="1">
        <v>71.2</v>
      </c>
      <c r="AI257" s="1">
        <v>70</v>
      </c>
      <c r="AJ257" s="1" t="s">
        <v>1146</v>
      </c>
      <c r="AK257" s="1" t="s">
        <v>1147</v>
      </c>
      <c r="AL257" s="1" t="s">
        <v>1148</v>
      </c>
    </row>
    <row r="258" spans="1:38" x14ac:dyDescent="0.6">
      <c r="A258" s="1">
        <v>170</v>
      </c>
      <c r="B258" s="1" t="s">
        <v>103</v>
      </c>
      <c r="C258" s="1">
        <v>60</v>
      </c>
      <c r="D258" s="1" t="s">
        <v>127</v>
      </c>
      <c r="E258" s="1" t="s">
        <v>108</v>
      </c>
      <c r="F258" s="1"/>
      <c r="G258" s="1"/>
      <c r="H258" s="1" t="s">
        <v>578</v>
      </c>
      <c r="I258" s="1" t="s">
        <v>190</v>
      </c>
      <c r="J258" s="1" t="s">
        <v>191</v>
      </c>
      <c r="K258" s="1">
        <v>1</v>
      </c>
      <c r="L258" s="1">
        <v>120</v>
      </c>
      <c r="M258" s="1" t="s">
        <v>7</v>
      </c>
      <c r="N258" s="1" t="s">
        <v>7</v>
      </c>
      <c r="O258" s="1" t="s">
        <v>96</v>
      </c>
      <c r="P258" s="1" t="s">
        <v>96</v>
      </c>
      <c r="Q258" s="1" t="s">
        <v>9</v>
      </c>
      <c r="R258" s="1">
        <v>0</v>
      </c>
      <c r="S258" s="1" t="s">
        <v>97</v>
      </c>
      <c r="T258" s="1" t="s">
        <v>97</v>
      </c>
      <c r="U258" s="1" t="b">
        <v>1</v>
      </c>
      <c r="V258" s="1" t="b">
        <v>0</v>
      </c>
      <c r="W258" s="1" t="b">
        <v>0</v>
      </c>
      <c r="X258" s="1">
        <v>5</v>
      </c>
      <c r="Y258" s="1" t="b">
        <v>1</v>
      </c>
      <c r="Z258" s="1" t="b">
        <v>1</v>
      </c>
      <c r="AA258" s="1">
        <v>87.2</v>
      </c>
      <c r="AB258" s="1" t="b">
        <v>0</v>
      </c>
      <c r="AC258" s="1">
        <v>0</v>
      </c>
      <c r="AD258" s="1">
        <v>1963673</v>
      </c>
      <c r="AE258" s="1">
        <v>161352039</v>
      </c>
      <c r="AF258" s="1" t="s">
        <v>1149</v>
      </c>
      <c r="AG258" s="1" t="s">
        <v>1149</v>
      </c>
      <c r="AH258" s="1">
        <v>84.2</v>
      </c>
      <c r="AI258" s="1">
        <v>83</v>
      </c>
      <c r="AJ258" s="1" t="s">
        <v>1150</v>
      </c>
      <c r="AK258" s="1" t="s">
        <v>1151</v>
      </c>
      <c r="AL258" s="1" t="s">
        <v>1152</v>
      </c>
    </row>
    <row r="259" spans="1:38" x14ac:dyDescent="0.6">
      <c r="A259" s="1">
        <v>186</v>
      </c>
      <c r="B259" s="1" t="s">
        <v>103</v>
      </c>
      <c r="C259" s="1">
        <v>64</v>
      </c>
      <c r="D259" s="1" t="s">
        <v>127</v>
      </c>
      <c r="E259" s="1" t="s">
        <v>108</v>
      </c>
      <c r="F259" s="1"/>
      <c r="G259" s="1"/>
      <c r="H259" s="1" t="s">
        <v>220</v>
      </c>
      <c r="I259" s="1" t="s">
        <v>221</v>
      </c>
      <c r="J259" s="1" t="s">
        <v>222</v>
      </c>
      <c r="K259" s="1">
        <v>1.25</v>
      </c>
      <c r="L259" s="1">
        <v>120</v>
      </c>
      <c r="M259" s="1" t="s">
        <v>7</v>
      </c>
      <c r="N259" s="1" t="s">
        <v>7</v>
      </c>
      <c r="O259" s="1" t="s">
        <v>96</v>
      </c>
      <c r="P259" s="1" t="s">
        <v>96</v>
      </c>
      <c r="Q259" s="1" t="s">
        <v>9</v>
      </c>
      <c r="R259" s="1">
        <v>0</v>
      </c>
      <c r="S259" s="1" t="s">
        <v>97</v>
      </c>
      <c r="T259" s="1" t="s">
        <v>97</v>
      </c>
      <c r="U259" s="1" t="b">
        <v>1</v>
      </c>
      <c r="V259" s="1" t="b">
        <v>0</v>
      </c>
      <c r="W259" s="1" t="b">
        <v>0</v>
      </c>
      <c r="X259" s="1">
        <v>5</v>
      </c>
      <c r="Y259" s="1" t="b">
        <v>1</v>
      </c>
      <c r="Z259" s="1" t="b">
        <v>1</v>
      </c>
      <c r="AA259" s="1">
        <v>61.8</v>
      </c>
      <c r="AB259" s="1" t="b">
        <v>0</v>
      </c>
      <c r="AC259" s="1">
        <v>0</v>
      </c>
      <c r="AD259" s="1">
        <v>2751145</v>
      </c>
      <c r="AE259" s="1">
        <v>139593047</v>
      </c>
      <c r="AF259" s="1" t="s">
        <v>1153</v>
      </c>
      <c r="AG259" s="1" t="s">
        <v>1153</v>
      </c>
      <c r="AH259" s="1">
        <v>62.1</v>
      </c>
      <c r="AI259" s="1">
        <v>58.1</v>
      </c>
      <c r="AJ259" s="1" t="s">
        <v>1154</v>
      </c>
      <c r="AK259" s="1" t="s">
        <v>1155</v>
      </c>
      <c r="AL259" s="1" t="s">
        <v>1156</v>
      </c>
    </row>
    <row r="260" spans="1:38" x14ac:dyDescent="0.6">
      <c r="A260" s="1">
        <v>183</v>
      </c>
      <c r="B260" s="1" t="s">
        <v>103</v>
      </c>
      <c r="C260" s="1">
        <v>58</v>
      </c>
      <c r="D260" s="1" t="s">
        <v>89</v>
      </c>
      <c r="E260" s="1" t="s">
        <v>90</v>
      </c>
      <c r="F260" s="1"/>
      <c r="G260" s="1"/>
      <c r="H260" s="1" t="s">
        <v>220</v>
      </c>
      <c r="I260" s="1" t="s">
        <v>221</v>
      </c>
      <c r="J260" s="1" t="s">
        <v>222</v>
      </c>
      <c r="K260" s="1">
        <v>1.25</v>
      </c>
      <c r="L260" s="1">
        <v>120</v>
      </c>
      <c r="M260" s="1" t="s">
        <v>7</v>
      </c>
      <c r="N260" s="1" t="s">
        <v>7</v>
      </c>
      <c r="O260" s="1" t="s">
        <v>96</v>
      </c>
      <c r="P260" s="1" t="s">
        <v>96</v>
      </c>
      <c r="Q260" s="1" t="s">
        <v>9</v>
      </c>
      <c r="R260" s="1">
        <v>0</v>
      </c>
      <c r="S260" s="1" t="s">
        <v>97</v>
      </c>
      <c r="T260" s="1" t="s">
        <v>97</v>
      </c>
      <c r="U260" s="1" t="b">
        <v>1</v>
      </c>
      <c r="V260" s="1" t="b">
        <v>0</v>
      </c>
      <c r="W260" s="1" t="b">
        <v>0</v>
      </c>
      <c r="X260" s="1">
        <v>5</v>
      </c>
      <c r="Y260" s="1" t="b">
        <v>1</v>
      </c>
      <c r="Z260" s="1" t="b">
        <v>1</v>
      </c>
      <c r="AA260" s="1">
        <v>74.3</v>
      </c>
      <c r="AB260" s="1" t="b">
        <v>0</v>
      </c>
      <c r="AC260" s="1">
        <v>0</v>
      </c>
      <c r="AD260" s="1">
        <v>2009454</v>
      </c>
      <c r="AE260" s="1">
        <v>151869074</v>
      </c>
      <c r="AF260" s="1" t="s">
        <v>1157</v>
      </c>
      <c r="AG260" s="1" t="s">
        <v>1157</v>
      </c>
      <c r="AH260" s="1">
        <v>74.8</v>
      </c>
      <c r="AI260" s="1">
        <v>69.7</v>
      </c>
      <c r="AJ260" s="1" t="s">
        <v>1158</v>
      </c>
      <c r="AK260" s="1" t="s">
        <v>1159</v>
      </c>
      <c r="AL260" s="1" t="s">
        <v>1160</v>
      </c>
    </row>
    <row r="261" spans="1:38" x14ac:dyDescent="0.6">
      <c r="A261" s="1">
        <v>185</v>
      </c>
      <c r="B261" s="1" t="s">
        <v>103</v>
      </c>
      <c r="C261" s="1">
        <v>53</v>
      </c>
      <c r="D261" s="1" t="s">
        <v>89</v>
      </c>
      <c r="E261" s="1" t="s">
        <v>108</v>
      </c>
      <c r="F261" s="1"/>
      <c r="G261" s="1"/>
      <c r="H261" s="1" t="s">
        <v>220</v>
      </c>
      <c r="I261" s="1" t="s">
        <v>221</v>
      </c>
      <c r="J261" s="1" t="s">
        <v>222</v>
      </c>
      <c r="K261" s="1">
        <v>1.25</v>
      </c>
      <c r="L261" s="1">
        <v>120</v>
      </c>
      <c r="M261" s="1" t="s">
        <v>94</v>
      </c>
      <c r="N261" s="1" t="s">
        <v>95</v>
      </c>
      <c r="O261" s="1"/>
      <c r="P261" s="1" t="s">
        <v>96</v>
      </c>
      <c r="Q261" s="1" t="s">
        <v>9</v>
      </c>
      <c r="R261" s="1">
        <v>0</v>
      </c>
      <c r="S261" s="1" t="s">
        <v>97</v>
      </c>
      <c r="T261" s="1" t="s">
        <v>97</v>
      </c>
      <c r="U261" s="1" t="b">
        <v>1</v>
      </c>
      <c r="V261" s="1" t="b">
        <v>0</v>
      </c>
      <c r="W261" s="1" t="b">
        <v>0</v>
      </c>
      <c r="X261" s="1">
        <v>0</v>
      </c>
      <c r="Y261" s="1" t="b">
        <v>1</v>
      </c>
      <c r="Z261" s="1" t="b">
        <v>1</v>
      </c>
      <c r="AA261" s="1">
        <v>60.7</v>
      </c>
      <c r="AB261" s="1" t="b">
        <v>1</v>
      </c>
      <c r="AC261" s="1">
        <v>172180601</v>
      </c>
      <c r="AD261" s="1">
        <v>2407303</v>
      </c>
      <c r="AE261" s="1">
        <v>0</v>
      </c>
      <c r="AF261" s="1" t="s">
        <v>1119</v>
      </c>
      <c r="AG261" s="1" t="s">
        <v>1120</v>
      </c>
      <c r="AH261" s="1">
        <v>62.8</v>
      </c>
      <c r="AI261" s="1">
        <v>58.9</v>
      </c>
      <c r="AJ261" s="1" t="s">
        <v>1161</v>
      </c>
      <c r="AK261" s="1" t="s">
        <v>1162</v>
      </c>
      <c r="AL261" s="1" t="s">
        <v>1163</v>
      </c>
    </row>
    <row r="262" spans="1:38" x14ac:dyDescent="0.6">
      <c r="A262" s="1">
        <v>179</v>
      </c>
      <c r="B262" s="1" t="s">
        <v>103</v>
      </c>
      <c r="C262" s="1">
        <v>64</v>
      </c>
      <c r="D262" s="1" t="s">
        <v>127</v>
      </c>
      <c r="E262" s="1" t="s">
        <v>90</v>
      </c>
      <c r="F262" s="1"/>
      <c r="G262" s="1"/>
      <c r="H262" s="1" t="s">
        <v>220</v>
      </c>
      <c r="I262" s="1" t="s">
        <v>221</v>
      </c>
      <c r="J262" s="1" t="s">
        <v>222</v>
      </c>
      <c r="K262" s="1">
        <v>1.25</v>
      </c>
      <c r="L262" s="1">
        <v>120</v>
      </c>
      <c r="M262" s="1" t="s">
        <v>14</v>
      </c>
      <c r="N262" s="1" t="s">
        <v>95</v>
      </c>
      <c r="O262" s="1" t="s">
        <v>96</v>
      </c>
      <c r="P262" s="1"/>
      <c r="Q262" s="1" t="s">
        <v>9</v>
      </c>
      <c r="R262" s="1">
        <v>0</v>
      </c>
      <c r="S262" s="1" t="s">
        <v>97</v>
      </c>
      <c r="T262" s="1" t="s">
        <v>97</v>
      </c>
      <c r="U262" s="1" t="b">
        <v>1</v>
      </c>
      <c r="V262" s="1" t="b">
        <v>0</v>
      </c>
      <c r="W262" s="1" t="b">
        <v>0</v>
      </c>
      <c r="X262" s="1">
        <v>5</v>
      </c>
      <c r="Y262" s="1" t="b">
        <v>1</v>
      </c>
      <c r="Z262" s="1" t="b">
        <v>1</v>
      </c>
      <c r="AA262" s="1"/>
      <c r="AB262" s="1" t="b">
        <v>1</v>
      </c>
      <c r="AC262" s="1">
        <v>141668196</v>
      </c>
      <c r="AD262" s="1">
        <v>675996</v>
      </c>
      <c r="AE262" s="1">
        <v>0</v>
      </c>
      <c r="AF262" s="1" t="s">
        <v>1094</v>
      </c>
      <c r="AG262" s="1" t="s">
        <v>1095</v>
      </c>
      <c r="AH262" s="1">
        <v>65.5</v>
      </c>
      <c r="AI262" s="1">
        <v>61.1</v>
      </c>
      <c r="AJ262" s="1" t="s">
        <v>1164</v>
      </c>
      <c r="AK262" s="1" t="s">
        <v>1165</v>
      </c>
      <c r="AL262" s="1" t="s">
        <v>1166</v>
      </c>
    </row>
    <row r="263" spans="1:38" x14ac:dyDescent="0.6">
      <c r="A263" s="1">
        <v>187</v>
      </c>
      <c r="B263" s="1" t="s">
        <v>103</v>
      </c>
      <c r="C263" s="1">
        <v>52</v>
      </c>
      <c r="D263" s="1" t="s">
        <v>89</v>
      </c>
      <c r="E263" s="1" t="s">
        <v>108</v>
      </c>
      <c r="F263" s="1"/>
      <c r="G263" s="1"/>
      <c r="H263" s="1" t="s">
        <v>220</v>
      </c>
      <c r="I263" s="1" t="s">
        <v>221</v>
      </c>
      <c r="J263" s="1" t="s">
        <v>222</v>
      </c>
      <c r="K263" s="1">
        <v>1.25</v>
      </c>
      <c r="L263" s="1">
        <v>120</v>
      </c>
      <c r="M263" s="1" t="s">
        <v>14</v>
      </c>
      <c r="N263" s="1" t="s">
        <v>95</v>
      </c>
      <c r="O263" s="1" t="s">
        <v>96</v>
      </c>
      <c r="P263" s="1"/>
      <c r="Q263" s="1" t="s">
        <v>9</v>
      </c>
      <c r="R263" s="1">
        <v>0</v>
      </c>
      <c r="S263" s="1" t="s">
        <v>97</v>
      </c>
      <c r="T263" s="1" t="s">
        <v>97</v>
      </c>
      <c r="U263" s="1" t="b">
        <v>1</v>
      </c>
      <c r="V263" s="1" t="b">
        <v>0</v>
      </c>
      <c r="W263" s="1" t="b">
        <v>0</v>
      </c>
      <c r="X263" s="1">
        <v>5</v>
      </c>
      <c r="Y263" s="1" t="b">
        <v>1</v>
      </c>
      <c r="Z263" s="1" t="b">
        <v>1</v>
      </c>
      <c r="AA263" s="1"/>
      <c r="AB263" s="1" t="b">
        <v>1</v>
      </c>
      <c r="AC263" s="1">
        <v>164887946</v>
      </c>
      <c r="AD263" s="1">
        <v>524918</v>
      </c>
      <c r="AE263" s="1">
        <v>0</v>
      </c>
      <c r="AF263" s="1" t="s">
        <v>1167</v>
      </c>
      <c r="AG263" s="1" t="s">
        <v>1168</v>
      </c>
      <c r="AH263" s="1">
        <v>62.6</v>
      </c>
      <c r="AI263" s="1">
        <v>66.3</v>
      </c>
      <c r="AJ263" s="1" t="s">
        <v>1169</v>
      </c>
      <c r="AK263" s="1" t="s">
        <v>1170</v>
      </c>
      <c r="AL263" s="1" t="s">
        <v>1171</v>
      </c>
    </row>
    <row r="264" spans="1:38" x14ac:dyDescent="0.6">
      <c r="A264" s="1">
        <v>188</v>
      </c>
      <c r="B264" s="1" t="s">
        <v>103</v>
      </c>
      <c r="C264" s="1">
        <v>66</v>
      </c>
      <c r="D264" s="1" t="s">
        <v>127</v>
      </c>
      <c r="E264" s="1" t="s">
        <v>108</v>
      </c>
      <c r="F264" s="1"/>
      <c r="G264" s="1"/>
      <c r="H264" s="1" t="s">
        <v>220</v>
      </c>
      <c r="I264" s="1" t="s">
        <v>221</v>
      </c>
      <c r="J264" s="1" t="s">
        <v>222</v>
      </c>
      <c r="K264" s="1">
        <v>1.25</v>
      </c>
      <c r="L264" s="1">
        <v>120</v>
      </c>
      <c r="M264" s="1" t="s">
        <v>7</v>
      </c>
      <c r="N264" s="1" t="s">
        <v>7</v>
      </c>
      <c r="O264" s="1" t="s">
        <v>96</v>
      </c>
      <c r="P264" s="1" t="s">
        <v>96</v>
      </c>
      <c r="Q264" s="1" t="s">
        <v>9</v>
      </c>
      <c r="R264" s="1">
        <v>0</v>
      </c>
      <c r="S264" s="1" t="s">
        <v>97</v>
      </c>
      <c r="T264" s="1" t="s">
        <v>97</v>
      </c>
      <c r="U264" s="1" t="b">
        <v>1</v>
      </c>
      <c r="V264" s="1" t="b">
        <v>0</v>
      </c>
      <c r="W264" s="1" t="b">
        <v>0</v>
      </c>
      <c r="X264" s="1">
        <v>5</v>
      </c>
      <c r="Y264" s="1" t="b">
        <v>1</v>
      </c>
      <c r="Z264" s="1" t="b">
        <v>1</v>
      </c>
      <c r="AA264" s="1">
        <v>70.2</v>
      </c>
      <c r="AB264" s="1" t="b">
        <v>0</v>
      </c>
      <c r="AC264" s="1">
        <v>0</v>
      </c>
      <c r="AD264" s="1">
        <v>3167873</v>
      </c>
      <c r="AE264" s="1">
        <v>138914175</v>
      </c>
      <c r="AF264" s="1" t="s">
        <v>1172</v>
      </c>
      <c r="AG264" s="1" t="s">
        <v>1172</v>
      </c>
      <c r="AH264" s="1">
        <v>74.2</v>
      </c>
      <c r="AI264" s="1">
        <v>67.2</v>
      </c>
      <c r="AJ264" s="1" t="s">
        <v>1173</v>
      </c>
      <c r="AK264" s="1" t="s">
        <v>1174</v>
      </c>
      <c r="AL264" s="1" t="s">
        <v>1175</v>
      </c>
    </row>
    <row r="265" spans="1:38" x14ac:dyDescent="0.6">
      <c r="A265" s="1">
        <v>193</v>
      </c>
      <c r="B265" s="1" t="s">
        <v>103</v>
      </c>
      <c r="C265" s="1">
        <v>55</v>
      </c>
      <c r="D265" s="1" t="s">
        <v>89</v>
      </c>
      <c r="E265" s="1" t="s">
        <v>90</v>
      </c>
      <c r="F265" s="1"/>
      <c r="G265" s="1"/>
      <c r="H265" s="1" t="s">
        <v>220</v>
      </c>
      <c r="I265" s="1" t="s">
        <v>221</v>
      </c>
      <c r="J265" s="1" t="s">
        <v>1176</v>
      </c>
      <c r="K265" s="1">
        <v>1.25</v>
      </c>
      <c r="L265" s="1">
        <v>120</v>
      </c>
      <c r="M265" s="1" t="s">
        <v>7</v>
      </c>
      <c r="N265" s="1" t="s">
        <v>7</v>
      </c>
      <c r="O265" s="1" t="s">
        <v>96</v>
      </c>
      <c r="P265" s="1" t="s">
        <v>96</v>
      </c>
      <c r="Q265" s="1" t="s">
        <v>9</v>
      </c>
      <c r="R265" s="1">
        <v>0</v>
      </c>
      <c r="S265" s="1" t="s">
        <v>97</v>
      </c>
      <c r="T265" s="1" t="s">
        <v>97</v>
      </c>
      <c r="U265" s="1" t="b">
        <v>1</v>
      </c>
      <c r="V265" s="1" t="b">
        <v>0</v>
      </c>
      <c r="W265" s="1" t="b">
        <v>0</v>
      </c>
      <c r="X265" s="1">
        <v>5</v>
      </c>
      <c r="Y265" s="1" t="b">
        <v>1</v>
      </c>
      <c r="Z265" s="1" t="b">
        <v>1</v>
      </c>
      <c r="AA265" s="1">
        <v>71.5</v>
      </c>
      <c r="AB265" s="1" t="b">
        <v>0</v>
      </c>
      <c r="AC265" s="1">
        <v>0</v>
      </c>
      <c r="AD265" s="1">
        <v>2735444</v>
      </c>
      <c r="AE265" s="1">
        <v>113394348</v>
      </c>
      <c r="AF265" s="1" t="s">
        <v>1177</v>
      </c>
      <c r="AG265" s="1" t="s">
        <v>1177</v>
      </c>
      <c r="AH265" s="1">
        <v>63</v>
      </c>
      <c r="AI265" s="1">
        <v>63.3</v>
      </c>
      <c r="AJ265" s="1" t="s">
        <v>1178</v>
      </c>
      <c r="AK265" s="1" t="s">
        <v>1179</v>
      </c>
      <c r="AL265" s="1" t="s">
        <v>1180</v>
      </c>
    </row>
    <row r="266" spans="1:38" x14ac:dyDescent="0.6">
      <c r="A266" s="1">
        <v>187</v>
      </c>
      <c r="B266" s="1" t="s">
        <v>103</v>
      </c>
      <c r="C266" s="1">
        <v>52</v>
      </c>
      <c r="D266" s="1" t="s">
        <v>89</v>
      </c>
      <c r="E266" s="1" t="s">
        <v>108</v>
      </c>
      <c r="F266" s="1"/>
      <c r="G266" s="1"/>
      <c r="H266" s="1" t="s">
        <v>220</v>
      </c>
      <c r="I266" s="1" t="s">
        <v>221</v>
      </c>
      <c r="J266" s="1" t="s">
        <v>222</v>
      </c>
      <c r="K266" s="1">
        <v>1.25</v>
      </c>
      <c r="L266" s="1">
        <v>120</v>
      </c>
      <c r="M266" s="1" t="s">
        <v>94</v>
      </c>
      <c r="N266" s="1" t="s">
        <v>95</v>
      </c>
      <c r="O266" s="1"/>
      <c r="P266" s="1" t="s">
        <v>96</v>
      </c>
      <c r="Q266" s="1" t="s">
        <v>9</v>
      </c>
      <c r="R266" s="1">
        <v>0</v>
      </c>
      <c r="S266" s="1" t="s">
        <v>97</v>
      </c>
      <c r="T266" s="1" t="s">
        <v>97</v>
      </c>
      <c r="U266" s="1" t="b">
        <v>1</v>
      </c>
      <c r="V266" s="1" t="b">
        <v>0</v>
      </c>
      <c r="W266" s="1" t="b">
        <v>0</v>
      </c>
      <c r="X266" s="1">
        <v>0</v>
      </c>
      <c r="Y266" s="1" t="b">
        <v>1</v>
      </c>
      <c r="Z266" s="1" t="b">
        <v>1</v>
      </c>
      <c r="AA266" s="1">
        <v>70.900000000000006</v>
      </c>
      <c r="AB266" s="1" t="b">
        <v>1</v>
      </c>
      <c r="AC266" s="1">
        <v>180311345</v>
      </c>
      <c r="AD266" s="1">
        <v>1616591</v>
      </c>
      <c r="AE266" s="1">
        <v>0</v>
      </c>
      <c r="AF266" s="1" t="s">
        <v>1167</v>
      </c>
      <c r="AG266" s="1" t="s">
        <v>1168</v>
      </c>
      <c r="AH266" s="1">
        <v>62.6</v>
      </c>
      <c r="AI266" s="1">
        <v>66.3</v>
      </c>
      <c r="AJ266" s="1" t="s">
        <v>1181</v>
      </c>
      <c r="AK266" s="1" t="s">
        <v>1182</v>
      </c>
      <c r="AL266" s="1" t="s">
        <v>1183</v>
      </c>
    </row>
    <row r="267" spans="1:38" x14ac:dyDescent="0.6">
      <c r="A267" s="1">
        <v>190</v>
      </c>
      <c r="B267" s="1" t="s">
        <v>88</v>
      </c>
      <c r="C267" s="1">
        <v>53</v>
      </c>
      <c r="D267" s="1" t="s">
        <v>89</v>
      </c>
      <c r="E267" s="1" t="s">
        <v>90</v>
      </c>
      <c r="F267" s="1"/>
      <c r="G267" s="1"/>
      <c r="H267" s="1" t="s">
        <v>220</v>
      </c>
      <c r="I267" s="1" t="s">
        <v>221</v>
      </c>
      <c r="J267" s="1" t="s">
        <v>222</v>
      </c>
      <c r="K267" s="1">
        <v>1.25</v>
      </c>
      <c r="L267" s="1">
        <v>120</v>
      </c>
      <c r="M267" s="1" t="s">
        <v>7</v>
      </c>
      <c r="N267" s="1" t="s">
        <v>7</v>
      </c>
      <c r="O267" s="1" t="s">
        <v>96</v>
      </c>
      <c r="P267" s="1" t="s">
        <v>96</v>
      </c>
      <c r="Q267" s="1" t="s">
        <v>9</v>
      </c>
      <c r="R267" s="1">
        <v>0</v>
      </c>
      <c r="S267" s="1" t="s">
        <v>97</v>
      </c>
      <c r="T267" s="1" t="s">
        <v>97</v>
      </c>
      <c r="U267" s="1" t="b">
        <v>1</v>
      </c>
      <c r="V267" s="1" t="b">
        <v>0</v>
      </c>
      <c r="W267" s="1" t="b">
        <v>0</v>
      </c>
      <c r="X267" s="1">
        <v>5</v>
      </c>
      <c r="Y267" s="1" t="b">
        <v>1</v>
      </c>
      <c r="Z267" s="1" t="b">
        <v>1</v>
      </c>
      <c r="AA267" s="1">
        <v>75.8</v>
      </c>
      <c r="AB267" s="1" t="b">
        <v>0</v>
      </c>
      <c r="AC267" s="1">
        <v>0</v>
      </c>
      <c r="AD267" s="1">
        <v>2263476</v>
      </c>
      <c r="AE267" s="1">
        <v>161838668</v>
      </c>
      <c r="AF267" s="1" t="s">
        <v>1184</v>
      </c>
      <c r="AG267" s="1" t="s">
        <v>1184</v>
      </c>
      <c r="AH267" s="1">
        <v>76.599999999999994</v>
      </c>
      <c r="AI267" s="1">
        <v>74.400000000000006</v>
      </c>
      <c r="AJ267" s="1" t="s">
        <v>1185</v>
      </c>
      <c r="AK267" s="1" t="s">
        <v>1186</v>
      </c>
      <c r="AL267" s="1" t="s">
        <v>1187</v>
      </c>
    </row>
    <row r="268" spans="1:38" x14ac:dyDescent="0.6">
      <c r="A268" s="1">
        <v>181</v>
      </c>
      <c r="B268" s="1" t="s">
        <v>103</v>
      </c>
      <c r="C268" s="1">
        <v>65</v>
      </c>
      <c r="D268" s="1" t="s">
        <v>127</v>
      </c>
      <c r="E268" s="1" t="s">
        <v>108</v>
      </c>
      <c r="F268" s="1"/>
      <c r="G268" s="1"/>
      <c r="H268" s="1" t="s">
        <v>220</v>
      </c>
      <c r="I268" s="1" t="s">
        <v>221</v>
      </c>
      <c r="J268" s="1" t="s">
        <v>222</v>
      </c>
      <c r="K268" s="1">
        <v>1.25</v>
      </c>
      <c r="L268" s="1">
        <v>120</v>
      </c>
      <c r="M268" s="1" t="s">
        <v>14</v>
      </c>
      <c r="N268" s="1" t="s">
        <v>95</v>
      </c>
      <c r="O268" s="1" t="s">
        <v>96</v>
      </c>
      <c r="P268" s="1"/>
      <c r="Q268" s="1" t="s">
        <v>9</v>
      </c>
      <c r="R268" s="1">
        <v>0</v>
      </c>
      <c r="S268" s="1" t="s">
        <v>97</v>
      </c>
      <c r="T268" s="1" t="s">
        <v>97</v>
      </c>
      <c r="U268" s="1" t="b">
        <v>1</v>
      </c>
      <c r="V268" s="1" t="b">
        <v>0</v>
      </c>
      <c r="W268" s="1" t="b">
        <v>0</v>
      </c>
      <c r="X268" s="1">
        <v>5</v>
      </c>
      <c r="Y268" s="1" t="b">
        <v>1</v>
      </c>
      <c r="Z268" s="1" t="b">
        <v>1</v>
      </c>
      <c r="AA268" s="1"/>
      <c r="AB268" s="1" t="b">
        <v>1</v>
      </c>
      <c r="AC268" s="1">
        <v>153426611</v>
      </c>
      <c r="AD268" s="1">
        <v>714061</v>
      </c>
      <c r="AE268" s="1">
        <v>0</v>
      </c>
      <c r="AF268" s="1" t="s">
        <v>1127</v>
      </c>
      <c r="AG268" s="1" t="s">
        <v>1128</v>
      </c>
      <c r="AH268" s="1">
        <v>86.5</v>
      </c>
      <c r="AI268" s="1">
        <v>78</v>
      </c>
      <c r="AJ268" s="1" t="s">
        <v>1188</v>
      </c>
      <c r="AK268" s="1" t="s">
        <v>1189</v>
      </c>
      <c r="AL268" s="1" t="s">
        <v>1190</v>
      </c>
    </row>
    <row r="269" spans="1:38" x14ac:dyDescent="0.6">
      <c r="A269" s="1">
        <v>194</v>
      </c>
      <c r="B269" s="1" t="s">
        <v>88</v>
      </c>
      <c r="C269" s="1">
        <v>55</v>
      </c>
      <c r="D269" s="1" t="s">
        <v>89</v>
      </c>
      <c r="E269" s="1" t="s">
        <v>108</v>
      </c>
      <c r="F269" s="1">
        <v>0</v>
      </c>
      <c r="G269" s="1"/>
      <c r="H269" s="1" t="s">
        <v>1191</v>
      </c>
      <c r="I269" s="1" t="s">
        <v>121</v>
      </c>
      <c r="J269" s="1" t="s">
        <v>1192</v>
      </c>
      <c r="K269" s="1">
        <v>0.9</v>
      </c>
      <c r="L269" s="1">
        <v>120</v>
      </c>
      <c r="M269" s="1" t="s">
        <v>14</v>
      </c>
      <c r="N269" s="1" t="s">
        <v>95</v>
      </c>
      <c r="O269" s="1" t="s">
        <v>96</v>
      </c>
      <c r="P269" s="1"/>
      <c r="Q269" s="1" t="s">
        <v>9</v>
      </c>
      <c r="R269" s="1">
        <v>0</v>
      </c>
      <c r="S269" s="1" t="s">
        <v>97</v>
      </c>
      <c r="T269" s="1" t="s">
        <v>97</v>
      </c>
      <c r="U269" s="1" t="b">
        <v>1</v>
      </c>
      <c r="V269" s="1" t="b">
        <v>0</v>
      </c>
      <c r="W269" s="1" t="b">
        <v>0</v>
      </c>
      <c r="X269" s="1">
        <v>5</v>
      </c>
      <c r="Y269" s="1" t="b">
        <v>1</v>
      </c>
      <c r="Z269" s="1" t="b">
        <v>1</v>
      </c>
      <c r="AA269" s="1"/>
      <c r="AB269" s="1" t="b">
        <v>1</v>
      </c>
      <c r="AC269" s="1">
        <v>175296843</v>
      </c>
      <c r="AD269" s="1">
        <v>863925</v>
      </c>
      <c r="AE269" s="1">
        <v>0</v>
      </c>
      <c r="AF269" s="1" t="s">
        <v>1193</v>
      </c>
      <c r="AG269" s="1" t="s">
        <v>1194</v>
      </c>
      <c r="AH269" s="1">
        <v>85.6</v>
      </c>
      <c r="AI269" s="1">
        <v>82.2</v>
      </c>
      <c r="AJ269" s="1" t="s">
        <v>1195</v>
      </c>
      <c r="AK269" s="1" t="s">
        <v>1196</v>
      </c>
      <c r="AL269" s="1" t="s">
        <v>1197</v>
      </c>
    </row>
    <row r="270" spans="1:38" x14ac:dyDescent="0.6">
      <c r="A270" s="1">
        <v>201</v>
      </c>
      <c r="B270" s="1" t="s">
        <v>103</v>
      </c>
      <c r="C270" s="1">
        <v>61</v>
      </c>
      <c r="D270" s="1" t="s">
        <v>127</v>
      </c>
      <c r="E270" s="1" t="s">
        <v>108</v>
      </c>
      <c r="F270" s="1"/>
      <c r="G270" s="1"/>
      <c r="H270" s="1" t="s">
        <v>91</v>
      </c>
      <c r="I270" s="1" t="s">
        <v>92</v>
      </c>
      <c r="J270" s="1" t="s">
        <v>109</v>
      </c>
      <c r="K270" s="1">
        <v>1</v>
      </c>
      <c r="L270" s="1">
        <v>120</v>
      </c>
      <c r="M270" s="1" t="s">
        <v>14</v>
      </c>
      <c r="N270" s="1" t="s">
        <v>95</v>
      </c>
      <c r="O270" s="1" t="s">
        <v>96</v>
      </c>
      <c r="P270" s="1"/>
      <c r="Q270" s="1" t="s">
        <v>9</v>
      </c>
      <c r="R270" s="1">
        <v>0</v>
      </c>
      <c r="S270" s="1" t="s">
        <v>97</v>
      </c>
      <c r="T270" s="1" t="s">
        <v>97</v>
      </c>
      <c r="U270" s="1" t="b">
        <v>1</v>
      </c>
      <c r="V270" s="1" t="b">
        <v>0</v>
      </c>
      <c r="W270" s="1" t="b">
        <v>0</v>
      </c>
      <c r="X270" s="1">
        <v>5</v>
      </c>
      <c r="Y270" s="1" t="b">
        <v>1</v>
      </c>
      <c r="Z270" s="1" t="b">
        <v>1</v>
      </c>
      <c r="AA270" s="1"/>
      <c r="AB270" s="1" t="b">
        <v>1</v>
      </c>
      <c r="AC270" s="1">
        <v>104568286</v>
      </c>
      <c r="AD270" s="1">
        <v>551458</v>
      </c>
      <c r="AE270" s="1">
        <v>0</v>
      </c>
      <c r="AF270" s="1" t="s">
        <v>1198</v>
      </c>
      <c r="AG270" s="1" t="s">
        <v>1199</v>
      </c>
      <c r="AH270" s="1">
        <v>61</v>
      </c>
      <c r="AI270" s="1">
        <v>63.6</v>
      </c>
      <c r="AJ270" s="1" t="s">
        <v>1200</v>
      </c>
      <c r="AK270" s="1" t="s">
        <v>1201</v>
      </c>
      <c r="AL270" s="1" t="s">
        <v>1202</v>
      </c>
    </row>
    <row r="271" spans="1:38" x14ac:dyDescent="0.6">
      <c r="A271" s="1">
        <v>201</v>
      </c>
      <c r="B271" s="1" t="s">
        <v>103</v>
      </c>
      <c r="C271" s="1">
        <v>61</v>
      </c>
      <c r="D271" s="1" t="s">
        <v>127</v>
      </c>
      <c r="E271" s="1" t="s">
        <v>108</v>
      </c>
      <c r="F271" s="1"/>
      <c r="G271" s="1"/>
      <c r="H271" s="1" t="s">
        <v>91</v>
      </c>
      <c r="I271" s="1" t="s">
        <v>92</v>
      </c>
      <c r="J271" s="1" t="s">
        <v>109</v>
      </c>
      <c r="K271" s="1">
        <v>1</v>
      </c>
      <c r="L271" s="1">
        <v>120</v>
      </c>
      <c r="M271" s="1" t="s">
        <v>94</v>
      </c>
      <c r="N271" s="1" t="s">
        <v>95</v>
      </c>
      <c r="O271" s="1"/>
      <c r="P271" s="1" t="s">
        <v>96</v>
      </c>
      <c r="Q271" s="1" t="s">
        <v>9</v>
      </c>
      <c r="R271" s="1">
        <v>0</v>
      </c>
      <c r="S271" s="1" t="s">
        <v>97</v>
      </c>
      <c r="T271" s="1" t="s">
        <v>97</v>
      </c>
      <c r="U271" s="1" t="b">
        <v>1</v>
      </c>
      <c r="V271" s="1" t="b">
        <v>0</v>
      </c>
      <c r="W271" s="1" t="b">
        <v>0</v>
      </c>
      <c r="X271" s="1">
        <v>0</v>
      </c>
      <c r="Y271" s="1" t="b">
        <v>1</v>
      </c>
      <c r="Z271" s="1" t="b">
        <v>1</v>
      </c>
      <c r="AA271" s="1">
        <v>67.900000000000006</v>
      </c>
      <c r="AB271" s="1" t="b">
        <v>1</v>
      </c>
      <c r="AC271" s="1">
        <v>112287121</v>
      </c>
      <c r="AD271" s="1">
        <v>1483375</v>
      </c>
      <c r="AE271" s="1">
        <v>0</v>
      </c>
      <c r="AF271" s="1" t="s">
        <v>1198</v>
      </c>
      <c r="AG271" s="1" t="s">
        <v>1199</v>
      </c>
      <c r="AH271" s="1">
        <v>61</v>
      </c>
      <c r="AI271" s="1">
        <v>63.6</v>
      </c>
      <c r="AJ271" s="1" t="s">
        <v>1203</v>
      </c>
      <c r="AK271" s="1" t="s">
        <v>1204</v>
      </c>
      <c r="AL271" s="1" t="s">
        <v>1205</v>
      </c>
    </row>
    <row r="272" spans="1:38" x14ac:dyDescent="0.6">
      <c r="A272" s="1">
        <v>182</v>
      </c>
      <c r="B272" s="1" t="s">
        <v>103</v>
      </c>
      <c r="C272" s="1">
        <v>53</v>
      </c>
      <c r="D272" s="1" t="s">
        <v>89</v>
      </c>
      <c r="E272" s="1" t="s">
        <v>108</v>
      </c>
      <c r="F272" s="1"/>
      <c r="G272" s="1"/>
      <c r="H272" s="1" t="s">
        <v>220</v>
      </c>
      <c r="I272" s="1" t="s">
        <v>221</v>
      </c>
      <c r="J272" s="1" t="s">
        <v>222</v>
      </c>
      <c r="K272" s="1">
        <v>1.25</v>
      </c>
      <c r="L272" s="1">
        <v>120</v>
      </c>
      <c r="M272" s="1" t="s">
        <v>94</v>
      </c>
      <c r="N272" s="1" t="s">
        <v>95</v>
      </c>
      <c r="O272" s="1"/>
      <c r="P272" s="1" t="s">
        <v>96</v>
      </c>
      <c r="Q272" s="1" t="s">
        <v>9</v>
      </c>
      <c r="R272" s="1">
        <v>0</v>
      </c>
      <c r="S272" s="1" t="s">
        <v>97</v>
      </c>
      <c r="T272" s="1" t="s">
        <v>97</v>
      </c>
      <c r="U272" s="1" t="b">
        <v>1</v>
      </c>
      <c r="V272" s="1" t="b">
        <v>0</v>
      </c>
      <c r="W272" s="1" t="b">
        <v>0</v>
      </c>
      <c r="X272" s="1">
        <v>0</v>
      </c>
      <c r="Y272" s="1" t="b">
        <v>1</v>
      </c>
      <c r="Z272" s="1" t="b">
        <v>1</v>
      </c>
      <c r="AA272" s="1">
        <v>73.7</v>
      </c>
      <c r="AB272" s="1" t="b">
        <v>1</v>
      </c>
      <c r="AC272" s="1">
        <v>166414803</v>
      </c>
      <c r="AD272" s="1">
        <v>1619501</v>
      </c>
      <c r="AE272" s="1">
        <v>0</v>
      </c>
      <c r="AF272" s="1" t="s">
        <v>1144</v>
      </c>
      <c r="AG272" s="1" t="s">
        <v>1145</v>
      </c>
      <c r="AH272" s="1">
        <v>71.2</v>
      </c>
      <c r="AI272" s="1">
        <v>70</v>
      </c>
      <c r="AJ272" s="1" t="s">
        <v>1206</v>
      </c>
      <c r="AK272" s="1" t="s">
        <v>1207</v>
      </c>
      <c r="AL272" s="1" t="s">
        <v>1208</v>
      </c>
    </row>
    <row r="273" spans="1:38" x14ac:dyDescent="0.6">
      <c r="A273" s="1">
        <v>199</v>
      </c>
      <c r="B273" s="1" t="s">
        <v>88</v>
      </c>
      <c r="C273" s="1">
        <v>55</v>
      </c>
      <c r="D273" s="1" t="s">
        <v>89</v>
      </c>
      <c r="E273" s="1" t="s">
        <v>108</v>
      </c>
      <c r="F273" s="1"/>
      <c r="G273" s="1"/>
      <c r="H273" s="1" t="s">
        <v>91</v>
      </c>
      <c r="I273" s="1" t="s">
        <v>92</v>
      </c>
      <c r="J273" s="1" t="s">
        <v>109</v>
      </c>
      <c r="K273" s="1">
        <v>1</v>
      </c>
      <c r="L273" s="1">
        <v>120</v>
      </c>
      <c r="M273" s="1" t="s">
        <v>7</v>
      </c>
      <c r="N273" s="1" t="s">
        <v>7</v>
      </c>
      <c r="O273" s="1" t="s">
        <v>96</v>
      </c>
      <c r="P273" s="1" t="s">
        <v>96</v>
      </c>
      <c r="Q273" s="1" t="s">
        <v>9</v>
      </c>
      <c r="R273" s="1">
        <v>0</v>
      </c>
      <c r="S273" s="1" t="s">
        <v>97</v>
      </c>
      <c r="T273" s="1" t="s">
        <v>97</v>
      </c>
      <c r="U273" s="1" t="b">
        <v>1</v>
      </c>
      <c r="V273" s="1" t="b">
        <v>0</v>
      </c>
      <c r="W273" s="1" t="b">
        <v>0</v>
      </c>
      <c r="X273" s="1">
        <v>5</v>
      </c>
      <c r="Y273" s="1" t="b">
        <v>1</v>
      </c>
      <c r="Z273" s="1" t="b">
        <v>1</v>
      </c>
      <c r="AA273" s="1">
        <v>68.8</v>
      </c>
      <c r="AB273" s="1" t="b">
        <v>0</v>
      </c>
      <c r="AC273" s="1">
        <v>0</v>
      </c>
      <c r="AD273" s="1">
        <v>3204689</v>
      </c>
      <c r="AE273" s="1">
        <v>116070831</v>
      </c>
      <c r="AF273" s="1" t="s">
        <v>1209</v>
      </c>
      <c r="AG273" s="1" t="s">
        <v>1209</v>
      </c>
      <c r="AH273" s="1">
        <v>79.400000000000006</v>
      </c>
      <c r="AI273" s="1">
        <v>69.3</v>
      </c>
      <c r="AJ273" s="1" t="s">
        <v>1210</v>
      </c>
      <c r="AK273" s="1" t="s">
        <v>1211</v>
      </c>
      <c r="AL273" s="1" t="s">
        <v>1212</v>
      </c>
    </row>
    <row r="274" spans="1:38" x14ac:dyDescent="0.6">
      <c r="A274" s="1">
        <v>195</v>
      </c>
      <c r="B274" s="1" t="s">
        <v>103</v>
      </c>
      <c r="C274" s="1">
        <v>51</v>
      </c>
      <c r="D274" s="1" t="s">
        <v>89</v>
      </c>
      <c r="E274" s="1" t="s">
        <v>90</v>
      </c>
      <c r="F274" s="1">
        <v>10.5</v>
      </c>
      <c r="G274" s="1"/>
      <c r="H274" s="1" t="s">
        <v>120</v>
      </c>
      <c r="I274" s="1" t="s">
        <v>121</v>
      </c>
      <c r="J274" s="1" t="s">
        <v>122</v>
      </c>
      <c r="K274" s="1">
        <v>1</v>
      </c>
      <c r="L274" s="1">
        <v>120</v>
      </c>
      <c r="M274" s="1" t="s">
        <v>7</v>
      </c>
      <c r="N274" s="1" t="s">
        <v>7</v>
      </c>
      <c r="O274" s="1" t="s">
        <v>96</v>
      </c>
      <c r="P274" s="1" t="s">
        <v>96</v>
      </c>
      <c r="Q274" s="1" t="s">
        <v>9</v>
      </c>
      <c r="R274" s="1">
        <v>0</v>
      </c>
      <c r="S274" s="1" t="s">
        <v>97</v>
      </c>
      <c r="T274" s="1" t="s">
        <v>97</v>
      </c>
      <c r="U274" s="1" t="b">
        <v>1</v>
      </c>
      <c r="V274" s="1" t="b">
        <v>0</v>
      </c>
      <c r="W274" s="1" t="b">
        <v>0</v>
      </c>
      <c r="X274" s="1">
        <v>5</v>
      </c>
      <c r="Y274" s="1" t="b">
        <v>1</v>
      </c>
      <c r="Z274" s="1" t="b">
        <v>1</v>
      </c>
      <c r="AA274" s="1">
        <v>66.3</v>
      </c>
      <c r="AB274" s="1" t="b">
        <v>0</v>
      </c>
      <c r="AC274" s="1">
        <v>0</v>
      </c>
      <c r="AD274" s="1">
        <v>1909327</v>
      </c>
      <c r="AE274" s="1">
        <v>137026993</v>
      </c>
      <c r="AF274" s="1" t="s">
        <v>1213</v>
      </c>
      <c r="AG274" s="1" t="s">
        <v>1213</v>
      </c>
      <c r="AH274" s="1">
        <v>59.5</v>
      </c>
      <c r="AI274" s="1">
        <v>60.3</v>
      </c>
      <c r="AJ274" s="1" t="s">
        <v>1214</v>
      </c>
      <c r="AK274" s="1" t="s">
        <v>1215</v>
      </c>
      <c r="AL274" s="1" t="s">
        <v>1216</v>
      </c>
    </row>
    <row r="275" spans="1:38" x14ac:dyDescent="0.6">
      <c r="A275" s="1">
        <v>202</v>
      </c>
      <c r="B275" s="1" t="s">
        <v>103</v>
      </c>
      <c r="C275" s="1">
        <v>64</v>
      </c>
      <c r="D275" s="1" t="s">
        <v>127</v>
      </c>
      <c r="E275" s="1" t="s">
        <v>90</v>
      </c>
      <c r="F275" s="1"/>
      <c r="G275" s="1"/>
      <c r="H275" s="1" t="s">
        <v>91</v>
      </c>
      <c r="I275" s="1" t="s">
        <v>92</v>
      </c>
      <c r="J275" s="1" t="s">
        <v>109</v>
      </c>
      <c r="K275" s="1">
        <v>1</v>
      </c>
      <c r="L275" s="1">
        <v>120</v>
      </c>
      <c r="M275" s="1" t="s">
        <v>94</v>
      </c>
      <c r="N275" s="1" t="s">
        <v>95</v>
      </c>
      <c r="O275" s="1"/>
      <c r="P275" s="1" t="s">
        <v>96</v>
      </c>
      <c r="Q275" s="1" t="s">
        <v>9</v>
      </c>
      <c r="R275" s="1">
        <v>0</v>
      </c>
      <c r="S275" s="1" t="s">
        <v>97</v>
      </c>
      <c r="T275" s="1" t="s">
        <v>97</v>
      </c>
      <c r="U275" s="1" t="b">
        <v>1</v>
      </c>
      <c r="V275" s="1" t="b">
        <v>0</v>
      </c>
      <c r="W275" s="1" t="b">
        <v>0</v>
      </c>
      <c r="X275" s="1">
        <v>0</v>
      </c>
      <c r="Y275" s="1" t="b">
        <v>1</v>
      </c>
      <c r="Z275" s="1" t="b">
        <v>1</v>
      </c>
      <c r="AA275" s="1">
        <v>71</v>
      </c>
      <c r="AB275" s="1" t="b">
        <v>1</v>
      </c>
      <c r="AC275" s="1">
        <v>132313769</v>
      </c>
      <c r="AD275" s="1">
        <v>2166103</v>
      </c>
      <c r="AE275" s="1">
        <v>0</v>
      </c>
      <c r="AF275" s="1" t="s">
        <v>1217</v>
      </c>
      <c r="AG275" s="1" t="s">
        <v>1218</v>
      </c>
      <c r="AH275" s="1">
        <v>65.7</v>
      </c>
      <c r="AI275" s="1">
        <v>67.400000000000006</v>
      </c>
      <c r="AJ275" s="1" t="s">
        <v>1219</v>
      </c>
      <c r="AK275" s="1" t="s">
        <v>1220</v>
      </c>
      <c r="AL275" s="1" t="s">
        <v>1221</v>
      </c>
    </row>
    <row r="276" spans="1:38" x14ac:dyDescent="0.6">
      <c r="A276" s="1">
        <v>203</v>
      </c>
      <c r="B276" s="1" t="s">
        <v>88</v>
      </c>
      <c r="C276" s="1">
        <v>77</v>
      </c>
      <c r="D276" s="1" t="s">
        <v>119</v>
      </c>
      <c r="E276" s="1" t="s">
        <v>90</v>
      </c>
      <c r="F276" s="1"/>
      <c r="G276" s="1"/>
      <c r="H276" s="1" t="s">
        <v>91</v>
      </c>
      <c r="I276" s="1" t="s">
        <v>92</v>
      </c>
      <c r="J276" s="1" t="s">
        <v>109</v>
      </c>
      <c r="K276" s="1">
        <v>1</v>
      </c>
      <c r="L276" s="1">
        <v>120</v>
      </c>
      <c r="M276" s="1" t="s">
        <v>7</v>
      </c>
      <c r="N276" s="1" t="s">
        <v>7</v>
      </c>
      <c r="O276" s="1" t="s">
        <v>96</v>
      </c>
      <c r="P276" s="1" t="s">
        <v>96</v>
      </c>
      <c r="Q276" s="1" t="s">
        <v>9</v>
      </c>
      <c r="R276" s="1">
        <v>0</v>
      </c>
      <c r="S276" s="1" t="s">
        <v>97</v>
      </c>
      <c r="T276" s="1" t="s">
        <v>97</v>
      </c>
      <c r="U276" s="1" t="b">
        <v>1</v>
      </c>
      <c r="V276" s="1" t="b">
        <v>0</v>
      </c>
      <c r="W276" s="1" t="b">
        <v>0</v>
      </c>
      <c r="X276" s="1">
        <v>5</v>
      </c>
      <c r="Y276" s="1" t="b">
        <v>1</v>
      </c>
      <c r="Z276" s="1" t="b">
        <v>1</v>
      </c>
      <c r="AA276" s="1">
        <v>54.9</v>
      </c>
      <c r="AB276" s="1" t="b">
        <v>0</v>
      </c>
      <c r="AC276" s="1">
        <v>0</v>
      </c>
      <c r="AD276" s="1">
        <v>2675708</v>
      </c>
      <c r="AE276" s="1">
        <v>126823428</v>
      </c>
      <c r="AF276" s="1" t="s">
        <v>1222</v>
      </c>
      <c r="AG276" s="1" t="s">
        <v>1222</v>
      </c>
      <c r="AH276" s="1">
        <v>56.5</v>
      </c>
      <c r="AI276" s="1">
        <v>55.9</v>
      </c>
      <c r="AJ276" s="1" t="s">
        <v>1223</v>
      </c>
      <c r="AK276" s="1" t="s">
        <v>1224</v>
      </c>
      <c r="AL276" s="1" t="s">
        <v>1225</v>
      </c>
    </row>
    <row r="277" spans="1:38" x14ac:dyDescent="0.6">
      <c r="A277" s="1">
        <v>197</v>
      </c>
      <c r="B277" s="1" t="s">
        <v>103</v>
      </c>
      <c r="C277" s="1">
        <v>55</v>
      </c>
      <c r="D277" s="1" t="s">
        <v>89</v>
      </c>
      <c r="E277" s="1" t="s">
        <v>108</v>
      </c>
      <c r="F277" s="1">
        <v>10.5</v>
      </c>
      <c r="G277" s="1"/>
      <c r="H277" s="1" t="s">
        <v>120</v>
      </c>
      <c r="I277" s="1" t="s">
        <v>121</v>
      </c>
      <c r="J277" s="1" t="s">
        <v>122</v>
      </c>
      <c r="K277" s="1">
        <v>1</v>
      </c>
      <c r="L277" s="1">
        <v>120</v>
      </c>
      <c r="M277" s="1" t="s">
        <v>7</v>
      </c>
      <c r="N277" s="1" t="s">
        <v>7</v>
      </c>
      <c r="O277" s="1" t="s">
        <v>96</v>
      </c>
      <c r="P277" s="1" t="s">
        <v>96</v>
      </c>
      <c r="Q277" s="1" t="s">
        <v>9</v>
      </c>
      <c r="R277" s="1">
        <v>0</v>
      </c>
      <c r="S277" s="1" t="s">
        <v>97</v>
      </c>
      <c r="T277" s="1" t="s">
        <v>97</v>
      </c>
      <c r="U277" s="1" t="b">
        <v>1</v>
      </c>
      <c r="V277" s="1" t="b">
        <v>0</v>
      </c>
      <c r="W277" s="1" t="b">
        <v>0</v>
      </c>
      <c r="X277" s="1">
        <v>5</v>
      </c>
      <c r="Y277" s="1" t="b">
        <v>1</v>
      </c>
      <c r="Z277" s="1" t="b">
        <v>1</v>
      </c>
      <c r="AA277" s="1">
        <v>53.2</v>
      </c>
      <c r="AB277" s="1" t="b">
        <v>0</v>
      </c>
      <c r="AC277" s="1">
        <v>0</v>
      </c>
      <c r="AD277" s="1">
        <v>3567060</v>
      </c>
      <c r="AE277" s="1">
        <v>140874284</v>
      </c>
      <c r="AF277" s="1" t="s">
        <v>1226</v>
      </c>
      <c r="AG277" s="1" t="s">
        <v>1226</v>
      </c>
      <c r="AH277" s="1">
        <v>59.7</v>
      </c>
      <c r="AI277" s="1">
        <v>53.1</v>
      </c>
      <c r="AJ277" s="1" t="s">
        <v>1227</v>
      </c>
      <c r="AK277" s="1" t="s">
        <v>1228</v>
      </c>
      <c r="AL277" s="1" t="s">
        <v>1229</v>
      </c>
    </row>
    <row r="278" spans="1:38" x14ac:dyDescent="0.6">
      <c r="A278" s="1">
        <v>191</v>
      </c>
      <c r="B278" s="1" t="s">
        <v>103</v>
      </c>
      <c r="C278" s="1">
        <v>57</v>
      </c>
      <c r="D278" s="1" t="s">
        <v>89</v>
      </c>
      <c r="E278" s="1" t="s">
        <v>90</v>
      </c>
      <c r="F278" s="1"/>
      <c r="G278" s="1"/>
      <c r="H278" s="1" t="s">
        <v>220</v>
      </c>
      <c r="I278" s="1" t="s">
        <v>221</v>
      </c>
      <c r="J278" s="1" t="s">
        <v>222</v>
      </c>
      <c r="K278" s="1">
        <v>1.25</v>
      </c>
      <c r="L278" s="1">
        <v>120</v>
      </c>
      <c r="M278" s="1" t="s">
        <v>7</v>
      </c>
      <c r="N278" s="1" t="s">
        <v>7</v>
      </c>
      <c r="O278" s="1" t="s">
        <v>96</v>
      </c>
      <c r="P278" s="1" t="s">
        <v>96</v>
      </c>
      <c r="Q278" s="1" t="s">
        <v>9</v>
      </c>
      <c r="R278" s="1">
        <v>0</v>
      </c>
      <c r="S278" s="1" t="s">
        <v>97</v>
      </c>
      <c r="T278" s="1" t="s">
        <v>97</v>
      </c>
      <c r="U278" s="1" t="b">
        <v>1</v>
      </c>
      <c r="V278" s="1" t="b">
        <v>0</v>
      </c>
      <c r="W278" s="1" t="b">
        <v>0</v>
      </c>
      <c r="X278" s="1">
        <v>5</v>
      </c>
      <c r="Y278" s="1" t="b">
        <v>1</v>
      </c>
      <c r="Z278" s="1" t="b">
        <v>1</v>
      </c>
      <c r="AA278" s="1">
        <v>69.7</v>
      </c>
      <c r="AB278" s="1" t="b">
        <v>0</v>
      </c>
      <c r="AC278" s="1">
        <v>0</v>
      </c>
      <c r="AD278" s="1">
        <v>2157683</v>
      </c>
      <c r="AE278" s="1">
        <v>118952845</v>
      </c>
      <c r="AF278" s="1" t="s">
        <v>1230</v>
      </c>
      <c r="AG278" s="1" t="s">
        <v>1230</v>
      </c>
      <c r="AH278" s="1">
        <v>67.2</v>
      </c>
      <c r="AI278" s="1">
        <v>65.8</v>
      </c>
      <c r="AJ278" s="1" t="s">
        <v>1231</v>
      </c>
      <c r="AK278" s="1" t="s">
        <v>1232</v>
      </c>
      <c r="AL278" s="1" t="s">
        <v>1233</v>
      </c>
    </row>
    <row r="279" spans="1:38" x14ac:dyDescent="0.6">
      <c r="A279" s="1">
        <v>204</v>
      </c>
      <c r="B279" s="1" t="s">
        <v>88</v>
      </c>
      <c r="C279" s="1">
        <v>60</v>
      </c>
      <c r="D279" s="1" t="s">
        <v>127</v>
      </c>
      <c r="E279" s="1" t="s">
        <v>108</v>
      </c>
      <c r="F279" s="1"/>
      <c r="G279" s="1"/>
      <c r="H279" s="1" t="s">
        <v>91</v>
      </c>
      <c r="I279" s="1" t="s">
        <v>92</v>
      </c>
      <c r="J279" s="1" t="s">
        <v>109</v>
      </c>
      <c r="K279" s="1">
        <v>1</v>
      </c>
      <c r="L279" s="1">
        <v>120</v>
      </c>
      <c r="M279" s="1" t="s">
        <v>14</v>
      </c>
      <c r="N279" s="1" t="s">
        <v>95</v>
      </c>
      <c r="O279" s="1" t="s">
        <v>96</v>
      </c>
      <c r="P279" s="1"/>
      <c r="Q279" s="1" t="s">
        <v>9</v>
      </c>
      <c r="R279" s="1">
        <v>0</v>
      </c>
      <c r="S279" s="1" t="s">
        <v>97</v>
      </c>
      <c r="T279" s="1" t="s">
        <v>97</v>
      </c>
      <c r="U279" s="1" t="b">
        <v>1</v>
      </c>
      <c r="V279" s="1" t="b">
        <v>0</v>
      </c>
      <c r="W279" s="1" t="b">
        <v>0</v>
      </c>
      <c r="X279" s="1">
        <v>5</v>
      </c>
      <c r="Y279" s="1" t="b">
        <v>1</v>
      </c>
      <c r="Z279" s="1" t="b">
        <v>1</v>
      </c>
      <c r="AA279" s="1"/>
      <c r="AB279" s="1" t="b">
        <v>1</v>
      </c>
      <c r="AC279" s="1">
        <v>157471243</v>
      </c>
      <c r="AD279" s="1">
        <v>863733</v>
      </c>
      <c r="AE279" s="1">
        <v>0</v>
      </c>
      <c r="AF279" s="1" t="s">
        <v>1234</v>
      </c>
      <c r="AG279" s="1" t="s">
        <v>1235</v>
      </c>
      <c r="AH279" s="1">
        <v>74.400000000000006</v>
      </c>
      <c r="AI279" s="1">
        <v>69.900000000000006</v>
      </c>
      <c r="AJ279" s="1" t="s">
        <v>1236</v>
      </c>
      <c r="AK279" s="1" t="s">
        <v>1237</v>
      </c>
      <c r="AL279" s="1" t="s">
        <v>1238</v>
      </c>
    </row>
    <row r="280" spans="1:38" x14ac:dyDescent="0.6">
      <c r="A280" s="1">
        <v>205</v>
      </c>
      <c r="B280" s="1" t="s">
        <v>103</v>
      </c>
      <c r="C280" s="1">
        <v>66</v>
      </c>
      <c r="D280" s="1" t="s">
        <v>127</v>
      </c>
      <c r="E280" s="1" t="s">
        <v>108</v>
      </c>
      <c r="F280" s="1"/>
      <c r="G280" s="1"/>
      <c r="H280" s="1" t="s">
        <v>91</v>
      </c>
      <c r="I280" s="1" t="s">
        <v>92</v>
      </c>
      <c r="J280" s="1" t="s">
        <v>109</v>
      </c>
      <c r="K280" s="1">
        <v>1</v>
      </c>
      <c r="L280" s="1">
        <v>120</v>
      </c>
      <c r="M280" s="1" t="s">
        <v>94</v>
      </c>
      <c r="N280" s="1" t="s">
        <v>95</v>
      </c>
      <c r="O280" s="1"/>
      <c r="P280" s="1" t="s">
        <v>96</v>
      </c>
      <c r="Q280" s="1" t="s">
        <v>9</v>
      </c>
      <c r="R280" s="1">
        <v>0</v>
      </c>
      <c r="S280" s="1" t="s">
        <v>97</v>
      </c>
      <c r="T280" s="1" t="s">
        <v>97</v>
      </c>
      <c r="U280" s="1" t="b">
        <v>1</v>
      </c>
      <c r="V280" s="1" t="b">
        <v>0</v>
      </c>
      <c r="W280" s="1" t="b">
        <v>0</v>
      </c>
      <c r="X280" s="1">
        <v>0</v>
      </c>
      <c r="Y280" s="1" t="b">
        <v>1</v>
      </c>
      <c r="Z280" s="1" t="b">
        <v>1</v>
      </c>
      <c r="AA280" s="1">
        <v>66.7</v>
      </c>
      <c r="AB280" s="1" t="b">
        <v>1</v>
      </c>
      <c r="AC280" s="1">
        <v>130335053</v>
      </c>
      <c r="AD280" s="1">
        <v>1785523</v>
      </c>
      <c r="AE280" s="1">
        <v>0</v>
      </c>
      <c r="AF280" s="1" t="s">
        <v>1239</v>
      </c>
      <c r="AG280" s="1" t="s">
        <v>1240</v>
      </c>
      <c r="AH280" s="1">
        <v>66.400000000000006</v>
      </c>
      <c r="AI280" s="1">
        <v>64.3</v>
      </c>
      <c r="AJ280" s="1" t="s">
        <v>1241</v>
      </c>
      <c r="AK280" s="1" t="s">
        <v>1242</v>
      </c>
      <c r="AL280" s="1" t="s">
        <v>1243</v>
      </c>
    </row>
    <row r="281" spans="1:38" x14ac:dyDescent="0.6">
      <c r="A281" s="1">
        <v>205</v>
      </c>
      <c r="B281" s="1" t="s">
        <v>103</v>
      </c>
      <c r="C281" s="1">
        <v>66</v>
      </c>
      <c r="D281" s="1" t="s">
        <v>127</v>
      </c>
      <c r="E281" s="1" t="s">
        <v>108</v>
      </c>
      <c r="F281" s="1"/>
      <c r="G281" s="1"/>
      <c r="H281" s="1" t="s">
        <v>91</v>
      </c>
      <c r="I281" s="1" t="s">
        <v>92</v>
      </c>
      <c r="J281" s="1" t="s">
        <v>109</v>
      </c>
      <c r="K281" s="1">
        <v>1</v>
      </c>
      <c r="L281" s="1">
        <v>120</v>
      </c>
      <c r="M281" s="1" t="s">
        <v>14</v>
      </c>
      <c r="N281" s="1" t="s">
        <v>95</v>
      </c>
      <c r="O281" s="1" t="s">
        <v>96</v>
      </c>
      <c r="P281" s="1"/>
      <c r="Q281" s="1" t="s">
        <v>9</v>
      </c>
      <c r="R281" s="1">
        <v>0</v>
      </c>
      <c r="S281" s="1" t="s">
        <v>97</v>
      </c>
      <c r="T281" s="1" t="s">
        <v>97</v>
      </c>
      <c r="U281" s="1" t="b">
        <v>1</v>
      </c>
      <c r="V281" s="1" t="b">
        <v>0</v>
      </c>
      <c r="W281" s="1" t="b">
        <v>0</v>
      </c>
      <c r="X281" s="1">
        <v>5</v>
      </c>
      <c r="Y281" s="1" t="b">
        <v>1</v>
      </c>
      <c r="Z281" s="1" t="b">
        <v>1</v>
      </c>
      <c r="AA281" s="1"/>
      <c r="AB281" s="1" t="b">
        <v>1</v>
      </c>
      <c r="AC281" s="1">
        <v>130679167</v>
      </c>
      <c r="AD281" s="1">
        <v>654977</v>
      </c>
      <c r="AE281" s="1">
        <v>0</v>
      </c>
      <c r="AF281" s="1" t="s">
        <v>1239</v>
      </c>
      <c r="AG281" s="1" t="s">
        <v>1240</v>
      </c>
      <c r="AH281" s="1">
        <v>66.400000000000006</v>
      </c>
      <c r="AI281" s="1">
        <v>64.3</v>
      </c>
      <c r="AJ281" s="1" t="s">
        <v>1244</v>
      </c>
      <c r="AK281" s="1" t="s">
        <v>1245</v>
      </c>
      <c r="AL281" s="1" t="s">
        <v>1246</v>
      </c>
    </row>
    <row r="282" spans="1:38" x14ac:dyDescent="0.6">
      <c r="A282" s="1">
        <v>189</v>
      </c>
      <c r="B282" s="1" t="s">
        <v>88</v>
      </c>
      <c r="C282" s="1">
        <v>51</v>
      </c>
      <c r="D282" s="1" t="s">
        <v>89</v>
      </c>
      <c r="E282" s="1" t="s">
        <v>108</v>
      </c>
      <c r="F282" s="1"/>
      <c r="G282" s="1"/>
      <c r="H282" s="1" t="s">
        <v>220</v>
      </c>
      <c r="I282" s="1" t="s">
        <v>221</v>
      </c>
      <c r="J282" s="1" t="s">
        <v>222</v>
      </c>
      <c r="K282" s="1">
        <v>1.25</v>
      </c>
      <c r="L282" s="1">
        <v>120</v>
      </c>
      <c r="M282" s="1" t="s">
        <v>7</v>
      </c>
      <c r="N282" s="1" t="s">
        <v>7</v>
      </c>
      <c r="O282" s="1" t="s">
        <v>96</v>
      </c>
      <c r="P282" s="1" t="s">
        <v>96</v>
      </c>
      <c r="Q282" s="1" t="s">
        <v>200</v>
      </c>
      <c r="R282" s="1">
        <v>1</v>
      </c>
      <c r="S282" s="1" t="s">
        <v>97</v>
      </c>
      <c r="T282" s="1" t="s">
        <v>200</v>
      </c>
      <c r="U282" s="1" t="b">
        <v>0</v>
      </c>
      <c r="V282" s="1" t="b">
        <v>1</v>
      </c>
      <c r="W282" s="1" t="b">
        <v>1</v>
      </c>
      <c r="X282" s="1">
        <v>6</v>
      </c>
      <c r="Y282" s="1" t="b">
        <v>1</v>
      </c>
      <c r="Z282" s="1" t="b">
        <v>1</v>
      </c>
      <c r="AA282" s="1">
        <v>57.5</v>
      </c>
      <c r="AB282" s="1" t="b">
        <v>0</v>
      </c>
      <c r="AC282" s="1">
        <v>0</v>
      </c>
      <c r="AD282" s="1">
        <v>3746154</v>
      </c>
      <c r="AE282" s="1">
        <v>145413782</v>
      </c>
      <c r="AF282" s="1" t="s">
        <v>1247</v>
      </c>
      <c r="AG282" s="1" t="s">
        <v>1247</v>
      </c>
      <c r="AH282" s="1">
        <v>61.6</v>
      </c>
      <c r="AI282" s="1">
        <v>56.4</v>
      </c>
      <c r="AJ282" s="1" t="s">
        <v>1248</v>
      </c>
      <c r="AK282" s="1" t="s">
        <v>1249</v>
      </c>
      <c r="AL282" s="1" t="s">
        <v>1250</v>
      </c>
    </row>
    <row r="283" spans="1:38" x14ac:dyDescent="0.6">
      <c r="A283" s="1">
        <v>200</v>
      </c>
      <c r="B283" s="1" t="s">
        <v>88</v>
      </c>
      <c r="C283" s="1">
        <v>51</v>
      </c>
      <c r="D283" s="1" t="s">
        <v>89</v>
      </c>
      <c r="E283" s="1" t="s">
        <v>108</v>
      </c>
      <c r="F283" s="1"/>
      <c r="G283" s="1"/>
      <c r="H283" s="1" t="s">
        <v>91</v>
      </c>
      <c r="I283" s="1" t="s">
        <v>92</v>
      </c>
      <c r="J283" s="1" t="s">
        <v>109</v>
      </c>
      <c r="K283" s="1">
        <v>1</v>
      </c>
      <c r="L283" s="1">
        <v>120</v>
      </c>
      <c r="M283" s="1" t="s">
        <v>7</v>
      </c>
      <c r="N283" s="1" t="s">
        <v>7</v>
      </c>
      <c r="O283" s="1" t="s">
        <v>96</v>
      </c>
      <c r="P283" s="1" t="s">
        <v>96</v>
      </c>
      <c r="Q283" s="1" t="s">
        <v>9</v>
      </c>
      <c r="R283" s="1">
        <v>0</v>
      </c>
      <c r="S283" s="1" t="s">
        <v>97</v>
      </c>
      <c r="T283" s="1" t="s">
        <v>97</v>
      </c>
      <c r="U283" s="1" t="b">
        <v>1</v>
      </c>
      <c r="V283" s="1" t="b">
        <v>0</v>
      </c>
      <c r="W283" s="1" t="b">
        <v>0</v>
      </c>
      <c r="X283" s="1">
        <v>5</v>
      </c>
      <c r="Y283" s="1" t="b">
        <v>1</v>
      </c>
      <c r="Z283" s="1" t="b">
        <v>1</v>
      </c>
      <c r="AA283" s="1">
        <v>65.900000000000006</v>
      </c>
      <c r="AB283" s="1" t="b">
        <v>0</v>
      </c>
      <c r="AC283" s="1">
        <v>0</v>
      </c>
      <c r="AD283" s="1">
        <v>2576740</v>
      </c>
      <c r="AE283" s="1">
        <v>109096604</v>
      </c>
      <c r="AF283" s="1" t="s">
        <v>1251</v>
      </c>
      <c r="AG283" s="1" t="s">
        <v>1251</v>
      </c>
      <c r="AH283" s="1">
        <v>68</v>
      </c>
      <c r="AI283" s="1">
        <v>63.8</v>
      </c>
      <c r="AJ283" s="1" t="s">
        <v>1252</v>
      </c>
      <c r="AK283" s="1" t="s">
        <v>1253</v>
      </c>
      <c r="AL283" s="1" t="s">
        <v>1254</v>
      </c>
    </row>
    <row r="284" spans="1:38" x14ac:dyDescent="0.6">
      <c r="A284" s="1">
        <v>207</v>
      </c>
      <c r="B284" s="1" t="s">
        <v>103</v>
      </c>
      <c r="C284" s="1">
        <v>52</v>
      </c>
      <c r="D284" s="1" t="s">
        <v>89</v>
      </c>
      <c r="E284" s="1" t="s">
        <v>90</v>
      </c>
      <c r="F284" s="1"/>
      <c r="G284" s="1"/>
      <c r="H284" s="1" t="s">
        <v>91</v>
      </c>
      <c r="I284" s="1" t="s">
        <v>92</v>
      </c>
      <c r="J284" s="1" t="s">
        <v>109</v>
      </c>
      <c r="K284" s="1">
        <v>1</v>
      </c>
      <c r="L284" s="1">
        <v>120</v>
      </c>
      <c r="M284" s="1" t="s">
        <v>7</v>
      </c>
      <c r="N284" s="1" t="s">
        <v>7</v>
      </c>
      <c r="O284" s="1" t="s">
        <v>96</v>
      </c>
      <c r="P284" s="1" t="s">
        <v>96</v>
      </c>
      <c r="Q284" s="1" t="s">
        <v>9</v>
      </c>
      <c r="R284" s="1">
        <v>0</v>
      </c>
      <c r="S284" s="1" t="s">
        <v>97</v>
      </c>
      <c r="T284" s="1" t="s">
        <v>97</v>
      </c>
      <c r="U284" s="1" t="b">
        <v>1</v>
      </c>
      <c r="V284" s="1" t="b">
        <v>0</v>
      </c>
      <c r="W284" s="1" t="b">
        <v>0</v>
      </c>
      <c r="X284" s="1">
        <v>5</v>
      </c>
      <c r="Y284" s="1" t="b">
        <v>1</v>
      </c>
      <c r="Z284" s="1" t="b">
        <v>1</v>
      </c>
      <c r="AA284" s="1">
        <v>78.099999999999994</v>
      </c>
      <c r="AB284" s="1" t="b">
        <v>0</v>
      </c>
      <c r="AC284" s="1">
        <v>0</v>
      </c>
      <c r="AD284" s="1">
        <v>1749429</v>
      </c>
      <c r="AE284" s="1">
        <v>129584715</v>
      </c>
      <c r="AF284" s="1" t="s">
        <v>1255</v>
      </c>
      <c r="AG284" s="1" t="s">
        <v>1255</v>
      </c>
      <c r="AH284" s="1">
        <v>73.8</v>
      </c>
      <c r="AI284" s="1">
        <v>72.5</v>
      </c>
      <c r="AJ284" s="1" t="s">
        <v>1256</v>
      </c>
      <c r="AK284" s="1" t="s">
        <v>1257</v>
      </c>
      <c r="AL284" s="1" t="s">
        <v>1258</v>
      </c>
    </row>
    <row r="285" spans="1:38" x14ac:dyDescent="0.6">
      <c r="A285" s="1">
        <v>209</v>
      </c>
      <c r="B285" s="1" t="s">
        <v>103</v>
      </c>
      <c r="C285" s="1"/>
      <c r="D285" s="1"/>
      <c r="E285" s="1" t="s">
        <v>108</v>
      </c>
      <c r="F285" s="1"/>
      <c r="G285" s="1"/>
      <c r="H285" s="1" t="s">
        <v>91</v>
      </c>
      <c r="I285" s="1" t="s">
        <v>92</v>
      </c>
      <c r="J285" s="1" t="s">
        <v>109</v>
      </c>
      <c r="K285" s="1">
        <v>1</v>
      </c>
      <c r="L285" s="1">
        <v>120</v>
      </c>
      <c r="M285" s="1" t="s">
        <v>14</v>
      </c>
      <c r="N285" s="1" t="s">
        <v>95</v>
      </c>
      <c r="O285" s="1" t="s">
        <v>96</v>
      </c>
      <c r="P285" s="1"/>
      <c r="Q285" s="1" t="s">
        <v>9</v>
      </c>
      <c r="R285" s="1">
        <v>0</v>
      </c>
      <c r="S285" s="1" t="s">
        <v>97</v>
      </c>
      <c r="T285" s="1" t="s">
        <v>97</v>
      </c>
      <c r="U285" s="1" t="b">
        <v>1</v>
      </c>
      <c r="V285" s="1" t="b">
        <v>0</v>
      </c>
      <c r="W285" s="1" t="b">
        <v>0</v>
      </c>
      <c r="X285" s="1">
        <v>5</v>
      </c>
      <c r="Y285" s="1" t="b">
        <v>1</v>
      </c>
      <c r="Z285" s="1" t="b">
        <v>1</v>
      </c>
      <c r="AA285" s="1"/>
      <c r="AB285" s="1" t="b">
        <v>1</v>
      </c>
      <c r="AC285" s="1">
        <v>130518002</v>
      </c>
      <c r="AD285" s="1">
        <v>816142</v>
      </c>
      <c r="AE285" s="1">
        <v>0</v>
      </c>
      <c r="AF285" s="1" t="s">
        <v>1259</v>
      </c>
      <c r="AG285" s="1" t="s">
        <v>1260</v>
      </c>
      <c r="AH285" s="1">
        <v>55.2</v>
      </c>
      <c r="AI285" s="1">
        <v>57.1</v>
      </c>
      <c r="AJ285" s="1" t="s">
        <v>1261</v>
      </c>
      <c r="AK285" s="1" t="s">
        <v>1262</v>
      </c>
      <c r="AL285" s="1" t="s">
        <v>1263</v>
      </c>
    </row>
    <row r="286" spans="1:38" x14ac:dyDescent="0.6">
      <c r="A286" s="1">
        <v>208</v>
      </c>
      <c r="B286" s="1" t="s">
        <v>103</v>
      </c>
      <c r="C286" s="1"/>
      <c r="D286" s="1"/>
      <c r="E286" s="1" t="s">
        <v>108</v>
      </c>
      <c r="F286" s="1"/>
      <c r="G286" s="1"/>
      <c r="H286" s="1" t="s">
        <v>91</v>
      </c>
      <c r="I286" s="1" t="s">
        <v>92</v>
      </c>
      <c r="J286" s="1" t="s">
        <v>109</v>
      </c>
      <c r="K286" s="1">
        <v>1</v>
      </c>
      <c r="L286" s="1">
        <v>120</v>
      </c>
      <c r="M286" s="1" t="s">
        <v>14</v>
      </c>
      <c r="N286" s="1" t="s">
        <v>95</v>
      </c>
      <c r="O286" s="1" t="s">
        <v>96</v>
      </c>
      <c r="P286" s="1"/>
      <c r="Q286" s="1" t="s">
        <v>9</v>
      </c>
      <c r="R286" s="1">
        <v>0</v>
      </c>
      <c r="S286" s="1" t="s">
        <v>97</v>
      </c>
      <c r="T286" s="1" t="s">
        <v>97</v>
      </c>
      <c r="U286" s="1" t="b">
        <v>1</v>
      </c>
      <c r="V286" s="1" t="b">
        <v>0</v>
      </c>
      <c r="W286" s="1" t="b">
        <v>0</v>
      </c>
      <c r="X286" s="1">
        <v>5</v>
      </c>
      <c r="Y286" s="1" t="b">
        <v>1</v>
      </c>
      <c r="Z286" s="1" t="b">
        <v>1</v>
      </c>
      <c r="AA286" s="1"/>
      <c r="AB286" s="1" t="b">
        <v>1</v>
      </c>
      <c r="AC286" s="1">
        <v>142442385</v>
      </c>
      <c r="AD286" s="1">
        <v>688239</v>
      </c>
      <c r="AE286" s="1">
        <v>0</v>
      </c>
      <c r="AF286" s="1" t="s">
        <v>1264</v>
      </c>
      <c r="AG286" s="1" t="s">
        <v>1265</v>
      </c>
      <c r="AH286" s="1">
        <v>73.900000000000006</v>
      </c>
      <c r="AI286" s="1">
        <v>79.2</v>
      </c>
      <c r="AJ286" s="1" t="s">
        <v>1266</v>
      </c>
      <c r="AK286" s="1" t="s">
        <v>1267</v>
      </c>
      <c r="AL286" s="1" t="s">
        <v>1268</v>
      </c>
    </row>
    <row r="287" spans="1:38" x14ac:dyDescent="0.6">
      <c r="A287" s="1">
        <v>202</v>
      </c>
      <c r="B287" s="1" t="s">
        <v>103</v>
      </c>
      <c r="C287" s="1">
        <v>64</v>
      </c>
      <c r="D287" s="1" t="s">
        <v>127</v>
      </c>
      <c r="E287" s="1" t="s">
        <v>90</v>
      </c>
      <c r="F287" s="1"/>
      <c r="G287" s="1"/>
      <c r="H287" s="1" t="s">
        <v>91</v>
      </c>
      <c r="I287" s="1" t="s">
        <v>92</v>
      </c>
      <c r="J287" s="1" t="s">
        <v>109</v>
      </c>
      <c r="K287" s="1">
        <v>1</v>
      </c>
      <c r="L287" s="1">
        <v>120</v>
      </c>
      <c r="M287" s="1" t="s">
        <v>14</v>
      </c>
      <c r="N287" s="1" t="s">
        <v>95</v>
      </c>
      <c r="O287" s="1" t="s">
        <v>96</v>
      </c>
      <c r="P287" s="1"/>
      <c r="Q287" s="1" t="s">
        <v>9</v>
      </c>
      <c r="R287" s="1">
        <v>0</v>
      </c>
      <c r="S287" s="1" t="s">
        <v>97</v>
      </c>
      <c r="T287" s="1" t="s">
        <v>97</v>
      </c>
      <c r="U287" s="1" t="b">
        <v>1</v>
      </c>
      <c r="V287" s="1" t="b">
        <v>0</v>
      </c>
      <c r="W287" s="1" t="b">
        <v>0</v>
      </c>
      <c r="X287" s="1">
        <v>5</v>
      </c>
      <c r="Y287" s="1" t="b">
        <v>1</v>
      </c>
      <c r="Z287" s="1" t="b">
        <v>1</v>
      </c>
      <c r="AA287" s="1"/>
      <c r="AB287" s="1" t="b">
        <v>1</v>
      </c>
      <c r="AC287" s="1">
        <v>120891321</v>
      </c>
      <c r="AD287" s="1">
        <v>743495</v>
      </c>
      <c r="AE287" s="1">
        <v>0</v>
      </c>
      <c r="AF287" s="1" t="s">
        <v>1217</v>
      </c>
      <c r="AG287" s="1" t="s">
        <v>1218</v>
      </c>
      <c r="AH287" s="1">
        <v>65.7</v>
      </c>
      <c r="AI287" s="1">
        <v>67.400000000000006</v>
      </c>
      <c r="AJ287" s="1" t="s">
        <v>1269</v>
      </c>
      <c r="AK287" s="1" t="s">
        <v>1270</v>
      </c>
      <c r="AL287" s="1" t="s">
        <v>1271</v>
      </c>
    </row>
    <row r="288" spans="1:38" x14ac:dyDescent="0.6">
      <c r="A288" s="1">
        <v>206</v>
      </c>
      <c r="B288" s="1" t="s">
        <v>88</v>
      </c>
      <c r="C288" s="1">
        <v>63</v>
      </c>
      <c r="D288" s="1" t="s">
        <v>127</v>
      </c>
      <c r="E288" s="1" t="s">
        <v>108</v>
      </c>
      <c r="F288" s="1"/>
      <c r="G288" s="1"/>
      <c r="H288" s="1" t="s">
        <v>91</v>
      </c>
      <c r="I288" s="1" t="s">
        <v>92</v>
      </c>
      <c r="J288" s="1" t="s">
        <v>109</v>
      </c>
      <c r="K288" s="1">
        <v>1</v>
      </c>
      <c r="L288" s="1">
        <v>120</v>
      </c>
      <c r="M288" s="1" t="s">
        <v>7</v>
      </c>
      <c r="N288" s="1" t="s">
        <v>7</v>
      </c>
      <c r="O288" s="1" t="s">
        <v>96</v>
      </c>
      <c r="P288" s="1" t="s">
        <v>96</v>
      </c>
      <c r="Q288" s="1" t="s">
        <v>9</v>
      </c>
      <c r="R288" s="1">
        <v>0</v>
      </c>
      <c r="S288" s="1" t="s">
        <v>97</v>
      </c>
      <c r="T288" s="1" t="s">
        <v>97</v>
      </c>
      <c r="U288" s="1" t="b">
        <v>1</v>
      </c>
      <c r="V288" s="1" t="b">
        <v>0</v>
      </c>
      <c r="W288" s="1" t="b">
        <v>0</v>
      </c>
      <c r="X288" s="1">
        <v>5</v>
      </c>
      <c r="Y288" s="1" t="b">
        <v>1</v>
      </c>
      <c r="Z288" s="1" t="b">
        <v>1</v>
      </c>
      <c r="AA288" s="1">
        <v>66.2</v>
      </c>
      <c r="AB288" s="1" t="b">
        <v>0</v>
      </c>
      <c r="AC288" s="1">
        <v>0</v>
      </c>
      <c r="AD288" s="1">
        <v>1815792</v>
      </c>
      <c r="AE288" s="1">
        <v>157567760</v>
      </c>
      <c r="AF288" s="1" t="s">
        <v>1272</v>
      </c>
      <c r="AG288" s="1" t="s">
        <v>1272</v>
      </c>
      <c r="AH288" s="1">
        <v>63.6</v>
      </c>
      <c r="AI288" s="1">
        <v>63.8</v>
      </c>
      <c r="AJ288" s="1" t="s">
        <v>1273</v>
      </c>
      <c r="AK288" s="1" t="s">
        <v>1274</v>
      </c>
      <c r="AL288" s="1" t="s">
        <v>1275</v>
      </c>
    </row>
    <row r="289" spans="1:38" x14ac:dyDescent="0.6">
      <c r="A289" s="1">
        <v>209</v>
      </c>
      <c r="B289" s="1" t="s">
        <v>103</v>
      </c>
      <c r="C289" s="1"/>
      <c r="D289" s="1"/>
      <c r="E289" s="1" t="s">
        <v>108</v>
      </c>
      <c r="F289" s="1"/>
      <c r="G289" s="1"/>
      <c r="H289" s="1" t="s">
        <v>91</v>
      </c>
      <c r="I289" s="1" t="s">
        <v>92</v>
      </c>
      <c r="J289" s="1" t="s">
        <v>109</v>
      </c>
      <c r="K289" s="1">
        <v>1</v>
      </c>
      <c r="L289" s="1">
        <v>120</v>
      </c>
      <c r="M289" s="1" t="s">
        <v>94</v>
      </c>
      <c r="N289" s="1" t="s">
        <v>95</v>
      </c>
      <c r="O289" s="1"/>
      <c r="P289" s="1" t="s">
        <v>96</v>
      </c>
      <c r="Q289" s="1" t="s">
        <v>9</v>
      </c>
      <c r="R289" s="1">
        <v>0</v>
      </c>
      <c r="S289" s="1" t="s">
        <v>97</v>
      </c>
      <c r="T289" s="1" t="s">
        <v>97</v>
      </c>
      <c r="U289" s="1" t="b">
        <v>1</v>
      </c>
      <c r="V289" s="1" t="b">
        <v>0</v>
      </c>
      <c r="W289" s="1" t="b">
        <v>0</v>
      </c>
      <c r="X289" s="1">
        <v>0</v>
      </c>
      <c r="Y289" s="1" t="b">
        <v>1</v>
      </c>
      <c r="Z289" s="1" t="b">
        <v>1</v>
      </c>
      <c r="AA289" s="1">
        <v>59.6</v>
      </c>
      <c r="AB289" s="1" t="b">
        <v>1</v>
      </c>
      <c r="AC289" s="1">
        <v>129173418</v>
      </c>
      <c r="AD289" s="1">
        <v>2160726</v>
      </c>
      <c r="AE289" s="1">
        <v>0</v>
      </c>
      <c r="AF289" s="1" t="s">
        <v>1259</v>
      </c>
      <c r="AG289" s="1" t="s">
        <v>1260</v>
      </c>
      <c r="AH289" s="1">
        <v>55.2</v>
      </c>
      <c r="AI289" s="1">
        <v>57.1</v>
      </c>
      <c r="AJ289" s="1" t="s">
        <v>1276</v>
      </c>
      <c r="AK289" s="1" t="s">
        <v>1277</v>
      </c>
      <c r="AL289" s="1" t="s">
        <v>1278</v>
      </c>
    </row>
    <row r="290" spans="1:38" x14ac:dyDescent="0.6">
      <c r="A290" s="1">
        <v>210</v>
      </c>
      <c r="B290" s="1" t="s">
        <v>103</v>
      </c>
      <c r="C290" s="1">
        <v>66</v>
      </c>
      <c r="D290" s="1" t="s">
        <v>127</v>
      </c>
      <c r="E290" s="1" t="s">
        <v>90</v>
      </c>
      <c r="F290" s="1"/>
      <c r="G290" s="1"/>
      <c r="H290" s="1" t="s">
        <v>91</v>
      </c>
      <c r="I290" s="1" t="s">
        <v>92</v>
      </c>
      <c r="J290" s="1" t="s">
        <v>109</v>
      </c>
      <c r="K290" s="1">
        <v>1</v>
      </c>
      <c r="L290" s="1">
        <v>120</v>
      </c>
      <c r="M290" s="1" t="s">
        <v>14</v>
      </c>
      <c r="N290" s="1" t="s">
        <v>95</v>
      </c>
      <c r="O290" s="1" t="s">
        <v>96</v>
      </c>
      <c r="P290" s="1"/>
      <c r="Q290" s="1" t="s">
        <v>9</v>
      </c>
      <c r="R290" s="1">
        <v>0</v>
      </c>
      <c r="S290" s="1" t="s">
        <v>97</v>
      </c>
      <c r="T290" s="1" t="s">
        <v>97</v>
      </c>
      <c r="U290" s="1" t="b">
        <v>1</v>
      </c>
      <c r="V290" s="1" t="b">
        <v>0</v>
      </c>
      <c r="W290" s="1" t="b">
        <v>0</v>
      </c>
      <c r="X290" s="1">
        <v>5</v>
      </c>
      <c r="Y290" s="1" t="b">
        <v>1</v>
      </c>
      <c r="Z290" s="1" t="b">
        <v>1</v>
      </c>
      <c r="AA290" s="1"/>
      <c r="AB290" s="1" t="b">
        <v>1</v>
      </c>
      <c r="AC290" s="1">
        <v>130467679</v>
      </c>
      <c r="AD290" s="1">
        <v>866465</v>
      </c>
      <c r="AE290" s="1">
        <v>0</v>
      </c>
      <c r="AF290" s="1" t="s">
        <v>1279</v>
      </c>
      <c r="AG290" s="1" t="s">
        <v>1280</v>
      </c>
      <c r="AH290" s="1">
        <v>53.2</v>
      </c>
      <c r="AI290" s="1">
        <v>57.8</v>
      </c>
      <c r="AJ290" s="1" t="s">
        <v>1281</v>
      </c>
      <c r="AK290" s="1" t="s">
        <v>1282</v>
      </c>
      <c r="AL290" s="1" t="s">
        <v>1283</v>
      </c>
    </row>
    <row r="291" spans="1:38" x14ac:dyDescent="0.6">
      <c r="A291" s="1">
        <v>212</v>
      </c>
      <c r="B291" s="1" t="s">
        <v>103</v>
      </c>
      <c r="C291" s="1">
        <v>89</v>
      </c>
      <c r="D291" s="1" t="s">
        <v>153</v>
      </c>
      <c r="E291" s="1" t="s">
        <v>154</v>
      </c>
      <c r="F291" s="1"/>
      <c r="G291" s="1"/>
      <c r="H291" s="1" t="s">
        <v>91</v>
      </c>
      <c r="I291" s="1" t="s">
        <v>92</v>
      </c>
      <c r="J291" s="1" t="s">
        <v>109</v>
      </c>
      <c r="K291" s="1">
        <v>1</v>
      </c>
      <c r="L291" s="1">
        <v>120</v>
      </c>
      <c r="M291" s="1" t="s">
        <v>7</v>
      </c>
      <c r="N291" s="1" t="s">
        <v>7</v>
      </c>
      <c r="O291" s="1" t="s">
        <v>96</v>
      </c>
      <c r="P291" s="1" t="s">
        <v>96</v>
      </c>
      <c r="Q291" s="1" t="s">
        <v>9</v>
      </c>
      <c r="R291" s="1">
        <v>0</v>
      </c>
      <c r="S291" s="1" t="s">
        <v>97</v>
      </c>
      <c r="T291" s="1" t="s">
        <v>97</v>
      </c>
      <c r="U291" s="1" t="b">
        <v>1</v>
      </c>
      <c r="V291" s="1" t="b">
        <v>0</v>
      </c>
      <c r="W291" s="1" t="b">
        <v>0</v>
      </c>
      <c r="X291" s="1">
        <v>5</v>
      </c>
      <c r="Y291" s="1" t="b">
        <v>1</v>
      </c>
      <c r="Z291" s="1" t="b">
        <v>1</v>
      </c>
      <c r="AA291" s="1">
        <v>56.6</v>
      </c>
      <c r="AB291" s="1" t="b">
        <v>0</v>
      </c>
      <c r="AC291" s="1">
        <v>0</v>
      </c>
      <c r="AD291" s="1">
        <v>3200382</v>
      </c>
      <c r="AE291" s="1">
        <v>109259394</v>
      </c>
      <c r="AF291" s="1" t="s">
        <v>1284</v>
      </c>
      <c r="AG291" s="1" t="s">
        <v>1284</v>
      </c>
      <c r="AH291" s="1">
        <v>53.6</v>
      </c>
      <c r="AI291" s="1">
        <v>54.5</v>
      </c>
      <c r="AJ291" s="1" t="s">
        <v>1285</v>
      </c>
      <c r="AK291" s="1" t="s">
        <v>1286</v>
      </c>
      <c r="AL291" s="1" t="s">
        <v>1287</v>
      </c>
    </row>
    <row r="292" spans="1:38" x14ac:dyDescent="0.6">
      <c r="A292" s="1">
        <v>213</v>
      </c>
      <c r="B292" s="1" t="s">
        <v>103</v>
      </c>
      <c r="C292" s="1">
        <v>89</v>
      </c>
      <c r="D292" s="1" t="s">
        <v>153</v>
      </c>
      <c r="E292" s="1" t="s">
        <v>154</v>
      </c>
      <c r="F292" s="1"/>
      <c r="G292" s="1"/>
      <c r="H292" s="1" t="s">
        <v>91</v>
      </c>
      <c r="I292" s="1" t="s">
        <v>92</v>
      </c>
      <c r="J292" s="1" t="s">
        <v>109</v>
      </c>
      <c r="K292" s="1">
        <v>1</v>
      </c>
      <c r="L292" s="1">
        <v>120</v>
      </c>
      <c r="M292" s="1" t="s">
        <v>14</v>
      </c>
      <c r="N292" s="1" t="s">
        <v>95</v>
      </c>
      <c r="O292" s="1" t="s">
        <v>96</v>
      </c>
      <c r="P292" s="1"/>
      <c r="Q292" s="1" t="s">
        <v>9</v>
      </c>
      <c r="R292" s="1">
        <v>0</v>
      </c>
      <c r="S292" s="1" t="s">
        <v>97</v>
      </c>
      <c r="T292" s="1" t="s">
        <v>97</v>
      </c>
      <c r="U292" s="1" t="b">
        <v>1</v>
      </c>
      <c r="V292" s="1" t="b">
        <v>0</v>
      </c>
      <c r="W292" s="1" t="b">
        <v>0</v>
      </c>
      <c r="X292" s="1">
        <v>5</v>
      </c>
      <c r="Y292" s="1" t="b">
        <v>1</v>
      </c>
      <c r="Z292" s="1" t="b">
        <v>1</v>
      </c>
      <c r="AA292" s="1"/>
      <c r="AB292" s="1" t="b">
        <v>1</v>
      </c>
      <c r="AC292" s="1">
        <v>130572412</v>
      </c>
      <c r="AD292" s="1">
        <v>761732</v>
      </c>
      <c r="AE292" s="1">
        <v>0</v>
      </c>
      <c r="AF292" s="1" t="s">
        <v>1288</v>
      </c>
      <c r="AG292" s="1" t="s">
        <v>1289</v>
      </c>
      <c r="AH292" s="1">
        <v>69</v>
      </c>
      <c r="AI292" s="1">
        <v>60.4</v>
      </c>
      <c r="AJ292" s="1" t="s">
        <v>1290</v>
      </c>
      <c r="AK292" s="1" t="s">
        <v>1291</v>
      </c>
      <c r="AL292" s="1" t="s">
        <v>1292</v>
      </c>
    </row>
    <row r="293" spans="1:38" x14ac:dyDescent="0.6">
      <c r="A293" s="1">
        <v>213</v>
      </c>
      <c r="B293" s="1" t="s">
        <v>103</v>
      </c>
      <c r="C293" s="1">
        <v>89</v>
      </c>
      <c r="D293" s="1" t="s">
        <v>153</v>
      </c>
      <c r="E293" s="1" t="s">
        <v>154</v>
      </c>
      <c r="F293" s="1"/>
      <c r="G293" s="1"/>
      <c r="H293" s="1" t="s">
        <v>91</v>
      </c>
      <c r="I293" s="1" t="s">
        <v>92</v>
      </c>
      <c r="J293" s="1" t="s">
        <v>109</v>
      </c>
      <c r="K293" s="1">
        <v>1</v>
      </c>
      <c r="L293" s="1">
        <v>120</v>
      </c>
      <c r="M293" s="1" t="s">
        <v>94</v>
      </c>
      <c r="N293" s="1" t="s">
        <v>95</v>
      </c>
      <c r="O293" s="1"/>
      <c r="P293" s="1" t="s">
        <v>96</v>
      </c>
      <c r="Q293" s="1" t="s">
        <v>9</v>
      </c>
      <c r="R293" s="1">
        <v>0</v>
      </c>
      <c r="S293" s="1" t="s">
        <v>97</v>
      </c>
      <c r="T293" s="1" t="s">
        <v>97</v>
      </c>
      <c r="U293" s="1" t="b">
        <v>1</v>
      </c>
      <c r="V293" s="1" t="b">
        <v>0</v>
      </c>
      <c r="W293" s="1" t="b">
        <v>0</v>
      </c>
      <c r="X293" s="1">
        <v>0</v>
      </c>
      <c r="Y293" s="1" t="b">
        <v>1</v>
      </c>
      <c r="Z293" s="1" t="b">
        <v>1</v>
      </c>
      <c r="AA293" s="1">
        <v>62.8</v>
      </c>
      <c r="AB293" s="1" t="b">
        <v>1</v>
      </c>
      <c r="AC293" s="1">
        <v>129246999</v>
      </c>
      <c r="AD293" s="1">
        <v>2087145</v>
      </c>
      <c r="AE293" s="1">
        <v>0</v>
      </c>
      <c r="AF293" s="1" t="s">
        <v>1288</v>
      </c>
      <c r="AG293" s="1" t="s">
        <v>1289</v>
      </c>
      <c r="AH293" s="1">
        <v>69</v>
      </c>
      <c r="AI293" s="1">
        <v>60.4</v>
      </c>
      <c r="AJ293" s="1" t="s">
        <v>1293</v>
      </c>
      <c r="AK293" s="1" t="s">
        <v>1294</v>
      </c>
      <c r="AL293" s="1" t="s">
        <v>1295</v>
      </c>
    </row>
    <row r="294" spans="1:38" x14ac:dyDescent="0.6">
      <c r="A294" s="1">
        <v>194</v>
      </c>
      <c r="B294" s="1" t="s">
        <v>88</v>
      </c>
      <c r="C294" s="1">
        <v>55</v>
      </c>
      <c r="D294" s="1" t="s">
        <v>89</v>
      </c>
      <c r="E294" s="1" t="s">
        <v>108</v>
      </c>
      <c r="F294" s="1">
        <v>0</v>
      </c>
      <c r="G294" s="1"/>
      <c r="H294" s="1" t="s">
        <v>1191</v>
      </c>
      <c r="I294" s="1" t="s">
        <v>121</v>
      </c>
      <c r="J294" s="1" t="s">
        <v>1192</v>
      </c>
      <c r="K294" s="1">
        <v>0.9</v>
      </c>
      <c r="L294" s="1">
        <v>120</v>
      </c>
      <c r="M294" s="1" t="s">
        <v>94</v>
      </c>
      <c r="N294" s="1" t="s">
        <v>95</v>
      </c>
      <c r="O294" s="1"/>
      <c r="P294" s="1" t="s">
        <v>96</v>
      </c>
      <c r="Q294" s="1" t="s">
        <v>9</v>
      </c>
      <c r="R294" s="1">
        <v>0</v>
      </c>
      <c r="S294" s="1" t="s">
        <v>97</v>
      </c>
      <c r="T294" s="1" t="s">
        <v>97</v>
      </c>
      <c r="U294" s="1" t="b">
        <v>1</v>
      </c>
      <c r="V294" s="1" t="b">
        <v>0</v>
      </c>
      <c r="W294" s="1" t="b">
        <v>0</v>
      </c>
      <c r="X294" s="1">
        <v>0</v>
      </c>
      <c r="Y294" s="1" t="b">
        <v>1</v>
      </c>
      <c r="Z294" s="1" t="b">
        <v>1</v>
      </c>
      <c r="AA294" s="1">
        <v>85.6</v>
      </c>
      <c r="AB294" s="1" t="b">
        <v>1</v>
      </c>
      <c r="AC294" s="1">
        <v>167765116</v>
      </c>
      <c r="AD294" s="1">
        <v>2366340</v>
      </c>
      <c r="AE294" s="1">
        <v>0</v>
      </c>
      <c r="AF294" s="1" t="s">
        <v>1193</v>
      </c>
      <c r="AG294" s="1" t="s">
        <v>1194</v>
      </c>
      <c r="AH294" s="1">
        <v>85.6</v>
      </c>
      <c r="AI294" s="1">
        <v>82.2</v>
      </c>
      <c r="AJ294" s="1" t="s">
        <v>1296</v>
      </c>
      <c r="AK294" s="1" t="s">
        <v>1297</v>
      </c>
      <c r="AL294" s="1" t="s">
        <v>1298</v>
      </c>
    </row>
    <row r="295" spans="1:38" x14ac:dyDescent="0.6">
      <c r="A295" s="1">
        <v>192</v>
      </c>
      <c r="B295" s="1" t="s">
        <v>88</v>
      </c>
      <c r="C295" s="1">
        <v>70</v>
      </c>
      <c r="D295" s="1" t="s">
        <v>119</v>
      </c>
      <c r="E295" s="1" t="s">
        <v>90</v>
      </c>
      <c r="F295" s="1"/>
      <c r="G295" s="1"/>
      <c r="H295" s="1" t="s">
        <v>220</v>
      </c>
      <c r="I295" s="1" t="s">
        <v>221</v>
      </c>
      <c r="J295" s="1" t="s">
        <v>1176</v>
      </c>
      <c r="K295" s="1">
        <v>0.625</v>
      </c>
      <c r="L295" s="1">
        <v>120</v>
      </c>
      <c r="M295" s="1" t="s">
        <v>7</v>
      </c>
      <c r="N295" s="1" t="s">
        <v>7</v>
      </c>
      <c r="O295" s="1" t="s">
        <v>96</v>
      </c>
      <c r="P295" s="1" t="s">
        <v>96</v>
      </c>
      <c r="Q295" s="1" t="s">
        <v>9</v>
      </c>
      <c r="R295" s="1">
        <v>0</v>
      </c>
      <c r="S295" s="1" t="s">
        <v>97</v>
      </c>
      <c r="T295" s="1" t="s">
        <v>97</v>
      </c>
      <c r="U295" s="1" t="b">
        <v>1</v>
      </c>
      <c r="V295" s="1" t="b">
        <v>0</v>
      </c>
      <c r="W295" s="1" t="b">
        <v>0</v>
      </c>
      <c r="X295" s="1">
        <v>5</v>
      </c>
      <c r="Y295" s="1" t="b">
        <v>1</v>
      </c>
      <c r="Z295" s="1" t="b">
        <v>1</v>
      </c>
      <c r="AA295" s="1">
        <v>61.8</v>
      </c>
      <c r="AB295" s="1" t="b">
        <v>0</v>
      </c>
      <c r="AC295" s="1">
        <v>0</v>
      </c>
      <c r="AD295" s="1">
        <v>3087919</v>
      </c>
      <c r="AE295" s="1">
        <v>177529297</v>
      </c>
      <c r="AF295" s="1" t="s">
        <v>1299</v>
      </c>
      <c r="AG295" s="1" t="s">
        <v>1299</v>
      </c>
      <c r="AH295" s="1">
        <v>55.6</v>
      </c>
      <c r="AI295" s="1">
        <v>57.5</v>
      </c>
      <c r="AJ295" s="1" t="s">
        <v>1300</v>
      </c>
      <c r="AK295" s="1" t="s">
        <v>1301</v>
      </c>
      <c r="AL295" s="1" t="s">
        <v>1302</v>
      </c>
    </row>
    <row r="296" spans="1:38" x14ac:dyDescent="0.6">
      <c r="A296" s="1">
        <v>214</v>
      </c>
      <c r="B296" s="1" t="s">
        <v>88</v>
      </c>
      <c r="C296" s="1">
        <v>61</v>
      </c>
      <c r="D296" s="1" t="s">
        <v>127</v>
      </c>
      <c r="E296" s="1" t="s">
        <v>90</v>
      </c>
      <c r="F296" s="1"/>
      <c r="G296" s="1"/>
      <c r="H296" s="1" t="s">
        <v>91</v>
      </c>
      <c r="I296" s="1" t="s">
        <v>92</v>
      </c>
      <c r="J296" s="1" t="s">
        <v>109</v>
      </c>
      <c r="K296" s="1">
        <v>1</v>
      </c>
      <c r="L296" s="1">
        <v>120</v>
      </c>
      <c r="M296" s="1" t="s">
        <v>7</v>
      </c>
      <c r="N296" s="1" t="s">
        <v>7</v>
      </c>
      <c r="O296" s="1" t="s">
        <v>96</v>
      </c>
      <c r="P296" s="1" t="s">
        <v>96</v>
      </c>
      <c r="Q296" s="1" t="s">
        <v>9</v>
      </c>
      <c r="R296" s="1">
        <v>0</v>
      </c>
      <c r="S296" s="1" t="s">
        <v>97</v>
      </c>
      <c r="T296" s="1" t="s">
        <v>97</v>
      </c>
      <c r="U296" s="1" t="b">
        <v>1</v>
      </c>
      <c r="V296" s="1" t="b">
        <v>0</v>
      </c>
      <c r="W296" s="1" t="b">
        <v>0</v>
      </c>
      <c r="X296" s="1">
        <v>5</v>
      </c>
      <c r="Y296" s="1" t="b">
        <v>1</v>
      </c>
      <c r="Z296" s="1" t="b">
        <v>1</v>
      </c>
      <c r="AA296" s="1">
        <v>70.5</v>
      </c>
      <c r="AB296" s="1" t="b">
        <v>0</v>
      </c>
      <c r="AC296" s="1">
        <v>0</v>
      </c>
      <c r="AD296" s="1">
        <v>2431296</v>
      </c>
      <c r="AE296" s="1">
        <v>124708544</v>
      </c>
      <c r="AF296" s="1" t="s">
        <v>1303</v>
      </c>
      <c r="AG296" s="1" t="s">
        <v>1303</v>
      </c>
      <c r="AH296" s="1">
        <v>58.6</v>
      </c>
      <c r="AI296" s="1">
        <v>63.9</v>
      </c>
      <c r="AJ296" s="1" t="s">
        <v>1304</v>
      </c>
      <c r="AK296" s="1" t="s">
        <v>1305</v>
      </c>
      <c r="AL296" s="1" t="s">
        <v>1306</v>
      </c>
    </row>
    <row r="297" spans="1:38" x14ac:dyDescent="0.6">
      <c r="A297" s="1">
        <v>211</v>
      </c>
      <c r="B297" s="1" t="s">
        <v>103</v>
      </c>
      <c r="C297" s="1"/>
      <c r="D297" s="1"/>
      <c r="E297" s="1" t="s">
        <v>90</v>
      </c>
      <c r="F297" s="1"/>
      <c r="G297" s="1"/>
      <c r="H297" s="1" t="s">
        <v>91</v>
      </c>
      <c r="I297" s="1" t="s">
        <v>92</v>
      </c>
      <c r="J297" s="1" t="s">
        <v>109</v>
      </c>
      <c r="K297" s="1">
        <v>1</v>
      </c>
      <c r="L297" s="1">
        <v>120</v>
      </c>
      <c r="M297" s="1" t="s">
        <v>7</v>
      </c>
      <c r="N297" s="1" t="s">
        <v>7</v>
      </c>
      <c r="O297" s="1" t="s">
        <v>96</v>
      </c>
      <c r="P297" s="1" t="s">
        <v>96</v>
      </c>
      <c r="Q297" s="1" t="s">
        <v>9</v>
      </c>
      <c r="R297" s="1">
        <v>0</v>
      </c>
      <c r="S297" s="1" t="s">
        <v>97</v>
      </c>
      <c r="T297" s="1" t="s">
        <v>97</v>
      </c>
      <c r="U297" s="1" t="b">
        <v>1</v>
      </c>
      <c r="V297" s="1" t="b">
        <v>0</v>
      </c>
      <c r="W297" s="1" t="b">
        <v>0</v>
      </c>
      <c r="X297" s="1">
        <v>5</v>
      </c>
      <c r="Y297" s="1" t="b">
        <v>1</v>
      </c>
      <c r="Z297" s="1" t="b">
        <v>1</v>
      </c>
      <c r="AA297" s="1">
        <v>68.8</v>
      </c>
      <c r="AB297" s="1" t="b">
        <v>0</v>
      </c>
      <c r="AC297" s="1">
        <v>0</v>
      </c>
      <c r="AD297" s="1">
        <v>2832196</v>
      </c>
      <c r="AE297" s="1">
        <v>154454204</v>
      </c>
      <c r="AF297" s="1" t="s">
        <v>1307</v>
      </c>
      <c r="AG297" s="1" t="s">
        <v>1307</v>
      </c>
      <c r="AH297" s="1">
        <v>59.4</v>
      </c>
      <c r="AI297" s="1">
        <v>63.4</v>
      </c>
      <c r="AJ297" s="1" t="s">
        <v>1308</v>
      </c>
      <c r="AK297" s="1" t="s">
        <v>1309</v>
      </c>
      <c r="AL297" s="1" t="s">
        <v>1310</v>
      </c>
    </row>
    <row r="298" spans="1:38" x14ac:dyDescent="0.6">
      <c r="A298" s="1">
        <v>196</v>
      </c>
      <c r="B298" s="1" t="s">
        <v>103</v>
      </c>
      <c r="C298" s="1">
        <v>55</v>
      </c>
      <c r="D298" s="1" t="s">
        <v>89</v>
      </c>
      <c r="E298" s="1" t="s">
        <v>90</v>
      </c>
      <c r="F298" s="1">
        <v>10.5</v>
      </c>
      <c r="G298" s="1"/>
      <c r="H298" s="1" t="s">
        <v>120</v>
      </c>
      <c r="I298" s="1" t="s">
        <v>121</v>
      </c>
      <c r="J298" s="1" t="s">
        <v>122</v>
      </c>
      <c r="K298" s="1">
        <v>1</v>
      </c>
      <c r="L298" s="1">
        <v>120</v>
      </c>
      <c r="M298" s="1" t="s">
        <v>7</v>
      </c>
      <c r="N298" s="1" t="s">
        <v>7</v>
      </c>
      <c r="O298" s="1" t="s">
        <v>96</v>
      </c>
      <c r="P298" s="1" t="s">
        <v>96</v>
      </c>
      <c r="Q298" s="1" t="s">
        <v>9</v>
      </c>
      <c r="R298" s="1">
        <v>0</v>
      </c>
      <c r="S298" s="1" t="s">
        <v>97</v>
      </c>
      <c r="T298" s="1" t="s">
        <v>97</v>
      </c>
      <c r="U298" s="1" t="b">
        <v>1</v>
      </c>
      <c r="V298" s="1" t="b">
        <v>0</v>
      </c>
      <c r="W298" s="1" t="b">
        <v>0</v>
      </c>
      <c r="X298" s="1">
        <v>5</v>
      </c>
      <c r="Y298" s="1" t="b">
        <v>1</v>
      </c>
      <c r="Z298" s="1" t="b">
        <v>1</v>
      </c>
      <c r="AA298" s="1">
        <v>72.2</v>
      </c>
      <c r="AB298" s="1" t="b">
        <v>0</v>
      </c>
      <c r="AC298" s="1">
        <v>0</v>
      </c>
      <c r="AD298" s="1">
        <v>2887549</v>
      </c>
      <c r="AE298" s="1">
        <v>160428163</v>
      </c>
      <c r="AF298" s="1" t="s">
        <v>1311</v>
      </c>
      <c r="AG298" s="1" t="s">
        <v>1311</v>
      </c>
      <c r="AH298" s="1">
        <v>63.9</v>
      </c>
      <c r="AI298" s="1">
        <v>66</v>
      </c>
      <c r="AJ298" s="1" t="s">
        <v>1312</v>
      </c>
      <c r="AK298" s="1" t="s">
        <v>1313</v>
      </c>
      <c r="AL298" s="1" t="s">
        <v>1314</v>
      </c>
    </row>
    <row r="299" spans="1:38" x14ac:dyDescent="0.6">
      <c r="A299" s="1">
        <v>204</v>
      </c>
      <c r="B299" s="1" t="s">
        <v>88</v>
      </c>
      <c r="C299" s="1">
        <v>60</v>
      </c>
      <c r="D299" s="1" t="s">
        <v>127</v>
      </c>
      <c r="E299" s="1" t="s">
        <v>108</v>
      </c>
      <c r="F299" s="1"/>
      <c r="G299" s="1"/>
      <c r="H299" s="1" t="s">
        <v>91</v>
      </c>
      <c r="I299" s="1" t="s">
        <v>92</v>
      </c>
      <c r="J299" s="1" t="s">
        <v>109</v>
      </c>
      <c r="K299" s="1">
        <v>1</v>
      </c>
      <c r="L299" s="1">
        <v>120</v>
      </c>
      <c r="M299" s="1" t="s">
        <v>94</v>
      </c>
      <c r="N299" s="1" t="s">
        <v>95</v>
      </c>
      <c r="O299" s="1"/>
      <c r="P299" s="1" t="s">
        <v>96</v>
      </c>
      <c r="Q299" s="1" t="s">
        <v>9</v>
      </c>
      <c r="R299" s="1">
        <v>0</v>
      </c>
      <c r="S299" s="1" t="s">
        <v>97</v>
      </c>
      <c r="T299" s="1" t="s">
        <v>97</v>
      </c>
      <c r="U299" s="1" t="b">
        <v>1</v>
      </c>
      <c r="V299" s="1" t="b">
        <v>0</v>
      </c>
      <c r="W299" s="1" t="b">
        <v>0</v>
      </c>
      <c r="X299" s="1">
        <v>0</v>
      </c>
      <c r="Y299" s="1" t="b">
        <v>1</v>
      </c>
      <c r="Z299" s="1" t="b">
        <v>1</v>
      </c>
      <c r="AA299" s="1">
        <v>72.8</v>
      </c>
      <c r="AB299" s="1" t="b">
        <v>1</v>
      </c>
      <c r="AC299" s="1">
        <v>161081263</v>
      </c>
      <c r="AD299" s="1">
        <v>2496593</v>
      </c>
      <c r="AE299" s="1">
        <v>0</v>
      </c>
      <c r="AF299" s="1" t="s">
        <v>1234</v>
      </c>
      <c r="AG299" s="1" t="s">
        <v>1235</v>
      </c>
      <c r="AH299" s="1">
        <v>74.400000000000006</v>
      </c>
      <c r="AI299" s="1">
        <v>69.900000000000006</v>
      </c>
      <c r="AJ299" s="1" t="s">
        <v>1315</v>
      </c>
      <c r="AK299" s="1" t="s">
        <v>1316</v>
      </c>
      <c r="AL299" s="1" t="s">
        <v>1317</v>
      </c>
    </row>
    <row r="300" spans="1:38" x14ac:dyDescent="0.6">
      <c r="A300" s="1">
        <v>215</v>
      </c>
      <c r="B300" s="1" t="s">
        <v>103</v>
      </c>
      <c r="C300" s="1">
        <v>51</v>
      </c>
      <c r="D300" s="1" t="s">
        <v>89</v>
      </c>
      <c r="E300" s="1" t="s">
        <v>108</v>
      </c>
      <c r="F300" s="1"/>
      <c r="G300" s="1"/>
      <c r="H300" s="1" t="s">
        <v>91</v>
      </c>
      <c r="I300" s="1" t="s">
        <v>92</v>
      </c>
      <c r="J300" s="1" t="s">
        <v>109</v>
      </c>
      <c r="K300" s="1">
        <v>1</v>
      </c>
      <c r="L300" s="1">
        <v>120</v>
      </c>
      <c r="M300" s="1" t="s">
        <v>94</v>
      </c>
      <c r="N300" s="1" t="s">
        <v>95</v>
      </c>
      <c r="O300" s="1"/>
      <c r="P300" s="1" t="s">
        <v>96</v>
      </c>
      <c r="Q300" s="1" t="s">
        <v>200</v>
      </c>
      <c r="R300" s="1">
        <v>1</v>
      </c>
      <c r="S300" s="1" t="s">
        <v>97</v>
      </c>
      <c r="T300" s="1" t="s">
        <v>200</v>
      </c>
      <c r="U300" s="1" t="b">
        <v>0</v>
      </c>
      <c r="V300" s="1" t="b">
        <v>1</v>
      </c>
      <c r="W300" s="1" t="b">
        <v>0</v>
      </c>
      <c r="X300" s="1">
        <v>0</v>
      </c>
      <c r="Y300" s="1" t="b">
        <v>1</v>
      </c>
      <c r="Z300" s="1" t="b">
        <v>1</v>
      </c>
      <c r="AA300" s="1">
        <v>73.599999999999994</v>
      </c>
      <c r="AB300" s="1" t="b">
        <v>1</v>
      </c>
      <c r="AC300" s="1">
        <v>163055065</v>
      </c>
      <c r="AD300" s="1">
        <v>2357799</v>
      </c>
      <c r="AE300" s="1">
        <v>0</v>
      </c>
      <c r="AF300" s="1" t="s">
        <v>1318</v>
      </c>
      <c r="AG300" s="1" t="s">
        <v>1319</v>
      </c>
      <c r="AH300" s="1">
        <v>84.8</v>
      </c>
      <c r="AI300" s="1">
        <v>73.900000000000006</v>
      </c>
      <c r="AJ300" s="1" t="s">
        <v>1320</v>
      </c>
      <c r="AK300" s="1" t="s">
        <v>1321</v>
      </c>
      <c r="AL300" s="1" t="s">
        <v>1322</v>
      </c>
    </row>
    <row r="301" spans="1:38" x14ac:dyDescent="0.6">
      <c r="A301" s="1">
        <v>216</v>
      </c>
      <c r="B301" s="1" t="s">
        <v>103</v>
      </c>
      <c r="C301" s="1">
        <v>70</v>
      </c>
      <c r="D301" s="1" t="s">
        <v>119</v>
      </c>
      <c r="E301" s="1" t="s">
        <v>90</v>
      </c>
      <c r="F301" s="1"/>
      <c r="G301" s="1"/>
      <c r="H301" s="1" t="s">
        <v>91</v>
      </c>
      <c r="I301" s="1" t="s">
        <v>92</v>
      </c>
      <c r="J301" s="1" t="s">
        <v>109</v>
      </c>
      <c r="K301" s="1">
        <v>1</v>
      </c>
      <c r="L301" s="1">
        <v>120</v>
      </c>
      <c r="M301" s="1" t="s">
        <v>14</v>
      </c>
      <c r="N301" s="1" t="s">
        <v>14</v>
      </c>
      <c r="O301" s="1" t="s">
        <v>96</v>
      </c>
      <c r="P301" s="1"/>
      <c r="Q301" s="1" t="s">
        <v>9</v>
      </c>
      <c r="R301" s="1">
        <v>0</v>
      </c>
      <c r="S301" s="1"/>
      <c r="T301" s="1" t="s">
        <v>97</v>
      </c>
      <c r="U301" s="1"/>
      <c r="V301" s="1" t="b">
        <v>0</v>
      </c>
      <c r="W301" s="1" t="b">
        <v>0</v>
      </c>
      <c r="X301" s="1">
        <v>5</v>
      </c>
      <c r="Y301" s="1" t="b">
        <v>1</v>
      </c>
      <c r="Z301" s="1" t="b">
        <v>1</v>
      </c>
      <c r="AA301" s="1"/>
      <c r="AB301" s="1" t="b">
        <v>1</v>
      </c>
      <c r="AC301" s="1">
        <v>138707126</v>
      </c>
      <c r="AD301" s="1">
        <v>753482</v>
      </c>
      <c r="AE301" s="1">
        <v>0</v>
      </c>
      <c r="AF301" s="1" t="s">
        <v>1323</v>
      </c>
      <c r="AG301" s="1"/>
      <c r="AH301" s="1">
        <v>62.6</v>
      </c>
      <c r="AI301" s="1"/>
      <c r="AJ301" s="1" t="s">
        <v>1324</v>
      </c>
      <c r="AK301" s="1" t="s">
        <v>1325</v>
      </c>
      <c r="AL301" s="1" t="s">
        <v>1326</v>
      </c>
    </row>
    <row r="302" spans="1:38" x14ac:dyDescent="0.6">
      <c r="A302" s="1">
        <v>208</v>
      </c>
      <c r="B302" s="1" t="s">
        <v>103</v>
      </c>
      <c r="C302" s="1"/>
      <c r="D302" s="1"/>
      <c r="E302" s="1" t="s">
        <v>108</v>
      </c>
      <c r="F302" s="1"/>
      <c r="G302" s="1"/>
      <c r="H302" s="1" t="s">
        <v>91</v>
      </c>
      <c r="I302" s="1" t="s">
        <v>92</v>
      </c>
      <c r="J302" s="1" t="s">
        <v>109</v>
      </c>
      <c r="K302" s="1">
        <v>1</v>
      </c>
      <c r="L302" s="1">
        <v>120</v>
      </c>
      <c r="M302" s="1" t="s">
        <v>94</v>
      </c>
      <c r="N302" s="1" t="s">
        <v>95</v>
      </c>
      <c r="O302" s="1"/>
      <c r="P302" s="1" t="s">
        <v>96</v>
      </c>
      <c r="Q302" s="1" t="s">
        <v>9</v>
      </c>
      <c r="R302" s="1">
        <v>0</v>
      </c>
      <c r="S302" s="1" t="s">
        <v>97</v>
      </c>
      <c r="T302" s="1" t="s">
        <v>97</v>
      </c>
      <c r="U302" s="1" t="b">
        <v>1</v>
      </c>
      <c r="V302" s="1" t="b">
        <v>0</v>
      </c>
      <c r="W302" s="1" t="b">
        <v>0</v>
      </c>
      <c r="X302" s="1">
        <v>0</v>
      </c>
      <c r="Y302" s="1" t="b">
        <v>1</v>
      </c>
      <c r="Z302" s="1" t="b">
        <v>1</v>
      </c>
      <c r="AA302" s="1">
        <v>81.900000000000006</v>
      </c>
      <c r="AB302" s="1" t="b">
        <v>1</v>
      </c>
      <c r="AC302" s="1">
        <v>151017838</v>
      </c>
      <c r="AD302" s="1">
        <v>1549970</v>
      </c>
      <c r="AE302" s="1">
        <v>0</v>
      </c>
      <c r="AF302" s="1" t="s">
        <v>1264</v>
      </c>
      <c r="AG302" s="1" t="s">
        <v>1265</v>
      </c>
      <c r="AH302" s="1">
        <v>73.900000000000006</v>
      </c>
      <c r="AI302" s="1">
        <v>79.2</v>
      </c>
      <c r="AJ302" s="1" t="s">
        <v>1327</v>
      </c>
      <c r="AK302" s="1" t="s">
        <v>1328</v>
      </c>
      <c r="AL302" s="1" t="s">
        <v>1329</v>
      </c>
    </row>
    <row r="303" spans="1:38" x14ac:dyDescent="0.6">
      <c r="A303" s="1">
        <v>217</v>
      </c>
      <c r="B303" s="1" t="s">
        <v>88</v>
      </c>
      <c r="C303" s="1">
        <v>58</v>
      </c>
      <c r="D303" s="1" t="s">
        <v>89</v>
      </c>
      <c r="E303" s="1" t="s">
        <v>90</v>
      </c>
      <c r="F303" s="1"/>
      <c r="G303" s="1"/>
      <c r="H303" s="1" t="s">
        <v>91</v>
      </c>
      <c r="I303" s="1" t="s">
        <v>92</v>
      </c>
      <c r="J303" s="1" t="s">
        <v>109</v>
      </c>
      <c r="K303" s="1">
        <v>1</v>
      </c>
      <c r="L303" s="1">
        <v>120</v>
      </c>
      <c r="M303" s="1" t="s">
        <v>7</v>
      </c>
      <c r="N303" s="1" t="s">
        <v>7</v>
      </c>
      <c r="O303" s="1" t="s">
        <v>96</v>
      </c>
      <c r="P303" s="1" t="s">
        <v>96</v>
      </c>
      <c r="Q303" s="1" t="s">
        <v>9</v>
      </c>
      <c r="R303" s="1">
        <v>0</v>
      </c>
      <c r="S303" s="1" t="s">
        <v>97</v>
      </c>
      <c r="T303" s="1" t="s">
        <v>97</v>
      </c>
      <c r="U303" s="1" t="b">
        <v>1</v>
      </c>
      <c r="V303" s="1" t="b">
        <v>0</v>
      </c>
      <c r="W303" s="1" t="b">
        <v>0</v>
      </c>
      <c r="X303" s="1">
        <v>5</v>
      </c>
      <c r="Y303" s="1" t="b">
        <v>1</v>
      </c>
      <c r="Z303" s="1" t="b">
        <v>1</v>
      </c>
      <c r="AA303" s="1">
        <v>62.4</v>
      </c>
      <c r="AB303" s="1" t="b">
        <v>0</v>
      </c>
      <c r="AC303" s="1">
        <v>0</v>
      </c>
      <c r="AD303" s="1">
        <v>1868294</v>
      </c>
      <c r="AE303" s="1">
        <v>138640890</v>
      </c>
      <c r="AF303" s="1" t="s">
        <v>1330</v>
      </c>
      <c r="AG303" s="1" t="s">
        <v>1330</v>
      </c>
      <c r="AH303" s="1">
        <v>60.1</v>
      </c>
      <c r="AI303" s="1">
        <v>58.5</v>
      </c>
      <c r="AJ303" s="1" t="s">
        <v>1331</v>
      </c>
      <c r="AK303" s="1" t="s">
        <v>1332</v>
      </c>
      <c r="AL303" s="1" t="s">
        <v>1333</v>
      </c>
    </row>
    <row r="304" spans="1:38" x14ac:dyDescent="0.6">
      <c r="A304" s="1">
        <v>220</v>
      </c>
      <c r="B304" s="1" t="s">
        <v>103</v>
      </c>
      <c r="C304" s="1">
        <v>53</v>
      </c>
      <c r="D304" s="1" t="s">
        <v>89</v>
      </c>
      <c r="E304" s="1" t="s">
        <v>108</v>
      </c>
      <c r="F304" s="1"/>
      <c r="G304" s="1"/>
      <c r="H304" s="1" t="s">
        <v>91</v>
      </c>
      <c r="I304" s="1" t="s">
        <v>92</v>
      </c>
      <c r="J304" s="1" t="s">
        <v>93</v>
      </c>
      <c r="K304" s="1">
        <v>1</v>
      </c>
      <c r="L304" s="1">
        <v>120</v>
      </c>
      <c r="M304" s="1" t="s">
        <v>14</v>
      </c>
      <c r="N304" s="1" t="s">
        <v>95</v>
      </c>
      <c r="O304" s="1" t="s">
        <v>96</v>
      </c>
      <c r="P304" s="1"/>
      <c r="Q304" s="1" t="s">
        <v>9</v>
      </c>
      <c r="R304" s="1">
        <v>0</v>
      </c>
      <c r="S304" s="1" t="s">
        <v>97</v>
      </c>
      <c r="T304" s="1" t="s">
        <v>97</v>
      </c>
      <c r="U304" s="1" t="b">
        <v>1</v>
      </c>
      <c r="V304" s="1" t="b">
        <v>0</v>
      </c>
      <c r="W304" s="1" t="b">
        <v>0</v>
      </c>
      <c r="X304" s="1">
        <v>5</v>
      </c>
      <c r="Y304" s="1" t="b">
        <v>1</v>
      </c>
      <c r="Z304" s="1" t="b">
        <v>1</v>
      </c>
      <c r="AA304" s="1"/>
      <c r="AB304" s="1" t="b">
        <v>1</v>
      </c>
      <c r="AC304" s="1">
        <v>151188452</v>
      </c>
      <c r="AD304" s="1">
        <v>592924</v>
      </c>
      <c r="AE304" s="1">
        <v>0</v>
      </c>
      <c r="AF304" s="1" t="s">
        <v>1334</v>
      </c>
      <c r="AG304" s="1" t="s">
        <v>1335</v>
      </c>
      <c r="AH304" s="1">
        <v>64.3</v>
      </c>
      <c r="AI304" s="1">
        <v>61.9</v>
      </c>
      <c r="AJ304" s="1" t="s">
        <v>1336</v>
      </c>
      <c r="AK304" s="1" t="s">
        <v>1337</v>
      </c>
      <c r="AL304" s="1" t="s">
        <v>1338</v>
      </c>
    </row>
    <row r="305" spans="1:38" x14ac:dyDescent="0.6">
      <c r="A305" s="1">
        <v>219</v>
      </c>
      <c r="B305" s="1" t="s">
        <v>103</v>
      </c>
      <c r="C305" s="1"/>
      <c r="D305" s="1"/>
      <c r="E305" s="1" t="s">
        <v>108</v>
      </c>
      <c r="F305" s="1"/>
      <c r="G305" s="1"/>
      <c r="H305" s="1" t="s">
        <v>91</v>
      </c>
      <c r="I305" s="1" t="s">
        <v>92</v>
      </c>
      <c r="J305" s="1" t="s">
        <v>109</v>
      </c>
      <c r="K305" s="1">
        <v>1</v>
      </c>
      <c r="L305" s="1">
        <v>120</v>
      </c>
      <c r="M305" s="1" t="s">
        <v>94</v>
      </c>
      <c r="N305" s="1" t="s">
        <v>95</v>
      </c>
      <c r="O305" s="1"/>
      <c r="P305" s="1" t="s">
        <v>96</v>
      </c>
      <c r="Q305" s="1" t="s">
        <v>9</v>
      </c>
      <c r="R305" s="1">
        <v>0</v>
      </c>
      <c r="S305" s="1" t="s">
        <v>97</v>
      </c>
      <c r="T305" s="1" t="s">
        <v>97</v>
      </c>
      <c r="U305" s="1" t="b">
        <v>1</v>
      </c>
      <c r="V305" s="1" t="b">
        <v>0</v>
      </c>
      <c r="W305" s="1" t="b">
        <v>0</v>
      </c>
      <c r="X305" s="1">
        <v>0</v>
      </c>
      <c r="Y305" s="1" t="b">
        <v>1</v>
      </c>
      <c r="Z305" s="1" t="b">
        <v>1</v>
      </c>
      <c r="AA305" s="1">
        <v>59.2</v>
      </c>
      <c r="AB305" s="1" t="b">
        <v>1</v>
      </c>
      <c r="AC305" s="1">
        <v>153864871</v>
      </c>
      <c r="AD305" s="1">
        <v>2110809</v>
      </c>
      <c r="AE305" s="1">
        <v>0</v>
      </c>
      <c r="AF305" s="1" t="s">
        <v>1339</v>
      </c>
      <c r="AG305" s="1" t="s">
        <v>1340</v>
      </c>
      <c r="AH305" s="1">
        <v>61.8</v>
      </c>
      <c r="AI305" s="1">
        <v>58</v>
      </c>
      <c r="AJ305" s="1" t="s">
        <v>1341</v>
      </c>
      <c r="AK305" s="1" t="s">
        <v>1342</v>
      </c>
      <c r="AL305" s="1" t="s">
        <v>1343</v>
      </c>
    </row>
    <row r="306" spans="1:38" x14ac:dyDescent="0.6">
      <c r="A306" s="1">
        <v>224</v>
      </c>
      <c r="B306" s="1" t="s">
        <v>88</v>
      </c>
      <c r="C306" s="1">
        <v>57</v>
      </c>
      <c r="D306" s="1" t="s">
        <v>89</v>
      </c>
      <c r="E306" s="1" t="s">
        <v>90</v>
      </c>
      <c r="F306" s="1"/>
      <c r="G306" s="1"/>
      <c r="H306" s="1" t="s">
        <v>91</v>
      </c>
      <c r="I306" s="1" t="s">
        <v>92</v>
      </c>
      <c r="J306" s="1" t="s">
        <v>93</v>
      </c>
      <c r="K306" s="1">
        <v>1</v>
      </c>
      <c r="L306" s="1">
        <v>120</v>
      </c>
      <c r="M306" s="1" t="s">
        <v>14</v>
      </c>
      <c r="N306" s="1" t="s">
        <v>95</v>
      </c>
      <c r="O306" s="1" t="s">
        <v>96</v>
      </c>
      <c r="P306" s="1"/>
      <c r="Q306" s="1" t="s">
        <v>9</v>
      </c>
      <c r="R306" s="1">
        <v>0</v>
      </c>
      <c r="S306" s="1" t="s">
        <v>97</v>
      </c>
      <c r="T306" s="1" t="s">
        <v>97</v>
      </c>
      <c r="U306" s="1" t="b">
        <v>1</v>
      </c>
      <c r="V306" s="1" t="b">
        <v>0</v>
      </c>
      <c r="W306" s="1" t="b">
        <v>0</v>
      </c>
      <c r="X306" s="1">
        <v>5</v>
      </c>
      <c r="Y306" s="1" t="b">
        <v>1</v>
      </c>
      <c r="Z306" s="1" t="b">
        <v>1</v>
      </c>
      <c r="AA306" s="1"/>
      <c r="AB306" s="1" t="b">
        <v>1</v>
      </c>
      <c r="AC306" s="1">
        <v>134591263</v>
      </c>
      <c r="AD306" s="1">
        <v>675041</v>
      </c>
      <c r="AE306" s="1">
        <v>0</v>
      </c>
      <c r="AF306" s="1" t="s">
        <v>1344</v>
      </c>
      <c r="AG306" s="1" t="s">
        <v>1345</v>
      </c>
      <c r="AH306" s="1">
        <v>68.400000000000006</v>
      </c>
      <c r="AI306" s="1">
        <v>67.099999999999994</v>
      </c>
      <c r="AJ306" s="1" t="s">
        <v>1346</v>
      </c>
      <c r="AK306" s="1" t="s">
        <v>1347</v>
      </c>
      <c r="AL306" s="1" t="s">
        <v>1348</v>
      </c>
    </row>
    <row r="307" spans="1:38" x14ac:dyDescent="0.6">
      <c r="A307" s="1">
        <v>220</v>
      </c>
      <c r="B307" s="1" t="s">
        <v>103</v>
      </c>
      <c r="C307" s="1">
        <v>53</v>
      </c>
      <c r="D307" s="1" t="s">
        <v>89</v>
      </c>
      <c r="E307" s="1" t="s">
        <v>108</v>
      </c>
      <c r="F307" s="1"/>
      <c r="G307" s="1"/>
      <c r="H307" s="1" t="s">
        <v>91</v>
      </c>
      <c r="I307" s="1" t="s">
        <v>92</v>
      </c>
      <c r="J307" s="1" t="s">
        <v>93</v>
      </c>
      <c r="K307" s="1">
        <v>1</v>
      </c>
      <c r="L307" s="1">
        <v>120</v>
      </c>
      <c r="M307" s="1" t="s">
        <v>94</v>
      </c>
      <c r="N307" s="1" t="s">
        <v>95</v>
      </c>
      <c r="O307" s="1"/>
      <c r="P307" s="1" t="s">
        <v>96</v>
      </c>
      <c r="Q307" s="1" t="s">
        <v>9</v>
      </c>
      <c r="R307" s="1">
        <v>0</v>
      </c>
      <c r="S307" s="1" t="s">
        <v>97</v>
      </c>
      <c r="T307" s="1" t="s">
        <v>97</v>
      </c>
      <c r="U307" s="1" t="b">
        <v>1</v>
      </c>
      <c r="V307" s="1" t="b">
        <v>0</v>
      </c>
      <c r="W307" s="1" t="b">
        <v>0</v>
      </c>
      <c r="X307" s="1">
        <v>0</v>
      </c>
      <c r="Y307" s="1" t="b">
        <v>1</v>
      </c>
      <c r="Z307" s="1" t="b">
        <v>1</v>
      </c>
      <c r="AA307" s="1">
        <v>63.8</v>
      </c>
      <c r="AB307" s="1" t="b">
        <v>1</v>
      </c>
      <c r="AC307" s="1">
        <v>154789949</v>
      </c>
      <c r="AD307" s="1">
        <v>1710019</v>
      </c>
      <c r="AE307" s="1">
        <v>0</v>
      </c>
      <c r="AF307" s="1" t="s">
        <v>1334</v>
      </c>
      <c r="AG307" s="1" t="s">
        <v>1335</v>
      </c>
      <c r="AH307" s="1">
        <v>64.3</v>
      </c>
      <c r="AI307" s="1">
        <v>61.9</v>
      </c>
      <c r="AJ307" s="1" t="s">
        <v>1349</v>
      </c>
      <c r="AK307" s="1" t="s">
        <v>1350</v>
      </c>
      <c r="AL307" s="1" t="s">
        <v>1351</v>
      </c>
    </row>
    <row r="308" spans="1:38" x14ac:dyDescent="0.6">
      <c r="A308" s="1">
        <v>210</v>
      </c>
      <c r="B308" s="1" t="s">
        <v>103</v>
      </c>
      <c r="C308" s="1">
        <v>66</v>
      </c>
      <c r="D308" s="1" t="s">
        <v>127</v>
      </c>
      <c r="E308" s="1" t="s">
        <v>90</v>
      </c>
      <c r="F308" s="1"/>
      <c r="G308" s="1"/>
      <c r="H308" s="1" t="s">
        <v>91</v>
      </c>
      <c r="I308" s="1" t="s">
        <v>92</v>
      </c>
      <c r="J308" s="1" t="s">
        <v>109</v>
      </c>
      <c r="K308" s="1">
        <v>1</v>
      </c>
      <c r="L308" s="1">
        <v>120</v>
      </c>
      <c r="M308" s="1" t="s">
        <v>94</v>
      </c>
      <c r="N308" s="1" t="s">
        <v>95</v>
      </c>
      <c r="O308" s="1"/>
      <c r="P308" s="1" t="s">
        <v>96</v>
      </c>
      <c r="Q308" s="1" t="s">
        <v>9</v>
      </c>
      <c r="R308" s="1">
        <v>0</v>
      </c>
      <c r="S308" s="1" t="s">
        <v>97</v>
      </c>
      <c r="T308" s="1" t="s">
        <v>97</v>
      </c>
      <c r="U308" s="1" t="b">
        <v>1</v>
      </c>
      <c r="V308" s="1" t="b">
        <v>0</v>
      </c>
      <c r="W308" s="1" t="b">
        <v>0</v>
      </c>
      <c r="X308" s="1">
        <v>0</v>
      </c>
      <c r="Y308" s="1" t="b">
        <v>1</v>
      </c>
      <c r="Z308" s="1" t="b">
        <v>1</v>
      </c>
      <c r="AA308" s="1">
        <v>60.2</v>
      </c>
      <c r="AB308" s="1" t="b">
        <v>1</v>
      </c>
      <c r="AC308" s="1">
        <v>131839150</v>
      </c>
      <c r="AD308" s="1">
        <v>2378578</v>
      </c>
      <c r="AE308" s="1">
        <v>0</v>
      </c>
      <c r="AF308" s="1" t="s">
        <v>1279</v>
      </c>
      <c r="AG308" s="1" t="s">
        <v>1280</v>
      </c>
      <c r="AH308" s="1">
        <v>53.2</v>
      </c>
      <c r="AI308" s="1">
        <v>57.8</v>
      </c>
      <c r="AJ308" s="1" t="s">
        <v>1352</v>
      </c>
      <c r="AK308" s="1" t="s">
        <v>1353</v>
      </c>
      <c r="AL308" s="1" t="s">
        <v>1354</v>
      </c>
    </row>
    <row r="309" spans="1:38" x14ac:dyDescent="0.6">
      <c r="A309" s="1">
        <v>224</v>
      </c>
      <c r="B309" s="1" t="s">
        <v>88</v>
      </c>
      <c r="C309" s="1">
        <v>57</v>
      </c>
      <c r="D309" s="1" t="s">
        <v>89</v>
      </c>
      <c r="E309" s="1" t="s">
        <v>90</v>
      </c>
      <c r="F309" s="1"/>
      <c r="G309" s="1"/>
      <c r="H309" s="1" t="s">
        <v>91</v>
      </c>
      <c r="I309" s="1" t="s">
        <v>92</v>
      </c>
      <c r="J309" s="1" t="s">
        <v>93</v>
      </c>
      <c r="K309" s="1">
        <v>1</v>
      </c>
      <c r="L309" s="1">
        <v>120</v>
      </c>
      <c r="M309" s="1" t="s">
        <v>94</v>
      </c>
      <c r="N309" s="1" t="s">
        <v>95</v>
      </c>
      <c r="O309" s="1"/>
      <c r="P309" s="1" t="s">
        <v>96</v>
      </c>
      <c r="Q309" s="1" t="s">
        <v>9</v>
      </c>
      <c r="R309" s="1">
        <v>0</v>
      </c>
      <c r="S309" s="1" t="s">
        <v>97</v>
      </c>
      <c r="T309" s="1" t="s">
        <v>97</v>
      </c>
      <c r="U309" s="1" t="b">
        <v>1</v>
      </c>
      <c r="V309" s="1" t="b">
        <v>0</v>
      </c>
      <c r="W309" s="1" t="b">
        <v>0</v>
      </c>
      <c r="X309" s="1">
        <v>0</v>
      </c>
      <c r="Y309" s="1" t="b">
        <v>1</v>
      </c>
      <c r="Z309" s="1" t="b">
        <v>1</v>
      </c>
      <c r="AA309" s="1">
        <v>71.099999999999994</v>
      </c>
      <c r="AB309" s="1" t="b">
        <v>1</v>
      </c>
      <c r="AC309" s="1">
        <v>134567849</v>
      </c>
      <c r="AD309" s="1">
        <v>2009175</v>
      </c>
      <c r="AE309" s="1">
        <v>0</v>
      </c>
      <c r="AF309" s="1" t="s">
        <v>1344</v>
      </c>
      <c r="AG309" s="1" t="s">
        <v>1345</v>
      </c>
      <c r="AH309" s="1">
        <v>68.400000000000006</v>
      </c>
      <c r="AI309" s="1">
        <v>67.099999999999994</v>
      </c>
      <c r="AJ309" s="1" t="s">
        <v>1355</v>
      </c>
      <c r="AK309" s="1" t="s">
        <v>1356</v>
      </c>
      <c r="AL309" s="1" t="s">
        <v>1357</v>
      </c>
    </row>
    <row r="310" spans="1:38" x14ac:dyDescent="0.6">
      <c r="A310" s="1">
        <v>225</v>
      </c>
      <c r="B310" s="1" t="s">
        <v>103</v>
      </c>
      <c r="C310" s="1">
        <v>78</v>
      </c>
      <c r="D310" s="1" t="s">
        <v>119</v>
      </c>
      <c r="E310" s="1" t="s">
        <v>90</v>
      </c>
      <c r="F310" s="1"/>
      <c r="G310" s="1"/>
      <c r="H310" s="1" t="s">
        <v>91</v>
      </c>
      <c r="I310" s="1" t="s">
        <v>92</v>
      </c>
      <c r="J310" s="1" t="s">
        <v>93</v>
      </c>
      <c r="K310" s="1">
        <v>1</v>
      </c>
      <c r="L310" s="1">
        <v>120</v>
      </c>
      <c r="M310" s="1" t="s">
        <v>14</v>
      </c>
      <c r="N310" s="1" t="s">
        <v>95</v>
      </c>
      <c r="O310" s="1" t="s">
        <v>96</v>
      </c>
      <c r="P310" s="1"/>
      <c r="Q310" s="1" t="s">
        <v>9</v>
      </c>
      <c r="R310" s="1">
        <v>0</v>
      </c>
      <c r="S310" s="1" t="s">
        <v>97</v>
      </c>
      <c r="T310" s="1" t="s">
        <v>97</v>
      </c>
      <c r="U310" s="1" t="b">
        <v>1</v>
      </c>
      <c r="V310" s="1" t="b">
        <v>0</v>
      </c>
      <c r="W310" s="1" t="b">
        <v>0</v>
      </c>
      <c r="X310" s="1">
        <v>5</v>
      </c>
      <c r="Y310" s="1" t="b">
        <v>1</v>
      </c>
      <c r="Z310" s="1" t="b">
        <v>1</v>
      </c>
      <c r="AA310" s="1"/>
      <c r="AB310" s="1" t="b">
        <v>1</v>
      </c>
      <c r="AC310" s="1">
        <v>146982315</v>
      </c>
      <c r="AD310" s="1">
        <v>866901</v>
      </c>
      <c r="AE310" s="1">
        <v>0</v>
      </c>
      <c r="AF310" s="1" t="s">
        <v>1358</v>
      </c>
      <c r="AG310" s="1" t="s">
        <v>1359</v>
      </c>
      <c r="AH310" s="1">
        <v>62.3</v>
      </c>
      <c r="AI310" s="1">
        <v>69.400000000000006</v>
      </c>
      <c r="AJ310" s="1" t="s">
        <v>1360</v>
      </c>
      <c r="AK310" s="1" t="s">
        <v>1361</v>
      </c>
      <c r="AL310" s="1" t="s">
        <v>1362</v>
      </c>
    </row>
    <row r="311" spans="1:38" x14ac:dyDescent="0.6">
      <c r="A311" s="1">
        <v>221</v>
      </c>
      <c r="B311" s="1" t="s">
        <v>103</v>
      </c>
      <c r="C311" s="1">
        <v>53</v>
      </c>
      <c r="D311" s="1" t="s">
        <v>89</v>
      </c>
      <c r="E311" s="1" t="s">
        <v>108</v>
      </c>
      <c r="F311" s="1"/>
      <c r="G311" s="1"/>
      <c r="H311" s="1" t="s">
        <v>91</v>
      </c>
      <c r="I311" s="1" t="s">
        <v>92</v>
      </c>
      <c r="J311" s="1" t="s">
        <v>93</v>
      </c>
      <c r="K311" s="1">
        <v>1</v>
      </c>
      <c r="L311" s="1">
        <v>120</v>
      </c>
      <c r="M311" s="1" t="s">
        <v>94</v>
      </c>
      <c r="N311" s="1" t="s">
        <v>95</v>
      </c>
      <c r="O311" s="1"/>
      <c r="P311" s="1" t="s">
        <v>96</v>
      </c>
      <c r="Q311" s="1" t="s">
        <v>9</v>
      </c>
      <c r="R311" s="1">
        <v>0</v>
      </c>
      <c r="S311" s="1" t="s">
        <v>97</v>
      </c>
      <c r="T311" s="1" t="s">
        <v>97</v>
      </c>
      <c r="U311" s="1" t="b">
        <v>1</v>
      </c>
      <c r="V311" s="1" t="b">
        <v>0</v>
      </c>
      <c r="W311" s="1" t="b">
        <v>0</v>
      </c>
      <c r="X311" s="1">
        <v>0</v>
      </c>
      <c r="Y311" s="1" t="b">
        <v>1</v>
      </c>
      <c r="Z311" s="1" t="b">
        <v>1</v>
      </c>
      <c r="AA311" s="1">
        <v>64.099999999999994</v>
      </c>
      <c r="AB311" s="1" t="b">
        <v>1</v>
      </c>
      <c r="AC311" s="1">
        <v>171527450</v>
      </c>
      <c r="AD311" s="1">
        <v>2011878</v>
      </c>
      <c r="AE311" s="1">
        <v>0</v>
      </c>
      <c r="AF311" s="1" t="s">
        <v>1363</v>
      </c>
      <c r="AG311" s="1" t="s">
        <v>1364</v>
      </c>
      <c r="AH311" s="1">
        <v>58.4</v>
      </c>
      <c r="AI311" s="1">
        <v>60.6</v>
      </c>
      <c r="AJ311" s="1" t="s">
        <v>1365</v>
      </c>
      <c r="AK311" s="1" t="s">
        <v>1366</v>
      </c>
      <c r="AL311" s="1" t="s">
        <v>1367</v>
      </c>
    </row>
    <row r="312" spans="1:38" x14ac:dyDescent="0.6">
      <c r="A312" s="1">
        <v>222</v>
      </c>
      <c r="B312" s="1" t="s">
        <v>88</v>
      </c>
      <c r="C312" s="1">
        <v>67</v>
      </c>
      <c r="D312" s="1" t="s">
        <v>127</v>
      </c>
      <c r="E312" s="1" t="s">
        <v>108</v>
      </c>
      <c r="F312" s="1"/>
      <c r="G312" s="1"/>
      <c r="H312" s="1" t="s">
        <v>91</v>
      </c>
      <c r="I312" s="1" t="s">
        <v>92</v>
      </c>
      <c r="J312" s="1" t="s">
        <v>93</v>
      </c>
      <c r="K312" s="1">
        <v>1</v>
      </c>
      <c r="L312" s="1">
        <v>120</v>
      </c>
      <c r="M312" s="1" t="s">
        <v>7</v>
      </c>
      <c r="N312" s="1" t="s">
        <v>7</v>
      </c>
      <c r="O312" s="1" t="s">
        <v>96</v>
      </c>
      <c r="P312" s="1" t="s">
        <v>96</v>
      </c>
      <c r="Q312" s="1" t="s">
        <v>9</v>
      </c>
      <c r="R312" s="1">
        <v>0</v>
      </c>
      <c r="S312" s="1" t="s">
        <v>97</v>
      </c>
      <c r="T312" s="1" t="s">
        <v>97</v>
      </c>
      <c r="U312" s="1" t="b">
        <v>1</v>
      </c>
      <c r="V312" s="1" t="b">
        <v>0</v>
      </c>
      <c r="W312" s="1" t="b">
        <v>0</v>
      </c>
      <c r="X312" s="1">
        <v>5</v>
      </c>
      <c r="Y312" s="1" t="b">
        <v>1</v>
      </c>
      <c r="Z312" s="1" t="b">
        <v>1</v>
      </c>
      <c r="AA312" s="1">
        <v>67.3</v>
      </c>
      <c r="AB312" s="1" t="b">
        <v>0</v>
      </c>
      <c r="AC312" s="1">
        <v>0</v>
      </c>
      <c r="AD312" s="1">
        <v>1968228</v>
      </c>
      <c r="AE312" s="1">
        <v>148240284</v>
      </c>
      <c r="AF312" s="1" t="s">
        <v>1368</v>
      </c>
      <c r="AG312" s="1" t="s">
        <v>1368</v>
      </c>
      <c r="AH312" s="1">
        <v>65.2</v>
      </c>
      <c r="AI312" s="1">
        <v>65.599999999999994</v>
      </c>
      <c r="AJ312" s="1" t="s">
        <v>1369</v>
      </c>
      <c r="AK312" s="1" t="s">
        <v>1370</v>
      </c>
      <c r="AL312" s="1" t="s">
        <v>1371</v>
      </c>
    </row>
    <row r="313" spans="1:38" x14ac:dyDescent="0.6">
      <c r="A313" s="1">
        <v>223</v>
      </c>
      <c r="B313" s="1" t="s">
        <v>88</v>
      </c>
      <c r="C313" s="1">
        <v>56</v>
      </c>
      <c r="D313" s="1" t="s">
        <v>89</v>
      </c>
      <c r="E313" s="1" t="s">
        <v>108</v>
      </c>
      <c r="F313" s="1"/>
      <c r="G313" s="1"/>
      <c r="H313" s="1" t="s">
        <v>91</v>
      </c>
      <c r="I313" s="1" t="s">
        <v>92</v>
      </c>
      <c r="J313" s="1" t="s">
        <v>93</v>
      </c>
      <c r="K313" s="1">
        <v>1</v>
      </c>
      <c r="L313" s="1">
        <v>120</v>
      </c>
      <c r="M313" s="1" t="s">
        <v>7</v>
      </c>
      <c r="N313" s="1" t="s">
        <v>7</v>
      </c>
      <c r="O313" s="1" t="s">
        <v>96</v>
      </c>
      <c r="P313" s="1" t="s">
        <v>96</v>
      </c>
      <c r="Q313" s="1" t="s">
        <v>9</v>
      </c>
      <c r="R313" s="1">
        <v>0</v>
      </c>
      <c r="S313" s="1" t="s">
        <v>97</v>
      </c>
      <c r="T313" s="1" t="s">
        <v>97</v>
      </c>
      <c r="U313" s="1" t="b">
        <v>1</v>
      </c>
      <c r="V313" s="1" t="b">
        <v>0</v>
      </c>
      <c r="W313" s="1" t="b">
        <v>0</v>
      </c>
      <c r="X313" s="1">
        <v>5</v>
      </c>
      <c r="Y313" s="1" t="b">
        <v>1</v>
      </c>
      <c r="Z313" s="1" t="b">
        <v>1</v>
      </c>
      <c r="AA313" s="1">
        <v>68.599999999999994</v>
      </c>
      <c r="AB313" s="1" t="b">
        <v>0</v>
      </c>
      <c r="AC313" s="1">
        <v>0</v>
      </c>
      <c r="AD313" s="1">
        <v>2077913</v>
      </c>
      <c r="AE313" s="1">
        <v>141052711</v>
      </c>
      <c r="AF313" s="1" t="s">
        <v>1372</v>
      </c>
      <c r="AG313" s="1" t="s">
        <v>1372</v>
      </c>
      <c r="AH313" s="1">
        <v>66.8</v>
      </c>
      <c r="AI313" s="1">
        <v>65.5</v>
      </c>
      <c r="AJ313" s="1" t="s">
        <v>1373</v>
      </c>
      <c r="AK313" s="1" t="s">
        <v>1374</v>
      </c>
      <c r="AL313" s="1" t="s">
        <v>1375</v>
      </c>
    </row>
    <row r="314" spans="1:38" x14ac:dyDescent="0.6">
      <c r="A314" s="1">
        <v>226</v>
      </c>
      <c r="B314" s="1" t="s">
        <v>88</v>
      </c>
      <c r="C314" s="1">
        <v>55</v>
      </c>
      <c r="D314" s="1" t="s">
        <v>89</v>
      </c>
      <c r="E314" s="1" t="s">
        <v>90</v>
      </c>
      <c r="F314" s="1"/>
      <c r="G314" s="1"/>
      <c r="H314" s="1" t="s">
        <v>91</v>
      </c>
      <c r="I314" s="1" t="s">
        <v>92</v>
      </c>
      <c r="J314" s="1" t="s">
        <v>93</v>
      </c>
      <c r="K314" s="1">
        <v>1</v>
      </c>
      <c r="L314" s="1">
        <v>120</v>
      </c>
      <c r="M314" s="1" t="s">
        <v>94</v>
      </c>
      <c r="N314" s="1" t="s">
        <v>95</v>
      </c>
      <c r="O314" s="1"/>
      <c r="P314" s="1" t="s">
        <v>96</v>
      </c>
      <c r="Q314" s="1" t="s">
        <v>9</v>
      </c>
      <c r="R314" s="1">
        <v>0</v>
      </c>
      <c r="S314" s="1" t="s">
        <v>97</v>
      </c>
      <c r="T314" s="1" t="s">
        <v>97</v>
      </c>
      <c r="U314" s="1" t="b">
        <v>1</v>
      </c>
      <c r="V314" s="1" t="b">
        <v>0</v>
      </c>
      <c r="W314" s="1" t="b">
        <v>0</v>
      </c>
      <c r="X314" s="1">
        <v>0</v>
      </c>
      <c r="Y314" s="1" t="b">
        <v>1</v>
      </c>
      <c r="Z314" s="1" t="b">
        <v>1</v>
      </c>
      <c r="AA314" s="1">
        <v>70.8</v>
      </c>
      <c r="AB314" s="1" t="b">
        <v>1</v>
      </c>
      <c r="AC314" s="1">
        <v>142158681</v>
      </c>
      <c r="AD314" s="1">
        <v>1496231</v>
      </c>
      <c r="AE314" s="1">
        <v>0</v>
      </c>
      <c r="AF314" s="1" t="s">
        <v>1376</v>
      </c>
      <c r="AG314" s="1" t="s">
        <v>1377</v>
      </c>
      <c r="AH314" s="1">
        <v>71.2</v>
      </c>
      <c r="AI314" s="1">
        <v>66.599999999999994</v>
      </c>
      <c r="AJ314" s="1" t="s">
        <v>1378</v>
      </c>
      <c r="AK314" s="1" t="s">
        <v>1379</v>
      </c>
      <c r="AL314" s="1" t="s">
        <v>1380</v>
      </c>
    </row>
    <row r="315" spans="1:38" x14ac:dyDescent="0.6">
      <c r="A315" s="1">
        <v>230</v>
      </c>
      <c r="B315" s="1" t="s">
        <v>88</v>
      </c>
      <c r="C315" s="1">
        <v>89</v>
      </c>
      <c r="D315" s="1" t="s">
        <v>153</v>
      </c>
      <c r="E315" s="1"/>
      <c r="F315" s="1"/>
      <c r="G315" s="1"/>
      <c r="H315" s="1" t="s">
        <v>91</v>
      </c>
      <c r="I315" s="1" t="s">
        <v>92</v>
      </c>
      <c r="J315" s="1" t="s">
        <v>93</v>
      </c>
      <c r="K315" s="1">
        <v>1</v>
      </c>
      <c r="L315" s="1">
        <v>120</v>
      </c>
      <c r="M315" s="1" t="s">
        <v>14</v>
      </c>
      <c r="N315" s="1" t="s">
        <v>95</v>
      </c>
      <c r="O315" s="1" t="s">
        <v>96</v>
      </c>
      <c r="P315" s="1"/>
      <c r="Q315" s="1" t="s">
        <v>9</v>
      </c>
      <c r="R315" s="1">
        <v>0</v>
      </c>
      <c r="S315" s="1" t="s">
        <v>97</v>
      </c>
      <c r="T315" s="1" t="s">
        <v>97</v>
      </c>
      <c r="U315" s="1" t="b">
        <v>1</v>
      </c>
      <c r="V315" s="1" t="b">
        <v>0</v>
      </c>
      <c r="W315" s="1" t="b">
        <v>0</v>
      </c>
      <c r="X315" s="1">
        <v>5</v>
      </c>
      <c r="Y315" s="1" t="b">
        <v>1</v>
      </c>
      <c r="Z315" s="1" t="b">
        <v>1</v>
      </c>
      <c r="AA315" s="1"/>
      <c r="AB315" s="1" t="b">
        <v>1</v>
      </c>
      <c r="AC315" s="1">
        <v>128044412</v>
      </c>
      <c r="AD315" s="1">
        <v>930436</v>
      </c>
      <c r="AE315" s="1">
        <v>0</v>
      </c>
      <c r="AF315" s="1" t="s">
        <v>1381</v>
      </c>
      <c r="AG315" s="1" t="s">
        <v>1382</v>
      </c>
      <c r="AH315" s="1">
        <v>55.2</v>
      </c>
      <c r="AI315" s="1">
        <v>54.6</v>
      </c>
      <c r="AJ315" s="1" t="s">
        <v>1383</v>
      </c>
      <c r="AK315" s="1" t="s">
        <v>1384</v>
      </c>
      <c r="AL315" s="1" t="s">
        <v>1385</v>
      </c>
    </row>
    <row r="316" spans="1:38" x14ac:dyDescent="0.6">
      <c r="A316" s="1">
        <v>230</v>
      </c>
      <c r="B316" s="1" t="s">
        <v>88</v>
      </c>
      <c r="C316" s="1">
        <v>89</v>
      </c>
      <c r="D316" s="1" t="s">
        <v>153</v>
      </c>
      <c r="E316" s="1"/>
      <c r="F316" s="1"/>
      <c r="G316" s="1"/>
      <c r="H316" s="1" t="s">
        <v>91</v>
      </c>
      <c r="I316" s="1" t="s">
        <v>92</v>
      </c>
      <c r="J316" s="1" t="s">
        <v>93</v>
      </c>
      <c r="K316" s="1">
        <v>1</v>
      </c>
      <c r="L316" s="1">
        <v>120</v>
      </c>
      <c r="M316" s="1" t="s">
        <v>94</v>
      </c>
      <c r="N316" s="1" t="s">
        <v>95</v>
      </c>
      <c r="O316" s="1"/>
      <c r="P316" s="1" t="s">
        <v>96</v>
      </c>
      <c r="Q316" s="1" t="s">
        <v>9</v>
      </c>
      <c r="R316" s="1">
        <v>0</v>
      </c>
      <c r="S316" s="1" t="s">
        <v>97</v>
      </c>
      <c r="T316" s="1" t="s">
        <v>97</v>
      </c>
      <c r="U316" s="1" t="b">
        <v>1</v>
      </c>
      <c r="V316" s="1" t="b">
        <v>0</v>
      </c>
      <c r="W316" s="1" t="b">
        <v>0</v>
      </c>
      <c r="X316" s="1">
        <v>0</v>
      </c>
      <c r="Y316" s="1" t="b">
        <v>1</v>
      </c>
      <c r="Z316" s="1" t="b">
        <v>1</v>
      </c>
      <c r="AA316" s="1">
        <v>58</v>
      </c>
      <c r="AB316" s="1" t="b">
        <v>1</v>
      </c>
      <c r="AC316" s="1">
        <v>128779239</v>
      </c>
      <c r="AD316" s="1">
        <v>2554905</v>
      </c>
      <c r="AE316" s="1">
        <v>0</v>
      </c>
      <c r="AF316" s="1" t="s">
        <v>1381</v>
      </c>
      <c r="AG316" s="1" t="s">
        <v>1382</v>
      </c>
      <c r="AH316" s="1">
        <v>55.2</v>
      </c>
      <c r="AI316" s="1">
        <v>54.6</v>
      </c>
      <c r="AJ316" s="1" t="s">
        <v>1386</v>
      </c>
      <c r="AK316" s="1" t="s">
        <v>1387</v>
      </c>
      <c r="AL316" s="1" t="s">
        <v>1388</v>
      </c>
    </row>
    <row r="317" spans="1:38" x14ac:dyDescent="0.6">
      <c r="A317" s="1">
        <v>215</v>
      </c>
      <c r="B317" s="1" t="s">
        <v>103</v>
      </c>
      <c r="C317" s="1">
        <v>51</v>
      </c>
      <c r="D317" s="1" t="s">
        <v>89</v>
      </c>
      <c r="E317" s="1" t="s">
        <v>108</v>
      </c>
      <c r="F317" s="1"/>
      <c r="G317" s="1"/>
      <c r="H317" s="1" t="s">
        <v>91</v>
      </c>
      <c r="I317" s="1" t="s">
        <v>92</v>
      </c>
      <c r="J317" s="1" t="s">
        <v>109</v>
      </c>
      <c r="K317" s="1">
        <v>1</v>
      </c>
      <c r="L317" s="1">
        <v>120</v>
      </c>
      <c r="M317" s="1" t="s">
        <v>14</v>
      </c>
      <c r="N317" s="1" t="s">
        <v>95</v>
      </c>
      <c r="O317" s="1" t="s">
        <v>96</v>
      </c>
      <c r="P317" s="1"/>
      <c r="Q317" s="1" t="s">
        <v>200</v>
      </c>
      <c r="R317" s="1">
        <v>1</v>
      </c>
      <c r="S317" s="1" t="s">
        <v>97</v>
      </c>
      <c r="T317" s="1" t="s">
        <v>200</v>
      </c>
      <c r="U317" s="1" t="b">
        <v>0</v>
      </c>
      <c r="V317" s="1" t="b">
        <v>1</v>
      </c>
      <c r="W317" s="1" t="b">
        <v>1</v>
      </c>
      <c r="X317" s="1">
        <v>6</v>
      </c>
      <c r="Y317" s="1" t="b">
        <v>1</v>
      </c>
      <c r="Z317" s="1" t="b">
        <v>1</v>
      </c>
      <c r="AA317" s="1"/>
      <c r="AB317" s="1" t="b">
        <v>1</v>
      </c>
      <c r="AC317" s="1">
        <v>156548334</v>
      </c>
      <c r="AD317" s="1">
        <v>1000210</v>
      </c>
      <c r="AE317" s="1">
        <v>0</v>
      </c>
      <c r="AF317" s="1" t="s">
        <v>1318</v>
      </c>
      <c r="AG317" s="1" t="s">
        <v>1319</v>
      </c>
      <c r="AH317" s="1">
        <v>84.8</v>
      </c>
      <c r="AI317" s="1">
        <v>73.900000000000006</v>
      </c>
      <c r="AJ317" s="1" t="s">
        <v>1389</v>
      </c>
      <c r="AK317" s="1" t="s">
        <v>1390</v>
      </c>
      <c r="AL317" s="1" t="s">
        <v>1391</v>
      </c>
    </row>
    <row r="318" spans="1:38" x14ac:dyDescent="0.6">
      <c r="A318" s="1">
        <v>227</v>
      </c>
      <c r="B318" s="1" t="s">
        <v>103</v>
      </c>
      <c r="C318" s="1">
        <v>56</v>
      </c>
      <c r="D318" s="1" t="s">
        <v>89</v>
      </c>
      <c r="E318" s="1" t="s">
        <v>108</v>
      </c>
      <c r="F318" s="1"/>
      <c r="G318" s="1"/>
      <c r="H318" s="1" t="s">
        <v>91</v>
      </c>
      <c r="I318" s="1" t="s">
        <v>92</v>
      </c>
      <c r="J318" s="1" t="s">
        <v>93</v>
      </c>
      <c r="K318" s="1">
        <v>1</v>
      </c>
      <c r="L318" s="1">
        <v>120</v>
      </c>
      <c r="M318" s="1" t="s">
        <v>7</v>
      </c>
      <c r="N318" s="1" t="s">
        <v>7</v>
      </c>
      <c r="O318" s="1" t="s">
        <v>96</v>
      </c>
      <c r="P318" s="1" t="s">
        <v>96</v>
      </c>
      <c r="Q318" s="1" t="s">
        <v>9</v>
      </c>
      <c r="R318" s="1">
        <v>0</v>
      </c>
      <c r="S318" s="1" t="s">
        <v>97</v>
      </c>
      <c r="T318" s="1" t="s">
        <v>97</v>
      </c>
      <c r="U318" s="1" t="b">
        <v>1</v>
      </c>
      <c r="V318" s="1" t="b">
        <v>0</v>
      </c>
      <c r="W318" s="1" t="b">
        <v>0</v>
      </c>
      <c r="X318" s="1">
        <v>5</v>
      </c>
      <c r="Y318" s="1" t="b">
        <v>1</v>
      </c>
      <c r="Z318" s="1" t="b">
        <v>1</v>
      </c>
      <c r="AA318" s="1">
        <v>80.2</v>
      </c>
      <c r="AB318" s="1" t="b">
        <v>0</v>
      </c>
      <c r="AC318" s="1">
        <v>0</v>
      </c>
      <c r="AD318" s="1">
        <v>2732662</v>
      </c>
      <c r="AE318" s="1">
        <v>156913034</v>
      </c>
      <c r="AF318" s="1" t="s">
        <v>1392</v>
      </c>
      <c r="AG318" s="1" t="s">
        <v>1392</v>
      </c>
      <c r="AH318" s="1">
        <v>77.099999999999994</v>
      </c>
      <c r="AI318" s="1">
        <v>76.8</v>
      </c>
      <c r="AJ318" s="1" t="s">
        <v>1393</v>
      </c>
      <c r="AK318" s="1" t="s">
        <v>1394</v>
      </c>
      <c r="AL318" s="1" t="s">
        <v>1395</v>
      </c>
    </row>
    <row r="319" spans="1:38" x14ac:dyDescent="0.6">
      <c r="A319" s="1">
        <v>232</v>
      </c>
      <c r="B319" s="1" t="s">
        <v>88</v>
      </c>
      <c r="C319" s="1">
        <v>89</v>
      </c>
      <c r="D319" s="1" t="s">
        <v>153</v>
      </c>
      <c r="E319" s="1" t="s">
        <v>154</v>
      </c>
      <c r="F319" s="1"/>
      <c r="G319" s="1"/>
      <c r="H319" s="1" t="s">
        <v>91</v>
      </c>
      <c r="I319" s="1" t="s">
        <v>92</v>
      </c>
      <c r="J319" s="1" t="s">
        <v>93</v>
      </c>
      <c r="K319" s="1">
        <v>1</v>
      </c>
      <c r="L319" s="1">
        <v>120</v>
      </c>
      <c r="M319" s="1" t="s">
        <v>14</v>
      </c>
      <c r="N319" s="1" t="s">
        <v>95</v>
      </c>
      <c r="O319" s="1" t="s">
        <v>96</v>
      </c>
      <c r="P319" s="1"/>
      <c r="Q319" s="1" t="s">
        <v>9</v>
      </c>
      <c r="R319" s="1">
        <v>0</v>
      </c>
      <c r="S319" s="1" t="s">
        <v>97</v>
      </c>
      <c r="T319" s="1" t="s">
        <v>97</v>
      </c>
      <c r="U319" s="1" t="b">
        <v>1</v>
      </c>
      <c r="V319" s="1" t="b">
        <v>0</v>
      </c>
      <c r="W319" s="1" t="b">
        <v>0</v>
      </c>
      <c r="X319" s="1">
        <v>5</v>
      </c>
      <c r="Y319" s="1" t="b">
        <v>1</v>
      </c>
      <c r="Z319" s="1" t="b">
        <v>1</v>
      </c>
      <c r="AA319" s="1"/>
      <c r="AB319" s="1" t="b">
        <v>1</v>
      </c>
      <c r="AC319" s="1">
        <v>134054864</v>
      </c>
      <c r="AD319" s="1">
        <v>687152</v>
      </c>
      <c r="AE319" s="1">
        <v>0</v>
      </c>
      <c r="AF319" s="1" t="s">
        <v>1396</v>
      </c>
      <c r="AG319" s="1" t="s">
        <v>1397</v>
      </c>
      <c r="AH319" s="1">
        <v>67.099999999999994</v>
      </c>
      <c r="AI319" s="1">
        <v>60</v>
      </c>
      <c r="AJ319" s="1" t="s">
        <v>1398</v>
      </c>
      <c r="AK319" s="1" t="s">
        <v>1399</v>
      </c>
      <c r="AL319" s="1" t="s">
        <v>1400</v>
      </c>
    </row>
    <row r="320" spans="1:38" x14ac:dyDescent="0.6">
      <c r="A320" s="1">
        <v>232</v>
      </c>
      <c r="B320" s="1" t="s">
        <v>88</v>
      </c>
      <c r="C320" s="1">
        <v>89</v>
      </c>
      <c r="D320" s="1" t="s">
        <v>153</v>
      </c>
      <c r="E320" s="1" t="s">
        <v>154</v>
      </c>
      <c r="F320" s="1"/>
      <c r="G320" s="1"/>
      <c r="H320" s="1" t="s">
        <v>91</v>
      </c>
      <c r="I320" s="1" t="s">
        <v>92</v>
      </c>
      <c r="J320" s="1" t="s">
        <v>93</v>
      </c>
      <c r="K320" s="1">
        <v>1</v>
      </c>
      <c r="L320" s="1">
        <v>120</v>
      </c>
      <c r="M320" s="1" t="s">
        <v>94</v>
      </c>
      <c r="N320" s="1" t="s">
        <v>95</v>
      </c>
      <c r="O320" s="1"/>
      <c r="P320" s="1" t="s">
        <v>96</v>
      </c>
      <c r="Q320" s="1" t="s">
        <v>9</v>
      </c>
      <c r="R320" s="1">
        <v>0</v>
      </c>
      <c r="S320" s="1" t="s">
        <v>97</v>
      </c>
      <c r="T320" s="1" t="s">
        <v>97</v>
      </c>
      <c r="U320" s="1" t="b">
        <v>1</v>
      </c>
      <c r="V320" s="1" t="b">
        <v>0</v>
      </c>
      <c r="W320" s="1" t="b">
        <v>0</v>
      </c>
      <c r="X320" s="1">
        <v>0</v>
      </c>
      <c r="Y320" s="1" t="b">
        <v>1</v>
      </c>
      <c r="Z320" s="1" t="b">
        <v>1</v>
      </c>
      <c r="AA320" s="1">
        <v>63.1</v>
      </c>
      <c r="AB320" s="1" t="b">
        <v>1</v>
      </c>
      <c r="AC320" s="1">
        <v>142711015</v>
      </c>
      <c r="AD320" s="1">
        <v>1992473</v>
      </c>
      <c r="AE320" s="1">
        <v>0</v>
      </c>
      <c r="AF320" s="1" t="s">
        <v>1396</v>
      </c>
      <c r="AG320" s="1" t="s">
        <v>1397</v>
      </c>
      <c r="AH320" s="1">
        <v>67.099999999999994</v>
      </c>
      <c r="AI320" s="1">
        <v>60</v>
      </c>
      <c r="AJ320" s="1" t="s">
        <v>1401</v>
      </c>
      <c r="AK320" s="1" t="s">
        <v>1402</v>
      </c>
      <c r="AL320" s="1" t="s">
        <v>1403</v>
      </c>
    </row>
    <row r="321" spans="1:38" x14ac:dyDescent="0.6">
      <c r="A321" s="1">
        <v>237</v>
      </c>
      <c r="B321" s="1" t="s">
        <v>88</v>
      </c>
      <c r="C321" s="1">
        <v>50</v>
      </c>
      <c r="D321" s="1" t="s">
        <v>89</v>
      </c>
      <c r="E321" s="1" t="s">
        <v>90</v>
      </c>
      <c r="F321" s="1"/>
      <c r="G321" s="1"/>
      <c r="H321" s="1" t="s">
        <v>91</v>
      </c>
      <c r="I321" s="1" t="s">
        <v>92</v>
      </c>
      <c r="J321" s="1" t="s">
        <v>93</v>
      </c>
      <c r="K321" s="1">
        <v>1</v>
      </c>
      <c r="L321" s="1">
        <v>120</v>
      </c>
      <c r="M321" s="1" t="s">
        <v>94</v>
      </c>
      <c r="N321" s="1" t="s">
        <v>95</v>
      </c>
      <c r="O321" s="1"/>
      <c r="P321" s="1" t="s">
        <v>96</v>
      </c>
      <c r="Q321" s="1" t="s">
        <v>9</v>
      </c>
      <c r="R321" s="1">
        <v>0</v>
      </c>
      <c r="S321" s="1" t="s">
        <v>97</v>
      </c>
      <c r="T321" s="1" t="s">
        <v>97</v>
      </c>
      <c r="U321" s="1" t="b">
        <v>1</v>
      </c>
      <c r="V321" s="1" t="b">
        <v>0</v>
      </c>
      <c r="W321" s="1" t="b">
        <v>0</v>
      </c>
      <c r="X321" s="1">
        <v>0</v>
      </c>
      <c r="Y321" s="1" t="b">
        <v>1</v>
      </c>
      <c r="Z321" s="1" t="b">
        <v>1</v>
      </c>
      <c r="AA321" s="1">
        <v>61.5</v>
      </c>
      <c r="AB321" s="1" t="b">
        <v>1</v>
      </c>
      <c r="AC321" s="1">
        <v>123564938</v>
      </c>
      <c r="AD321" s="1">
        <v>2526326</v>
      </c>
      <c r="AE321" s="1">
        <v>0</v>
      </c>
      <c r="AF321" s="1" t="s">
        <v>1404</v>
      </c>
      <c r="AG321" s="1" t="s">
        <v>1405</v>
      </c>
      <c r="AH321" s="1">
        <v>61.9</v>
      </c>
      <c r="AI321" s="1">
        <v>58.3</v>
      </c>
      <c r="AJ321" s="1" t="s">
        <v>1406</v>
      </c>
      <c r="AK321" s="1" t="s">
        <v>1407</v>
      </c>
      <c r="AL321" s="1" t="s">
        <v>1408</v>
      </c>
    </row>
    <row r="322" spans="1:38" x14ac:dyDescent="0.6">
      <c r="A322" s="1">
        <v>218</v>
      </c>
      <c r="B322" s="1" t="s">
        <v>103</v>
      </c>
      <c r="C322" s="1">
        <v>54</v>
      </c>
      <c r="D322" s="1" t="s">
        <v>89</v>
      </c>
      <c r="E322" s="1" t="s">
        <v>90</v>
      </c>
      <c r="F322" s="1"/>
      <c r="G322" s="1"/>
      <c r="H322" s="1" t="s">
        <v>91</v>
      </c>
      <c r="I322" s="1" t="s">
        <v>92</v>
      </c>
      <c r="J322" s="1" t="s">
        <v>109</v>
      </c>
      <c r="K322" s="1">
        <v>1</v>
      </c>
      <c r="L322" s="1">
        <v>120</v>
      </c>
      <c r="M322" s="1" t="s">
        <v>7</v>
      </c>
      <c r="N322" s="1" t="s">
        <v>7</v>
      </c>
      <c r="O322" s="1" t="s">
        <v>96</v>
      </c>
      <c r="P322" s="1" t="s">
        <v>96</v>
      </c>
      <c r="Q322" s="1" t="s">
        <v>9</v>
      </c>
      <c r="R322" s="1">
        <v>0</v>
      </c>
      <c r="S322" s="1" t="s">
        <v>97</v>
      </c>
      <c r="T322" s="1" t="s">
        <v>97</v>
      </c>
      <c r="U322" s="1" t="b">
        <v>1</v>
      </c>
      <c r="V322" s="1" t="b">
        <v>0</v>
      </c>
      <c r="W322" s="1" t="b">
        <v>0</v>
      </c>
      <c r="X322" s="1">
        <v>5</v>
      </c>
      <c r="Y322" s="1" t="b">
        <v>1</v>
      </c>
      <c r="Z322" s="1" t="b">
        <v>1</v>
      </c>
      <c r="AA322" s="1">
        <v>76.099999999999994</v>
      </c>
      <c r="AB322" s="1" t="b">
        <v>0</v>
      </c>
      <c r="AC322" s="1">
        <v>0</v>
      </c>
      <c r="AD322" s="1">
        <v>3251486</v>
      </c>
      <c r="AE322" s="1">
        <v>134374114</v>
      </c>
      <c r="AF322" s="1" t="s">
        <v>1409</v>
      </c>
      <c r="AG322" s="1" t="s">
        <v>1409</v>
      </c>
      <c r="AH322" s="1">
        <v>78.3</v>
      </c>
      <c r="AI322" s="1">
        <v>69.099999999999994</v>
      </c>
      <c r="AJ322" s="1" t="s">
        <v>1410</v>
      </c>
      <c r="AK322" s="1" t="s">
        <v>1411</v>
      </c>
      <c r="AL322" s="1" t="s">
        <v>1412</v>
      </c>
    </row>
    <row r="323" spans="1:38" x14ac:dyDescent="0.6">
      <c r="A323" s="1">
        <v>236</v>
      </c>
      <c r="B323" s="1" t="s">
        <v>88</v>
      </c>
      <c r="C323" s="1">
        <v>55</v>
      </c>
      <c r="D323" s="1" t="s">
        <v>89</v>
      </c>
      <c r="E323" s="1" t="s">
        <v>90</v>
      </c>
      <c r="F323" s="1"/>
      <c r="G323" s="1"/>
      <c r="H323" s="1" t="s">
        <v>91</v>
      </c>
      <c r="I323" s="1" t="s">
        <v>92</v>
      </c>
      <c r="J323" s="1" t="s">
        <v>93</v>
      </c>
      <c r="K323" s="1">
        <v>1</v>
      </c>
      <c r="L323" s="1">
        <v>120</v>
      </c>
      <c r="M323" s="1" t="s">
        <v>7</v>
      </c>
      <c r="N323" s="1" t="s">
        <v>7</v>
      </c>
      <c r="O323" s="1" t="s">
        <v>96</v>
      </c>
      <c r="P323" s="1" t="s">
        <v>96</v>
      </c>
      <c r="Q323" s="1" t="s">
        <v>9</v>
      </c>
      <c r="R323" s="1">
        <v>0</v>
      </c>
      <c r="S323" s="1" t="s">
        <v>97</v>
      </c>
      <c r="T323" s="1" t="s">
        <v>97</v>
      </c>
      <c r="U323" s="1" t="b">
        <v>1</v>
      </c>
      <c r="V323" s="1" t="b">
        <v>0</v>
      </c>
      <c r="W323" s="1" t="b">
        <v>0</v>
      </c>
      <c r="X323" s="1">
        <v>5</v>
      </c>
      <c r="Y323" s="1" t="b">
        <v>1</v>
      </c>
      <c r="Z323" s="1" t="b">
        <v>1</v>
      </c>
      <c r="AA323" s="1">
        <v>74.3</v>
      </c>
      <c r="AB323" s="1" t="b">
        <v>0</v>
      </c>
      <c r="AC323" s="1">
        <v>0</v>
      </c>
      <c r="AD323" s="1">
        <v>1730657</v>
      </c>
      <c r="AE323" s="1">
        <v>129603487</v>
      </c>
      <c r="AF323" s="1" t="s">
        <v>1413</v>
      </c>
      <c r="AG323" s="1" t="s">
        <v>1413</v>
      </c>
      <c r="AH323" s="1">
        <v>70.2</v>
      </c>
      <c r="AI323" s="1">
        <v>70.8</v>
      </c>
      <c r="AJ323" s="1" t="s">
        <v>1414</v>
      </c>
      <c r="AK323" s="1" t="s">
        <v>1415</v>
      </c>
      <c r="AL323" s="1" t="s">
        <v>1416</v>
      </c>
    </row>
    <row r="324" spans="1:38" x14ac:dyDescent="0.6">
      <c r="A324" s="1">
        <v>219</v>
      </c>
      <c r="B324" s="1" t="s">
        <v>103</v>
      </c>
      <c r="C324" s="1"/>
      <c r="D324" s="1"/>
      <c r="E324" s="1" t="s">
        <v>108</v>
      </c>
      <c r="F324" s="1"/>
      <c r="G324" s="1"/>
      <c r="H324" s="1" t="s">
        <v>91</v>
      </c>
      <c r="I324" s="1" t="s">
        <v>92</v>
      </c>
      <c r="J324" s="1" t="s">
        <v>109</v>
      </c>
      <c r="K324" s="1">
        <v>1</v>
      </c>
      <c r="L324" s="1">
        <v>120</v>
      </c>
      <c r="M324" s="1" t="s">
        <v>14</v>
      </c>
      <c r="N324" s="1" t="s">
        <v>95</v>
      </c>
      <c r="O324" s="1" t="s">
        <v>96</v>
      </c>
      <c r="P324" s="1"/>
      <c r="Q324" s="1" t="s">
        <v>9</v>
      </c>
      <c r="R324" s="1">
        <v>0</v>
      </c>
      <c r="S324" s="1" t="s">
        <v>97</v>
      </c>
      <c r="T324" s="1" t="s">
        <v>97</v>
      </c>
      <c r="U324" s="1" t="b">
        <v>1</v>
      </c>
      <c r="V324" s="1" t="b">
        <v>0</v>
      </c>
      <c r="W324" s="1" t="b">
        <v>0</v>
      </c>
      <c r="X324" s="1">
        <v>5</v>
      </c>
      <c r="Y324" s="1" t="b">
        <v>1</v>
      </c>
      <c r="Z324" s="1" t="b">
        <v>1</v>
      </c>
      <c r="AA324" s="1"/>
      <c r="AB324" s="1" t="b">
        <v>1</v>
      </c>
      <c r="AC324" s="1">
        <v>155209363</v>
      </c>
      <c r="AD324" s="1">
        <v>766317</v>
      </c>
      <c r="AE324" s="1">
        <v>0</v>
      </c>
      <c r="AF324" s="1" t="s">
        <v>1339</v>
      </c>
      <c r="AG324" s="1" t="s">
        <v>1340</v>
      </c>
      <c r="AH324" s="1">
        <v>61.8</v>
      </c>
      <c r="AI324" s="1">
        <v>58</v>
      </c>
      <c r="AJ324" s="1" t="s">
        <v>1417</v>
      </c>
      <c r="AK324" s="1" t="s">
        <v>1418</v>
      </c>
      <c r="AL324" s="1" t="s">
        <v>1419</v>
      </c>
    </row>
    <row r="325" spans="1:38" x14ac:dyDescent="0.6">
      <c r="A325" s="1">
        <v>233</v>
      </c>
      <c r="B325" s="1" t="s">
        <v>103</v>
      </c>
      <c r="C325" s="1">
        <v>51</v>
      </c>
      <c r="D325" s="1" t="s">
        <v>89</v>
      </c>
      <c r="E325" s="1" t="s">
        <v>90</v>
      </c>
      <c r="F325" s="1"/>
      <c r="G325" s="1"/>
      <c r="H325" s="1" t="s">
        <v>91</v>
      </c>
      <c r="I325" s="1" t="s">
        <v>92</v>
      </c>
      <c r="J325" s="1" t="s">
        <v>93</v>
      </c>
      <c r="K325" s="1">
        <v>1</v>
      </c>
      <c r="L325" s="1">
        <v>120</v>
      </c>
      <c r="M325" s="1" t="s">
        <v>7</v>
      </c>
      <c r="N325" s="1" t="s">
        <v>7</v>
      </c>
      <c r="O325" s="1" t="s">
        <v>96</v>
      </c>
      <c r="P325" s="1" t="s">
        <v>96</v>
      </c>
      <c r="Q325" s="1" t="s">
        <v>9</v>
      </c>
      <c r="R325" s="1">
        <v>0</v>
      </c>
      <c r="S325" s="1" t="s">
        <v>97</v>
      </c>
      <c r="T325" s="1" t="s">
        <v>97</v>
      </c>
      <c r="U325" s="1" t="b">
        <v>1</v>
      </c>
      <c r="V325" s="1" t="b">
        <v>0</v>
      </c>
      <c r="W325" s="1" t="b">
        <v>0</v>
      </c>
      <c r="X325" s="1">
        <v>5</v>
      </c>
      <c r="Y325" s="1" t="b">
        <v>1</v>
      </c>
      <c r="Z325" s="1" t="b">
        <v>1</v>
      </c>
      <c r="AA325" s="1">
        <v>82.4</v>
      </c>
      <c r="AB325" s="1" t="b">
        <v>0</v>
      </c>
      <c r="AC325" s="1">
        <v>0</v>
      </c>
      <c r="AD325" s="1">
        <v>3177202</v>
      </c>
      <c r="AE325" s="1">
        <v>128156942</v>
      </c>
      <c r="AF325" s="1" t="s">
        <v>1420</v>
      </c>
      <c r="AG325" s="1" t="s">
        <v>1420</v>
      </c>
      <c r="AH325" s="1">
        <v>78.2</v>
      </c>
      <c r="AI325" s="1">
        <v>76.8</v>
      </c>
      <c r="AJ325" s="1" t="s">
        <v>1421</v>
      </c>
      <c r="AK325" s="1" t="s">
        <v>1422</v>
      </c>
      <c r="AL325" s="1" t="s">
        <v>1423</v>
      </c>
    </row>
    <row r="326" spans="1:38" x14ac:dyDescent="0.6">
      <c r="A326" s="1">
        <v>221</v>
      </c>
      <c r="B326" s="1" t="s">
        <v>103</v>
      </c>
      <c r="C326" s="1">
        <v>53</v>
      </c>
      <c r="D326" s="1" t="s">
        <v>89</v>
      </c>
      <c r="E326" s="1" t="s">
        <v>108</v>
      </c>
      <c r="F326" s="1"/>
      <c r="G326" s="1"/>
      <c r="H326" s="1" t="s">
        <v>91</v>
      </c>
      <c r="I326" s="1" t="s">
        <v>92</v>
      </c>
      <c r="J326" s="1" t="s">
        <v>93</v>
      </c>
      <c r="K326" s="1">
        <v>1</v>
      </c>
      <c r="L326" s="1">
        <v>120</v>
      </c>
      <c r="M326" s="1" t="s">
        <v>14</v>
      </c>
      <c r="N326" s="1" t="s">
        <v>95</v>
      </c>
      <c r="O326" s="1" t="s">
        <v>96</v>
      </c>
      <c r="P326" s="1"/>
      <c r="Q326" s="1" t="s">
        <v>9</v>
      </c>
      <c r="R326" s="1">
        <v>0</v>
      </c>
      <c r="S326" s="1" t="s">
        <v>97</v>
      </c>
      <c r="T326" s="1" t="s">
        <v>97</v>
      </c>
      <c r="U326" s="1" t="b">
        <v>1</v>
      </c>
      <c r="V326" s="1" t="b">
        <v>0</v>
      </c>
      <c r="W326" s="1" t="b">
        <v>0</v>
      </c>
      <c r="X326" s="1">
        <v>5</v>
      </c>
      <c r="Y326" s="1" t="b">
        <v>1</v>
      </c>
      <c r="Z326" s="1" t="b">
        <v>1</v>
      </c>
      <c r="AA326" s="1"/>
      <c r="AB326" s="1" t="b">
        <v>1</v>
      </c>
      <c r="AC326" s="1">
        <v>156098394</v>
      </c>
      <c r="AD326" s="1">
        <v>663718</v>
      </c>
      <c r="AE326" s="1">
        <v>0</v>
      </c>
      <c r="AF326" s="1" t="s">
        <v>1363</v>
      </c>
      <c r="AG326" s="1" t="s">
        <v>1364</v>
      </c>
      <c r="AH326" s="1">
        <v>58.4</v>
      </c>
      <c r="AI326" s="1">
        <v>60.6</v>
      </c>
      <c r="AJ326" s="1" t="s">
        <v>1424</v>
      </c>
      <c r="AK326" s="1" t="s">
        <v>1425</v>
      </c>
      <c r="AL326" s="1" t="s">
        <v>1426</v>
      </c>
    </row>
    <row r="327" spans="1:38" x14ac:dyDescent="0.6">
      <c r="A327" s="1">
        <v>238</v>
      </c>
      <c r="B327" s="1" t="s">
        <v>103</v>
      </c>
      <c r="C327" s="1">
        <v>57</v>
      </c>
      <c r="D327" s="1" t="s">
        <v>89</v>
      </c>
      <c r="E327" s="1" t="s">
        <v>108</v>
      </c>
      <c r="F327" s="1"/>
      <c r="G327" s="1"/>
      <c r="H327" s="1" t="s">
        <v>91</v>
      </c>
      <c r="I327" s="1" t="s">
        <v>92</v>
      </c>
      <c r="J327" s="1" t="s">
        <v>93</v>
      </c>
      <c r="K327" s="1">
        <v>1</v>
      </c>
      <c r="L327" s="1">
        <v>120</v>
      </c>
      <c r="M327" s="1" t="s">
        <v>14</v>
      </c>
      <c r="N327" s="1" t="s">
        <v>95</v>
      </c>
      <c r="O327" s="1" t="s">
        <v>96</v>
      </c>
      <c r="P327" s="1"/>
      <c r="Q327" s="1" t="s">
        <v>9</v>
      </c>
      <c r="R327" s="1">
        <v>0</v>
      </c>
      <c r="S327" s="1" t="s">
        <v>97</v>
      </c>
      <c r="T327" s="1" t="s">
        <v>97</v>
      </c>
      <c r="U327" s="1" t="b">
        <v>1</v>
      </c>
      <c r="V327" s="1" t="b">
        <v>0</v>
      </c>
      <c r="W327" s="1" t="b">
        <v>0</v>
      </c>
      <c r="X327" s="1">
        <v>5</v>
      </c>
      <c r="Y327" s="1" t="b">
        <v>1</v>
      </c>
      <c r="Z327" s="1" t="b">
        <v>1</v>
      </c>
      <c r="AA327" s="1"/>
      <c r="AB327" s="1" t="b">
        <v>1</v>
      </c>
      <c r="AC327" s="1">
        <v>130795100</v>
      </c>
      <c r="AD327" s="1">
        <v>539044</v>
      </c>
      <c r="AE327" s="1">
        <v>0</v>
      </c>
      <c r="AF327" s="1" t="s">
        <v>1427</v>
      </c>
      <c r="AG327" s="1" t="s">
        <v>1428</v>
      </c>
      <c r="AH327" s="1">
        <v>81.400000000000006</v>
      </c>
      <c r="AI327" s="1">
        <v>83.4</v>
      </c>
      <c r="AJ327" s="1" t="s">
        <v>1429</v>
      </c>
      <c r="AK327" s="1" t="s">
        <v>1430</v>
      </c>
      <c r="AL327" s="1" t="s">
        <v>1431</v>
      </c>
    </row>
    <row r="328" spans="1:38" x14ac:dyDescent="0.6">
      <c r="A328" s="1">
        <v>234</v>
      </c>
      <c r="B328" s="1" t="s">
        <v>88</v>
      </c>
      <c r="C328" s="1">
        <v>59</v>
      </c>
      <c r="D328" s="1" t="s">
        <v>89</v>
      </c>
      <c r="E328" s="1" t="s">
        <v>108</v>
      </c>
      <c r="F328" s="1"/>
      <c r="G328" s="1"/>
      <c r="H328" s="1" t="s">
        <v>91</v>
      </c>
      <c r="I328" s="1" t="s">
        <v>92</v>
      </c>
      <c r="J328" s="1" t="s">
        <v>93</v>
      </c>
      <c r="K328" s="1">
        <v>1</v>
      </c>
      <c r="L328" s="1">
        <v>120</v>
      </c>
      <c r="M328" s="1" t="s">
        <v>7</v>
      </c>
      <c r="N328" s="1" t="s">
        <v>7</v>
      </c>
      <c r="O328" s="1" t="s">
        <v>96</v>
      </c>
      <c r="P328" s="1" t="s">
        <v>96</v>
      </c>
      <c r="Q328" s="1" t="s">
        <v>9</v>
      </c>
      <c r="R328" s="1">
        <v>0</v>
      </c>
      <c r="S328" s="1" t="s">
        <v>97</v>
      </c>
      <c r="T328" s="1" t="s">
        <v>97</v>
      </c>
      <c r="U328" s="1" t="b">
        <v>1</v>
      </c>
      <c r="V328" s="1" t="b">
        <v>0</v>
      </c>
      <c r="W328" s="1" t="b">
        <v>0</v>
      </c>
      <c r="X328" s="1">
        <v>5</v>
      </c>
      <c r="Y328" s="1" t="b">
        <v>1</v>
      </c>
      <c r="Z328" s="1" t="b">
        <v>1</v>
      </c>
      <c r="AA328" s="1">
        <v>51.8</v>
      </c>
      <c r="AB328" s="1" t="b">
        <v>0</v>
      </c>
      <c r="AC328" s="1">
        <v>0</v>
      </c>
      <c r="AD328" s="1">
        <v>3627541</v>
      </c>
      <c r="AE328" s="1">
        <v>139240939</v>
      </c>
      <c r="AF328" s="1" t="s">
        <v>1432</v>
      </c>
      <c r="AG328" s="1" t="s">
        <v>1432</v>
      </c>
      <c r="AH328" s="1">
        <v>54.7</v>
      </c>
      <c r="AI328" s="1">
        <v>49.8</v>
      </c>
      <c r="AJ328" s="1" t="s">
        <v>1433</v>
      </c>
      <c r="AK328" s="1" t="s">
        <v>1434</v>
      </c>
      <c r="AL328" s="1" t="s">
        <v>1435</v>
      </c>
    </row>
    <row r="329" spans="1:38" x14ac:dyDescent="0.6">
      <c r="A329" s="1">
        <v>225</v>
      </c>
      <c r="B329" s="1" t="s">
        <v>103</v>
      </c>
      <c r="C329" s="1">
        <v>78</v>
      </c>
      <c r="D329" s="1" t="s">
        <v>119</v>
      </c>
      <c r="E329" s="1" t="s">
        <v>90</v>
      </c>
      <c r="F329" s="1"/>
      <c r="G329" s="1"/>
      <c r="H329" s="1" t="s">
        <v>91</v>
      </c>
      <c r="I329" s="1" t="s">
        <v>92</v>
      </c>
      <c r="J329" s="1" t="s">
        <v>93</v>
      </c>
      <c r="K329" s="1">
        <v>1</v>
      </c>
      <c r="L329" s="1">
        <v>120</v>
      </c>
      <c r="M329" s="1" t="s">
        <v>94</v>
      </c>
      <c r="N329" s="1" t="s">
        <v>95</v>
      </c>
      <c r="O329" s="1"/>
      <c r="P329" s="1" t="s">
        <v>96</v>
      </c>
      <c r="Q329" s="1" t="s">
        <v>9</v>
      </c>
      <c r="R329" s="1">
        <v>0</v>
      </c>
      <c r="S329" s="1" t="s">
        <v>97</v>
      </c>
      <c r="T329" s="1" t="s">
        <v>97</v>
      </c>
      <c r="U329" s="1" t="b">
        <v>1</v>
      </c>
      <c r="V329" s="1" t="b">
        <v>0</v>
      </c>
      <c r="W329" s="1" t="b">
        <v>0</v>
      </c>
      <c r="X329" s="1">
        <v>0</v>
      </c>
      <c r="Y329" s="1" t="b">
        <v>1</v>
      </c>
      <c r="Z329" s="1" t="b">
        <v>1</v>
      </c>
      <c r="AA329" s="1">
        <v>77.400000000000006</v>
      </c>
      <c r="AB329" s="1" t="b">
        <v>1</v>
      </c>
      <c r="AC329" s="1">
        <v>148273575</v>
      </c>
      <c r="AD329" s="1">
        <v>2197081</v>
      </c>
      <c r="AE329" s="1">
        <v>0</v>
      </c>
      <c r="AF329" s="1" t="s">
        <v>1358</v>
      </c>
      <c r="AG329" s="1" t="s">
        <v>1359</v>
      </c>
      <c r="AH329" s="1">
        <v>62.3</v>
      </c>
      <c r="AI329" s="1">
        <v>69.400000000000006</v>
      </c>
      <c r="AJ329" s="1" t="s">
        <v>1436</v>
      </c>
      <c r="AK329" s="1" t="s">
        <v>1437</v>
      </c>
      <c r="AL329" s="1" t="s">
        <v>1438</v>
      </c>
    </row>
    <row r="330" spans="1:38" x14ac:dyDescent="0.6">
      <c r="A330" s="1">
        <v>239</v>
      </c>
      <c r="B330" s="1" t="s">
        <v>88</v>
      </c>
      <c r="C330" s="1">
        <v>53</v>
      </c>
      <c r="D330" s="1" t="s">
        <v>89</v>
      </c>
      <c r="E330" s="1" t="s">
        <v>90</v>
      </c>
      <c r="F330" s="1"/>
      <c r="G330" s="1"/>
      <c r="H330" s="1" t="s">
        <v>91</v>
      </c>
      <c r="I330" s="1" t="s">
        <v>92</v>
      </c>
      <c r="J330" s="1" t="s">
        <v>93</v>
      </c>
      <c r="K330" s="1">
        <v>1</v>
      </c>
      <c r="L330" s="1">
        <v>120</v>
      </c>
      <c r="M330" s="1" t="s">
        <v>94</v>
      </c>
      <c r="N330" s="1" t="s">
        <v>95</v>
      </c>
      <c r="O330" s="1"/>
      <c r="P330" s="1" t="s">
        <v>96</v>
      </c>
      <c r="Q330" s="1" t="s">
        <v>9</v>
      </c>
      <c r="R330" s="1">
        <v>0</v>
      </c>
      <c r="S330" s="1" t="s">
        <v>97</v>
      </c>
      <c r="T330" s="1" t="s">
        <v>97</v>
      </c>
      <c r="U330" s="1" t="b">
        <v>1</v>
      </c>
      <c r="V330" s="1" t="b">
        <v>0</v>
      </c>
      <c r="W330" s="1" t="b">
        <v>0</v>
      </c>
      <c r="X330" s="1">
        <v>0</v>
      </c>
      <c r="Y330" s="1" t="b">
        <v>1</v>
      </c>
      <c r="Z330" s="1" t="b">
        <v>1</v>
      </c>
      <c r="AA330" s="1">
        <v>80.5</v>
      </c>
      <c r="AB330" s="1" t="b">
        <v>1</v>
      </c>
      <c r="AC330" s="1">
        <v>125751342</v>
      </c>
      <c r="AD330" s="1">
        <v>1126354</v>
      </c>
      <c r="AE330" s="1">
        <v>0</v>
      </c>
      <c r="AF330" s="1" t="s">
        <v>1439</v>
      </c>
      <c r="AG330" s="1" t="s">
        <v>1440</v>
      </c>
      <c r="AH330" s="1">
        <v>80.599999999999994</v>
      </c>
      <c r="AI330" s="1">
        <v>76.900000000000006</v>
      </c>
      <c r="AJ330" s="1" t="s">
        <v>1441</v>
      </c>
      <c r="AK330" s="1" t="s">
        <v>1442</v>
      </c>
      <c r="AL330" s="1" t="s">
        <v>1443</v>
      </c>
    </row>
    <row r="331" spans="1:38" x14ac:dyDescent="0.6">
      <c r="A331" s="1">
        <v>239</v>
      </c>
      <c r="B331" s="1" t="s">
        <v>88</v>
      </c>
      <c r="C331" s="1">
        <v>53</v>
      </c>
      <c r="D331" s="1" t="s">
        <v>89</v>
      </c>
      <c r="E331" s="1" t="s">
        <v>90</v>
      </c>
      <c r="F331" s="1"/>
      <c r="G331" s="1"/>
      <c r="H331" s="1" t="s">
        <v>91</v>
      </c>
      <c r="I331" s="1" t="s">
        <v>92</v>
      </c>
      <c r="J331" s="1" t="s">
        <v>93</v>
      </c>
      <c r="K331" s="1">
        <v>1</v>
      </c>
      <c r="L331" s="1">
        <v>120</v>
      </c>
      <c r="M331" s="1" t="s">
        <v>14</v>
      </c>
      <c r="N331" s="1" t="s">
        <v>95</v>
      </c>
      <c r="O331" s="1" t="s">
        <v>96</v>
      </c>
      <c r="P331" s="1"/>
      <c r="Q331" s="1" t="s">
        <v>9</v>
      </c>
      <c r="R331" s="1">
        <v>0</v>
      </c>
      <c r="S331" s="1" t="s">
        <v>97</v>
      </c>
      <c r="T331" s="1" t="s">
        <v>97</v>
      </c>
      <c r="U331" s="1" t="b">
        <v>1</v>
      </c>
      <c r="V331" s="1" t="b">
        <v>0</v>
      </c>
      <c r="W331" s="1" t="b">
        <v>0</v>
      </c>
      <c r="X331" s="1">
        <v>5</v>
      </c>
      <c r="Y331" s="1" t="b">
        <v>1</v>
      </c>
      <c r="Z331" s="1" t="b">
        <v>1</v>
      </c>
      <c r="AA331" s="1"/>
      <c r="AB331" s="1" t="b">
        <v>1</v>
      </c>
      <c r="AC331" s="1">
        <v>121734981</v>
      </c>
      <c r="AD331" s="1">
        <v>424123</v>
      </c>
      <c r="AE331" s="1">
        <v>0</v>
      </c>
      <c r="AF331" s="1" t="s">
        <v>1439</v>
      </c>
      <c r="AG331" s="1" t="s">
        <v>1440</v>
      </c>
      <c r="AH331" s="1">
        <v>80.599999999999994</v>
      </c>
      <c r="AI331" s="1">
        <v>76.900000000000006</v>
      </c>
      <c r="AJ331" s="1" t="s">
        <v>1444</v>
      </c>
      <c r="AK331" s="1" t="s">
        <v>1445</v>
      </c>
      <c r="AL331" s="1" t="s">
        <v>1446</v>
      </c>
    </row>
    <row r="332" spans="1:38" x14ac:dyDescent="0.6">
      <c r="A332" s="1">
        <v>238</v>
      </c>
      <c r="B332" s="1" t="s">
        <v>103</v>
      </c>
      <c r="C332" s="1">
        <v>57</v>
      </c>
      <c r="D332" s="1" t="s">
        <v>89</v>
      </c>
      <c r="E332" s="1" t="s">
        <v>108</v>
      </c>
      <c r="F332" s="1"/>
      <c r="G332" s="1"/>
      <c r="H332" s="1" t="s">
        <v>91</v>
      </c>
      <c r="I332" s="1" t="s">
        <v>92</v>
      </c>
      <c r="J332" s="1" t="s">
        <v>93</v>
      </c>
      <c r="K332" s="1">
        <v>1</v>
      </c>
      <c r="L332" s="1">
        <v>120</v>
      </c>
      <c r="M332" s="1" t="s">
        <v>94</v>
      </c>
      <c r="N332" s="1" t="s">
        <v>95</v>
      </c>
      <c r="O332" s="1"/>
      <c r="P332" s="1" t="s">
        <v>96</v>
      </c>
      <c r="Q332" s="1" t="s">
        <v>9</v>
      </c>
      <c r="R332" s="1">
        <v>0</v>
      </c>
      <c r="S332" s="1" t="s">
        <v>97</v>
      </c>
      <c r="T332" s="1" t="s">
        <v>97</v>
      </c>
      <c r="U332" s="1" t="b">
        <v>1</v>
      </c>
      <c r="V332" s="1" t="b">
        <v>0</v>
      </c>
      <c r="W332" s="1" t="b">
        <v>0</v>
      </c>
      <c r="X332" s="1">
        <v>0</v>
      </c>
      <c r="Y332" s="1" t="b">
        <v>1</v>
      </c>
      <c r="Z332" s="1" t="b">
        <v>1</v>
      </c>
      <c r="AA332" s="1">
        <v>85.7</v>
      </c>
      <c r="AB332" s="1" t="b">
        <v>1</v>
      </c>
      <c r="AC332" s="1">
        <v>141717941</v>
      </c>
      <c r="AD332" s="1">
        <v>1412683</v>
      </c>
      <c r="AE332" s="1">
        <v>0</v>
      </c>
      <c r="AF332" s="1" t="s">
        <v>1427</v>
      </c>
      <c r="AG332" s="1" t="s">
        <v>1428</v>
      </c>
      <c r="AH332" s="1">
        <v>81.400000000000006</v>
      </c>
      <c r="AI332" s="1">
        <v>83.4</v>
      </c>
      <c r="AJ332" s="1" t="s">
        <v>1447</v>
      </c>
      <c r="AK332" s="1" t="s">
        <v>1448</v>
      </c>
      <c r="AL332" s="1" t="s">
        <v>1449</v>
      </c>
    </row>
    <row r="333" spans="1:38" x14ac:dyDescent="0.6">
      <c r="A333" s="1">
        <v>226</v>
      </c>
      <c r="B333" s="1" t="s">
        <v>88</v>
      </c>
      <c r="C333" s="1">
        <v>55</v>
      </c>
      <c r="D333" s="1" t="s">
        <v>89</v>
      </c>
      <c r="E333" s="1" t="s">
        <v>90</v>
      </c>
      <c r="F333" s="1"/>
      <c r="G333" s="1"/>
      <c r="H333" s="1" t="s">
        <v>91</v>
      </c>
      <c r="I333" s="1" t="s">
        <v>92</v>
      </c>
      <c r="J333" s="1" t="s">
        <v>93</v>
      </c>
      <c r="K333" s="1">
        <v>1</v>
      </c>
      <c r="L333" s="1">
        <v>120</v>
      </c>
      <c r="M333" s="1" t="s">
        <v>14</v>
      </c>
      <c r="N333" s="1" t="s">
        <v>95</v>
      </c>
      <c r="O333" s="1" t="s">
        <v>96</v>
      </c>
      <c r="P333" s="1"/>
      <c r="Q333" s="1" t="s">
        <v>9</v>
      </c>
      <c r="R333" s="1">
        <v>0</v>
      </c>
      <c r="S333" s="1" t="s">
        <v>97</v>
      </c>
      <c r="T333" s="1" t="s">
        <v>97</v>
      </c>
      <c r="U333" s="1" t="b">
        <v>1</v>
      </c>
      <c r="V333" s="1" t="b">
        <v>0</v>
      </c>
      <c r="W333" s="1" t="b">
        <v>0</v>
      </c>
      <c r="X333" s="1">
        <v>5</v>
      </c>
      <c r="Y333" s="1" t="b">
        <v>1</v>
      </c>
      <c r="Z333" s="1" t="b">
        <v>1</v>
      </c>
      <c r="AA333" s="1"/>
      <c r="AB333" s="1" t="b">
        <v>1</v>
      </c>
      <c r="AC333" s="1">
        <v>141529311</v>
      </c>
      <c r="AD333" s="1">
        <v>552737</v>
      </c>
      <c r="AE333" s="1">
        <v>0</v>
      </c>
      <c r="AF333" s="1" t="s">
        <v>1376</v>
      </c>
      <c r="AG333" s="1" t="s">
        <v>1377</v>
      </c>
      <c r="AH333" s="1">
        <v>71.2</v>
      </c>
      <c r="AI333" s="1">
        <v>66.599999999999994</v>
      </c>
      <c r="AJ333" s="1" t="s">
        <v>1450</v>
      </c>
      <c r="AK333" s="1" t="s">
        <v>1451</v>
      </c>
      <c r="AL333" s="1" t="s">
        <v>1452</v>
      </c>
    </row>
    <row r="334" spans="1:38" x14ac:dyDescent="0.6">
      <c r="A334" s="1">
        <v>240</v>
      </c>
      <c r="B334" s="1" t="s">
        <v>88</v>
      </c>
      <c r="C334" s="1">
        <v>51</v>
      </c>
      <c r="D334" s="1" t="s">
        <v>89</v>
      </c>
      <c r="E334" s="1" t="s">
        <v>90</v>
      </c>
      <c r="F334" s="1"/>
      <c r="G334" s="1"/>
      <c r="H334" s="1" t="s">
        <v>91</v>
      </c>
      <c r="I334" s="1" t="s">
        <v>92</v>
      </c>
      <c r="J334" s="1" t="s">
        <v>93</v>
      </c>
      <c r="K334" s="1">
        <v>1</v>
      </c>
      <c r="L334" s="1">
        <v>120</v>
      </c>
      <c r="M334" s="1" t="s">
        <v>7</v>
      </c>
      <c r="N334" s="1" t="s">
        <v>7</v>
      </c>
      <c r="O334" s="1" t="s">
        <v>96</v>
      </c>
      <c r="P334" s="1" t="s">
        <v>96</v>
      </c>
      <c r="Q334" s="1" t="s">
        <v>9</v>
      </c>
      <c r="R334" s="1">
        <v>0</v>
      </c>
      <c r="S334" s="1" t="s">
        <v>97</v>
      </c>
      <c r="T334" s="1" t="s">
        <v>97</v>
      </c>
      <c r="U334" s="1" t="b">
        <v>1</v>
      </c>
      <c r="V334" s="1" t="b">
        <v>0</v>
      </c>
      <c r="W334" s="1" t="b">
        <v>0</v>
      </c>
      <c r="X334" s="1">
        <v>5</v>
      </c>
      <c r="Y334" s="1" t="b">
        <v>1</v>
      </c>
      <c r="Z334" s="1" t="b">
        <v>1</v>
      </c>
      <c r="AA334" s="1">
        <v>82.7</v>
      </c>
      <c r="AB334" s="1" t="b">
        <v>0</v>
      </c>
      <c r="AC334" s="1">
        <v>0</v>
      </c>
      <c r="AD334" s="1">
        <v>2151988</v>
      </c>
      <c r="AE334" s="1">
        <v>102967756</v>
      </c>
      <c r="AF334" s="1" t="s">
        <v>1453</v>
      </c>
      <c r="AG334" s="1" t="s">
        <v>1453</v>
      </c>
      <c r="AH334" s="1">
        <v>85.8</v>
      </c>
      <c r="AI334" s="1">
        <v>81.2</v>
      </c>
      <c r="AJ334" s="1" t="s">
        <v>1454</v>
      </c>
      <c r="AK334" s="1" t="s">
        <v>1455</v>
      </c>
      <c r="AL334" s="1" t="s">
        <v>1456</v>
      </c>
    </row>
    <row r="335" spans="1:38" x14ac:dyDescent="0.6">
      <c r="A335" s="1">
        <v>241</v>
      </c>
      <c r="B335" s="1" t="s">
        <v>103</v>
      </c>
      <c r="C335" s="1">
        <v>51</v>
      </c>
      <c r="D335" s="1" t="s">
        <v>89</v>
      </c>
      <c r="E335" s="1" t="s">
        <v>108</v>
      </c>
      <c r="F335" s="1"/>
      <c r="G335" s="1"/>
      <c r="H335" s="1" t="s">
        <v>220</v>
      </c>
      <c r="I335" s="1" t="s">
        <v>221</v>
      </c>
      <c r="J335" s="1" t="s">
        <v>222</v>
      </c>
      <c r="K335" s="1">
        <v>1.25</v>
      </c>
      <c r="L335" s="1">
        <v>120</v>
      </c>
      <c r="M335" s="1" t="s">
        <v>14</v>
      </c>
      <c r="N335" s="1" t="s">
        <v>95</v>
      </c>
      <c r="O335" s="1" t="s">
        <v>96</v>
      </c>
      <c r="P335" s="1"/>
      <c r="Q335" s="1" t="s">
        <v>9</v>
      </c>
      <c r="R335" s="1">
        <v>0</v>
      </c>
      <c r="S335" s="1" t="s">
        <v>97</v>
      </c>
      <c r="T335" s="1" t="s">
        <v>97</v>
      </c>
      <c r="U335" s="1" t="b">
        <v>1</v>
      </c>
      <c r="V335" s="1" t="b">
        <v>0</v>
      </c>
      <c r="W335" s="1" t="b">
        <v>0</v>
      </c>
      <c r="X335" s="1">
        <v>5</v>
      </c>
      <c r="Y335" s="1" t="b">
        <v>1</v>
      </c>
      <c r="Z335" s="1" t="b">
        <v>1</v>
      </c>
      <c r="AA335" s="1"/>
      <c r="AB335" s="1" t="b">
        <v>1</v>
      </c>
      <c r="AC335" s="1">
        <v>117603098</v>
      </c>
      <c r="AD335" s="1">
        <v>361702</v>
      </c>
      <c r="AE335" s="1">
        <v>0</v>
      </c>
      <c r="AF335" s="1" t="s">
        <v>1457</v>
      </c>
      <c r="AG335" s="1" t="s">
        <v>1458</v>
      </c>
      <c r="AH335" s="1">
        <v>66.099999999999994</v>
      </c>
      <c r="AI335" s="1">
        <v>64.5</v>
      </c>
      <c r="AJ335" s="1" t="s">
        <v>1459</v>
      </c>
      <c r="AK335" s="1" t="s">
        <v>1460</v>
      </c>
      <c r="AL335" s="1" t="s">
        <v>1461</v>
      </c>
    </row>
    <row r="336" spans="1:38" x14ac:dyDescent="0.6">
      <c r="A336" s="1">
        <v>241</v>
      </c>
      <c r="B336" s="1" t="s">
        <v>103</v>
      </c>
      <c r="C336" s="1">
        <v>51</v>
      </c>
      <c r="D336" s="1" t="s">
        <v>89</v>
      </c>
      <c r="E336" s="1" t="s">
        <v>108</v>
      </c>
      <c r="F336" s="1"/>
      <c r="G336" s="1"/>
      <c r="H336" s="1" t="s">
        <v>220</v>
      </c>
      <c r="I336" s="1" t="s">
        <v>221</v>
      </c>
      <c r="J336" s="1" t="s">
        <v>222</v>
      </c>
      <c r="K336" s="1">
        <v>1.25</v>
      </c>
      <c r="L336" s="1">
        <v>120</v>
      </c>
      <c r="M336" s="1" t="s">
        <v>94</v>
      </c>
      <c r="N336" s="1" t="s">
        <v>95</v>
      </c>
      <c r="O336" s="1"/>
      <c r="P336" s="1" t="s">
        <v>96</v>
      </c>
      <c r="Q336" s="1" t="s">
        <v>9</v>
      </c>
      <c r="R336" s="1">
        <v>0</v>
      </c>
      <c r="S336" s="1" t="s">
        <v>97</v>
      </c>
      <c r="T336" s="1" t="s">
        <v>97</v>
      </c>
      <c r="U336" s="1" t="b">
        <v>1</v>
      </c>
      <c r="V336" s="1" t="b">
        <v>0</v>
      </c>
      <c r="W336" s="1" t="b">
        <v>0</v>
      </c>
      <c r="X336" s="1">
        <v>0</v>
      </c>
      <c r="Y336" s="1" t="b">
        <v>1</v>
      </c>
      <c r="Z336" s="1" t="b">
        <v>1</v>
      </c>
      <c r="AA336" s="1">
        <v>67.5</v>
      </c>
      <c r="AB336" s="1" t="b">
        <v>1</v>
      </c>
      <c r="AC336" s="1">
        <v>139370847</v>
      </c>
      <c r="AD336" s="1">
        <v>1138337</v>
      </c>
      <c r="AE336" s="1">
        <v>0</v>
      </c>
      <c r="AF336" s="1" t="s">
        <v>1457</v>
      </c>
      <c r="AG336" s="1" t="s">
        <v>1458</v>
      </c>
      <c r="AH336" s="1">
        <v>66.099999999999994</v>
      </c>
      <c r="AI336" s="1">
        <v>64.5</v>
      </c>
      <c r="AJ336" s="1" t="s">
        <v>1462</v>
      </c>
      <c r="AK336" s="1" t="s">
        <v>1463</v>
      </c>
      <c r="AL336" s="1" t="s">
        <v>1464</v>
      </c>
    </row>
    <row r="337" spans="1:38" x14ac:dyDescent="0.6">
      <c r="A337" s="1">
        <v>243</v>
      </c>
      <c r="B337" s="1" t="s">
        <v>103</v>
      </c>
      <c r="C337" s="1">
        <v>89</v>
      </c>
      <c r="D337" s="1" t="s">
        <v>153</v>
      </c>
      <c r="E337" s="1" t="s">
        <v>154</v>
      </c>
      <c r="F337" s="1"/>
      <c r="G337" s="1"/>
      <c r="H337" s="1" t="s">
        <v>91</v>
      </c>
      <c r="I337" s="1" t="s">
        <v>92</v>
      </c>
      <c r="J337" s="1" t="s">
        <v>109</v>
      </c>
      <c r="K337" s="1">
        <v>1</v>
      </c>
      <c r="L337" s="1">
        <v>120</v>
      </c>
      <c r="M337" s="1" t="s">
        <v>14</v>
      </c>
      <c r="N337" s="1" t="s">
        <v>95</v>
      </c>
      <c r="O337" s="1" t="s">
        <v>96</v>
      </c>
      <c r="P337" s="1"/>
      <c r="Q337" s="1" t="s">
        <v>9</v>
      </c>
      <c r="R337" s="1">
        <v>0</v>
      </c>
      <c r="S337" s="1" t="s">
        <v>97</v>
      </c>
      <c r="T337" s="1" t="s">
        <v>97</v>
      </c>
      <c r="U337" s="1" t="b">
        <v>1</v>
      </c>
      <c r="V337" s="1" t="b">
        <v>0</v>
      </c>
      <c r="W337" s="1" t="b">
        <v>0</v>
      </c>
      <c r="X337" s="1">
        <v>5</v>
      </c>
      <c r="Y337" s="1" t="b">
        <v>1</v>
      </c>
      <c r="Z337" s="1" t="b">
        <v>1</v>
      </c>
      <c r="AA337" s="1"/>
      <c r="AB337" s="1" t="b">
        <v>1</v>
      </c>
      <c r="AC337" s="1">
        <v>126480993</v>
      </c>
      <c r="AD337" s="1">
        <v>658847</v>
      </c>
      <c r="AE337" s="1">
        <v>0</v>
      </c>
      <c r="AF337" s="1" t="s">
        <v>1465</v>
      </c>
      <c r="AG337" s="1" t="s">
        <v>1466</v>
      </c>
      <c r="AH337" s="1">
        <v>60.8</v>
      </c>
      <c r="AI337" s="1">
        <v>62.5</v>
      </c>
      <c r="AJ337" s="1" t="s">
        <v>1467</v>
      </c>
      <c r="AK337" s="1" t="s">
        <v>1468</v>
      </c>
      <c r="AL337" s="1" t="s">
        <v>1469</v>
      </c>
    </row>
    <row r="338" spans="1:38" x14ac:dyDescent="0.6">
      <c r="A338" s="1">
        <v>243</v>
      </c>
      <c r="B338" s="1" t="s">
        <v>103</v>
      </c>
      <c r="C338" s="1">
        <v>89</v>
      </c>
      <c r="D338" s="1" t="s">
        <v>153</v>
      </c>
      <c r="E338" s="1" t="s">
        <v>154</v>
      </c>
      <c r="F338" s="1"/>
      <c r="G338" s="1"/>
      <c r="H338" s="1" t="s">
        <v>91</v>
      </c>
      <c r="I338" s="1" t="s">
        <v>92</v>
      </c>
      <c r="J338" s="1" t="s">
        <v>109</v>
      </c>
      <c r="K338" s="1">
        <v>1</v>
      </c>
      <c r="L338" s="1">
        <v>120</v>
      </c>
      <c r="M338" s="1" t="s">
        <v>94</v>
      </c>
      <c r="N338" s="1" t="s">
        <v>95</v>
      </c>
      <c r="O338" s="1"/>
      <c r="P338" s="1" t="s">
        <v>96</v>
      </c>
      <c r="Q338" s="1" t="s">
        <v>9</v>
      </c>
      <c r="R338" s="1">
        <v>0</v>
      </c>
      <c r="S338" s="1" t="s">
        <v>97</v>
      </c>
      <c r="T338" s="1" t="s">
        <v>97</v>
      </c>
      <c r="U338" s="1" t="b">
        <v>1</v>
      </c>
      <c r="V338" s="1" t="b">
        <v>0</v>
      </c>
      <c r="W338" s="1" t="b">
        <v>0</v>
      </c>
      <c r="X338" s="1">
        <v>0</v>
      </c>
      <c r="Y338" s="1" t="b">
        <v>1</v>
      </c>
      <c r="Z338" s="1" t="b">
        <v>1</v>
      </c>
      <c r="AA338" s="1">
        <v>63.8</v>
      </c>
      <c r="AB338" s="1" t="b">
        <v>1</v>
      </c>
      <c r="AC338" s="1">
        <v>134576757</v>
      </c>
      <c r="AD338" s="1">
        <v>1738123</v>
      </c>
      <c r="AE338" s="1">
        <v>0</v>
      </c>
      <c r="AF338" s="1" t="s">
        <v>1465</v>
      </c>
      <c r="AG338" s="1" t="s">
        <v>1466</v>
      </c>
      <c r="AH338" s="1">
        <v>60.8</v>
      </c>
      <c r="AI338" s="1">
        <v>62.5</v>
      </c>
      <c r="AJ338" s="1" t="s">
        <v>1470</v>
      </c>
      <c r="AK338" s="1" t="s">
        <v>1471</v>
      </c>
      <c r="AL338" s="1" t="s">
        <v>1472</v>
      </c>
    </row>
    <row r="339" spans="1:38" x14ac:dyDescent="0.6">
      <c r="A339" s="1">
        <v>237</v>
      </c>
      <c r="B339" s="1" t="s">
        <v>88</v>
      </c>
      <c r="C339" s="1">
        <v>50</v>
      </c>
      <c r="D339" s="1" t="s">
        <v>89</v>
      </c>
      <c r="E339" s="1" t="s">
        <v>90</v>
      </c>
      <c r="F339" s="1"/>
      <c r="G339" s="1"/>
      <c r="H339" s="1" t="s">
        <v>91</v>
      </c>
      <c r="I339" s="1" t="s">
        <v>92</v>
      </c>
      <c r="J339" s="1" t="s">
        <v>93</v>
      </c>
      <c r="K339" s="1">
        <v>1</v>
      </c>
      <c r="L339" s="1">
        <v>120</v>
      </c>
      <c r="M339" s="1" t="s">
        <v>14</v>
      </c>
      <c r="N339" s="1" t="s">
        <v>95</v>
      </c>
      <c r="O339" s="1" t="s">
        <v>96</v>
      </c>
      <c r="P339" s="1"/>
      <c r="Q339" s="1" t="s">
        <v>9</v>
      </c>
      <c r="R339" s="1">
        <v>0</v>
      </c>
      <c r="S339" s="1" t="s">
        <v>97</v>
      </c>
      <c r="T339" s="1" t="s">
        <v>97</v>
      </c>
      <c r="U339" s="1" t="b">
        <v>1</v>
      </c>
      <c r="V339" s="1" t="b">
        <v>0</v>
      </c>
      <c r="W339" s="1" t="b">
        <v>0</v>
      </c>
      <c r="X339" s="1">
        <v>5</v>
      </c>
      <c r="Y339" s="1" t="b">
        <v>1</v>
      </c>
      <c r="Z339" s="1" t="b">
        <v>1</v>
      </c>
      <c r="AA339" s="1"/>
      <c r="AB339" s="1" t="b">
        <v>1</v>
      </c>
      <c r="AC339" s="1">
        <v>121448780</v>
      </c>
      <c r="AD339" s="1">
        <v>972468</v>
      </c>
      <c r="AE339" s="1">
        <v>0</v>
      </c>
      <c r="AF339" s="1" t="s">
        <v>1404</v>
      </c>
      <c r="AG339" s="1" t="s">
        <v>1405</v>
      </c>
      <c r="AH339" s="1">
        <v>61.9</v>
      </c>
      <c r="AI339" s="1">
        <v>58.3</v>
      </c>
      <c r="AJ339" s="1" t="s">
        <v>1473</v>
      </c>
      <c r="AK339" s="1" t="s">
        <v>1474</v>
      </c>
      <c r="AL339" s="1" t="s">
        <v>1475</v>
      </c>
    </row>
    <row r="340" spans="1:38" x14ac:dyDescent="0.6">
      <c r="A340" s="1">
        <v>228</v>
      </c>
      <c r="B340" s="1" t="s">
        <v>88</v>
      </c>
      <c r="C340" s="1">
        <v>89</v>
      </c>
      <c r="D340" s="1" t="s">
        <v>153</v>
      </c>
      <c r="E340" s="1"/>
      <c r="F340" s="1"/>
      <c r="G340" s="1"/>
      <c r="H340" s="1" t="s">
        <v>91</v>
      </c>
      <c r="I340" s="1" t="s">
        <v>92</v>
      </c>
      <c r="J340" s="1" t="s">
        <v>93</v>
      </c>
      <c r="K340" s="1">
        <v>1</v>
      </c>
      <c r="L340" s="1">
        <v>120</v>
      </c>
      <c r="M340" s="1" t="s">
        <v>7</v>
      </c>
      <c r="N340" s="1" t="s">
        <v>7</v>
      </c>
      <c r="O340" s="1" t="s">
        <v>96</v>
      </c>
      <c r="P340" s="1" t="s">
        <v>96</v>
      </c>
      <c r="Q340" s="1" t="s">
        <v>9</v>
      </c>
      <c r="R340" s="1">
        <v>0</v>
      </c>
      <c r="S340" s="1" t="s">
        <v>97</v>
      </c>
      <c r="T340" s="1" t="s">
        <v>97</v>
      </c>
      <c r="U340" s="1" t="b">
        <v>1</v>
      </c>
      <c r="V340" s="1" t="b">
        <v>0</v>
      </c>
      <c r="W340" s="1" t="b">
        <v>0</v>
      </c>
      <c r="X340" s="1">
        <v>5</v>
      </c>
      <c r="Y340" s="1" t="b">
        <v>1</v>
      </c>
      <c r="Z340" s="1" t="b">
        <v>1</v>
      </c>
      <c r="AA340" s="1">
        <v>67</v>
      </c>
      <c r="AB340" s="1" t="b">
        <v>0</v>
      </c>
      <c r="AC340" s="1">
        <v>0</v>
      </c>
      <c r="AD340" s="1">
        <v>3174705</v>
      </c>
      <c r="AE340" s="1">
        <v>141266639</v>
      </c>
      <c r="AF340" s="1" t="s">
        <v>1476</v>
      </c>
      <c r="AG340" s="1" t="s">
        <v>1476</v>
      </c>
      <c r="AH340" s="1">
        <v>63.5</v>
      </c>
      <c r="AI340" s="1">
        <v>63.1</v>
      </c>
      <c r="AJ340" s="1" t="s">
        <v>1477</v>
      </c>
      <c r="AK340" s="1" t="s">
        <v>1478</v>
      </c>
      <c r="AL340" s="1" t="s">
        <v>1479</v>
      </c>
    </row>
    <row r="341" spans="1:38" x14ac:dyDescent="0.6">
      <c r="A341" s="1">
        <v>244</v>
      </c>
      <c r="B341" s="1" t="s">
        <v>88</v>
      </c>
      <c r="C341" s="1">
        <v>62</v>
      </c>
      <c r="D341" s="1" t="s">
        <v>127</v>
      </c>
      <c r="E341" s="1" t="s">
        <v>108</v>
      </c>
      <c r="F341" s="1"/>
      <c r="G341" s="1"/>
      <c r="H341" s="1" t="s">
        <v>91</v>
      </c>
      <c r="I341" s="1" t="s">
        <v>92</v>
      </c>
      <c r="J341" s="1" t="s">
        <v>93</v>
      </c>
      <c r="K341" s="1">
        <v>1</v>
      </c>
      <c r="L341" s="1">
        <v>120</v>
      </c>
      <c r="M341" s="1" t="s">
        <v>94</v>
      </c>
      <c r="N341" s="1" t="s">
        <v>236</v>
      </c>
      <c r="O341" s="1"/>
      <c r="P341" s="1" t="s">
        <v>96</v>
      </c>
      <c r="Q341" s="1" t="s">
        <v>9</v>
      </c>
      <c r="R341" s="1">
        <v>0</v>
      </c>
      <c r="S341" s="1" t="s">
        <v>97</v>
      </c>
      <c r="T341" s="1"/>
      <c r="U341" s="1"/>
      <c r="V341" s="1" t="b">
        <v>0</v>
      </c>
      <c r="W341" s="1" t="b">
        <v>0</v>
      </c>
      <c r="X341" s="1">
        <v>0</v>
      </c>
      <c r="Y341" s="1" t="b">
        <v>1</v>
      </c>
      <c r="Z341" s="1" t="b">
        <v>1</v>
      </c>
      <c r="AA341" s="1">
        <v>61.8</v>
      </c>
      <c r="AB341" s="1" t="b">
        <v>1</v>
      </c>
      <c r="AC341" s="1">
        <v>172009553</v>
      </c>
      <c r="AD341" s="1">
        <v>2054063</v>
      </c>
      <c r="AE341" s="1">
        <v>0</v>
      </c>
      <c r="AF341" s="1"/>
      <c r="AG341" s="1" t="s">
        <v>1480</v>
      </c>
      <c r="AH341" s="1"/>
      <c r="AI341" s="1">
        <v>57.9</v>
      </c>
      <c r="AJ341" s="1" t="s">
        <v>1481</v>
      </c>
      <c r="AK341" s="1" t="s">
        <v>1482</v>
      </c>
      <c r="AL341" s="1" t="s">
        <v>1483</v>
      </c>
    </row>
    <row r="342" spans="1:38" x14ac:dyDescent="0.6">
      <c r="A342" s="1">
        <v>231</v>
      </c>
      <c r="B342" s="1" t="s">
        <v>103</v>
      </c>
      <c r="C342" s="1">
        <v>89</v>
      </c>
      <c r="D342" s="1" t="s">
        <v>153</v>
      </c>
      <c r="E342" s="1"/>
      <c r="F342" s="1"/>
      <c r="G342" s="1"/>
      <c r="H342" s="1" t="s">
        <v>91</v>
      </c>
      <c r="I342" s="1" t="s">
        <v>92</v>
      </c>
      <c r="J342" s="1" t="s">
        <v>93</v>
      </c>
      <c r="K342" s="1">
        <v>1</v>
      </c>
      <c r="L342" s="1">
        <v>120</v>
      </c>
      <c r="M342" s="1" t="s">
        <v>14</v>
      </c>
      <c r="N342" s="1" t="s">
        <v>14</v>
      </c>
      <c r="O342" s="1" t="s">
        <v>96</v>
      </c>
      <c r="P342" s="1"/>
      <c r="Q342" s="1" t="s">
        <v>9</v>
      </c>
      <c r="R342" s="1">
        <v>0</v>
      </c>
      <c r="S342" s="1"/>
      <c r="T342" s="1" t="s">
        <v>97</v>
      </c>
      <c r="U342" s="1"/>
      <c r="V342" s="1" t="b">
        <v>0</v>
      </c>
      <c r="W342" s="1" t="b">
        <v>0</v>
      </c>
      <c r="X342" s="1">
        <v>5</v>
      </c>
      <c r="Y342" s="1" t="b">
        <v>1</v>
      </c>
      <c r="Z342" s="1" t="b">
        <v>1</v>
      </c>
      <c r="AA342" s="1"/>
      <c r="AB342" s="1" t="b">
        <v>1</v>
      </c>
      <c r="AC342" s="1">
        <v>151898765</v>
      </c>
      <c r="AD342" s="1">
        <v>669043</v>
      </c>
      <c r="AE342" s="1">
        <v>0</v>
      </c>
      <c r="AF342" s="1" t="s">
        <v>1484</v>
      </c>
      <c r="AG342" s="1"/>
      <c r="AH342" s="1">
        <v>67.900000000000006</v>
      </c>
      <c r="AI342" s="1"/>
      <c r="AJ342" s="1" t="s">
        <v>1485</v>
      </c>
      <c r="AK342" s="1" t="s">
        <v>1486</v>
      </c>
      <c r="AL342" s="1" t="s">
        <v>1487</v>
      </c>
    </row>
    <row r="343" spans="1:38" x14ac:dyDescent="0.6">
      <c r="A343" s="1">
        <v>247</v>
      </c>
      <c r="B343" s="1" t="s">
        <v>103</v>
      </c>
      <c r="C343" s="1">
        <v>56</v>
      </c>
      <c r="D343" s="1" t="s">
        <v>89</v>
      </c>
      <c r="E343" s="1" t="s">
        <v>90</v>
      </c>
      <c r="F343" s="1"/>
      <c r="G343" s="1"/>
      <c r="H343" s="1" t="s">
        <v>220</v>
      </c>
      <c r="I343" s="1" t="s">
        <v>221</v>
      </c>
      <c r="J343" s="1" t="s">
        <v>222</v>
      </c>
      <c r="K343" s="1">
        <v>1.25</v>
      </c>
      <c r="L343" s="1">
        <v>120</v>
      </c>
      <c r="M343" s="1" t="s">
        <v>14</v>
      </c>
      <c r="N343" s="1" t="s">
        <v>95</v>
      </c>
      <c r="O343" s="1" t="s">
        <v>96</v>
      </c>
      <c r="P343" s="1"/>
      <c r="Q343" s="1" t="s">
        <v>9</v>
      </c>
      <c r="R343" s="1">
        <v>0</v>
      </c>
      <c r="S343" s="1" t="s">
        <v>97</v>
      </c>
      <c r="T343" s="1" t="s">
        <v>97</v>
      </c>
      <c r="U343" s="1" t="b">
        <v>1</v>
      </c>
      <c r="V343" s="1" t="b">
        <v>0</v>
      </c>
      <c r="W343" s="1" t="b">
        <v>0</v>
      </c>
      <c r="X343" s="1">
        <v>5</v>
      </c>
      <c r="Y343" s="1" t="b">
        <v>1</v>
      </c>
      <c r="Z343" s="1" t="b">
        <v>1</v>
      </c>
      <c r="AA343" s="1"/>
      <c r="AB343" s="1" t="b">
        <v>1</v>
      </c>
      <c r="AC343" s="1">
        <v>129803312</v>
      </c>
      <c r="AD343" s="1">
        <v>744400</v>
      </c>
      <c r="AE343" s="1">
        <v>0</v>
      </c>
      <c r="AF343" s="1" t="s">
        <v>1488</v>
      </c>
      <c r="AG343" s="1" t="s">
        <v>1489</v>
      </c>
      <c r="AH343" s="1">
        <v>76.400000000000006</v>
      </c>
      <c r="AI343" s="1">
        <v>64.7</v>
      </c>
      <c r="AJ343" s="1" t="s">
        <v>1490</v>
      </c>
      <c r="AK343" s="1" t="s">
        <v>1491</v>
      </c>
      <c r="AL343" s="1" t="s">
        <v>1492</v>
      </c>
    </row>
    <row r="344" spans="1:38" x14ac:dyDescent="0.6">
      <c r="A344" s="1">
        <v>229</v>
      </c>
      <c r="B344" s="1" t="s">
        <v>103</v>
      </c>
      <c r="C344" s="1">
        <v>89</v>
      </c>
      <c r="D344" s="1" t="s">
        <v>153</v>
      </c>
      <c r="E344" s="1"/>
      <c r="F344" s="1"/>
      <c r="G344" s="1"/>
      <c r="H344" s="1" t="s">
        <v>91</v>
      </c>
      <c r="I344" s="1" t="s">
        <v>92</v>
      </c>
      <c r="J344" s="1" t="s">
        <v>93</v>
      </c>
      <c r="K344" s="1">
        <v>1</v>
      </c>
      <c r="L344" s="1">
        <v>120</v>
      </c>
      <c r="M344" s="1" t="s">
        <v>7</v>
      </c>
      <c r="N344" s="1" t="s">
        <v>7</v>
      </c>
      <c r="O344" s="1" t="s">
        <v>96</v>
      </c>
      <c r="P344" s="1" t="s">
        <v>96</v>
      </c>
      <c r="Q344" s="1" t="s">
        <v>9</v>
      </c>
      <c r="R344" s="1">
        <v>0</v>
      </c>
      <c r="S344" s="1" t="s">
        <v>97</v>
      </c>
      <c r="T344" s="1" t="s">
        <v>97</v>
      </c>
      <c r="U344" s="1" t="b">
        <v>1</v>
      </c>
      <c r="V344" s="1" t="b">
        <v>0</v>
      </c>
      <c r="W344" s="1" t="b">
        <v>0</v>
      </c>
      <c r="X344" s="1">
        <v>5</v>
      </c>
      <c r="Y344" s="1" t="b">
        <v>1</v>
      </c>
      <c r="Z344" s="1" t="b">
        <v>1</v>
      </c>
      <c r="AA344" s="1">
        <v>63.8</v>
      </c>
      <c r="AB344" s="1" t="b">
        <v>0</v>
      </c>
      <c r="AC344" s="1">
        <v>0</v>
      </c>
      <c r="AD344" s="1">
        <v>2974309</v>
      </c>
      <c r="AE344" s="1">
        <v>138583451</v>
      </c>
      <c r="AF344" s="1" t="s">
        <v>1493</v>
      </c>
      <c r="AG344" s="1" t="s">
        <v>1493</v>
      </c>
      <c r="AH344" s="1">
        <v>58.6</v>
      </c>
      <c r="AI344" s="1">
        <v>60.8</v>
      </c>
      <c r="AJ344" s="1" t="s">
        <v>1494</v>
      </c>
      <c r="AK344" s="1" t="s">
        <v>1495</v>
      </c>
      <c r="AL344" s="1" t="s">
        <v>1496</v>
      </c>
    </row>
    <row r="345" spans="1:38" x14ac:dyDescent="0.6">
      <c r="A345" s="1">
        <v>245</v>
      </c>
      <c r="B345" s="1" t="s">
        <v>103</v>
      </c>
      <c r="C345" s="1">
        <v>89</v>
      </c>
      <c r="D345" s="1" t="s">
        <v>153</v>
      </c>
      <c r="E345" s="1"/>
      <c r="F345" s="1"/>
      <c r="G345" s="1"/>
      <c r="H345" s="1" t="s">
        <v>91</v>
      </c>
      <c r="I345" s="1" t="s">
        <v>92</v>
      </c>
      <c r="J345" s="1" t="s">
        <v>93</v>
      </c>
      <c r="K345" s="1">
        <v>1</v>
      </c>
      <c r="L345" s="1">
        <v>120</v>
      </c>
      <c r="M345" s="1" t="s">
        <v>7</v>
      </c>
      <c r="N345" s="1" t="s">
        <v>7</v>
      </c>
      <c r="O345" s="1" t="s">
        <v>96</v>
      </c>
      <c r="P345" s="1" t="s">
        <v>96</v>
      </c>
      <c r="Q345" s="1" t="s">
        <v>9</v>
      </c>
      <c r="R345" s="1">
        <v>0</v>
      </c>
      <c r="S345" s="1" t="s">
        <v>97</v>
      </c>
      <c r="T345" s="1" t="s">
        <v>97</v>
      </c>
      <c r="U345" s="1" t="b">
        <v>1</v>
      </c>
      <c r="V345" s="1" t="b">
        <v>0</v>
      </c>
      <c r="W345" s="1" t="b">
        <v>0</v>
      </c>
      <c r="X345" s="1">
        <v>5</v>
      </c>
      <c r="Y345" s="1" t="b">
        <v>1</v>
      </c>
      <c r="Z345" s="1" t="b">
        <v>1</v>
      </c>
      <c r="AA345" s="1">
        <v>66</v>
      </c>
      <c r="AB345" s="1" t="b">
        <v>0</v>
      </c>
      <c r="AC345" s="1">
        <v>0</v>
      </c>
      <c r="AD345" s="1">
        <v>2467459</v>
      </c>
      <c r="AE345" s="1">
        <v>135682429</v>
      </c>
      <c r="AF345" s="1" t="s">
        <v>1497</v>
      </c>
      <c r="AG345" s="1" t="s">
        <v>1497</v>
      </c>
      <c r="AH345" s="1">
        <v>59.9</v>
      </c>
      <c r="AI345" s="1">
        <v>62.7</v>
      </c>
      <c r="AJ345" s="1" t="s">
        <v>1498</v>
      </c>
      <c r="AK345" s="1" t="s">
        <v>1499</v>
      </c>
      <c r="AL345" s="1" t="s">
        <v>1500</v>
      </c>
    </row>
    <row r="346" spans="1:38" x14ac:dyDescent="0.6">
      <c r="A346" s="1">
        <v>253</v>
      </c>
      <c r="B346" s="1" t="s">
        <v>103</v>
      </c>
      <c r="C346" s="1">
        <v>58</v>
      </c>
      <c r="D346" s="1" t="s">
        <v>89</v>
      </c>
      <c r="E346" s="1" t="s">
        <v>108</v>
      </c>
      <c r="F346" s="1"/>
      <c r="G346" s="1"/>
      <c r="H346" s="1" t="s">
        <v>91</v>
      </c>
      <c r="I346" s="1" t="s">
        <v>92</v>
      </c>
      <c r="J346" s="1" t="s">
        <v>93</v>
      </c>
      <c r="K346" s="1">
        <v>1</v>
      </c>
      <c r="L346" s="1">
        <v>120</v>
      </c>
      <c r="M346" s="1" t="s">
        <v>94</v>
      </c>
      <c r="N346" s="1" t="s">
        <v>95</v>
      </c>
      <c r="O346" s="1"/>
      <c r="P346" s="1" t="s">
        <v>96</v>
      </c>
      <c r="Q346" s="1" t="s">
        <v>9</v>
      </c>
      <c r="R346" s="1">
        <v>0</v>
      </c>
      <c r="S346" s="1" t="s">
        <v>97</v>
      </c>
      <c r="T346" s="1" t="s">
        <v>97</v>
      </c>
      <c r="U346" s="1" t="b">
        <v>1</v>
      </c>
      <c r="V346" s="1" t="b">
        <v>0</v>
      </c>
      <c r="W346" s="1" t="b">
        <v>0</v>
      </c>
      <c r="X346" s="1">
        <v>0</v>
      </c>
      <c r="Y346" s="1" t="b">
        <v>1</v>
      </c>
      <c r="Z346" s="1" t="b">
        <v>1</v>
      </c>
      <c r="AA346" s="1">
        <v>72.3</v>
      </c>
      <c r="AB346" s="1" t="b">
        <v>1</v>
      </c>
      <c r="AC346" s="1">
        <v>111098275</v>
      </c>
      <c r="AD346" s="1">
        <v>1885789</v>
      </c>
      <c r="AE346" s="1">
        <v>0</v>
      </c>
      <c r="AF346" s="1" t="s">
        <v>1501</v>
      </c>
      <c r="AG346" s="1" t="s">
        <v>1502</v>
      </c>
      <c r="AH346" s="1">
        <v>66.5</v>
      </c>
      <c r="AI346" s="1">
        <v>69.8</v>
      </c>
      <c r="AJ346" s="1" t="s">
        <v>1503</v>
      </c>
      <c r="AK346" s="1" t="s">
        <v>1504</v>
      </c>
      <c r="AL346" s="1" t="s">
        <v>1505</v>
      </c>
    </row>
    <row r="347" spans="1:38" x14ac:dyDescent="0.6">
      <c r="A347" s="1">
        <v>253</v>
      </c>
      <c r="B347" s="1" t="s">
        <v>103</v>
      </c>
      <c r="C347" s="1">
        <v>58</v>
      </c>
      <c r="D347" s="1" t="s">
        <v>89</v>
      </c>
      <c r="E347" s="1" t="s">
        <v>108</v>
      </c>
      <c r="F347" s="1"/>
      <c r="G347" s="1"/>
      <c r="H347" s="1" t="s">
        <v>91</v>
      </c>
      <c r="I347" s="1" t="s">
        <v>92</v>
      </c>
      <c r="J347" s="1" t="s">
        <v>93</v>
      </c>
      <c r="K347" s="1">
        <v>1</v>
      </c>
      <c r="L347" s="1">
        <v>120</v>
      </c>
      <c r="M347" s="1" t="s">
        <v>14</v>
      </c>
      <c r="N347" s="1" t="s">
        <v>95</v>
      </c>
      <c r="O347" s="1" t="s">
        <v>96</v>
      </c>
      <c r="P347" s="1"/>
      <c r="Q347" s="1" t="s">
        <v>9</v>
      </c>
      <c r="R347" s="1">
        <v>0</v>
      </c>
      <c r="S347" s="1" t="s">
        <v>97</v>
      </c>
      <c r="T347" s="1" t="s">
        <v>97</v>
      </c>
      <c r="U347" s="1" t="b">
        <v>1</v>
      </c>
      <c r="V347" s="1" t="b">
        <v>0</v>
      </c>
      <c r="W347" s="1" t="b">
        <v>0</v>
      </c>
      <c r="X347" s="1">
        <v>5</v>
      </c>
      <c r="Y347" s="1" t="b">
        <v>1</v>
      </c>
      <c r="Z347" s="1" t="b">
        <v>1</v>
      </c>
      <c r="AA347" s="1"/>
      <c r="AB347" s="1" t="b">
        <v>1</v>
      </c>
      <c r="AC347" s="1">
        <v>111243071</v>
      </c>
      <c r="AD347" s="1">
        <v>692417</v>
      </c>
      <c r="AE347" s="1">
        <v>0</v>
      </c>
      <c r="AF347" s="1" t="s">
        <v>1501</v>
      </c>
      <c r="AG347" s="1" t="s">
        <v>1502</v>
      </c>
      <c r="AH347" s="1">
        <v>66.5</v>
      </c>
      <c r="AI347" s="1">
        <v>69.8</v>
      </c>
      <c r="AJ347" s="1" t="s">
        <v>1506</v>
      </c>
      <c r="AK347" s="1" t="s">
        <v>1507</v>
      </c>
      <c r="AL347" s="1" t="s">
        <v>1508</v>
      </c>
    </row>
    <row r="348" spans="1:38" x14ac:dyDescent="0.6">
      <c r="A348" s="1">
        <v>249</v>
      </c>
      <c r="B348" s="1" t="s">
        <v>88</v>
      </c>
      <c r="C348" s="1"/>
      <c r="D348" s="1"/>
      <c r="E348" s="1" t="s">
        <v>90</v>
      </c>
      <c r="F348" s="1"/>
      <c r="G348" s="1"/>
      <c r="H348" s="1" t="s">
        <v>91</v>
      </c>
      <c r="I348" s="1" t="s">
        <v>92</v>
      </c>
      <c r="J348" s="1" t="s">
        <v>109</v>
      </c>
      <c r="K348" s="1">
        <v>1</v>
      </c>
      <c r="L348" s="1">
        <v>120</v>
      </c>
      <c r="M348" s="1" t="s">
        <v>94</v>
      </c>
      <c r="N348" s="1" t="s">
        <v>95</v>
      </c>
      <c r="O348" s="1"/>
      <c r="P348" s="1" t="s">
        <v>96</v>
      </c>
      <c r="Q348" s="1" t="s">
        <v>9</v>
      </c>
      <c r="R348" s="1">
        <v>0</v>
      </c>
      <c r="S348" s="1" t="s">
        <v>97</v>
      </c>
      <c r="T348" s="1" t="s">
        <v>97</v>
      </c>
      <c r="U348" s="1" t="b">
        <v>1</v>
      </c>
      <c r="V348" s="1" t="b">
        <v>0</v>
      </c>
      <c r="W348" s="1" t="b">
        <v>0</v>
      </c>
      <c r="X348" s="1">
        <v>0</v>
      </c>
      <c r="Y348" s="1" t="b">
        <v>1</v>
      </c>
      <c r="Z348" s="1" t="b">
        <v>1</v>
      </c>
      <c r="AA348" s="1">
        <v>66.900000000000006</v>
      </c>
      <c r="AB348" s="1" t="b">
        <v>1</v>
      </c>
      <c r="AC348" s="1">
        <v>148056701</v>
      </c>
      <c r="AD348" s="1">
        <v>1889667</v>
      </c>
      <c r="AE348" s="1">
        <v>0</v>
      </c>
      <c r="AF348" s="1" t="s">
        <v>1509</v>
      </c>
      <c r="AG348" s="1" t="s">
        <v>1510</v>
      </c>
      <c r="AH348" s="1">
        <v>60.1</v>
      </c>
      <c r="AI348" s="1">
        <v>61.1</v>
      </c>
      <c r="AJ348" s="1" t="s">
        <v>1511</v>
      </c>
      <c r="AK348" s="1" t="s">
        <v>1512</v>
      </c>
      <c r="AL348" s="1" t="s">
        <v>1513</v>
      </c>
    </row>
    <row r="349" spans="1:38" x14ac:dyDescent="0.6">
      <c r="A349" s="1">
        <v>248</v>
      </c>
      <c r="B349" s="1" t="s">
        <v>88</v>
      </c>
      <c r="C349" s="1"/>
      <c r="D349" s="1"/>
      <c r="E349" s="1" t="s">
        <v>108</v>
      </c>
      <c r="F349" s="1"/>
      <c r="G349" s="1"/>
      <c r="H349" s="1" t="s">
        <v>91</v>
      </c>
      <c r="I349" s="1" t="s">
        <v>92</v>
      </c>
      <c r="J349" s="1" t="s">
        <v>109</v>
      </c>
      <c r="K349" s="1">
        <v>1</v>
      </c>
      <c r="L349" s="1">
        <v>120</v>
      </c>
      <c r="M349" s="1" t="s">
        <v>7</v>
      </c>
      <c r="N349" s="1" t="s">
        <v>7</v>
      </c>
      <c r="O349" s="1" t="s">
        <v>96</v>
      </c>
      <c r="P349" s="1" t="s">
        <v>96</v>
      </c>
      <c r="Q349" s="1" t="s">
        <v>9</v>
      </c>
      <c r="R349" s="1">
        <v>0</v>
      </c>
      <c r="S349" s="1" t="s">
        <v>97</v>
      </c>
      <c r="T349" s="1" t="s">
        <v>97</v>
      </c>
      <c r="U349" s="1" t="b">
        <v>1</v>
      </c>
      <c r="V349" s="1" t="b">
        <v>0</v>
      </c>
      <c r="W349" s="1" t="b">
        <v>0</v>
      </c>
      <c r="X349" s="1">
        <v>5</v>
      </c>
      <c r="Y349" s="1" t="b">
        <v>1</v>
      </c>
      <c r="Z349" s="1" t="b">
        <v>1</v>
      </c>
      <c r="AA349" s="1">
        <v>61.9</v>
      </c>
      <c r="AB349" s="1" t="b">
        <v>0</v>
      </c>
      <c r="AC349" s="1">
        <v>0</v>
      </c>
      <c r="AD349" s="1">
        <v>3107562</v>
      </c>
      <c r="AE349" s="1">
        <v>140809494</v>
      </c>
      <c r="AF349" s="1" t="s">
        <v>1514</v>
      </c>
      <c r="AG349" s="1" t="s">
        <v>1514</v>
      </c>
      <c r="AH349" s="1">
        <v>60.9</v>
      </c>
      <c r="AI349" s="1">
        <v>59.6</v>
      </c>
      <c r="AJ349" s="1" t="s">
        <v>1515</v>
      </c>
      <c r="AK349" s="1" t="s">
        <v>1516</v>
      </c>
      <c r="AL349" s="1" t="s">
        <v>1517</v>
      </c>
    </row>
    <row r="350" spans="1:38" x14ac:dyDescent="0.6">
      <c r="A350" s="1">
        <v>250</v>
      </c>
      <c r="B350" s="1" t="s">
        <v>88</v>
      </c>
      <c r="C350" s="1">
        <v>71</v>
      </c>
      <c r="D350" s="1" t="s">
        <v>119</v>
      </c>
      <c r="E350" s="1" t="s">
        <v>108</v>
      </c>
      <c r="F350" s="1"/>
      <c r="G350" s="1"/>
      <c r="H350" s="1" t="s">
        <v>91</v>
      </c>
      <c r="I350" s="1" t="s">
        <v>92</v>
      </c>
      <c r="J350" s="1" t="s">
        <v>93</v>
      </c>
      <c r="K350" s="1">
        <v>1</v>
      </c>
      <c r="L350" s="1">
        <v>120</v>
      </c>
      <c r="M350" s="1" t="s">
        <v>7</v>
      </c>
      <c r="N350" s="1" t="s">
        <v>7</v>
      </c>
      <c r="O350" s="1" t="s">
        <v>96</v>
      </c>
      <c r="P350" s="1" t="s">
        <v>96</v>
      </c>
      <c r="Q350" s="1" t="s">
        <v>9</v>
      </c>
      <c r="R350" s="1">
        <v>0</v>
      </c>
      <c r="S350" s="1" t="s">
        <v>97</v>
      </c>
      <c r="T350" s="1" t="s">
        <v>97</v>
      </c>
      <c r="U350" s="1" t="b">
        <v>1</v>
      </c>
      <c r="V350" s="1" t="b">
        <v>0</v>
      </c>
      <c r="W350" s="1" t="b">
        <v>0</v>
      </c>
      <c r="X350" s="1">
        <v>5</v>
      </c>
      <c r="Y350" s="1" t="b">
        <v>1</v>
      </c>
      <c r="Z350" s="1" t="b">
        <v>1</v>
      </c>
      <c r="AA350" s="1">
        <v>56.5</v>
      </c>
      <c r="AB350" s="1" t="b">
        <v>0</v>
      </c>
      <c r="AC350" s="1">
        <v>0</v>
      </c>
      <c r="AD350" s="1">
        <v>2398576</v>
      </c>
      <c r="AE350" s="1">
        <v>164849296</v>
      </c>
      <c r="AF350" s="1" t="s">
        <v>1518</v>
      </c>
      <c r="AG350" s="1" t="s">
        <v>1518</v>
      </c>
      <c r="AH350" s="1">
        <v>57.7</v>
      </c>
      <c r="AI350" s="1">
        <v>55.9</v>
      </c>
      <c r="AJ350" s="1" t="s">
        <v>1519</v>
      </c>
      <c r="AK350" s="1" t="s">
        <v>1520</v>
      </c>
      <c r="AL350" s="1" t="s">
        <v>1521</v>
      </c>
    </row>
    <row r="351" spans="1:38" x14ac:dyDescent="0.6">
      <c r="A351" s="1">
        <v>252</v>
      </c>
      <c r="B351" s="1" t="s">
        <v>103</v>
      </c>
      <c r="C351" s="1">
        <v>50</v>
      </c>
      <c r="D351" s="1" t="s">
        <v>89</v>
      </c>
      <c r="E351" s="1" t="s">
        <v>108</v>
      </c>
      <c r="F351" s="1"/>
      <c r="G351" s="1"/>
      <c r="H351" s="1" t="s">
        <v>91</v>
      </c>
      <c r="I351" s="1" t="s">
        <v>92</v>
      </c>
      <c r="J351" s="1" t="s">
        <v>93</v>
      </c>
      <c r="K351" s="1">
        <v>1</v>
      </c>
      <c r="L351" s="1">
        <v>120</v>
      </c>
      <c r="M351" s="1" t="s">
        <v>7</v>
      </c>
      <c r="N351" s="1" t="s">
        <v>7</v>
      </c>
      <c r="O351" s="1" t="s">
        <v>96</v>
      </c>
      <c r="P351" s="1" t="s">
        <v>96</v>
      </c>
      <c r="Q351" s="1" t="s">
        <v>9</v>
      </c>
      <c r="R351" s="1">
        <v>0</v>
      </c>
      <c r="S351" s="1" t="s">
        <v>97</v>
      </c>
      <c r="T351" s="1" t="s">
        <v>97</v>
      </c>
      <c r="U351" s="1" t="b">
        <v>1</v>
      </c>
      <c r="V351" s="1" t="b">
        <v>0</v>
      </c>
      <c r="W351" s="1" t="b">
        <v>0</v>
      </c>
      <c r="X351" s="1">
        <v>5</v>
      </c>
      <c r="Y351" s="1" t="b">
        <v>1</v>
      </c>
      <c r="Z351" s="1" t="b">
        <v>1</v>
      </c>
      <c r="AA351" s="1">
        <v>56.2</v>
      </c>
      <c r="AB351" s="1" t="b">
        <v>0</v>
      </c>
      <c r="AC351" s="1">
        <v>0</v>
      </c>
      <c r="AD351" s="1">
        <v>2981478</v>
      </c>
      <c r="AE351" s="1">
        <v>156664218</v>
      </c>
      <c r="AF351" s="1" t="s">
        <v>1522</v>
      </c>
      <c r="AG351" s="1" t="s">
        <v>1522</v>
      </c>
      <c r="AH351" s="1">
        <v>46</v>
      </c>
      <c r="AI351" s="1">
        <v>50.5</v>
      </c>
      <c r="AJ351" s="1" t="s">
        <v>1523</v>
      </c>
      <c r="AK351" s="1" t="s">
        <v>1524</v>
      </c>
      <c r="AL351" s="1" t="s">
        <v>1525</v>
      </c>
    </row>
    <row r="352" spans="1:38" x14ac:dyDescent="0.6">
      <c r="A352" s="1">
        <v>255</v>
      </c>
      <c r="B352" s="1" t="s">
        <v>88</v>
      </c>
      <c r="C352" s="1">
        <v>54</v>
      </c>
      <c r="D352" s="1" t="s">
        <v>89</v>
      </c>
      <c r="E352" s="1" t="s">
        <v>108</v>
      </c>
      <c r="F352" s="1"/>
      <c r="G352" s="1"/>
      <c r="H352" s="1" t="s">
        <v>220</v>
      </c>
      <c r="I352" s="1" t="s">
        <v>221</v>
      </c>
      <c r="J352" s="1" t="s">
        <v>222</v>
      </c>
      <c r="K352" s="1">
        <v>1.25</v>
      </c>
      <c r="L352" s="1">
        <v>120</v>
      </c>
      <c r="M352" s="1" t="s">
        <v>7</v>
      </c>
      <c r="N352" s="1" t="s">
        <v>7</v>
      </c>
      <c r="O352" s="1" t="s">
        <v>96</v>
      </c>
      <c r="P352" s="1" t="s">
        <v>96</v>
      </c>
      <c r="Q352" s="1" t="s">
        <v>9</v>
      </c>
      <c r="R352" s="1">
        <v>0</v>
      </c>
      <c r="S352" s="1" t="s">
        <v>97</v>
      </c>
      <c r="T352" s="1" t="s">
        <v>97</v>
      </c>
      <c r="U352" s="1" t="b">
        <v>1</v>
      </c>
      <c r="V352" s="1" t="b">
        <v>0</v>
      </c>
      <c r="W352" s="1" t="b">
        <v>0</v>
      </c>
      <c r="X352" s="1">
        <v>5</v>
      </c>
      <c r="Y352" s="1" t="b">
        <v>1</v>
      </c>
      <c r="Z352" s="1" t="b">
        <v>1</v>
      </c>
      <c r="AA352" s="1">
        <v>72.599999999999994</v>
      </c>
      <c r="AB352" s="1" t="b">
        <v>0</v>
      </c>
      <c r="AC352" s="1">
        <v>0</v>
      </c>
      <c r="AD352" s="1">
        <v>2045453</v>
      </c>
      <c r="AE352" s="1">
        <v>159173107</v>
      </c>
      <c r="AF352" s="1" t="s">
        <v>1526</v>
      </c>
      <c r="AG352" s="1" t="s">
        <v>1526</v>
      </c>
      <c r="AH352" s="1">
        <v>69.5</v>
      </c>
      <c r="AI352" s="1">
        <v>68.099999999999994</v>
      </c>
      <c r="AJ352" s="1" t="s">
        <v>1527</v>
      </c>
      <c r="AK352" s="1" t="s">
        <v>1528</v>
      </c>
      <c r="AL352" s="1" t="s">
        <v>1529</v>
      </c>
    </row>
    <row r="353" spans="1:38" x14ac:dyDescent="0.6">
      <c r="A353" s="1">
        <v>256</v>
      </c>
      <c r="B353" s="1" t="s">
        <v>103</v>
      </c>
      <c r="C353" s="1">
        <v>65</v>
      </c>
      <c r="D353" s="1" t="s">
        <v>127</v>
      </c>
      <c r="E353" s="1" t="s">
        <v>90</v>
      </c>
      <c r="F353" s="1"/>
      <c r="G353" s="1"/>
      <c r="H353" s="1" t="s">
        <v>220</v>
      </c>
      <c r="I353" s="1" t="s">
        <v>221</v>
      </c>
      <c r="J353" s="1" t="s">
        <v>222</v>
      </c>
      <c r="K353" s="1">
        <v>1.25</v>
      </c>
      <c r="L353" s="1">
        <v>120</v>
      </c>
      <c r="M353" s="1" t="s">
        <v>14</v>
      </c>
      <c r="N353" s="1" t="s">
        <v>95</v>
      </c>
      <c r="O353" s="1" t="s">
        <v>96</v>
      </c>
      <c r="P353" s="1"/>
      <c r="Q353" s="1" t="s">
        <v>9</v>
      </c>
      <c r="R353" s="1">
        <v>0</v>
      </c>
      <c r="S353" s="1" t="s">
        <v>97</v>
      </c>
      <c r="T353" s="1" t="s">
        <v>97</v>
      </c>
      <c r="U353" s="1" t="b">
        <v>1</v>
      </c>
      <c r="V353" s="1" t="b">
        <v>0</v>
      </c>
      <c r="W353" s="1" t="b">
        <v>0</v>
      </c>
      <c r="X353" s="1">
        <v>5</v>
      </c>
      <c r="Y353" s="1" t="b">
        <v>1</v>
      </c>
      <c r="Z353" s="1" t="b">
        <v>1</v>
      </c>
      <c r="AA353" s="1"/>
      <c r="AB353" s="1" t="b">
        <v>1</v>
      </c>
      <c r="AC353" s="1">
        <v>132991362</v>
      </c>
      <c r="AD353" s="1">
        <v>439934</v>
      </c>
      <c r="AE353" s="1">
        <v>0</v>
      </c>
      <c r="AF353" s="1" t="s">
        <v>1530</v>
      </c>
      <c r="AG353" s="1" t="s">
        <v>1531</v>
      </c>
      <c r="AH353" s="1">
        <v>62.5</v>
      </c>
      <c r="AI353" s="1">
        <v>64.599999999999994</v>
      </c>
      <c r="AJ353" s="1" t="s">
        <v>1532</v>
      </c>
      <c r="AK353" s="1" t="s">
        <v>1533</v>
      </c>
      <c r="AL353" s="1" t="s">
        <v>1534</v>
      </c>
    </row>
    <row r="354" spans="1:38" x14ac:dyDescent="0.6">
      <c r="A354" s="1">
        <v>242</v>
      </c>
      <c r="B354" s="1" t="s">
        <v>103</v>
      </c>
      <c r="C354" s="1"/>
      <c r="D354" s="1"/>
      <c r="E354" s="1" t="s">
        <v>90</v>
      </c>
      <c r="F354" s="1"/>
      <c r="G354" s="1"/>
      <c r="H354" s="1" t="s">
        <v>91</v>
      </c>
      <c r="I354" s="1" t="s">
        <v>92</v>
      </c>
      <c r="J354" s="1" t="s">
        <v>109</v>
      </c>
      <c r="K354" s="1">
        <v>1</v>
      </c>
      <c r="L354" s="1">
        <v>120</v>
      </c>
      <c r="M354" s="1" t="s">
        <v>7</v>
      </c>
      <c r="N354" s="1" t="s">
        <v>7</v>
      </c>
      <c r="O354" s="1" t="s">
        <v>96</v>
      </c>
      <c r="P354" s="1" t="s">
        <v>96</v>
      </c>
      <c r="Q354" s="1" t="s">
        <v>9</v>
      </c>
      <c r="R354" s="1">
        <v>0</v>
      </c>
      <c r="S354" s="1" t="s">
        <v>97</v>
      </c>
      <c r="T354" s="1" t="s">
        <v>97</v>
      </c>
      <c r="U354" s="1" t="b">
        <v>1</v>
      </c>
      <c r="V354" s="1" t="b">
        <v>0</v>
      </c>
      <c r="W354" s="1" t="b">
        <v>0</v>
      </c>
      <c r="X354" s="1">
        <v>5</v>
      </c>
      <c r="Y354" s="1" t="b">
        <v>1</v>
      </c>
      <c r="Z354" s="1" t="b">
        <v>1</v>
      </c>
      <c r="AA354" s="1">
        <v>68</v>
      </c>
      <c r="AB354" s="1" t="b">
        <v>0</v>
      </c>
      <c r="AC354" s="1">
        <v>0</v>
      </c>
      <c r="AD354" s="1">
        <v>3615021</v>
      </c>
      <c r="AE354" s="1">
        <v>130340563</v>
      </c>
      <c r="AF354" s="1" t="s">
        <v>1535</v>
      </c>
      <c r="AG354" s="1" t="s">
        <v>1535</v>
      </c>
      <c r="AH354" s="1">
        <v>62.1</v>
      </c>
      <c r="AI354" s="1">
        <v>63.3</v>
      </c>
      <c r="AJ354" s="1" t="s">
        <v>1536</v>
      </c>
      <c r="AK354" s="1" t="s">
        <v>1537</v>
      </c>
      <c r="AL354" s="1" t="s">
        <v>1538</v>
      </c>
    </row>
    <row r="355" spans="1:38" x14ac:dyDescent="0.6">
      <c r="A355" s="1">
        <v>256</v>
      </c>
      <c r="B355" s="1" t="s">
        <v>103</v>
      </c>
      <c r="C355" s="1">
        <v>65</v>
      </c>
      <c r="D355" s="1" t="s">
        <v>127</v>
      </c>
      <c r="E355" s="1" t="s">
        <v>90</v>
      </c>
      <c r="F355" s="1"/>
      <c r="G355" s="1"/>
      <c r="H355" s="1" t="s">
        <v>220</v>
      </c>
      <c r="I355" s="1" t="s">
        <v>221</v>
      </c>
      <c r="J355" s="1" t="s">
        <v>222</v>
      </c>
      <c r="K355" s="1">
        <v>1.25</v>
      </c>
      <c r="L355" s="1">
        <v>120</v>
      </c>
      <c r="M355" s="1" t="s">
        <v>94</v>
      </c>
      <c r="N355" s="1" t="s">
        <v>95</v>
      </c>
      <c r="O355" s="1"/>
      <c r="P355" s="1" t="s">
        <v>96</v>
      </c>
      <c r="Q355" s="1" t="s">
        <v>9</v>
      </c>
      <c r="R355" s="1">
        <v>0</v>
      </c>
      <c r="S355" s="1" t="s">
        <v>97</v>
      </c>
      <c r="T355" s="1" t="s">
        <v>97</v>
      </c>
      <c r="U355" s="1" t="b">
        <v>1</v>
      </c>
      <c r="V355" s="1" t="b">
        <v>0</v>
      </c>
      <c r="W355" s="1" t="b">
        <v>0</v>
      </c>
      <c r="X355" s="1">
        <v>0</v>
      </c>
      <c r="Y355" s="1" t="b">
        <v>1</v>
      </c>
      <c r="Z355" s="1" t="b">
        <v>1</v>
      </c>
      <c r="AA355" s="1">
        <v>68.599999999999994</v>
      </c>
      <c r="AB355" s="1" t="b">
        <v>1</v>
      </c>
      <c r="AC355" s="1">
        <v>134991321</v>
      </c>
      <c r="AD355" s="1">
        <v>1061415</v>
      </c>
      <c r="AE355" s="1">
        <v>0</v>
      </c>
      <c r="AF355" s="1" t="s">
        <v>1530</v>
      </c>
      <c r="AG355" s="1" t="s">
        <v>1531</v>
      </c>
      <c r="AH355" s="1">
        <v>62.5</v>
      </c>
      <c r="AI355" s="1">
        <v>64.599999999999994</v>
      </c>
      <c r="AJ355" s="1" t="s">
        <v>1539</v>
      </c>
      <c r="AK355" s="1" t="s">
        <v>1540</v>
      </c>
      <c r="AL355" s="1" t="s">
        <v>1541</v>
      </c>
    </row>
    <row r="356" spans="1:38" x14ac:dyDescent="0.6">
      <c r="A356" s="1">
        <v>247</v>
      </c>
      <c r="B356" s="1" t="s">
        <v>103</v>
      </c>
      <c r="C356" s="1">
        <v>56</v>
      </c>
      <c r="D356" s="1" t="s">
        <v>89</v>
      </c>
      <c r="E356" s="1" t="s">
        <v>90</v>
      </c>
      <c r="F356" s="1"/>
      <c r="G356" s="1"/>
      <c r="H356" s="1" t="s">
        <v>220</v>
      </c>
      <c r="I356" s="1" t="s">
        <v>221</v>
      </c>
      <c r="J356" s="1" t="s">
        <v>222</v>
      </c>
      <c r="K356" s="1">
        <v>1.25</v>
      </c>
      <c r="L356" s="1">
        <v>120</v>
      </c>
      <c r="M356" s="1" t="s">
        <v>94</v>
      </c>
      <c r="N356" s="1" t="s">
        <v>95</v>
      </c>
      <c r="O356" s="1"/>
      <c r="P356" s="1" t="s">
        <v>96</v>
      </c>
      <c r="Q356" s="1" t="s">
        <v>9</v>
      </c>
      <c r="R356" s="1">
        <v>0</v>
      </c>
      <c r="S356" s="1" t="s">
        <v>97</v>
      </c>
      <c r="T356" s="1" t="s">
        <v>97</v>
      </c>
      <c r="U356" s="1" t="b">
        <v>1</v>
      </c>
      <c r="V356" s="1" t="b">
        <v>0</v>
      </c>
      <c r="W356" s="1" t="b">
        <v>0</v>
      </c>
      <c r="X356" s="1">
        <v>0</v>
      </c>
      <c r="Y356" s="1" t="b">
        <v>1</v>
      </c>
      <c r="Z356" s="1" t="b">
        <v>1</v>
      </c>
      <c r="AA356" s="1">
        <v>66.900000000000006</v>
      </c>
      <c r="AB356" s="1" t="b">
        <v>1</v>
      </c>
      <c r="AC356" s="1">
        <v>140241826</v>
      </c>
      <c r="AD356" s="1">
        <v>2102366</v>
      </c>
      <c r="AE356" s="1">
        <v>0</v>
      </c>
      <c r="AF356" s="1" t="s">
        <v>1488</v>
      </c>
      <c r="AG356" s="1" t="s">
        <v>1489</v>
      </c>
      <c r="AH356" s="1">
        <v>76.400000000000006</v>
      </c>
      <c r="AI356" s="1">
        <v>64.7</v>
      </c>
      <c r="AJ356" s="1" t="s">
        <v>1542</v>
      </c>
      <c r="AK356" s="1" t="s">
        <v>1543</v>
      </c>
      <c r="AL356" s="1" t="s">
        <v>1544</v>
      </c>
    </row>
    <row r="357" spans="1:38" x14ac:dyDescent="0.6">
      <c r="A357" s="1">
        <v>264</v>
      </c>
      <c r="B357" s="1" t="s">
        <v>103</v>
      </c>
      <c r="C357" s="1">
        <v>58</v>
      </c>
      <c r="D357" s="1" t="s">
        <v>89</v>
      </c>
      <c r="E357" s="1" t="s">
        <v>108</v>
      </c>
      <c r="F357" s="1"/>
      <c r="G357" s="1"/>
      <c r="H357" s="1" t="s">
        <v>91</v>
      </c>
      <c r="I357" s="1" t="s">
        <v>92</v>
      </c>
      <c r="J357" s="1" t="s">
        <v>93</v>
      </c>
      <c r="K357" s="1">
        <v>1</v>
      </c>
      <c r="L357" s="1">
        <v>120</v>
      </c>
      <c r="M357" s="1" t="s">
        <v>94</v>
      </c>
      <c r="N357" s="1" t="s">
        <v>95</v>
      </c>
      <c r="O357" s="1"/>
      <c r="P357" s="1" t="s">
        <v>96</v>
      </c>
      <c r="Q357" s="1" t="s">
        <v>9</v>
      </c>
      <c r="R357" s="1">
        <v>0</v>
      </c>
      <c r="S357" s="1" t="s">
        <v>97</v>
      </c>
      <c r="T357" s="1" t="s">
        <v>97</v>
      </c>
      <c r="U357" s="1" t="b">
        <v>1</v>
      </c>
      <c r="V357" s="1" t="b">
        <v>0</v>
      </c>
      <c r="W357" s="1" t="b">
        <v>0</v>
      </c>
      <c r="X357" s="1">
        <v>0</v>
      </c>
      <c r="Y357" s="1" t="b">
        <v>1</v>
      </c>
      <c r="Z357" s="1" t="b">
        <v>1</v>
      </c>
      <c r="AA357" s="1">
        <v>80.3</v>
      </c>
      <c r="AB357" s="1" t="b">
        <v>1</v>
      </c>
      <c r="AC357" s="1">
        <v>103273072</v>
      </c>
      <c r="AD357" s="1">
        <v>1846672</v>
      </c>
      <c r="AE357" s="1">
        <v>0</v>
      </c>
      <c r="AF357" s="1" t="s">
        <v>1545</v>
      </c>
      <c r="AG357" s="1" t="s">
        <v>1546</v>
      </c>
      <c r="AH357" s="1">
        <v>72.599999999999994</v>
      </c>
      <c r="AI357" s="1">
        <v>78.099999999999994</v>
      </c>
      <c r="AJ357" s="1" t="s">
        <v>1547</v>
      </c>
      <c r="AK357" s="1" t="s">
        <v>1548</v>
      </c>
      <c r="AL357" s="1" t="s">
        <v>1549</v>
      </c>
    </row>
    <row r="358" spans="1:38" x14ac:dyDescent="0.6">
      <c r="A358" s="1">
        <v>257</v>
      </c>
      <c r="B358" s="1" t="s">
        <v>103</v>
      </c>
      <c r="C358" s="1">
        <v>55</v>
      </c>
      <c r="D358" s="1" t="s">
        <v>89</v>
      </c>
      <c r="E358" s="1" t="s">
        <v>90</v>
      </c>
      <c r="F358" s="1"/>
      <c r="G358" s="1"/>
      <c r="H358" s="1" t="s">
        <v>220</v>
      </c>
      <c r="I358" s="1" t="s">
        <v>221</v>
      </c>
      <c r="J358" s="1" t="s">
        <v>222</v>
      </c>
      <c r="K358" s="1">
        <v>1.25</v>
      </c>
      <c r="L358" s="1">
        <v>120</v>
      </c>
      <c r="M358" s="1" t="s">
        <v>94</v>
      </c>
      <c r="N358" s="1" t="s">
        <v>95</v>
      </c>
      <c r="O358" s="1"/>
      <c r="P358" s="1" t="s">
        <v>96</v>
      </c>
      <c r="Q358" s="1" t="s">
        <v>9</v>
      </c>
      <c r="R358" s="1">
        <v>0</v>
      </c>
      <c r="S358" s="1" t="s">
        <v>97</v>
      </c>
      <c r="T358" s="1" t="s">
        <v>97</v>
      </c>
      <c r="U358" s="1" t="b">
        <v>1</v>
      </c>
      <c r="V358" s="1" t="b">
        <v>0</v>
      </c>
      <c r="W358" s="1" t="b">
        <v>0</v>
      </c>
      <c r="X358" s="1">
        <v>0</v>
      </c>
      <c r="Y358" s="1" t="b">
        <v>1</v>
      </c>
      <c r="Z358" s="1" t="b">
        <v>1</v>
      </c>
      <c r="AA358" s="1">
        <v>77.5</v>
      </c>
      <c r="AB358" s="1" t="b">
        <v>1</v>
      </c>
      <c r="AC358" s="1">
        <v>135601568</v>
      </c>
      <c r="AD358" s="1">
        <v>1499744</v>
      </c>
      <c r="AE358" s="1">
        <v>0</v>
      </c>
      <c r="AF358" s="1" t="s">
        <v>1550</v>
      </c>
      <c r="AG358" s="1" t="s">
        <v>1551</v>
      </c>
      <c r="AH358" s="1">
        <v>73.099999999999994</v>
      </c>
      <c r="AI358" s="1">
        <v>70.900000000000006</v>
      </c>
      <c r="AJ358" s="1" t="s">
        <v>1552</v>
      </c>
      <c r="AK358" s="1" t="s">
        <v>1553</v>
      </c>
      <c r="AL358" s="1" t="s">
        <v>1554</v>
      </c>
    </row>
    <row r="359" spans="1:38" x14ac:dyDescent="0.6">
      <c r="A359" s="1">
        <v>257</v>
      </c>
      <c r="B359" s="1" t="s">
        <v>103</v>
      </c>
      <c r="C359" s="1">
        <v>55</v>
      </c>
      <c r="D359" s="1" t="s">
        <v>89</v>
      </c>
      <c r="E359" s="1" t="s">
        <v>90</v>
      </c>
      <c r="F359" s="1"/>
      <c r="G359" s="1"/>
      <c r="H359" s="1" t="s">
        <v>220</v>
      </c>
      <c r="I359" s="1" t="s">
        <v>221</v>
      </c>
      <c r="J359" s="1" t="s">
        <v>222</v>
      </c>
      <c r="K359" s="1">
        <v>1.25</v>
      </c>
      <c r="L359" s="1">
        <v>120</v>
      </c>
      <c r="M359" s="1" t="s">
        <v>14</v>
      </c>
      <c r="N359" s="1" t="s">
        <v>95</v>
      </c>
      <c r="O359" s="1" t="s">
        <v>96</v>
      </c>
      <c r="P359" s="1"/>
      <c r="Q359" s="1" t="s">
        <v>9</v>
      </c>
      <c r="R359" s="1">
        <v>0</v>
      </c>
      <c r="S359" s="1" t="s">
        <v>97</v>
      </c>
      <c r="T359" s="1" t="s">
        <v>97</v>
      </c>
      <c r="U359" s="1" t="b">
        <v>1</v>
      </c>
      <c r="V359" s="1" t="b">
        <v>0</v>
      </c>
      <c r="W359" s="1" t="b">
        <v>0</v>
      </c>
      <c r="X359" s="1">
        <v>5</v>
      </c>
      <c r="Y359" s="1" t="b">
        <v>1</v>
      </c>
      <c r="Z359" s="1" t="b">
        <v>1</v>
      </c>
      <c r="AA359" s="1"/>
      <c r="AB359" s="1" t="b">
        <v>1</v>
      </c>
      <c r="AC359" s="1">
        <v>125124923</v>
      </c>
      <c r="AD359" s="1">
        <v>704197</v>
      </c>
      <c r="AE359" s="1">
        <v>0</v>
      </c>
      <c r="AF359" s="1" t="s">
        <v>1550</v>
      </c>
      <c r="AG359" s="1" t="s">
        <v>1551</v>
      </c>
      <c r="AH359" s="1">
        <v>73.099999999999994</v>
      </c>
      <c r="AI359" s="1">
        <v>70.900000000000006</v>
      </c>
      <c r="AJ359" s="1" t="s">
        <v>1555</v>
      </c>
      <c r="AK359" s="1" t="s">
        <v>1556</v>
      </c>
      <c r="AL359" s="1" t="s">
        <v>1557</v>
      </c>
    </row>
    <row r="360" spans="1:38" x14ac:dyDescent="0.6">
      <c r="A360" s="1">
        <v>251</v>
      </c>
      <c r="B360" s="1" t="s">
        <v>88</v>
      </c>
      <c r="C360" s="1">
        <v>55</v>
      </c>
      <c r="D360" s="1" t="s">
        <v>89</v>
      </c>
      <c r="E360" s="1" t="s">
        <v>90</v>
      </c>
      <c r="F360" s="1"/>
      <c r="G360" s="1"/>
      <c r="H360" s="1" t="s">
        <v>91</v>
      </c>
      <c r="I360" s="1" t="s">
        <v>92</v>
      </c>
      <c r="J360" s="1" t="s">
        <v>93</v>
      </c>
      <c r="K360" s="1">
        <v>1</v>
      </c>
      <c r="L360" s="1">
        <v>120</v>
      </c>
      <c r="M360" s="1" t="s">
        <v>7</v>
      </c>
      <c r="N360" s="1" t="s">
        <v>7</v>
      </c>
      <c r="O360" s="1" t="s">
        <v>96</v>
      </c>
      <c r="P360" s="1" t="s">
        <v>96</v>
      </c>
      <c r="Q360" s="1" t="s">
        <v>9</v>
      </c>
      <c r="R360" s="1">
        <v>0</v>
      </c>
      <c r="S360" s="1" t="s">
        <v>97</v>
      </c>
      <c r="T360" s="1" t="s">
        <v>97</v>
      </c>
      <c r="U360" s="1" t="b">
        <v>1</v>
      </c>
      <c r="V360" s="1" t="b">
        <v>0</v>
      </c>
      <c r="W360" s="1" t="b">
        <v>0</v>
      </c>
      <c r="X360" s="1">
        <v>5</v>
      </c>
      <c r="Y360" s="1" t="b">
        <v>1</v>
      </c>
      <c r="Z360" s="1" t="b">
        <v>1</v>
      </c>
      <c r="AA360" s="1">
        <v>79.900000000000006</v>
      </c>
      <c r="AB360" s="1" t="b">
        <v>0</v>
      </c>
      <c r="AC360" s="1">
        <v>0</v>
      </c>
      <c r="AD360" s="1">
        <v>1634156</v>
      </c>
      <c r="AE360" s="1">
        <v>129699988</v>
      </c>
      <c r="AF360" s="1" t="s">
        <v>1558</v>
      </c>
      <c r="AG360" s="1" t="s">
        <v>1558</v>
      </c>
      <c r="AH360" s="1">
        <v>75.099999999999994</v>
      </c>
      <c r="AI360" s="1">
        <v>74.7</v>
      </c>
      <c r="AJ360" s="1" t="s">
        <v>1559</v>
      </c>
      <c r="AK360" s="1" t="s">
        <v>1560</v>
      </c>
      <c r="AL360" s="1" t="s">
        <v>1561</v>
      </c>
    </row>
    <row r="361" spans="1:38" x14ac:dyDescent="0.6">
      <c r="A361" s="1">
        <v>264</v>
      </c>
      <c r="B361" s="1" t="s">
        <v>103</v>
      </c>
      <c r="C361" s="1">
        <v>58</v>
      </c>
      <c r="D361" s="1" t="s">
        <v>89</v>
      </c>
      <c r="E361" s="1" t="s">
        <v>108</v>
      </c>
      <c r="F361" s="1"/>
      <c r="G361" s="1"/>
      <c r="H361" s="1" t="s">
        <v>91</v>
      </c>
      <c r="I361" s="1" t="s">
        <v>92</v>
      </c>
      <c r="J361" s="1" t="s">
        <v>93</v>
      </c>
      <c r="K361" s="1">
        <v>1</v>
      </c>
      <c r="L361" s="1">
        <v>120</v>
      </c>
      <c r="M361" s="1" t="s">
        <v>14</v>
      </c>
      <c r="N361" s="1" t="s">
        <v>95</v>
      </c>
      <c r="O361" s="1" t="s">
        <v>96</v>
      </c>
      <c r="P361" s="1"/>
      <c r="Q361" s="1" t="s">
        <v>9</v>
      </c>
      <c r="R361" s="1">
        <v>0</v>
      </c>
      <c r="S361" s="1" t="s">
        <v>97</v>
      </c>
      <c r="T361" s="1" t="s">
        <v>97</v>
      </c>
      <c r="U361" s="1" t="b">
        <v>1</v>
      </c>
      <c r="V361" s="1" t="b">
        <v>0</v>
      </c>
      <c r="W361" s="1" t="b">
        <v>0</v>
      </c>
      <c r="X361" s="1">
        <v>5</v>
      </c>
      <c r="Y361" s="1" t="b">
        <v>1</v>
      </c>
      <c r="Z361" s="1" t="b">
        <v>1</v>
      </c>
      <c r="AA361" s="1"/>
      <c r="AB361" s="1" t="b">
        <v>1</v>
      </c>
      <c r="AC361" s="1">
        <v>101882686</v>
      </c>
      <c r="AD361" s="1">
        <v>615618</v>
      </c>
      <c r="AE361" s="1">
        <v>0</v>
      </c>
      <c r="AF361" s="1" t="s">
        <v>1545</v>
      </c>
      <c r="AG361" s="1" t="s">
        <v>1546</v>
      </c>
      <c r="AH361" s="1">
        <v>72.599999999999994</v>
      </c>
      <c r="AI361" s="1">
        <v>78.099999999999994</v>
      </c>
      <c r="AJ361" s="1" t="s">
        <v>1562</v>
      </c>
      <c r="AK361" s="1" t="s">
        <v>1563</v>
      </c>
      <c r="AL361" s="1" t="s">
        <v>1564</v>
      </c>
    </row>
    <row r="362" spans="1:38" x14ac:dyDescent="0.6">
      <c r="A362" s="1">
        <v>260</v>
      </c>
      <c r="B362" s="1" t="s">
        <v>103</v>
      </c>
      <c r="C362" s="1">
        <v>55</v>
      </c>
      <c r="D362" s="1" t="s">
        <v>89</v>
      </c>
      <c r="E362" s="1" t="s">
        <v>108</v>
      </c>
      <c r="F362" s="1"/>
      <c r="G362" s="1"/>
      <c r="H362" s="1" t="s">
        <v>220</v>
      </c>
      <c r="I362" s="1" t="s">
        <v>221</v>
      </c>
      <c r="J362" s="1" t="s">
        <v>1176</v>
      </c>
      <c r="K362" s="1">
        <v>1.25</v>
      </c>
      <c r="L362" s="1">
        <v>120</v>
      </c>
      <c r="M362" s="1" t="s">
        <v>94</v>
      </c>
      <c r="N362" s="1" t="s">
        <v>95</v>
      </c>
      <c r="O362" s="1"/>
      <c r="P362" s="1" t="s">
        <v>96</v>
      </c>
      <c r="Q362" s="1" t="s">
        <v>9</v>
      </c>
      <c r="R362" s="1">
        <v>0</v>
      </c>
      <c r="S362" s="1" t="s">
        <v>97</v>
      </c>
      <c r="T362" s="1" t="s">
        <v>97</v>
      </c>
      <c r="U362" s="1" t="b">
        <v>1</v>
      </c>
      <c r="V362" s="1" t="b">
        <v>0</v>
      </c>
      <c r="W362" s="1" t="b">
        <v>0</v>
      </c>
      <c r="X362" s="1">
        <v>0</v>
      </c>
      <c r="Y362" s="1" t="b">
        <v>1</v>
      </c>
      <c r="Z362" s="1" t="b">
        <v>1</v>
      </c>
      <c r="AA362" s="1">
        <v>71.900000000000006</v>
      </c>
      <c r="AB362" s="1" t="b">
        <v>1</v>
      </c>
      <c r="AC362" s="1">
        <v>141023540</v>
      </c>
      <c r="AD362" s="1">
        <v>2369228</v>
      </c>
      <c r="AE362" s="1">
        <v>0</v>
      </c>
      <c r="AF362" s="1" t="s">
        <v>1565</v>
      </c>
      <c r="AG362" s="1" t="s">
        <v>1566</v>
      </c>
      <c r="AH362" s="1">
        <v>87.7</v>
      </c>
      <c r="AI362" s="1">
        <v>71.5</v>
      </c>
      <c r="AJ362" s="1" t="s">
        <v>1567</v>
      </c>
      <c r="AK362" s="1" t="s">
        <v>1568</v>
      </c>
      <c r="AL362" s="1" t="s">
        <v>1569</v>
      </c>
    </row>
    <row r="363" spans="1:38" x14ac:dyDescent="0.6">
      <c r="A363" s="1">
        <v>263</v>
      </c>
      <c r="B363" s="1" t="s">
        <v>88</v>
      </c>
      <c r="C363" s="1">
        <v>89</v>
      </c>
      <c r="D363" s="1" t="s">
        <v>153</v>
      </c>
      <c r="E363" s="1"/>
      <c r="F363" s="1"/>
      <c r="G363" s="1"/>
      <c r="H363" s="1" t="s">
        <v>91</v>
      </c>
      <c r="I363" s="1" t="s">
        <v>92</v>
      </c>
      <c r="J363" s="1" t="s">
        <v>93</v>
      </c>
      <c r="K363" s="1">
        <v>1</v>
      </c>
      <c r="L363" s="1">
        <v>120</v>
      </c>
      <c r="M363" s="1" t="s">
        <v>14</v>
      </c>
      <c r="N363" s="1" t="s">
        <v>95</v>
      </c>
      <c r="O363" s="1" t="s">
        <v>96</v>
      </c>
      <c r="P363" s="1"/>
      <c r="Q363" s="1" t="s">
        <v>9</v>
      </c>
      <c r="R363" s="1">
        <v>0</v>
      </c>
      <c r="S363" s="1" t="s">
        <v>97</v>
      </c>
      <c r="T363" s="1" t="s">
        <v>97</v>
      </c>
      <c r="U363" s="1" t="b">
        <v>1</v>
      </c>
      <c r="V363" s="1" t="b">
        <v>0</v>
      </c>
      <c r="W363" s="1" t="b">
        <v>0</v>
      </c>
      <c r="X363" s="1">
        <v>5</v>
      </c>
      <c r="Y363" s="1" t="b">
        <v>1</v>
      </c>
      <c r="Z363" s="1" t="b">
        <v>1</v>
      </c>
      <c r="AA363" s="1"/>
      <c r="AB363" s="1" t="b">
        <v>1</v>
      </c>
      <c r="AC363" s="1">
        <v>134520339</v>
      </c>
      <c r="AD363" s="1">
        <v>745965</v>
      </c>
      <c r="AE363" s="1">
        <v>0</v>
      </c>
      <c r="AF363" s="1" t="s">
        <v>1570</v>
      </c>
      <c r="AG363" s="1" t="s">
        <v>1571</v>
      </c>
      <c r="AH363" s="1">
        <v>66.099999999999994</v>
      </c>
      <c r="AI363" s="1">
        <v>62.9</v>
      </c>
      <c r="AJ363" s="1" t="s">
        <v>1572</v>
      </c>
      <c r="AK363" s="1" t="s">
        <v>1573</v>
      </c>
      <c r="AL363" s="1" t="s">
        <v>1574</v>
      </c>
    </row>
    <row r="364" spans="1:38" x14ac:dyDescent="0.6">
      <c r="A364" s="1">
        <v>254</v>
      </c>
      <c r="B364" s="1" t="s">
        <v>88</v>
      </c>
      <c r="C364" s="1">
        <v>54</v>
      </c>
      <c r="D364" s="1" t="s">
        <v>89</v>
      </c>
      <c r="E364" s="1" t="s">
        <v>90</v>
      </c>
      <c r="F364" s="1"/>
      <c r="G364" s="1"/>
      <c r="H364" s="1" t="s">
        <v>189</v>
      </c>
      <c r="I364" s="1" t="s">
        <v>190</v>
      </c>
      <c r="J364" s="1" t="s">
        <v>191</v>
      </c>
      <c r="K364" s="1">
        <v>1</v>
      </c>
      <c r="L364" s="1">
        <v>120</v>
      </c>
      <c r="M364" s="1" t="s">
        <v>94</v>
      </c>
      <c r="N364" s="1" t="s">
        <v>236</v>
      </c>
      <c r="O364" s="1"/>
      <c r="P364" s="1" t="s">
        <v>96</v>
      </c>
      <c r="Q364" s="1" t="s">
        <v>9</v>
      </c>
      <c r="R364" s="1">
        <v>0</v>
      </c>
      <c r="S364" s="1" t="s">
        <v>97</v>
      </c>
      <c r="T364" s="1"/>
      <c r="U364" s="1"/>
      <c r="V364" s="1" t="b">
        <v>0</v>
      </c>
      <c r="W364" s="1" t="b">
        <v>0</v>
      </c>
      <c r="X364" s="1">
        <v>0</v>
      </c>
      <c r="Y364" s="1" t="b">
        <v>1</v>
      </c>
      <c r="Z364" s="1" t="b">
        <v>1</v>
      </c>
      <c r="AA364" s="1">
        <v>64.7</v>
      </c>
      <c r="AB364" s="1" t="b">
        <v>1</v>
      </c>
      <c r="AC364" s="1">
        <v>137580911</v>
      </c>
      <c r="AD364" s="1">
        <v>1879697</v>
      </c>
      <c r="AE364" s="1">
        <v>0</v>
      </c>
      <c r="AF364" s="1"/>
      <c r="AG364" s="1" t="s">
        <v>1575</v>
      </c>
      <c r="AH364" s="1"/>
      <c r="AI364" s="1">
        <v>61.2</v>
      </c>
      <c r="AJ364" s="1" t="s">
        <v>1576</v>
      </c>
      <c r="AK364" s="1" t="s">
        <v>1577</v>
      </c>
      <c r="AL364" s="1" t="s">
        <v>1578</v>
      </c>
    </row>
    <row r="365" spans="1:38" x14ac:dyDescent="0.6">
      <c r="A365" s="1">
        <v>261</v>
      </c>
      <c r="B365" s="1" t="s">
        <v>103</v>
      </c>
      <c r="C365" s="1">
        <v>67</v>
      </c>
      <c r="D365" s="1" t="s">
        <v>127</v>
      </c>
      <c r="E365" s="1" t="s">
        <v>108</v>
      </c>
      <c r="F365" s="1"/>
      <c r="G365" s="1"/>
      <c r="H365" s="1" t="s">
        <v>91</v>
      </c>
      <c r="I365" s="1" t="s">
        <v>92</v>
      </c>
      <c r="J365" s="1" t="s">
        <v>93</v>
      </c>
      <c r="K365" s="1">
        <v>1</v>
      </c>
      <c r="L365" s="1">
        <v>120</v>
      </c>
      <c r="M365" s="1" t="s">
        <v>94</v>
      </c>
      <c r="N365" s="1" t="s">
        <v>95</v>
      </c>
      <c r="O365" s="1"/>
      <c r="P365" s="1" t="s">
        <v>96</v>
      </c>
      <c r="Q365" s="1" t="s">
        <v>200</v>
      </c>
      <c r="R365" s="1">
        <v>1</v>
      </c>
      <c r="S365" s="1" t="s">
        <v>97</v>
      </c>
      <c r="T365" s="1" t="s">
        <v>200</v>
      </c>
      <c r="U365" s="1" t="b">
        <v>0</v>
      </c>
      <c r="V365" s="1" t="b">
        <v>1</v>
      </c>
      <c r="W365" s="1" t="b">
        <v>0</v>
      </c>
      <c r="X365" s="1">
        <v>0</v>
      </c>
      <c r="Y365" s="1" t="b">
        <v>1</v>
      </c>
      <c r="Z365" s="1" t="b">
        <v>1</v>
      </c>
      <c r="AA365" s="1">
        <v>68.5</v>
      </c>
      <c r="AB365" s="1" t="b">
        <v>1</v>
      </c>
      <c r="AC365" s="1">
        <v>156972874</v>
      </c>
      <c r="AD365" s="1">
        <v>2148534</v>
      </c>
      <c r="AE365" s="1">
        <v>0</v>
      </c>
      <c r="AF365" s="1" t="s">
        <v>1579</v>
      </c>
      <c r="AG365" s="1" t="s">
        <v>1580</v>
      </c>
      <c r="AH365" s="1">
        <v>69.099999999999994</v>
      </c>
      <c r="AI365" s="1">
        <v>68.3</v>
      </c>
      <c r="AJ365" s="1" t="s">
        <v>1581</v>
      </c>
      <c r="AK365" s="1" t="s">
        <v>1582</v>
      </c>
      <c r="AL365" s="1" t="s">
        <v>1583</v>
      </c>
    </row>
    <row r="366" spans="1:38" x14ac:dyDescent="0.6">
      <c r="A366" s="1">
        <v>249</v>
      </c>
      <c r="B366" s="1" t="s">
        <v>88</v>
      </c>
      <c r="C366" s="1"/>
      <c r="D366" s="1"/>
      <c r="E366" s="1" t="s">
        <v>90</v>
      </c>
      <c r="F366" s="1"/>
      <c r="G366" s="1"/>
      <c r="H366" s="1" t="s">
        <v>91</v>
      </c>
      <c r="I366" s="1" t="s">
        <v>92</v>
      </c>
      <c r="J366" s="1" t="s">
        <v>109</v>
      </c>
      <c r="K366" s="1">
        <v>1</v>
      </c>
      <c r="L366" s="1">
        <v>120</v>
      </c>
      <c r="M366" s="1" t="s">
        <v>14</v>
      </c>
      <c r="N366" s="1" t="s">
        <v>95</v>
      </c>
      <c r="O366" s="1" t="s">
        <v>96</v>
      </c>
      <c r="P366" s="1"/>
      <c r="Q366" s="1" t="s">
        <v>9</v>
      </c>
      <c r="R366" s="1">
        <v>0</v>
      </c>
      <c r="S366" s="1" t="s">
        <v>97</v>
      </c>
      <c r="T366" s="1" t="s">
        <v>97</v>
      </c>
      <c r="U366" s="1" t="b">
        <v>1</v>
      </c>
      <c r="V366" s="1" t="b">
        <v>0</v>
      </c>
      <c r="W366" s="1" t="b">
        <v>0</v>
      </c>
      <c r="X366" s="1">
        <v>5</v>
      </c>
      <c r="Y366" s="1" t="b">
        <v>1</v>
      </c>
      <c r="Z366" s="1" t="b">
        <v>1</v>
      </c>
      <c r="AA366" s="1"/>
      <c r="AB366" s="1" t="b">
        <v>1</v>
      </c>
      <c r="AC366" s="1">
        <v>142653971</v>
      </c>
      <c r="AD366" s="1">
        <v>738797</v>
      </c>
      <c r="AE366" s="1">
        <v>0</v>
      </c>
      <c r="AF366" s="1" t="s">
        <v>1509</v>
      </c>
      <c r="AG366" s="1" t="s">
        <v>1510</v>
      </c>
      <c r="AH366" s="1">
        <v>60.1</v>
      </c>
      <c r="AI366" s="1">
        <v>61.1</v>
      </c>
      <c r="AJ366" s="1" t="s">
        <v>1584</v>
      </c>
      <c r="AK366" s="1" t="s">
        <v>1585</v>
      </c>
      <c r="AL366" s="1" t="s">
        <v>1586</v>
      </c>
    </row>
    <row r="367" spans="1:38" x14ac:dyDescent="0.6">
      <c r="A367" s="1">
        <v>246</v>
      </c>
      <c r="B367" s="1" t="s">
        <v>88</v>
      </c>
      <c r="C367" s="1">
        <v>50</v>
      </c>
      <c r="D367" s="1" t="s">
        <v>89</v>
      </c>
      <c r="E367" s="1" t="s">
        <v>108</v>
      </c>
      <c r="F367" s="1"/>
      <c r="G367" s="1"/>
      <c r="H367" s="1" t="s">
        <v>220</v>
      </c>
      <c r="I367" s="1" t="s">
        <v>221</v>
      </c>
      <c r="J367" s="1" t="s">
        <v>222</v>
      </c>
      <c r="K367" s="1">
        <v>1.25</v>
      </c>
      <c r="L367" s="1">
        <v>120</v>
      </c>
      <c r="M367" s="1" t="s">
        <v>7</v>
      </c>
      <c r="N367" s="1" t="s">
        <v>7</v>
      </c>
      <c r="O367" s="1" t="s">
        <v>96</v>
      </c>
      <c r="P367" s="1" t="s">
        <v>96</v>
      </c>
      <c r="Q367" s="1" t="s">
        <v>9</v>
      </c>
      <c r="R367" s="1">
        <v>0</v>
      </c>
      <c r="S367" s="1" t="s">
        <v>97</v>
      </c>
      <c r="T367" s="1" t="s">
        <v>97</v>
      </c>
      <c r="U367" s="1" t="b">
        <v>1</v>
      </c>
      <c r="V367" s="1" t="b">
        <v>0</v>
      </c>
      <c r="W367" s="1" t="b">
        <v>0</v>
      </c>
      <c r="X367" s="1">
        <v>5</v>
      </c>
      <c r="Y367" s="1" t="b">
        <v>1</v>
      </c>
      <c r="Z367" s="1" t="b">
        <v>1</v>
      </c>
      <c r="AA367" s="1">
        <v>66.3</v>
      </c>
      <c r="AB367" s="1" t="b">
        <v>0</v>
      </c>
      <c r="AC367" s="1">
        <v>0</v>
      </c>
      <c r="AD367" s="1">
        <v>3355396</v>
      </c>
      <c r="AE367" s="1">
        <v>143445244</v>
      </c>
      <c r="AF367" s="1" t="s">
        <v>1587</v>
      </c>
      <c r="AG367" s="1" t="s">
        <v>1587</v>
      </c>
      <c r="AH367" s="1">
        <v>68.099999999999994</v>
      </c>
      <c r="AI367" s="1">
        <v>64.2</v>
      </c>
      <c r="AJ367" s="1" t="s">
        <v>1588</v>
      </c>
      <c r="AK367" s="1" t="s">
        <v>1589</v>
      </c>
      <c r="AL367" s="1" t="s">
        <v>1590</v>
      </c>
    </row>
    <row r="368" spans="1:38" x14ac:dyDescent="0.6">
      <c r="A368" s="1">
        <v>265</v>
      </c>
      <c r="B368" s="1" t="s">
        <v>103</v>
      </c>
      <c r="C368" s="1">
        <v>57</v>
      </c>
      <c r="D368" s="1" t="s">
        <v>89</v>
      </c>
      <c r="E368" s="1" t="s">
        <v>90</v>
      </c>
      <c r="F368" s="1"/>
      <c r="G368" s="1"/>
      <c r="H368" s="1" t="s">
        <v>91</v>
      </c>
      <c r="I368" s="1" t="s">
        <v>92</v>
      </c>
      <c r="J368" s="1" t="s">
        <v>93</v>
      </c>
      <c r="K368" s="1">
        <v>1</v>
      </c>
      <c r="L368" s="1">
        <v>120</v>
      </c>
      <c r="M368" s="1" t="s">
        <v>94</v>
      </c>
      <c r="N368" s="1" t="s">
        <v>95</v>
      </c>
      <c r="O368" s="1"/>
      <c r="P368" s="1" t="s">
        <v>96</v>
      </c>
      <c r="Q368" s="1" t="s">
        <v>9</v>
      </c>
      <c r="R368" s="1">
        <v>0</v>
      </c>
      <c r="S368" s="1" t="s">
        <v>97</v>
      </c>
      <c r="T368" s="1" t="s">
        <v>97</v>
      </c>
      <c r="U368" s="1" t="b">
        <v>1</v>
      </c>
      <c r="V368" s="1" t="b">
        <v>0</v>
      </c>
      <c r="W368" s="1" t="b">
        <v>0</v>
      </c>
      <c r="X368" s="1">
        <v>0</v>
      </c>
      <c r="Y368" s="1" t="b">
        <v>1</v>
      </c>
      <c r="Z368" s="1" t="b">
        <v>1</v>
      </c>
      <c r="AA368" s="1">
        <v>75.8</v>
      </c>
      <c r="AB368" s="1" t="b">
        <v>1</v>
      </c>
      <c r="AC368" s="1">
        <v>129057245</v>
      </c>
      <c r="AD368" s="1">
        <v>1228323</v>
      </c>
      <c r="AE368" s="1">
        <v>0</v>
      </c>
      <c r="AF368" s="1" t="s">
        <v>1591</v>
      </c>
      <c r="AG368" s="1" t="s">
        <v>1592</v>
      </c>
      <c r="AH368" s="1">
        <v>70.3</v>
      </c>
      <c r="AI368" s="1">
        <v>72.099999999999994</v>
      </c>
      <c r="AJ368" s="1" t="s">
        <v>1593</v>
      </c>
      <c r="AK368" s="1" t="s">
        <v>1594</v>
      </c>
      <c r="AL368" s="1" t="s">
        <v>1595</v>
      </c>
    </row>
    <row r="369" spans="1:38" x14ac:dyDescent="0.6">
      <c r="A369" s="1">
        <v>263</v>
      </c>
      <c r="B369" s="1" t="s">
        <v>88</v>
      </c>
      <c r="C369" s="1">
        <v>89</v>
      </c>
      <c r="D369" s="1" t="s">
        <v>153</v>
      </c>
      <c r="E369" s="1"/>
      <c r="F369" s="1"/>
      <c r="G369" s="1"/>
      <c r="H369" s="1" t="s">
        <v>91</v>
      </c>
      <c r="I369" s="1" t="s">
        <v>92</v>
      </c>
      <c r="J369" s="1" t="s">
        <v>93</v>
      </c>
      <c r="K369" s="1">
        <v>1</v>
      </c>
      <c r="L369" s="1">
        <v>120</v>
      </c>
      <c r="M369" s="1" t="s">
        <v>94</v>
      </c>
      <c r="N369" s="1" t="s">
        <v>95</v>
      </c>
      <c r="O369" s="1"/>
      <c r="P369" s="1" t="s">
        <v>96</v>
      </c>
      <c r="Q369" s="1" t="s">
        <v>9</v>
      </c>
      <c r="R369" s="1">
        <v>0</v>
      </c>
      <c r="S369" s="1" t="s">
        <v>97</v>
      </c>
      <c r="T369" s="1" t="s">
        <v>97</v>
      </c>
      <c r="U369" s="1" t="b">
        <v>1</v>
      </c>
      <c r="V369" s="1" t="b">
        <v>0</v>
      </c>
      <c r="W369" s="1" t="b">
        <v>0</v>
      </c>
      <c r="X369" s="1">
        <v>0</v>
      </c>
      <c r="Y369" s="1" t="b">
        <v>1</v>
      </c>
      <c r="Z369" s="1" t="b">
        <v>1</v>
      </c>
      <c r="AA369" s="1">
        <v>65.900000000000006</v>
      </c>
      <c r="AB369" s="1" t="b">
        <v>1</v>
      </c>
      <c r="AC369" s="1">
        <v>148488835</v>
      </c>
      <c r="AD369" s="1">
        <v>1981821</v>
      </c>
      <c r="AE369" s="1">
        <v>0</v>
      </c>
      <c r="AF369" s="1" t="s">
        <v>1570</v>
      </c>
      <c r="AG369" s="1" t="s">
        <v>1571</v>
      </c>
      <c r="AH369" s="1">
        <v>66.099999999999994</v>
      </c>
      <c r="AI369" s="1">
        <v>62.9</v>
      </c>
      <c r="AJ369" s="1" t="s">
        <v>1596</v>
      </c>
      <c r="AK369" s="1" t="s">
        <v>1597</v>
      </c>
      <c r="AL369" s="1" t="s">
        <v>1598</v>
      </c>
    </row>
    <row r="370" spans="1:38" x14ac:dyDescent="0.6">
      <c r="A370" s="1">
        <v>265</v>
      </c>
      <c r="B370" s="1" t="s">
        <v>103</v>
      </c>
      <c r="C370" s="1">
        <v>57</v>
      </c>
      <c r="D370" s="1" t="s">
        <v>89</v>
      </c>
      <c r="E370" s="1" t="s">
        <v>90</v>
      </c>
      <c r="F370" s="1"/>
      <c r="G370" s="1"/>
      <c r="H370" s="1" t="s">
        <v>91</v>
      </c>
      <c r="I370" s="1" t="s">
        <v>92</v>
      </c>
      <c r="J370" s="1" t="s">
        <v>93</v>
      </c>
      <c r="K370" s="1">
        <v>1</v>
      </c>
      <c r="L370" s="1">
        <v>120</v>
      </c>
      <c r="M370" s="1" t="s">
        <v>14</v>
      </c>
      <c r="N370" s="1" t="s">
        <v>95</v>
      </c>
      <c r="O370" s="1" t="s">
        <v>96</v>
      </c>
      <c r="P370" s="1"/>
      <c r="Q370" s="1" t="s">
        <v>9</v>
      </c>
      <c r="R370" s="1">
        <v>0</v>
      </c>
      <c r="S370" s="1" t="s">
        <v>97</v>
      </c>
      <c r="T370" s="1" t="s">
        <v>97</v>
      </c>
      <c r="U370" s="1" t="b">
        <v>1</v>
      </c>
      <c r="V370" s="1" t="b">
        <v>0</v>
      </c>
      <c r="W370" s="1" t="b">
        <v>0</v>
      </c>
      <c r="X370" s="1">
        <v>5</v>
      </c>
      <c r="Y370" s="1" t="b">
        <v>1</v>
      </c>
      <c r="Z370" s="1" t="b">
        <v>1</v>
      </c>
      <c r="AA370" s="1"/>
      <c r="AB370" s="1" t="b">
        <v>1</v>
      </c>
      <c r="AC370" s="1">
        <v>127242195</v>
      </c>
      <c r="AD370" s="1">
        <v>421933</v>
      </c>
      <c r="AE370" s="1">
        <v>0</v>
      </c>
      <c r="AF370" s="1" t="s">
        <v>1591</v>
      </c>
      <c r="AG370" s="1" t="s">
        <v>1592</v>
      </c>
      <c r="AH370" s="1">
        <v>70.3</v>
      </c>
      <c r="AI370" s="1">
        <v>72.099999999999994</v>
      </c>
      <c r="AJ370" s="1" t="s">
        <v>1599</v>
      </c>
      <c r="AK370" s="1" t="s">
        <v>1600</v>
      </c>
      <c r="AL370" s="1" t="s">
        <v>1601</v>
      </c>
    </row>
    <row r="371" spans="1:38" x14ac:dyDescent="0.6">
      <c r="A371" s="1">
        <v>259</v>
      </c>
      <c r="B371" s="1" t="s">
        <v>88</v>
      </c>
      <c r="C371" s="1">
        <v>84</v>
      </c>
      <c r="D371" s="1" t="s">
        <v>153</v>
      </c>
      <c r="E371" s="1" t="s">
        <v>108</v>
      </c>
      <c r="F371" s="1"/>
      <c r="G371" s="1"/>
      <c r="H371" s="1" t="s">
        <v>220</v>
      </c>
      <c r="I371" s="1" t="s">
        <v>221</v>
      </c>
      <c r="J371" s="1" t="s">
        <v>222</v>
      </c>
      <c r="K371" s="1">
        <v>1.25</v>
      </c>
      <c r="L371" s="1">
        <v>120</v>
      </c>
      <c r="M371" s="1" t="s">
        <v>14</v>
      </c>
      <c r="N371" s="1" t="s">
        <v>14</v>
      </c>
      <c r="O371" s="1" t="s">
        <v>96</v>
      </c>
      <c r="P371" s="1"/>
      <c r="Q371" s="1" t="s">
        <v>9</v>
      </c>
      <c r="R371" s="1">
        <v>0</v>
      </c>
      <c r="S371" s="1"/>
      <c r="T371" s="1" t="s">
        <v>97</v>
      </c>
      <c r="U371" s="1"/>
      <c r="V371" s="1" t="b">
        <v>0</v>
      </c>
      <c r="W371" s="1" t="b">
        <v>0</v>
      </c>
      <c r="X371" s="1">
        <v>5</v>
      </c>
      <c r="Y371" s="1" t="b">
        <v>1</v>
      </c>
      <c r="Z371" s="1" t="b">
        <v>1</v>
      </c>
      <c r="AA371" s="1"/>
      <c r="AB371" s="1" t="b">
        <v>1</v>
      </c>
      <c r="AC371" s="1">
        <v>140809464</v>
      </c>
      <c r="AD371" s="1">
        <v>748296</v>
      </c>
      <c r="AE371" s="1">
        <v>0</v>
      </c>
      <c r="AF371" s="1" t="s">
        <v>1602</v>
      </c>
      <c r="AG371" s="1"/>
      <c r="AH371" s="1">
        <v>50.1</v>
      </c>
      <c r="AI371" s="1"/>
      <c r="AJ371" s="1" t="s">
        <v>1603</v>
      </c>
      <c r="AK371" s="1" t="s">
        <v>1604</v>
      </c>
      <c r="AL371" s="1" t="s">
        <v>1605</v>
      </c>
    </row>
    <row r="372" spans="1:38" x14ac:dyDescent="0.6">
      <c r="A372" s="1">
        <v>267</v>
      </c>
      <c r="B372" s="1" t="s">
        <v>88</v>
      </c>
      <c r="C372" s="1">
        <v>63</v>
      </c>
      <c r="D372" s="1" t="s">
        <v>127</v>
      </c>
      <c r="E372" s="1" t="s">
        <v>90</v>
      </c>
      <c r="F372" s="1"/>
      <c r="G372" s="1"/>
      <c r="H372" s="1" t="s">
        <v>189</v>
      </c>
      <c r="I372" s="1" t="s">
        <v>190</v>
      </c>
      <c r="J372" s="1" t="s">
        <v>191</v>
      </c>
      <c r="K372" s="1">
        <v>1</v>
      </c>
      <c r="L372" s="1">
        <v>120</v>
      </c>
      <c r="M372" s="1" t="s">
        <v>94</v>
      </c>
      <c r="N372" s="1" t="s">
        <v>95</v>
      </c>
      <c r="O372" s="1"/>
      <c r="P372" s="1" t="s">
        <v>96</v>
      </c>
      <c r="Q372" s="1" t="s">
        <v>200</v>
      </c>
      <c r="R372" s="1">
        <v>1</v>
      </c>
      <c r="S372" s="1" t="s">
        <v>97</v>
      </c>
      <c r="T372" s="1" t="s">
        <v>200</v>
      </c>
      <c r="U372" s="1" t="b">
        <v>0</v>
      </c>
      <c r="V372" s="1" t="b">
        <v>1</v>
      </c>
      <c r="W372" s="1" t="b">
        <v>0</v>
      </c>
      <c r="X372" s="1">
        <v>0</v>
      </c>
      <c r="Y372" s="1" t="b">
        <v>1</v>
      </c>
      <c r="Z372" s="1" t="b">
        <v>1</v>
      </c>
      <c r="AA372" s="1">
        <v>57.9</v>
      </c>
      <c r="AB372" s="1" t="b">
        <v>1</v>
      </c>
      <c r="AC372" s="1">
        <v>137516547</v>
      </c>
      <c r="AD372" s="1">
        <v>1944061</v>
      </c>
      <c r="AE372" s="1">
        <v>0</v>
      </c>
      <c r="AF372" s="1" t="s">
        <v>1606</v>
      </c>
      <c r="AG372" s="1" t="s">
        <v>1607</v>
      </c>
      <c r="AH372" s="1">
        <v>55.6</v>
      </c>
      <c r="AI372" s="1">
        <v>54.5</v>
      </c>
      <c r="AJ372" s="1" t="s">
        <v>1608</v>
      </c>
      <c r="AK372" s="1" t="s">
        <v>1609</v>
      </c>
      <c r="AL372" s="1" t="s">
        <v>1610</v>
      </c>
    </row>
    <row r="373" spans="1:38" x14ac:dyDescent="0.6">
      <c r="A373" s="1">
        <v>267</v>
      </c>
      <c r="B373" s="1" t="s">
        <v>88</v>
      </c>
      <c r="C373" s="1">
        <v>63</v>
      </c>
      <c r="D373" s="1" t="s">
        <v>127</v>
      </c>
      <c r="E373" s="1" t="s">
        <v>90</v>
      </c>
      <c r="F373" s="1"/>
      <c r="G373" s="1"/>
      <c r="H373" s="1" t="s">
        <v>189</v>
      </c>
      <c r="I373" s="1" t="s">
        <v>190</v>
      </c>
      <c r="J373" s="1" t="s">
        <v>191</v>
      </c>
      <c r="K373" s="1">
        <v>1</v>
      </c>
      <c r="L373" s="1">
        <v>120</v>
      </c>
      <c r="M373" s="1" t="s">
        <v>14</v>
      </c>
      <c r="N373" s="1" t="s">
        <v>95</v>
      </c>
      <c r="O373" s="1" t="s">
        <v>96</v>
      </c>
      <c r="P373" s="1"/>
      <c r="Q373" s="1" t="s">
        <v>200</v>
      </c>
      <c r="R373" s="1">
        <v>1</v>
      </c>
      <c r="S373" s="1" t="s">
        <v>97</v>
      </c>
      <c r="T373" s="1" t="s">
        <v>200</v>
      </c>
      <c r="U373" s="1" t="b">
        <v>0</v>
      </c>
      <c r="V373" s="1" t="b">
        <v>1</v>
      </c>
      <c r="W373" s="1" t="b">
        <v>1</v>
      </c>
      <c r="X373" s="1">
        <v>6</v>
      </c>
      <c r="Y373" s="1" t="b">
        <v>1</v>
      </c>
      <c r="Z373" s="1" t="b">
        <v>1</v>
      </c>
      <c r="AA373" s="1"/>
      <c r="AB373" s="1" t="b">
        <v>1</v>
      </c>
      <c r="AC373" s="1">
        <v>135210944</v>
      </c>
      <c r="AD373" s="1">
        <v>841792</v>
      </c>
      <c r="AE373" s="1">
        <v>0</v>
      </c>
      <c r="AF373" s="1" t="s">
        <v>1606</v>
      </c>
      <c r="AG373" s="1" t="s">
        <v>1607</v>
      </c>
      <c r="AH373" s="1">
        <v>55.6</v>
      </c>
      <c r="AI373" s="1">
        <v>54.5</v>
      </c>
      <c r="AJ373" s="1" t="s">
        <v>1611</v>
      </c>
      <c r="AK373" s="1" t="s">
        <v>1612</v>
      </c>
      <c r="AL373" s="1" t="s">
        <v>1613</v>
      </c>
    </row>
    <row r="374" spans="1:38" x14ac:dyDescent="0.6">
      <c r="A374" s="1">
        <v>266</v>
      </c>
      <c r="B374" s="1" t="s">
        <v>88</v>
      </c>
      <c r="C374" s="1">
        <v>53</v>
      </c>
      <c r="D374" s="1" t="s">
        <v>89</v>
      </c>
      <c r="E374" s="1" t="s">
        <v>90</v>
      </c>
      <c r="F374" s="1"/>
      <c r="G374" s="1"/>
      <c r="H374" s="1" t="s">
        <v>189</v>
      </c>
      <c r="I374" s="1" t="s">
        <v>190</v>
      </c>
      <c r="J374" s="1" t="s">
        <v>191</v>
      </c>
      <c r="K374" s="1">
        <v>1</v>
      </c>
      <c r="L374" s="1">
        <v>120</v>
      </c>
      <c r="M374" s="1" t="s">
        <v>7</v>
      </c>
      <c r="N374" s="1" t="s">
        <v>7</v>
      </c>
      <c r="O374" s="1" t="s">
        <v>96</v>
      </c>
      <c r="P374" s="1" t="s">
        <v>96</v>
      </c>
      <c r="Q374" s="1" t="s">
        <v>9</v>
      </c>
      <c r="R374" s="1">
        <v>0</v>
      </c>
      <c r="S374" s="1" t="s">
        <v>97</v>
      </c>
      <c r="T374" s="1" t="s">
        <v>97</v>
      </c>
      <c r="U374" s="1" t="b">
        <v>1</v>
      </c>
      <c r="V374" s="1" t="b">
        <v>0</v>
      </c>
      <c r="W374" s="1" t="b">
        <v>0</v>
      </c>
      <c r="X374" s="1">
        <v>5</v>
      </c>
      <c r="Y374" s="1" t="b">
        <v>1</v>
      </c>
      <c r="Z374" s="1" t="b">
        <v>1</v>
      </c>
      <c r="AA374" s="1">
        <v>71.7</v>
      </c>
      <c r="AB374" s="1" t="b">
        <v>0</v>
      </c>
      <c r="AC374" s="1">
        <v>0</v>
      </c>
      <c r="AD374" s="1">
        <v>2943144</v>
      </c>
      <c r="AE374" s="1">
        <v>128391000</v>
      </c>
      <c r="AF374" s="1" t="s">
        <v>1614</v>
      </c>
      <c r="AG374" s="1" t="s">
        <v>1614</v>
      </c>
      <c r="AH374" s="1">
        <v>69.099999999999994</v>
      </c>
      <c r="AI374" s="1">
        <v>65.7</v>
      </c>
      <c r="AJ374" s="1" t="s">
        <v>1615</v>
      </c>
      <c r="AK374" s="1" t="s">
        <v>1616</v>
      </c>
      <c r="AL374" s="1" t="s">
        <v>1617</v>
      </c>
    </row>
    <row r="375" spans="1:38" x14ac:dyDescent="0.6">
      <c r="A375" s="1">
        <v>260</v>
      </c>
      <c r="B375" s="1" t="s">
        <v>103</v>
      </c>
      <c r="C375" s="1">
        <v>55</v>
      </c>
      <c r="D375" s="1" t="s">
        <v>89</v>
      </c>
      <c r="E375" s="1" t="s">
        <v>108</v>
      </c>
      <c r="F375" s="1"/>
      <c r="G375" s="1"/>
      <c r="H375" s="1" t="s">
        <v>220</v>
      </c>
      <c r="I375" s="1" t="s">
        <v>221</v>
      </c>
      <c r="J375" s="1" t="s">
        <v>1176</v>
      </c>
      <c r="K375" s="1">
        <v>1.25</v>
      </c>
      <c r="L375" s="1">
        <v>120</v>
      </c>
      <c r="M375" s="1" t="s">
        <v>14</v>
      </c>
      <c r="N375" s="1" t="s">
        <v>95</v>
      </c>
      <c r="O375" s="1" t="s">
        <v>96</v>
      </c>
      <c r="P375" s="1"/>
      <c r="Q375" s="1" t="s">
        <v>9</v>
      </c>
      <c r="R375" s="1">
        <v>0</v>
      </c>
      <c r="S375" s="1" t="s">
        <v>97</v>
      </c>
      <c r="T375" s="1" t="s">
        <v>97</v>
      </c>
      <c r="U375" s="1" t="b">
        <v>1</v>
      </c>
      <c r="V375" s="1" t="b">
        <v>0</v>
      </c>
      <c r="W375" s="1" t="b">
        <v>0</v>
      </c>
      <c r="X375" s="1">
        <v>5</v>
      </c>
      <c r="Y375" s="1" t="b">
        <v>1</v>
      </c>
      <c r="Z375" s="1" t="b">
        <v>1</v>
      </c>
      <c r="AA375" s="1"/>
      <c r="AB375" s="1" t="b">
        <v>1</v>
      </c>
      <c r="AC375" s="1">
        <v>138616551</v>
      </c>
      <c r="AD375" s="1">
        <v>844057</v>
      </c>
      <c r="AE375" s="1">
        <v>0</v>
      </c>
      <c r="AF375" s="1" t="s">
        <v>1565</v>
      </c>
      <c r="AG375" s="1" t="s">
        <v>1566</v>
      </c>
      <c r="AH375" s="1">
        <v>87.7</v>
      </c>
      <c r="AI375" s="1">
        <v>71.5</v>
      </c>
      <c r="AJ375" s="1" t="s">
        <v>1618</v>
      </c>
      <c r="AK375" s="1" t="s">
        <v>1619</v>
      </c>
      <c r="AL375" s="1" t="s">
        <v>1620</v>
      </c>
    </row>
    <row r="376" spans="1:38" x14ac:dyDescent="0.6">
      <c r="A376" s="1">
        <v>269</v>
      </c>
      <c r="B376" s="1" t="s">
        <v>103</v>
      </c>
      <c r="C376" s="1">
        <v>62</v>
      </c>
      <c r="D376" s="1" t="s">
        <v>127</v>
      </c>
      <c r="E376" s="1" t="s">
        <v>108</v>
      </c>
      <c r="F376" s="1"/>
      <c r="G376" s="1"/>
      <c r="H376" s="1" t="s">
        <v>220</v>
      </c>
      <c r="I376" s="1" t="s">
        <v>221</v>
      </c>
      <c r="J376" s="1" t="s">
        <v>222</v>
      </c>
      <c r="K376" s="1">
        <v>1.25</v>
      </c>
      <c r="L376" s="1">
        <v>120</v>
      </c>
      <c r="M376" s="1" t="s">
        <v>14</v>
      </c>
      <c r="N376" s="1" t="s">
        <v>95</v>
      </c>
      <c r="O376" s="1" t="s">
        <v>96</v>
      </c>
      <c r="P376" s="1"/>
      <c r="Q376" s="1" t="s">
        <v>9</v>
      </c>
      <c r="R376" s="1">
        <v>0</v>
      </c>
      <c r="S376" s="1" t="s">
        <v>97</v>
      </c>
      <c r="T376" s="1" t="s">
        <v>97</v>
      </c>
      <c r="U376" s="1" t="b">
        <v>1</v>
      </c>
      <c r="V376" s="1" t="b">
        <v>0</v>
      </c>
      <c r="W376" s="1" t="b">
        <v>0</v>
      </c>
      <c r="X376" s="1">
        <v>5</v>
      </c>
      <c r="Y376" s="1" t="b">
        <v>1</v>
      </c>
      <c r="Z376" s="1" t="b">
        <v>1</v>
      </c>
      <c r="AA376" s="1"/>
      <c r="AB376" s="1" t="b">
        <v>1</v>
      </c>
      <c r="AC376" s="1">
        <v>141948590</v>
      </c>
      <c r="AD376" s="1">
        <v>919890</v>
      </c>
      <c r="AE376" s="1">
        <v>0</v>
      </c>
      <c r="AF376" s="1" t="s">
        <v>1621</v>
      </c>
      <c r="AG376" s="1" t="s">
        <v>1622</v>
      </c>
      <c r="AH376" s="1">
        <v>50</v>
      </c>
      <c r="AI376" s="1">
        <v>51.9</v>
      </c>
      <c r="AJ376" s="1" t="s">
        <v>1623</v>
      </c>
      <c r="AK376" s="1" t="s">
        <v>1624</v>
      </c>
      <c r="AL376" s="1" t="s">
        <v>1625</v>
      </c>
    </row>
    <row r="377" spans="1:38" x14ac:dyDescent="0.6">
      <c r="A377" s="1">
        <v>272</v>
      </c>
      <c r="B377" s="1" t="s">
        <v>88</v>
      </c>
      <c r="C377" s="1">
        <v>54</v>
      </c>
      <c r="D377" s="1" t="s">
        <v>89</v>
      </c>
      <c r="E377" s="1" t="s">
        <v>90</v>
      </c>
      <c r="F377" s="1"/>
      <c r="G377" s="1"/>
      <c r="H377" s="1" t="s">
        <v>220</v>
      </c>
      <c r="I377" s="1" t="s">
        <v>221</v>
      </c>
      <c r="J377" s="1" t="s">
        <v>222</v>
      </c>
      <c r="K377" s="1">
        <v>1.25</v>
      </c>
      <c r="L377" s="1">
        <v>120</v>
      </c>
      <c r="M377" s="1" t="s">
        <v>94</v>
      </c>
      <c r="N377" s="1" t="s">
        <v>236</v>
      </c>
      <c r="O377" s="1"/>
      <c r="P377" s="1" t="s">
        <v>96</v>
      </c>
      <c r="Q377" s="1" t="s">
        <v>9</v>
      </c>
      <c r="R377" s="1">
        <v>0</v>
      </c>
      <c r="S377" s="1" t="s">
        <v>97</v>
      </c>
      <c r="T377" s="1"/>
      <c r="U377" s="1"/>
      <c r="V377" s="1" t="b">
        <v>0</v>
      </c>
      <c r="W377" s="1" t="b">
        <v>0</v>
      </c>
      <c r="X377" s="1">
        <v>0</v>
      </c>
      <c r="Y377" s="1" t="b">
        <v>1</v>
      </c>
      <c r="Z377" s="1" t="b">
        <v>1</v>
      </c>
      <c r="AA377" s="1">
        <v>79.099999999999994</v>
      </c>
      <c r="AB377" s="1" t="b">
        <v>1</v>
      </c>
      <c r="AC377" s="1">
        <v>123268464</v>
      </c>
      <c r="AD377" s="1">
        <v>1774224</v>
      </c>
      <c r="AE377" s="1">
        <v>0</v>
      </c>
      <c r="AF377" s="1"/>
      <c r="AG377" s="1" t="s">
        <v>1626</v>
      </c>
      <c r="AH377" s="1"/>
      <c r="AI377" s="1">
        <v>76</v>
      </c>
      <c r="AJ377" s="1" t="s">
        <v>1627</v>
      </c>
      <c r="AK377" s="1" t="s">
        <v>1628</v>
      </c>
      <c r="AL377" s="1" t="s">
        <v>1629</v>
      </c>
    </row>
    <row r="378" spans="1:38" x14ac:dyDescent="0.6">
      <c r="A378" s="1">
        <v>276</v>
      </c>
      <c r="B378" s="1" t="s">
        <v>88</v>
      </c>
      <c r="C378" s="1">
        <v>50</v>
      </c>
      <c r="D378" s="1" t="s">
        <v>89</v>
      </c>
      <c r="E378" s="1" t="s">
        <v>90</v>
      </c>
      <c r="F378" s="1"/>
      <c r="G378" s="1"/>
      <c r="H378" s="1" t="s">
        <v>220</v>
      </c>
      <c r="I378" s="1" t="s">
        <v>221</v>
      </c>
      <c r="J378" s="1" t="s">
        <v>222</v>
      </c>
      <c r="K378" s="1">
        <v>1.25</v>
      </c>
      <c r="L378" s="1">
        <v>120</v>
      </c>
      <c r="M378" s="1" t="s">
        <v>94</v>
      </c>
      <c r="N378" s="1" t="s">
        <v>236</v>
      </c>
      <c r="O378" s="1"/>
      <c r="P378" s="1" t="s">
        <v>96</v>
      </c>
      <c r="Q378" s="1" t="s">
        <v>9</v>
      </c>
      <c r="R378" s="1">
        <v>0</v>
      </c>
      <c r="S378" s="1" t="s">
        <v>97</v>
      </c>
      <c r="T378" s="1"/>
      <c r="U378" s="1"/>
      <c r="V378" s="1" t="b">
        <v>0</v>
      </c>
      <c r="W378" s="1" t="b">
        <v>0</v>
      </c>
      <c r="X378" s="1">
        <v>0</v>
      </c>
      <c r="Y378" s="1" t="b">
        <v>1</v>
      </c>
      <c r="Z378" s="1" t="b">
        <v>1</v>
      </c>
      <c r="AA378" s="1">
        <v>85.4</v>
      </c>
      <c r="AB378" s="1" t="b">
        <v>1</v>
      </c>
      <c r="AC378" s="1">
        <v>119170500</v>
      </c>
      <c r="AD378" s="1">
        <v>1677884</v>
      </c>
      <c r="AE378" s="1">
        <v>0</v>
      </c>
      <c r="AF378" s="1"/>
      <c r="AG378" s="1" t="s">
        <v>1630</v>
      </c>
      <c r="AH378" s="1"/>
      <c r="AI378" s="1">
        <v>82.2</v>
      </c>
      <c r="AJ378" s="1" t="s">
        <v>1631</v>
      </c>
      <c r="AK378" s="1" t="s">
        <v>1632</v>
      </c>
      <c r="AL378" s="1" t="s">
        <v>1633</v>
      </c>
    </row>
    <row r="379" spans="1:38" x14ac:dyDescent="0.6">
      <c r="A379" s="1">
        <v>274</v>
      </c>
      <c r="B379" s="1" t="s">
        <v>103</v>
      </c>
      <c r="C379" s="1">
        <v>54</v>
      </c>
      <c r="D379" s="1" t="s">
        <v>89</v>
      </c>
      <c r="E379" s="1" t="s">
        <v>108</v>
      </c>
      <c r="F379" s="1"/>
      <c r="G379" s="1"/>
      <c r="H379" s="1" t="s">
        <v>220</v>
      </c>
      <c r="I379" s="1" t="s">
        <v>221</v>
      </c>
      <c r="J379" s="1" t="s">
        <v>222</v>
      </c>
      <c r="K379" s="1">
        <v>1.25</v>
      </c>
      <c r="L379" s="1">
        <v>120</v>
      </c>
      <c r="M379" s="1" t="s">
        <v>94</v>
      </c>
      <c r="N379" s="1" t="s">
        <v>95</v>
      </c>
      <c r="O379" s="1"/>
      <c r="P379" s="1" t="s">
        <v>96</v>
      </c>
      <c r="Q379" s="1" t="s">
        <v>9</v>
      </c>
      <c r="R379" s="1">
        <v>0</v>
      </c>
      <c r="S379" s="1" t="s">
        <v>97</v>
      </c>
      <c r="T379" s="1" t="s">
        <v>97</v>
      </c>
      <c r="U379" s="1" t="b">
        <v>1</v>
      </c>
      <c r="V379" s="1" t="b">
        <v>0</v>
      </c>
      <c r="W379" s="1" t="b">
        <v>0</v>
      </c>
      <c r="X379" s="1">
        <v>0</v>
      </c>
      <c r="Y379" s="1" t="b">
        <v>1</v>
      </c>
      <c r="Z379" s="1" t="b">
        <v>1</v>
      </c>
      <c r="AA379" s="1">
        <v>72.5</v>
      </c>
      <c r="AB379" s="1" t="b">
        <v>1</v>
      </c>
      <c r="AC379" s="1">
        <v>143518564</v>
      </c>
      <c r="AD379" s="1">
        <v>1709212</v>
      </c>
      <c r="AE379" s="1">
        <v>0</v>
      </c>
      <c r="AF379" s="1" t="s">
        <v>1634</v>
      </c>
      <c r="AG379" s="1" t="s">
        <v>1635</v>
      </c>
      <c r="AH379" s="1">
        <v>75</v>
      </c>
      <c r="AI379" s="1">
        <v>70.3</v>
      </c>
      <c r="AJ379" s="1" t="s">
        <v>1636</v>
      </c>
      <c r="AK379" s="1" t="s">
        <v>1637</v>
      </c>
      <c r="AL379" s="1" t="s">
        <v>1638</v>
      </c>
    </row>
    <row r="380" spans="1:38" x14ac:dyDescent="0.6">
      <c r="A380" s="1">
        <v>275</v>
      </c>
      <c r="B380" s="1" t="s">
        <v>88</v>
      </c>
      <c r="C380" s="1">
        <v>56</v>
      </c>
      <c r="D380" s="1" t="s">
        <v>89</v>
      </c>
      <c r="E380" s="1" t="s">
        <v>90</v>
      </c>
      <c r="F380" s="1"/>
      <c r="G380" s="1"/>
      <c r="H380" s="1" t="s">
        <v>220</v>
      </c>
      <c r="I380" s="1" t="s">
        <v>221</v>
      </c>
      <c r="J380" s="1" t="s">
        <v>222</v>
      </c>
      <c r="K380" s="1">
        <v>1.25</v>
      </c>
      <c r="L380" s="1">
        <v>120</v>
      </c>
      <c r="M380" s="1" t="s">
        <v>14</v>
      </c>
      <c r="N380" s="1" t="s">
        <v>95</v>
      </c>
      <c r="O380" s="1" t="s">
        <v>96</v>
      </c>
      <c r="P380" s="1"/>
      <c r="Q380" s="1" t="s">
        <v>9</v>
      </c>
      <c r="R380" s="1">
        <v>0</v>
      </c>
      <c r="S380" s="1" t="s">
        <v>97</v>
      </c>
      <c r="T380" s="1" t="s">
        <v>97</v>
      </c>
      <c r="U380" s="1" t="b">
        <v>1</v>
      </c>
      <c r="V380" s="1" t="b">
        <v>0</v>
      </c>
      <c r="W380" s="1" t="b">
        <v>0</v>
      </c>
      <c r="X380" s="1">
        <v>5</v>
      </c>
      <c r="Y380" s="1" t="b">
        <v>1</v>
      </c>
      <c r="Z380" s="1" t="b">
        <v>1</v>
      </c>
      <c r="AA380" s="1"/>
      <c r="AB380" s="1" t="b">
        <v>1</v>
      </c>
      <c r="AC380" s="1">
        <v>133157363</v>
      </c>
      <c r="AD380" s="1">
        <v>798221</v>
      </c>
      <c r="AE380" s="1">
        <v>0</v>
      </c>
      <c r="AF380" s="1" t="s">
        <v>1639</v>
      </c>
      <c r="AG380" s="1" t="s">
        <v>1640</v>
      </c>
      <c r="AH380" s="1">
        <v>64.599999999999994</v>
      </c>
      <c r="AI380" s="1">
        <v>65.3</v>
      </c>
      <c r="AJ380" s="1" t="s">
        <v>1641</v>
      </c>
      <c r="AK380" s="1" t="s">
        <v>1642</v>
      </c>
      <c r="AL380" s="1" t="s">
        <v>1643</v>
      </c>
    </row>
    <row r="381" spans="1:38" x14ac:dyDescent="0.6">
      <c r="A381" s="1">
        <v>270</v>
      </c>
      <c r="B381" s="1" t="s">
        <v>103</v>
      </c>
      <c r="C381" s="1">
        <v>64</v>
      </c>
      <c r="D381" s="1" t="s">
        <v>127</v>
      </c>
      <c r="E381" s="1" t="s">
        <v>90</v>
      </c>
      <c r="F381" s="1"/>
      <c r="G381" s="1"/>
      <c r="H381" s="1" t="s">
        <v>220</v>
      </c>
      <c r="I381" s="1" t="s">
        <v>221</v>
      </c>
      <c r="J381" s="1" t="s">
        <v>222</v>
      </c>
      <c r="K381" s="1">
        <v>1.25</v>
      </c>
      <c r="L381" s="1">
        <v>120</v>
      </c>
      <c r="M381" s="1" t="s">
        <v>7</v>
      </c>
      <c r="N381" s="1" t="s">
        <v>7</v>
      </c>
      <c r="O381" s="1" t="s">
        <v>96</v>
      </c>
      <c r="P381" s="1" t="s">
        <v>96</v>
      </c>
      <c r="Q381" s="1" t="s">
        <v>9</v>
      </c>
      <c r="R381" s="1">
        <v>0</v>
      </c>
      <c r="S381" s="1" t="s">
        <v>97</v>
      </c>
      <c r="T381" s="1" t="s">
        <v>97</v>
      </c>
      <c r="U381" s="1" t="b">
        <v>1</v>
      </c>
      <c r="V381" s="1" t="b">
        <v>0</v>
      </c>
      <c r="W381" s="1" t="b">
        <v>0</v>
      </c>
      <c r="X381" s="1">
        <v>5</v>
      </c>
      <c r="Y381" s="1" t="b">
        <v>1</v>
      </c>
      <c r="Z381" s="1" t="b">
        <v>1</v>
      </c>
      <c r="AA381" s="1">
        <v>71.599999999999994</v>
      </c>
      <c r="AB381" s="1" t="b">
        <v>0</v>
      </c>
      <c r="AC381" s="1">
        <v>0</v>
      </c>
      <c r="AD381" s="1">
        <v>3536733</v>
      </c>
      <c r="AE381" s="1">
        <v>123078819</v>
      </c>
      <c r="AF381" s="1" t="s">
        <v>1644</v>
      </c>
      <c r="AG381" s="1" t="s">
        <v>1644</v>
      </c>
      <c r="AH381" s="1">
        <v>77.5</v>
      </c>
      <c r="AI381" s="1">
        <v>69.5</v>
      </c>
      <c r="AJ381" s="1" t="s">
        <v>1645</v>
      </c>
      <c r="AK381" s="1" t="s">
        <v>1646</v>
      </c>
      <c r="AL381" s="1" t="s">
        <v>1647</v>
      </c>
    </row>
    <row r="382" spans="1:38" x14ac:dyDescent="0.6">
      <c r="A382" s="1">
        <v>271</v>
      </c>
      <c r="B382" s="1" t="s">
        <v>88</v>
      </c>
      <c r="C382" s="1">
        <v>58</v>
      </c>
      <c r="D382" s="1" t="s">
        <v>89</v>
      </c>
      <c r="E382" s="1" t="s">
        <v>90</v>
      </c>
      <c r="F382" s="1"/>
      <c r="G382" s="1"/>
      <c r="H382" s="1" t="s">
        <v>220</v>
      </c>
      <c r="I382" s="1" t="s">
        <v>221</v>
      </c>
      <c r="J382" s="1" t="s">
        <v>222</v>
      </c>
      <c r="K382" s="1">
        <v>1.25</v>
      </c>
      <c r="L382" s="1">
        <v>120</v>
      </c>
      <c r="M382" s="1" t="s">
        <v>7</v>
      </c>
      <c r="N382" s="1" t="s">
        <v>7</v>
      </c>
      <c r="O382" s="1" t="s">
        <v>96</v>
      </c>
      <c r="P382" s="1" t="s">
        <v>96</v>
      </c>
      <c r="Q382" s="1" t="s">
        <v>9</v>
      </c>
      <c r="R382" s="1">
        <v>0</v>
      </c>
      <c r="S382" s="1" t="s">
        <v>97</v>
      </c>
      <c r="T382" s="1" t="s">
        <v>97</v>
      </c>
      <c r="U382" s="1" t="b">
        <v>1</v>
      </c>
      <c r="V382" s="1" t="b">
        <v>0</v>
      </c>
      <c r="W382" s="1" t="b">
        <v>0</v>
      </c>
      <c r="X382" s="1">
        <v>5</v>
      </c>
      <c r="Y382" s="1" t="b">
        <v>1</v>
      </c>
      <c r="Z382" s="1" t="b">
        <v>1</v>
      </c>
      <c r="AA382" s="1">
        <v>58.8</v>
      </c>
      <c r="AB382" s="1" t="b">
        <v>0</v>
      </c>
      <c r="AC382" s="1">
        <v>0</v>
      </c>
      <c r="AD382" s="1">
        <v>2900168</v>
      </c>
      <c r="AE382" s="1">
        <v>135511864</v>
      </c>
      <c r="AF382" s="1" t="s">
        <v>1648</v>
      </c>
      <c r="AG382" s="1" t="s">
        <v>1648</v>
      </c>
      <c r="AH382" s="1">
        <v>65</v>
      </c>
      <c r="AI382" s="1">
        <v>58</v>
      </c>
      <c r="AJ382" s="1" t="s">
        <v>1649</v>
      </c>
      <c r="AK382" s="1" t="s">
        <v>1650</v>
      </c>
      <c r="AL382" s="1" t="s">
        <v>1651</v>
      </c>
    </row>
    <row r="383" spans="1:38" x14ac:dyDescent="0.6">
      <c r="A383" s="1">
        <v>274</v>
      </c>
      <c r="B383" s="1" t="s">
        <v>103</v>
      </c>
      <c r="C383" s="1">
        <v>54</v>
      </c>
      <c r="D383" s="1" t="s">
        <v>89</v>
      </c>
      <c r="E383" s="1" t="s">
        <v>108</v>
      </c>
      <c r="F383" s="1"/>
      <c r="G383" s="1"/>
      <c r="H383" s="1" t="s">
        <v>220</v>
      </c>
      <c r="I383" s="1" t="s">
        <v>221</v>
      </c>
      <c r="J383" s="1" t="s">
        <v>222</v>
      </c>
      <c r="K383" s="1">
        <v>1.25</v>
      </c>
      <c r="L383" s="1">
        <v>120</v>
      </c>
      <c r="M383" s="1" t="s">
        <v>14</v>
      </c>
      <c r="N383" s="1" t="s">
        <v>95</v>
      </c>
      <c r="O383" s="1" t="s">
        <v>96</v>
      </c>
      <c r="P383" s="1"/>
      <c r="Q383" s="1" t="s">
        <v>9</v>
      </c>
      <c r="R383" s="1">
        <v>0</v>
      </c>
      <c r="S383" s="1" t="s">
        <v>97</v>
      </c>
      <c r="T383" s="1" t="s">
        <v>97</v>
      </c>
      <c r="U383" s="1" t="b">
        <v>1</v>
      </c>
      <c r="V383" s="1" t="b">
        <v>0</v>
      </c>
      <c r="W383" s="1" t="b">
        <v>0</v>
      </c>
      <c r="X383" s="1">
        <v>5</v>
      </c>
      <c r="Y383" s="1" t="b">
        <v>1</v>
      </c>
      <c r="Z383" s="1" t="b">
        <v>1</v>
      </c>
      <c r="AA383" s="1"/>
      <c r="AB383" s="1" t="b">
        <v>1</v>
      </c>
      <c r="AC383" s="1">
        <v>143222707</v>
      </c>
      <c r="AD383" s="1">
        <v>694349</v>
      </c>
      <c r="AE383" s="1">
        <v>0</v>
      </c>
      <c r="AF383" s="1" t="s">
        <v>1634</v>
      </c>
      <c r="AG383" s="1" t="s">
        <v>1635</v>
      </c>
      <c r="AH383" s="1">
        <v>75</v>
      </c>
      <c r="AI383" s="1">
        <v>70.3</v>
      </c>
      <c r="AJ383" s="1" t="s">
        <v>1652</v>
      </c>
      <c r="AK383" s="1" t="s">
        <v>1653</v>
      </c>
      <c r="AL383" s="1" t="s">
        <v>1654</v>
      </c>
    </row>
    <row r="384" spans="1:38" x14ac:dyDescent="0.6">
      <c r="A384" s="1">
        <v>261</v>
      </c>
      <c r="B384" s="1" t="s">
        <v>103</v>
      </c>
      <c r="C384" s="1">
        <v>67</v>
      </c>
      <c r="D384" s="1" t="s">
        <v>127</v>
      </c>
      <c r="E384" s="1" t="s">
        <v>108</v>
      </c>
      <c r="F384" s="1"/>
      <c r="G384" s="1"/>
      <c r="H384" s="1" t="s">
        <v>91</v>
      </c>
      <c r="I384" s="1" t="s">
        <v>92</v>
      </c>
      <c r="J384" s="1" t="s">
        <v>93</v>
      </c>
      <c r="K384" s="1">
        <v>1</v>
      </c>
      <c r="L384" s="1">
        <v>120</v>
      </c>
      <c r="M384" s="1" t="s">
        <v>14</v>
      </c>
      <c r="N384" s="1" t="s">
        <v>95</v>
      </c>
      <c r="O384" s="1" t="s">
        <v>96</v>
      </c>
      <c r="P384" s="1"/>
      <c r="Q384" s="1" t="s">
        <v>200</v>
      </c>
      <c r="R384" s="1">
        <v>1</v>
      </c>
      <c r="S384" s="1" t="s">
        <v>97</v>
      </c>
      <c r="T384" s="1" t="s">
        <v>200</v>
      </c>
      <c r="U384" s="1" t="b">
        <v>0</v>
      </c>
      <c r="V384" s="1" t="b">
        <v>1</v>
      </c>
      <c r="W384" s="1" t="b">
        <v>1</v>
      </c>
      <c r="X384" s="1">
        <v>6</v>
      </c>
      <c r="Y384" s="1" t="b">
        <v>1</v>
      </c>
      <c r="Z384" s="1" t="b">
        <v>1</v>
      </c>
      <c r="AA384" s="1"/>
      <c r="AB384" s="1" t="b">
        <v>1</v>
      </c>
      <c r="AC384" s="1">
        <v>152955474</v>
      </c>
      <c r="AD384" s="1">
        <v>923054</v>
      </c>
      <c r="AE384" s="1">
        <v>0</v>
      </c>
      <c r="AF384" s="1" t="s">
        <v>1579</v>
      </c>
      <c r="AG384" s="1" t="s">
        <v>1580</v>
      </c>
      <c r="AH384" s="1">
        <v>69.099999999999994</v>
      </c>
      <c r="AI384" s="1">
        <v>68.3</v>
      </c>
      <c r="AJ384" s="1" t="s">
        <v>1655</v>
      </c>
      <c r="AK384" s="1" t="s">
        <v>1656</v>
      </c>
      <c r="AL384" s="1" t="s">
        <v>1657</v>
      </c>
    </row>
    <row r="385" spans="1:38" x14ac:dyDescent="0.6">
      <c r="A385" s="1">
        <v>273</v>
      </c>
      <c r="B385" s="1" t="s">
        <v>103</v>
      </c>
      <c r="C385" s="1">
        <v>69</v>
      </c>
      <c r="D385" s="1" t="s">
        <v>127</v>
      </c>
      <c r="E385" s="1" t="s">
        <v>108</v>
      </c>
      <c r="F385" s="1"/>
      <c r="G385" s="1"/>
      <c r="H385" s="1" t="s">
        <v>220</v>
      </c>
      <c r="I385" s="1" t="s">
        <v>221</v>
      </c>
      <c r="J385" s="1" t="s">
        <v>222</v>
      </c>
      <c r="K385" s="1">
        <v>1.25</v>
      </c>
      <c r="L385" s="1">
        <v>120</v>
      </c>
      <c r="M385" s="1" t="s">
        <v>7</v>
      </c>
      <c r="N385" s="1" t="s">
        <v>7</v>
      </c>
      <c r="O385" s="1" t="s">
        <v>96</v>
      </c>
      <c r="P385" s="1" t="s">
        <v>96</v>
      </c>
      <c r="Q385" s="1" t="s">
        <v>9</v>
      </c>
      <c r="R385" s="1">
        <v>0</v>
      </c>
      <c r="S385" s="1" t="s">
        <v>97</v>
      </c>
      <c r="T385" s="1" t="s">
        <v>97</v>
      </c>
      <c r="U385" s="1" t="b">
        <v>1</v>
      </c>
      <c r="V385" s="1" t="b">
        <v>0</v>
      </c>
      <c r="W385" s="1" t="b">
        <v>0</v>
      </c>
      <c r="X385" s="1">
        <v>5</v>
      </c>
      <c r="Y385" s="1" t="b">
        <v>1</v>
      </c>
      <c r="Z385" s="1" t="b">
        <v>1</v>
      </c>
      <c r="AA385" s="1">
        <v>63.4</v>
      </c>
      <c r="AB385" s="1" t="b">
        <v>0</v>
      </c>
      <c r="AC385" s="1">
        <v>0</v>
      </c>
      <c r="AD385" s="1">
        <v>2784729</v>
      </c>
      <c r="AE385" s="1">
        <v>150831655</v>
      </c>
      <c r="AF385" s="1" t="s">
        <v>1658</v>
      </c>
      <c r="AG385" s="1" t="s">
        <v>1658</v>
      </c>
      <c r="AH385" s="1">
        <v>76.2</v>
      </c>
      <c r="AI385" s="1">
        <v>63.1</v>
      </c>
      <c r="AJ385" s="1" t="s">
        <v>1659</v>
      </c>
      <c r="AK385" s="1" t="s">
        <v>1660</v>
      </c>
      <c r="AL385" s="1" t="s">
        <v>1661</v>
      </c>
    </row>
    <row r="386" spans="1:38" x14ac:dyDescent="0.6">
      <c r="A386" s="1">
        <v>262</v>
      </c>
      <c r="B386" s="1" t="s">
        <v>88</v>
      </c>
      <c r="C386" s="1">
        <v>77</v>
      </c>
      <c r="D386" s="1" t="s">
        <v>119</v>
      </c>
      <c r="E386" s="1" t="s">
        <v>108</v>
      </c>
      <c r="F386" s="1"/>
      <c r="G386" s="1"/>
      <c r="H386" s="1" t="s">
        <v>91</v>
      </c>
      <c r="I386" s="1" t="s">
        <v>92</v>
      </c>
      <c r="J386" s="1" t="s">
        <v>93</v>
      </c>
      <c r="K386" s="1">
        <v>1</v>
      </c>
      <c r="L386" s="1">
        <v>120</v>
      </c>
      <c r="M386" s="1" t="s">
        <v>7</v>
      </c>
      <c r="N386" s="1" t="s">
        <v>7</v>
      </c>
      <c r="O386" s="1" t="s">
        <v>96</v>
      </c>
      <c r="P386" s="1" t="s">
        <v>96</v>
      </c>
      <c r="Q386" s="1" t="s">
        <v>9</v>
      </c>
      <c r="R386" s="1">
        <v>0</v>
      </c>
      <c r="S386" s="1" t="s">
        <v>97</v>
      </c>
      <c r="T386" s="1" t="s">
        <v>97</v>
      </c>
      <c r="U386" s="1" t="b">
        <v>1</v>
      </c>
      <c r="V386" s="1" t="b">
        <v>0</v>
      </c>
      <c r="W386" s="1" t="b">
        <v>0</v>
      </c>
      <c r="X386" s="1">
        <v>5</v>
      </c>
      <c r="Y386" s="1" t="b">
        <v>1</v>
      </c>
      <c r="Z386" s="1" t="b">
        <v>1</v>
      </c>
      <c r="AA386" s="1">
        <v>86.6</v>
      </c>
      <c r="AB386" s="1" t="b">
        <v>0</v>
      </c>
      <c r="AC386" s="1">
        <v>0</v>
      </c>
      <c r="AD386" s="1">
        <v>3059479</v>
      </c>
      <c r="AE386" s="1">
        <v>157896937</v>
      </c>
      <c r="AF386" s="1" t="s">
        <v>1662</v>
      </c>
      <c r="AG386" s="1" t="s">
        <v>1662</v>
      </c>
      <c r="AH386" s="1">
        <v>85.4</v>
      </c>
      <c r="AI386" s="1">
        <v>83.5</v>
      </c>
      <c r="AJ386" s="1" t="s">
        <v>1663</v>
      </c>
      <c r="AK386" s="1" t="s">
        <v>1664</v>
      </c>
      <c r="AL386" s="1" t="s">
        <v>1665</v>
      </c>
    </row>
    <row r="387" spans="1:38" x14ac:dyDescent="0.6">
      <c r="A387" s="1">
        <v>279</v>
      </c>
      <c r="B387" s="1" t="s">
        <v>103</v>
      </c>
      <c r="C387" s="1">
        <v>51</v>
      </c>
      <c r="D387" s="1" t="s">
        <v>89</v>
      </c>
      <c r="E387" s="1" t="s">
        <v>108</v>
      </c>
      <c r="F387" s="1">
        <v>86</v>
      </c>
      <c r="G387" s="1"/>
      <c r="H387" s="1" t="s">
        <v>120</v>
      </c>
      <c r="I387" s="1" t="s">
        <v>121</v>
      </c>
      <c r="J387" s="1" t="s">
        <v>122</v>
      </c>
      <c r="K387" s="1">
        <v>1</v>
      </c>
      <c r="L387" s="1">
        <v>120</v>
      </c>
      <c r="M387" s="1" t="s">
        <v>7</v>
      </c>
      <c r="N387" s="1" t="s">
        <v>7</v>
      </c>
      <c r="O387" s="1" t="s">
        <v>96</v>
      </c>
      <c r="P387" s="1" t="s">
        <v>96</v>
      </c>
      <c r="Q387" s="1" t="s">
        <v>9</v>
      </c>
      <c r="R387" s="1">
        <v>0</v>
      </c>
      <c r="S387" s="1" t="s">
        <v>97</v>
      </c>
      <c r="T387" s="1" t="s">
        <v>97</v>
      </c>
      <c r="U387" s="1" t="b">
        <v>1</v>
      </c>
      <c r="V387" s="1" t="b">
        <v>0</v>
      </c>
      <c r="W387" s="1" t="b">
        <v>0</v>
      </c>
      <c r="X387" s="1">
        <v>5</v>
      </c>
      <c r="Y387" s="1" t="b">
        <v>1</v>
      </c>
      <c r="Z387" s="1" t="b">
        <v>1</v>
      </c>
      <c r="AA387" s="1">
        <v>69.599999999999994</v>
      </c>
      <c r="AB387" s="1" t="b">
        <v>0</v>
      </c>
      <c r="AC387" s="1">
        <v>0</v>
      </c>
      <c r="AD387" s="1">
        <v>4054495</v>
      </c>
      <c r="AE387" s="1">
        <v>146154017</v>
      </c>
      <c r="AF387" s="1" t="s">
        <v>1666</v>
      </c>
      <c r="AG387" s="1" t="s">
        <v>1666</v>
      </c>
      <c r="AH387" s="1">
        <v>86.5</v>
      </c>
      <c r="AI387" s="1">
        <v>69.5</v>
      </c>
      <c r="AJ387" s="1" t="s">
        <v>1667</v>
      </c>
      <c r="AK387" s="1" t="s">
        <v>1668</v>
      </c>
      <c r="AL387" s="1" t="s">
        <v>1669</v>
      </c>
    </row>
    <row r="388" spans="1:38" x14ac:dyDescent="0.6">
      <c r="A388" s="1">
        <v>268</v>
      </c>
      <c r="B388" s="1" t="s">
        <v>88</v>
      </c>
      <c r="C388" s="1">
        <v>52</v>
      </c>
      <c r="D388" s="1" t="s">
        <v>89</v>
      </c>
      <c r="E388" s="1" t="s">
        <v>90</v>
      </c>
      <c r="F388" s="1"/>
      <c r="G388" s="1"/>
      <c r="H388" s="1" t="s">
        <v>220</v>
      </c>
      <c r="I388" s="1" t="s">
        <v>221</v>
      </c>
      <c r="J388" s="1" t="s">
        <v>222</v>
      </c>
      <c r="K388" s="1">
        <v>1.25</v>
      </c>
      <c r="L388" s="1">
        <v>120</v>
      </c>
      <c r="M388" s="1" t="s">
        <v>7</v>
      </c>
      <c r="N388" s="1" t="s">
        <v>7</v>
      </c>
      <c r="O388" s="1" t="s">
        <v>96</v>
      </c>
      <c r="P388" s="1" t="s">
        <v>96</v>
      </c>
      <c r="Q388" s="1" t="s">
        <v>9</v>
      </c>
      <c r="R388" s="1">
        <v>0</v>
      </c>
      <c r="S388" s="1" t="s">
        <v>97</v>
      </c>
      <c r="T388" s="1" t="s">
        <v>97</v>
      </c>
      <c r="U388" s="1" t="b">
        <v>1</v>
      </c>
      <c r="V388" s="1" t="b">
        <v>0</v>
      </c>
      <c r="W388" s="1" t="b">
        <v>0</v>
      </c>
      <c r="X388" s="1">
        <v>5</v>
      </c>
      <c r="Y388" s="1" t="b">
        <v>1</v>
      </c>
      <c r="Z388" s="1" t="b">
        <v>1</v>
      </c>
      <c r="AA388" s="1">
        <v>76.599999999999994</v>
      </c>
      <c r="AB388" s="1" t="b">
        <v>0</v>
      </c>
      <c r="AC388" s="1">
        <v>0</v>
      </c>
      <c r="AD388" s="1">
        <v>2342653</v>
      </c>
      <c r="AE388" s="1">
        <v>122437891</v>
      </c>
      <c r="AF388" s="1" t="s">
        <v>1670</v>
      </c>
      <c r="AG388" s="1" t="s">
        <v>1670</v>
      </c>
      <c r="AH388" s="1">
        <v>77.900000000000006</v>
      </c>
      <c r="AI388" s="1">
        <v>73.3</v>
      </c>
      <c r="AJ388" s="1" t="s">
        <v>1671</v>
      </c>
      <c r="AK388" s="1" t="s">
        <v>1672</v>
      </c>
      <c r="AL388" s="1" t="s">
        <v>1673</v>
      </c>
    </row>
    <row r="389" spans="1:38" x14ac:dyDescent="0.6">
      <c r="A389" s="1">
        <v>283</v>
      </c>
      <c r="B389" s="1" t="s">
        <v>88</v>
      </c>
      <c r="C389" s="1">
        <v>51</v>
      </c>
      <c r="D389" s="1" t="s">
        <v>89</v>
      </c>
      <c r="E389" s="1" t="s">
        <v>108</v>
      </c>
      <c r="F389" s="1"/>
      <c r="G389" s="1"/>
      <c r="H389" s="1" t="s">
        <v>91</v>
      </c>
      <c r="I389" s="1" t="s">
        <v>92</v>
      </c>
      <c r="J389" s="1" t="s">
        <v>109</v>
      </c>
      <c r="K389" s="1">
        <v>1</v>
      </c>
      <c r="L389" s="1">
        <v>120</v>
      </c>
      <c r="M389" s="1" t="s">
        <v>94</v>
      </c>
      <c r="N389" s="1" t="s">
        <v>95</v>
      </c>
      <c r="O389" s="1"/>
      <c r="P389" s="1" t="s">
        <v>96</v>
      </c>
      <c r="Q389" s="1" t="s">
        <v>9</v>
      </c>
      <c r="R389" s="1">
        <v>0</v>
      </c>
      <c r="S389" s="1" t="s">
        <v>97</v>
      </c>
      <c r="T389" s="1" t="s">
        <v>97</v>
      </c>
      <c r="U389" s="1" t="b">
        <v>1</v>
      </c>
      <c r="V389" s="1" t="b">
        <v>0</v>
      </c>
      <c r="W389" s="1" t="b">
        <v>0</v>
      </c>
      <c r="X389" s="1">
        <v>0</v>
      </c>
      <c r="Y389" s="1" t="b">
        <v>1</v>
      </c>
      <c r="Z389" s="1" t="b">
        <v>1</v>
      </c>
      <c r="AA389" s="1">
        <v>63.6</v>
      </c>
      <c r="AB389" s="1" t="b">
        <v>1</v>
      </c>
      <c r="AC389" s="1">
        <v>111811219</v>
      </c>
      <c r="AD389" s="1">
        <v>2221421</v>
      </c>
      <c r="AE389" s="1">
        <v>0</v>
      </c>
      <c r="AF389" s="1" t="s">
        <v>1674</v>
      </c>
      <c r="AG389" s="1" t="s">
        <v>1675</v>
      </c>
      <c r="AH389" s="1">
        <v>65.5</v>
      </c>
      <c r="AI389" s="1">
        <v>60.4</v>
      </c>
      <c r="AJ389" s="1" t="s">
        <v>1676</v>
      </c>
      <c r="AK389" s="1" t="s">
        <v>1677</v>
      </c>
      <c r="AL389" s="1" t="s">
        <v>1678</v>
      </c>
    </row>
    <row r="390" spans="1:38" x14ac:dyDescent="0.6">
      <c r="A390" s="1">
        <v>283</v>
      </c>
      <c r="B390" s="1" t="s">
        <v>88</v>
      </c>
      <c r="C390" s="1">
        <v>51</v>
      </c>
      <c r="D390" s="1" t="s">
        <v>89</v>
      </c>
      <c r="E390" s="1" t="s">
        <v>108</v>
      </c>
      <c r="F390" s="1"/>
      <c r="G390" s="1"/>
      <c r="H390" s="1" t="s">
        <v>91</v>
      </c>
      <c r="I390" s="1" t="s">
        <v>92</v>
      </c>
      <c r="J390" s="1" t="s">
        <v>109</v>
      </c>
      <c r="K390" s="1">
        <v>1</v>
      </c>
      <c r="L390" s="1">
        <v>120</v>
      </c>
      <c r="M390" s="1" t="s">
        <v>14</v>
      </c>
      <c r="N390" s="1" t="s">
        <v>95</v>
      </c>
      <c r="O390" s="1" t="s">
        <v>96</v>
      </c>
      <c r="P390" s="1"/>
      <c r="Q390" s="1" t="s">
        <v>9</v>
      </c>
      <c r="R390" s="1">
        <v>0</v>
      </c>
      <c r="S390" s="1" t="s">
        <v>97</v>
      </c>
      <c r="T390" s="1" t="s">
        <v>97</v>
      </c>
      <c r="U390" s="1" t="b">
        <v>1</v>
      </c>
      <c r="V390" s="1" t="b">
        <v>0</v>
      </c>
      <c r="W390" s="1" t="b">
        <v>0</v>
      </c>
      <c r="X390" s="1">
        <v>5</v>
      </c>
      <c r="Y390" s="1" t="b">
        <v>1</v>
      </c>
      <c r="Z390" s="1" t="b">
        <v>1</v>
      </c>
      <c r="AA390" s="1"/>
      <c r="AB390" s="1" t="b">
        <v>1</v>
      </c>
      <c r="AC390" s="1">
        <v>111620780</v>
      </c>
      <c r="AD390" s="1">
        <v>838996</v>
      </c>
      <c r="AE390" s="1">
        <v>0</v>
      </c>
      <c r="AF390" s="1" t="s">
        <v>1674</v>
      </c>
      <c r="AG390" s="1" t="s">
        <v>1675</v>
      </c>
      <c r="AH390" s="1">
        <v>65.5</v>
      </c>
      <c r="AI390" s="1">
        <v>60.4</v>
      </c>
      <c r="AJ390" s="1" t="s">
        <v>1679</v>
      </c>
      <c r="AK390" s="1" t="s">
        <v>1680</v>
      </c>
      <c r="AL390" s="1" t="s">
        <v>1681</v>
      </c>
    </row>
    <row r="391" spans="1:38" x14ac:dyDescent="0.6">
      <c r="A391" s="1">
        <v>269</v>
      </c>
      <c r="B391" s="1" t="s">
        <v>103</v>
      </c>
      <c r="C391" s="1">
        <v>62</v>
      </c>
      <c r="D391" s="1" t="s">
        <v>127</v>
      </c>
      <c r="E391" s="1" t="s">
        <v>108</v>
      </c>
      <c r="F391" s="1"/>
      <c r="G391" s="1"/>
      <c r="H391" s="1" t="s">
        <v>220</v>
      </c>
      <c r="I391" s="1" t="s">
        <v>221</v>
      </c>
      <c r="J391" s="1" t="s">
        <v>222</v>
      </c>
      <c r="K391" s="1">
        <v>1.25</v>
      </c>
      <c r="L391" s="1">
        <v>120</v>
      </c>
      <c r="M391" s="1" t="s">
        <v>94</v>
      </c>
      <c r="N391" s="1" t="s">
        <v>95</v>
      </c>
      <c r="O391" s="1"/>
      <c r="P391" s="1" t="s">
        <v>96</v>
      </c>
      <c r="Q391" s="1" t="s">
        <v>9</v>
      </c>
      <c r="R391" s="1">
        <v>0</v>
      </c>
      <c r="S391" s="1" t="s">
        <v>97</v>
      </c>
      <c r="T391" s="1" t="s">
        <v>97</v>
      </c>
      <c r="U391" s="1" t="b">
        <v>1</v>
      </c>
      <c r="V391" s="1" t="b">
        <v>0</v>
      </c>
      <c r="W391" s="1" t="b">
        <v>0</v>
      </c>
      <c r="X391" s="1">
        <v>0</v>
      </c>
      <c r="Y391" s="1" t="b">
        <v>1</v>
      </c>
      <c r="Z391" s="1" t="b">
        <v>1</v>
      </c>
      <c r="AA391" s="1">
        <v>57.6</v>
      </c>
      <c r="AB391" s="1" t="b">
        <v>1</v>
      </c>
      <c r="AC391" s="1">
        <v>142808082</v>
      </c>
      <c r="AD391" s="1">
        <v>2157550</v>
      </c>
      <c r="AE391" s="1">
        <v>0</v>
      </c>
      <c r="AF391" s="1" t="s">
        <v>1621</v>
      </c>
      <c r="AG391" s="1" t="s">
        <v>1622</v>
      </c>
      <c r="AH391" s="1">
        <v>50</v>
      </c>
      <c r="AI391" s="1">
        <v>51.9</v>
      </c>
      <c r="AJ391" s="1" t="s">
        <v>1682</v>
      </c>
      <c r="AK391" s="1" t="s">
        <v>1683</v>
      </c>
      <c r="AL391" s="1" t="s">
        <v>1684</v>
      </c>
    </row>
    <row r="392" spans="1:38" x14ac:dyDescent="0.6">
      <c r="A392" s="1">
        <v>282</v>
      </c>
      <c r="B392" s="1" t="s">
        <v>88</v>
      </c>
      <c r="C392" s="1">
        <v>54</v>
      </c>
      <c r="D392" s="1" t="s">
        <v>89</v>
      </c>
      <c r="E392" s="1" t="s">
        <v>90</v>
      </c>
      <c r="F392" s="1">
        <v>0</v>
      </c>
      <c r="G392" s="1"/>
      <c r="H392" s="1" t="s">
        <v>120</v>
      </c>
      <c r="I392" s="1" t="s">
        <v>121</v>
      </c>
      <c r="J392" s="1" t="s">
        <v>1192</v>
      </c>
      <c r="K392" s="1">
        <v>1</v>
      </c>
      <c r="L392" s="1">
        <v>120</v>
      </c>
      <c r="M392" s="1" t="s">
        <v>94</v>
      </c>
      <c r="N392" s="1" t="s">
        <v>95</v>
      </c>
      <c r="O392" s="1"/>
      <c r="P392" s="1" t="s">
        <v>96</v>
      </c>
      <c r="Q392" s="1" t="s">
        <v>9</v>
      </c>
      <c r="R392" s="1">
        <v>0</v>
      </c>
      <c r="S392" s="1" t="s">
        <v>97</v>
      </c>
      <c r="T392" s="1" t="s">
        <v>97</v>
      </c>
      <c r="U392" s="1" t="b">
        <v>1</v>
      </c>
      <c r="V392" s="1" t="b">
        <v>0</v>
      </c>
      <c r="W392" s="1" t="b">
        <v>0</v>
      </c>
      <c r="X392" s="1">
        <v>0</v>
      </c>
      <c r="Y392" s="1" t="b">
        <v>1</v>
      </c>
      <c r="Z392" s="1" t="b">
        <v>1</v>
      </c>
      <c r="AA392" s="1">
        <v>50.9</v>
      </c>
      <c r="AB392" s="1" t="b">
        <v>1</v>
      </c>
      <c r="AC392" s="1">
        <v>128489949</v>
      </c>
      <c r="AD392" s="1">
        <v>2319907</v>
      </c>
      <c r="AE392" s="1">
        <v>0</v>
      </c>
      <c r="AF392" s="1" t="s">
        <v>1685</v>
      </c>
      <c r="AG392" s="1" t="s">
        <v>1686</v>
      </c>
      <c r="AH392" s="1">
        <v>55</v>
      </c>
      <c r="AI392" s="1">
        <v>46.2</v>
      </c>
      <c r="AJ392" s="1" t="s">
        <v>1687</v>
      </c>
      <c r="AK392" s="1" t="s">
        <v>1688</v>
      </c>
      <c r="AL392" s="1" t="s">
        <v>1689</v>
      </c>
    </row>
    <row r="393" spans="1:38" x14ac:dyDescent="0.6">
      <c r="A393" s="1">
        <v>280</v>
      </c>
      <c r="B393" s="1" t="s">
        <v>103</v>
      </c>
      <c r="C393" s="1">
        <v>55</v>
      </c>
      <c r="D393" s="1" t="s">
        <v>89</v>
      </c>
      <c r="E393" s="1" t="s">
        <v>154</v>
      </c>
      <c r="F393" s="1">
        <v>0</v>
      </c>
      <c r="G393" s="1"/>
      <c r="H393" s="1" t="s">
        <v>120</v>
      </c>
      <c r="I393" s="1" t="s">
        <v>121</v>
      </c>
      <c r="J393" s="1" t="s">
        <v>1192</v>
      </c>
      <c r="K393" s="1">
        <v>1</v>
      </c>
      <c r="L393" s="1">
        <v>140</v>
      </c>
      <c r="M393" s="1" t="s">
        <v>7</v>
      </c>
      <c r="N393" s="1" t="s">
        <v>7</v>
      </c>
      <c r="O393" s="1" t="s">
        <v>96</v>
      </c>
      <c r="P393" s="1" t="s">
        <v>96</v>
      </c>
      <c r="Q393" s="1" t="s">
        <v>9</v>
      </c>
      <c r="R393" s="1">
        <v>0</v>
      </c>
      <c r="S393" s="1" t="s">
        <v>97</v>
      </c>
      <c r="T393" s="1" t="s">
        <v>97</v>
      </c>
      <c r="U393" s="1" t="b">
        <v>1</v>
      </c>
      <c r="V393" s="1" t="b">
        <v>0</v>
      </c>
      <c r="W393" s="1" t="b">
        <v>0</v>
      </c>
      <c r="X393" s="1">
        <v>5</v>
      </c>
      <c r="Y393" s="1" t="b">
        <v>1</v>
      </c>
      <c r="Z393" s="1" t="b">
        <v>1</v>
      </c>
      <c r="AA393" s="1">
        <v>79.2</v>
      </c>
      <c r="AB393" s="1" t="b">
        <v>0</v>
      </c>
      <c r="AC393" s="1">
        <v>0</v>
      </c>
      <c r="AD393" s="1">
        <v>3000713</v>
      </c>
      <c r="AE393" s="1">
        <v>154547831</v>
      </c>
      <c r="AF393" s="1" t="s">
        <v>1690</v>
      </c>
      <c r="AG393" s="1" t="s">
        <v>1690</v>
      </c>
      <c r="AH393" s="1">
        <v>73.7</v>
      </c>
      <c r="AI393" s="1">
        <v>75</v>
      </c>
      <c r="AJ393" s="1" t="s">
        <v>1691</v>
      </c>
      <c r="AK393" s="1" t="s">
        <v>1692</v>
      </c>
      <c r="AL393" s="1" t="s">
        <v>1693</v>
      </c>
    </row>
    <row r="394" spans="1:38" x14ac:dyDescent="0.6">
      <c r="A394" s="1">
        <v>285</v>
      </c>
      <c r="B394" s="1" t="s">
        <v>103</v>
      </c>
      <c r="C394" s="1">
        <v>70</v>
      </c>
      <c r="D394" s="1" t="s">
        <v>119</v>
      </c>
      <c r="E394" s="1" t="s">
        <v>108</v>
      </c>
      <c r="F394" s="1"/>
      <c r="G394" s="1"/>
      <c r="H394" s="1" t="s">
        <v>91</v>
      </c>
      <c r="I394" s="1" t="s">
        <v>92</v>
      </c>
      <c r="J394" s="1" t="s">
        <v>109</v>
      </c>
      <c r="K394" s="1">
        <v>1</v>
      </c>
      <c r="L394" s="1">
        <v>120</v>
      </c>
      <c r="M394" s="1" t="s">
        <v>14</v>
      </c>
      <c r="N394" s="1" t="s">
        <v>95</v>
      </c>
      <c r="O394" s="1" t="s">
        <v>96</v>
      </c>
      <c r="P394" s="1"/>
      <c r="Q394" s="1" t="s">
        <v>9</v>
      </c>
      <c r="R394" s="1">
        <v>0</v>
      </c>
      <c r="S394" s="1" t="s">
        <v>97</v>
      </c>
      <c r="T394" s="1" t="s">
        <v>97</v>
      </c>
      <c r="U394" s="1" t="b">
        <v>1</v>
      </c>
      <c r="V394" s="1" t="b">
        <v>0</v>
      </c>
      <c r="W394" s="1" t="b">
        <v>0</v>
      </c>
      <c r="X394" s="1">
        <v>5</v>
      </c>
      <c r="Y394" s="1" t="b">
        <v>1</v>
      </c>
      <c r="Z394" s="1" t="b">
        <v>1</v>
      </c>
      <c r="AA394" s="1"/>
      <c r="AB394" s="1" t="b">
        <v>1</v>
      </c>
      <c r="AC394" s="1">
        <v>127164460</v>
      </c>
      <c r="AD394" s="1">
        <v>761812</v>
      </c>
      <c r="AE394" s="1">
        <v>0</v>
      </c>
      <c r="AF394" s="1" t="s">
        <v>1694</v>
      </c>
      <c r="AG394" s="1" t="s">
        <v>1695</v>
      </c>
      <c r="AH394" s="1">
        <v>49.7</v>
      </c>
      <c r="AI394" s="1">
        <v>49.9</v>
      </c>
      <c r="AJ394" s="1" t="s">
        <v>1696</v>
      </c>
      <c r="AK394" s="1" t="s">
        <v>1697</v>
      </c>
      <c r="AL394" s="1" t="s">
        <v>1698</v>
      </c>
    </row>
    <row r="395" spans="1:38" x14ac:dyDescent="0.6">
      <c r="A395" s="1">
        <v>281</v>
      </c>
      <c r="B395" s="1" t="s">
        <v>103</v>
      </c>
      <c r="C395" s="1">
        <v>52</v>
      </c>
      <c r="D395" s="1" t="s">
        <v>89</v>
      </c>
      <c r="E395" s="1" t="s">
        <v>90</v>
      </c>
      <c r="F395" s="1">
        <v>10.5</v>
      </c>
      <c r="G395" s="1"/>
      <c r="H395" s="1" t="s">
        <v>120</v>
      </c>
      <c r="I395" s="1" t="s">
        <v>121</v>
      </c>
      <c r="J395" s="1" t="s">
        <v>122</v>
      </c>
      <c r="K395" s="1">
        <v>1</v>
      </c>
      <c r="L395" s="1">
        <v>120</v>
      </c>
      <c r="M395" s="1" t="s">
        <v>7</v>
      </c>
      <c r="N395" s="1" t="s">
        <v>7</v>
      </c>
      <c r="O395" s="1" t="s">
        <v>96</v>
      </c>
      <c r="P395" s="1" t="s">
        <v>96</v>
      </c>
      <c r="Q395" s="1" t="s">
        <v>9</v>
      </c>
      <c r="R395" s="1">
        <v>0</v>
      </c>
      <c r="S395" s="1" t="s">
        <v>97</v>
      </c>
      <c r="T395" s="1" t="s">
        <v>97</v>
      </c>
      <c r="U395" s="1" t="b">
        <v>1</v>
      </c>
      <c r="V395" s="1" t="b">
        <v>0</v>
      </c>
      <c r="W395" s="1" t="b">
        <v>0</v>
      </c>
      <c r="X395" s="1">
        <v>5</v>
      </c>
      <c r="Y395" s="1" t="b">
        <v>1</v>
      </c>
      <c r="Z395" s="1" t="b">
        <v>1</v>
      </c>
      <c r="AA395" s="1">
        <v>68.099999999999994</v>
      </c>
      <c r="AB395" s="1" t="b">
        <v>0</v>
      </c>
      <c r="AC395" s="1">
        <v>0</v>
      </c>
      <c r="AD395" s="1">
        <v>2652759</v>
      </c>
      <c r="AE395" s="1">
        <v>131827113</v>
      </c>
      <c r="AF395" s="1" t="s">
        <v>1699</v>
      </c>
      <c r="AG395" s="1" t="s">
        <v>1699</v>
      </c>
      <c r="AH395" s="1">
        <v>61.3</v>
      </c>
      <c r="AI395" s="1">
        <v>63.2</v>
      </c>
      <c r="AJ395" s="1" t="s">
        <v>1700</v>
      </c>
      <c r="AK395" s="1" t="s">
        <v>1701</v>
      </c>
      <c r="AL395" s="1" t="s">
        <v>1702</v>
      </c>
    </row>
    <row r="396" spans="1:38" x14ac:dyDescent="0.6">
      <c r="A396" s="1">
        <v>275</v>
      </c>
      <c r="B396" s="1" t="s">
        <v>88</v>
      </c>
      <c r="C396" s="1">
        <v>56</v>
      </c>
      <c r="D396" s="1" t="s">
        <v>89</v>
      </c>
      <c r="E396" s="1" t="s">
        <v>90</v>
      </c>
      <c r="F396" s="1"/>
      <c r="G396" s="1"/>
      <c r="H396" s="1" t="s">
        <v>220</v>
      </c>
      <c r="I396" s="1" t="s">
        <v>221</v>
      </c>
      <c r="J396" s="1" t="s">
        <v>222</v>
      </c>
      <c r="K396" s="1">
        <v>1.25</v>
      </c>
      <c r="L396" s="1">
        <v>120</v>
      </c>
      <c r="M396" s="1" t="s">
        <v>94</v>
      </c>
      <c r="N396" s="1" t="s">
        <v>95</v>
      </c>
      <c r="O396" s="1"/>
      <c r="P396" s="1" t="s">
        <v>96</v>
      </c>
      <c r="Q396" s="1" t="s">
        <v>9</v>
      </c>
      <c r="R396" s="1">
        <v>0</v>
      </c>
      <c r="S396" s="1" t="s">
        <v>97</v>
      </c>
      <c r="T396" s="1" t="s">
        <v>97</v>
      </c>
      <c r="U396" s="1" t="b">
        <v>1</v>
      </c>
      <c r="V396" s="1" t="b">
        <v>0</v>
      </c>
      <c r="W396" s="1" t="b">
        <v>0</v>
      </c>
      <c r="X396" s="1">
        <v>0</v>
      </c>
      <c r="Y396" s="1" t="b">
        <v>1</v>
      </c>
      <c r="Z396" s="1" t="b">
        <v>1</v>
      </c>
      <c r="AA396" s="1">
        <v>70.7</v>
      </c>
      <c r="AB396" s="1" t="b">
        <v>1</v>
      </c>
      <c r="AC396" s="1">
        <v>137838815</v>
      </c>
      <c r="AD396" s="1">
        <v>2146081</v>
      </c>
      <c r="AE396" s="1">
        <v>0</v>
      </c>
      <c r="AF396" s="1" t="s">
        <v>1639</v>
      </c>
      <c r="AG396" s="1" t="s">
        <v>1640</v>
      </c>
      <c r="AH396" s="1">
        <v>64.599999999999994</v>
      </c>
      <c r="AI396" s="1">
        <v>65.3</v>
      </c>
      <c r="AJ396" s="1" t="s">
        <v>1703</v>
      </c>
      <c r="AK396" s="1" t="s">
        <v>1704</v>
      </c>
      <c r="AL396" s="1" t="s">
        <v>1705</v>
      </c>
    </row>
    <row r="397" spans="1:38" x14ac:dyDescent="0.6">
      <c r="A397" s="1">
        <v>285</v>
      </c>
      <c r="B397" s="1" t="s">
        <v>103</v>
      </c>
      <c r="C397" s="1">
        <v>70</v>
      </c>
      <c r="D397" s="1" t="s">
        <v>119</v>
      </c>
      <c r="E397" s="1" t="s">
        <v>108</v>
      </c>
      <c r="F397" s="1"/>
      <c r="G397" s="1"/>
      <c r="H397" s="1" t="s">
        <v>91</v>
      </c>
      <c r="I397" s="1" t="s">
        <v>92</v>
      </c>
      <c r="J397" s="1" t="s">
        <v>109</v>
      </c>
      <c r="K397" s="1">
        <v>1</v>
      </c>
      <c r="L397" s="1">
        <v>120</v>
      </c>
      <c r="M397" s="1" t="s">
        <v>94</v>
      </c>
      <c r="N397" s="1" t="s">
        <v>95</v>
      </c>
      <c r="O397" s="1"/>
      <c r="P397" s="1" t="s">
        <v>96</v>
      </c>
      <c r="Q397" s="1" t="s">
        <v>9</v>
      </c>
      <c r="R397" s="1">
        <v>0</v>
      </c>
      <c r="S397" s="1" t="s">
        <v>97</v>
      </c>
      <c r="T397" s="1" t="s">
        <v>97</v>
      </c>
      <c r="U397" s="1" t="b">
        <v>1</v>
      </c>
      <c r="V397" s="1" t="b">
        <v>0</v>
      </c>
      <c r="W397" s="1" t="b">
        <v>0</v>
      </c>
      <c r="X397" s="1">
        <v>0</v>
      </c>
      <c r="Y397" s="1" t="b">
        <v>1</v>
      </c>
      <c r="Z397" s="1" t="b">
        <v>1</v>
      </c>
      <c r="AA397" s="1">
        <v>53.3</v>
      </c>
      <c r="AB397" s="1" t="b">
        <v>1</v>
      </c>
      <c r="AC397" s="1">
        <v>130851632</v>
      </c>
      <c r="AD397" s="1">
        <v>2055376</v>
      </c>
      <c r="AE397" s="1">
        <v>0</v>
      </c>
      <c r="AF397" s="1" t="s">
        <v>1694</v>
      </c>
      <c r="AG397" s="1" t="s">
        <v>1695</v>
      </c>
      <c r="AH397" s="1">
        <v>49.7</v>
      </c>
      <c r="AI397" s="1">
        <v>49.9</v>
      </c>
      <c r="AJ397" s="1" t="s">
        <v>1706</v>
      </c>
      <c r="AK397" s="1" t="s">
        <v>1707</v>
      </c>
      <c r="AL397" s="1" t="s">
        <v>1708</v>
      </c>
    </row>
    <row r="398" spans="1:38" x14ac:dyDescent="0.6">
      <c r="A398" s="1">
        <v>284</v>
      </c>
      <c r="B398" s="1" t="s">
        <v>88</v>
      </c>
      <c r="C398" s="1">
        <v>56</v>
      </c>
      <c r="D398" s="1" t="s">
        <v>89</v>
      </c>
      <c r="E398" s="1" t="s">
        <v>90</v>
      </c>
      <c r="F398" s="1"/>
      <c r="G398" s="1"/>
      <c r="H398" s="1" t="s">
        <v>91</v>
      </c>
      <c r="I398" s="1" t="s">
        <v>92</v>
      </c>
      <c r="J398" s="1" t="s">
        <v>109</v>
      </c>
      <c r="K398" s="1">
        <v>1</v>
      </c>
      <c r="L398" s="1">
        <v>120</v>
      </c>
      <c r="M398" s="1" t="s">
        <v>94</v>
      </c>
      <c r="N398" s="1" t="s">
        <v>95</v>
      </c>
      <c r="O398" s="1"/>
      <c r="P398" s="1" t="s">
        <v>96</v>
      </c>
      <c r="Q398" s="1" t="s">
        <v>9</v>
      </c>
      <c r="R398" s="1">
        <v>0</v>
      </c>
      <c r="S398" s="1" t="s">
        <v>97</v>
      </c>
      <c r="T398" s="1" t="s">
        <v>97</v>
      </c>
      <c r="U398" s="1" t="b">
        <v>1</v>
      </c>
      <c r="V398" s="1" t="b">
        <v>0</v>
      </c>
      <c r="W398" s="1" t="b">
        <v>0</v>
      </c>
      <c r="X398" s="1">
        <v>0</v>
      </c>
      <c r="Y398" s="1" t="b">
        <v>1</v>
      </c>
      <c r="Z398" s="1" t="b">
        <v>1</v>
      </c>
      <c r="AA398" s="1">
        <v>68.599999999999994</v>
      </c>
      <c r="AB398" s="1" t="b">
        <v>1</v>
      </c>
      <c r="AC398" s="1">
        <v>150610891</v>
      </c>
      <c r="AD398" s="1">
        <v>1694773</v>
      </c>
      <c r="AE398" s="1">
        <v>0</v>
      </c>
      <c r="AF398" s="1" t="s">
        <v>1709</v>
      </c>
      <c r="AG398" s="1" t="s">
        <v>1710</v>
      </c>
      <c r="AH398" s="1">
        <v>62</v>
      </c>
      <c r="AI398" s="1">
        <v>64</v>
      </c>
      <c r="AJ398" s="1" t="s">
        <v>1711</v>
      </c>
      <c r="AK398" s="1" t="s">
        <v>1712</v>
      </c>
      <c r="AL398" s="1" t="s">
        <v>1713</v>
      </c>
    </row>
    <row r="399" spans="1:38" x14ac:dyDescent="0.6">
      <c r="A399" s="1">
        <v>286</v>
      </c>
      <c r="B399" s="1" t="s">
        <v>88</v>
      </c>
      <c r="C399" s="1">
        <v>62</v>
      </c>
      <c r="D399" s="1" t="s">
        <v>127</v>
      </c>
      <c r="E399" s="1" t="s">
        <v>90</v>
      </c>
      <c r="F399" s="1"/>
      <c r="G399" s="1"/>
      <c r="H399" s="1" t="s">
        <v>91</v>
      </c>
      <c r="I399" s="1" t="s">
        <v>92</v>
      </c>
      <c r="J399" s="1" t="s">
        <v>109</v>
      </c>
      <c r="K399" s="1">
        <v>1</v>
      </c>
      <c r="L399" s="1">
        <v>120</v>
      </c>
      <c r="M399" s="1" t="s">
        <v>14</v>
      </c>
      <c r="N399" s="1" t="s">
        <v>95</v>
      </c>
      <c r="O399" s="1" t="s">
        <v>96</v>
      </c>
      <c r="P399" s="1"/>
      <c r="Q399" s="1" t="s">
        <v>9</v>
      </c>
      <c r="R399" s="1">
        <v>0</v>
      </c>
      <c r="S399" s="1" t="s">
        <v>97</v>
      </c>
      <c r="T399" s="1" t="s">
        <v>97</v>
      </c>
      <c r="U399" s="1" t="b">
        <v>1</v>
      </c>
      <c r="V399" s="1" t="b">
        <v>0</v>
      </c>
      <c r="W399" s="1" t="b">
        <v>0</v>
      </c>
      <c r="X399" s="1">
        <v>5</v>
      </c>
      <c r="Y399" s="1" t="b">
        <v>1</v>
      </c>
      <c r="Z399" s="1" t="b">
        <v>1</v>
      </c>
      <c r="AA399" s="1"/>
      <c r="AB399" s="1" t="b">
        <v>1</v>
      </c>
      <c r="AC399" s="1">
        <v>131839081</v>
      </c>
      <c r="AD399" s="1">
        <v>805783</v>
      </c>
      <c r="AE399" s="1">
        <v>0</v>
      </c>
      <c r="AF399" s="1" t="s">
        <v>1714</v>
      </c>
      <c r="AG399" s="1" t="s">
        <v>1715</v>
      </c>
      <c r="AH399" s="1">
        <v>60.6</v>
      </c>
      <c r="AI399" s="1">
        <v>58.4</v>
      </c>
      <c r="AJ399" s="1" t="s">
        <v>1716</v>
      </c>
      <c r="AK399" s="1" t="s">
        <v>1717</v>
      </c>
      <c r="AL399" s="1" t="s">
        <v>1718</v>
      </c>
    </row>
    <row r="400" spans="1:38" x14ac:dyDescent="0.6">
      <c r="A400" s="1">
        <v>286</v>
      </c>
      <c r="B400" s="1" t="s">
        <v>88</v>
      </c>
      <c r="C400" s="1">
        <v>62</v>
      </c>
      <c r="D400" s="1" t="s">
        <v>127</v>
      </c>
      <c r="E400" s="1" t="s">
        <v>90</v>
      </c>
      <c r="F400" s="1"/>
      <c r="G400" s="1"/>
      <c r="H400" s="1" t="s">
        <v>91</v>
      </c>
      <c r="I400" s="1" t="s">
        <v>92</v>
      </c>
      <c r="J400" s="1" t="s">
        <v>109</v>
      </c>
      <c r="K400" s="1">
        <v>1</v>
      </c>
      <c r="L400" s="1">
        <v>120</v>
      </c>
      <c r="M400" s="1" t="s">
        <v>94</v>
      </c>
      <c r="N400" s="1" t="s">
        <v>95</v>
      </c>
      <c r="O400" s="1"/>
      <c r="P400" s="1" t="s">
        <v>96</v>
      </c>
      <c r="Q400" s="1" t="s">
        <v>9</v>
      </c>
      <c r="R400" s="1">
        <v>0</v>
      </c>
      <c r="S400" s="1" t="s">
        <v>97</v>
      </c>
      <c r="T400" s="1" t="s">
        <v>97</v>
      </c>
      <c r="U400" s="1" t="b">
        <v>1</v>
      </c>
      <c r="V400" s="1" t="b">
        <v>0</v>
      </c>
      <c r="W400" s="1" t="b">
        <v>0</v>
      </c>
      <c r="X400" s="1">
        <v>0</v>
      </c>
      <c r="Y400" s="1" t="b">
        <v>1</v>
      </c>
      <c r="Z400" s="1" t="b">
        <v>1</v>
      </c>
      <c r="AA400" s="1">
        <v>62.3</v>
      </c>
      <c r="AB400" s="1" t="b">
        <v>1</v>
      </c>
      <c r="AC400" s="1">
        <v>140135275</v>
      </c>
      <c r="AD400" s="1">
        <v>2208917</v>
      </c>
      <c r="AE400" s="1">
        <v>0</v>
      </c>
      <c r="AF400" s="1" t="s">
        <v>1714</v>
      </c>
      <c r="AG400" s="1" t="s">
        <v>1715</v>
      </c>
      <c r="AH400" s="1">
        <v>60.6</v>
      </c>
      <c r="AI400" s="1">
        <v>58.4</v>
      </c>
      <c r="AJ400" s="1" t="s">
        <v>1719</v>
      </c>
      <c r="AK400" s="1" t="s">
        <v>1720</v>
      </c>
      <c r="AL400" s="1" t="s">
        <v>1721</v>
      </c>
    </row>
    <row r="401" spans="1:38" x14ac:dyDescent="0.6">
      <c r="A401" s="1">
        <v>287</v>
      </c>
      <c r="B401" s="1" t="s">
        <v>103</v>
      </c>
      <c r="C401" s="1">
        <v>54</v>
      </c>
      <c r="D401" s="1" t="s">
        <v>89</v>
      </c>
      <c r="E401" s="1" t="s">
        <v>90</v>
      </c>
      <c r="F401" s="1"/>
      <c r="G401" s="1"/>
      <c r="H401" s="1" t="s">
        <v>91</v>
      </c>
      <c r="I401" s="1" t="s">
        <v>92</v>
      </c>
      <c r="J401" s="1" t="s">
        <v>109</v>
      </c>
      <c r="K401" s="1">
        <v>1</v>
      </c>
      <c r="L401" s="1">
        <v>120</v>
      </c>
      <c r="M401" s="1" t="s">
        <v>14</v>
      </c>
      <c r="N401" s="1" t="s">
        <v>95</v>
      </c>
      <c r="O401" s="1" t="s">
        <v>96</v>
      </c>
      <c r="P401" s="1"/>
      <c r="Q401" s="1" t="s">
        <v>9</v>
      </c>
      <c r="R401" s="1">
        <v>0</v>
      </c>
      <c r="S401" s="1" t="s">
        <v>97</v>
      </c>
      <c r="T401" s="1" t="s">
        <v>97</v>
      </c>
      <c r="U401" s="1" t="b">
        <v>1</v>
      </c>
      <c r="V401" s="1" t="b">
        <v>0</v>
      </c>
      <c r="W401" s="1" t="b">
        <v>0</v>
      </c>
      <c r="X401" s="1">
        <v>5</v>
      </c>
      <c r="Y401" s="1" t="b">
        <v>1</v>
      </c>
      <c r="Z401" s="1" t="b">
        <v>1</v>
      </c>
      <c r="AA401" s="1"/>
      <c r="AB401" s="1" t="b">
        <v>1</v>
      </c>
      <c r="AC401" s="1">
        <v>124539897</v>
      </c>
      <c r="AD401" s="1">
        <v>764935</v>
      </c>
      <c r="AE401" s="1">
        <v>0</v>
      </c>
      <c r="AF401" s="1" t="s">
        <v>1722</v>
      </c>
      <c r="AG401" s="1" t="s">
        <v>1723</v>
      </c>
      <c r="AH401" s="1">
        <v>62.1</v>
      </c>
      <c r="AI401" s="1">
        <v>64.900000000000006</v>
      </c>
      <c r="AJ401" s="1" t="s">
        <v>1724</v>
      </c>
      <c r="AK401" s="1" t="s">
        <v>1725</v>
      </c>
      <c r="AL401" s="1" t="s">
        <v>1726</v>
      </c>
    </row>
    <row r="402" spans="1:38" x14ac:dyDescent="0.6">
      <c r="A402" s="1">
        <v>288</v>
      </c>
      <c r="B402" s="1" t="s">
        <v>103</v>
      </c>
      <c r="C402" s="1">
        <v>65</v>
      </c>
      <c r="D402" s="1" t="s">
        <v>127</v>
      </c>
      <c r="E402" s="1" t="s">
        <v>90</v>
      </c>
      <c r="F402" s="1"/>
      <c r="G402" s="1"/>
      <c r="H402" s="1" t="s">
        <v>91</v>
      </c>
      <c r="I402" s="1" t="s">
        <v>92</v>
      </c>
      <c r="J402" s="1" t="s">
        <v>109</v>
      </c>
      <c r="K402" s="1">
        <v>1</v>
      </c>
      <c r="L402" s="1">
        <v>120</v>
      </c>
      <c r="M402" s="1" t="s">
        <v>14</v>
      </c>
      <c r="N402" s="1" t="s">
        <v>95</v>
      </c>
      <c r="O402" s="1" t="s">
        <v>96</v>
      </c>
      <c r="P402" s="1"/>
      <c r="Q402" s="1" t="s">
        <v>9</v>
      </c>
      <c r="R402" s="1">
        <v>0</v>
      </c>
      <c r="S402" s="1" t="s">
        <v>97</v>
      </c>
      <c r="T402" s="1" t="s">
        <v>97</v>
      </c>
      <c r="U402" s="1" t="b">
        <v>1</v>
      </c>
      <c r="V402" s="1" t="b">
        <v>0</v>
      </c>
      <c r="W402" s="1" t="b">
        <v>0</v>
      </c>
      <c r="X402" s="1">
        <v>5</v>
      </c>
      <c r="Y402" s="1" t="b">
        <v>1</v>
      </c>
      <c r="Z402" s="1" t="b">
        <v>1</v>
      </c>
      <c r="AA402" s="1"/>
      <c r="AB402" s="1" t="b">
        <v>1</v>
      </c>
      <c r="AC402" s="1">
        <v>140765664</v>
      </c>
      <c r="AD402" s="1">
        <v>529952</v>
      </c>
      <c r="AE402" s="1">
        <v>0</v>
      </c>
      <c r="AF402" s="1" t="s">
        <v>1727</v>
      </c>
      <c r="AG402" s="1" t="s">
        <v>1728</v>
      </c>
      <c r="AH402" s="1">
        <v>62.4</v>
      </c>
      <c r="AI402" s="1">
        <v>60.3</v>
      </c>
      <c r="AJ402" s="1" t="s">
        <v>1729</v>
      </c>
      <c r="AK402" s="1" t="s">
        <v>1730</v>
      </c>
      <c r="AL402" s="1" t="s">
        <v>1731</v>
      </c>
    </row>
    <row r="403" spans="1:38" x14ac:dyDescent="0.6">
      <c r="A403" s="1">
        <v>278</v>
      </c>
      <c r="B403" s="1" t="s">
        <v>103</v>
      </c>
      <c r="C403" s="1">
        <v>55</v>
      </c>
      <c r="D403" s="1" t="s">
        <v>89</v>
      </c>
      <c r="E403" s="1" t="s">
        <v>90</v>
      </c>
      <c r="F403" s="1"/>
      <c r="G403" s="1"/>
      <c r="H403" s="1" t="s">
        <v>220</v>
      </c>
      <c r="I403" s="1" t="s">
        <v>221</v>
      </c>
      <c r="J403" s="1" t="s">
        <v>1176</v>
      </c>
      <c r="K403" s="1">
        <v>1.25</v>
      </c>
      <c r="L403" s="1">
        <v>120</v>
      </c>
      <c r="M403" s="1" t="s">
        <v>7</v>
      </c>
      <c r="N403" s="1" t="s">
        <v>7</v>
      </c>
      <c r="O403" s="1" t="s">
        <v>96</v>
      </c>
      <c r="P403" s="1" t="s">
        <v>96</v>
      </c>
      <c r="Q403" s="1" t="s">
        <v>9</v>
      </c>
      <c r="R403" s="1">
        <v>0</v>
      </c>
      <c r="S403" s="1" t="s">
        <v>97</v>
      </c>
      <c r="T403" s="1" t="s">
        <v>97</v>
      </c>
      <c r="U403" s="1" t="b">
        <v>1</v>
      </c>
      <c r="V403" s="1" t="b">
        <v>0</v>
      </c>
      <c r="W403" s="1" t="b">
        <v>0</v>
      </c>
      <c r="X403" s="1">
        <v>5</v>
      </c>
      <c r="Y403" s="1" t="b">
        <v>1</v>
      </c>
      <c r="Z403" s="1" t="b">
        <v>1</v>
      </c>
      <c r="AA403" s="1">
        <v>64.5</v>
      </c>
      <c r="AB403" s="1" t="b">
        <v>0</v>
      </c>
      <c r="AC403" s="1">
        <v>0</v>
      </c>
      <c r="AD403" s="1">
        <v>2676492</v>
      </c>
      <c r="AE403" s="1">
        <v>128657652</v>
      </c>
      <c r="AF403" s="1" t="s">
        <v>1732</v>
      </c>
      <c r="AG403" s="1" t="s">
        <v>1732</v>
      </c>
      <c r="AH403" s="1">
        <v>50.6</v>
      </c>
      <c r="AI403" s="1">
        <v>57.8</v>
      </c>
      <c r="AJ403" s="1" t="s">
        <v>1733</v>
      </c>
      <c r="AK403" s="1" t="s">
        <v>1734</v>
      </c>
      <c r="AL403" s="1" t="s">
        <v>1735</v>
      </c>
    </row>
    <row r="404" spans="1:38" x14ac:dyDescent="0.6">
      <c r="A404" s="1">
        <v>287</v>
      </c>
      <c r="B404" s="1" t="s">
        <v>103</v>
      </c>
      <c r="C404" s="1">
        <v>54</v>
      </c>
      <c r="D404" s="1" t="s">
        <v>89</v>
      </c>
      <c r="E404" s="1" t="s">
        <v>90</v>
      </c>
      <c r="F404" s="1"/>
      <c r="G404" s="1"/>
      <c r="H404" s="1" t="s">
        <v>91</v>
      </c>
      <c r="I404" s="1" t="s">
        <v>92</v>
      </c>
      <c r="J404" s="1" t="s">
        <v>109</v>
      </c>
      <c r="K404" s="1">
        <v>1</v>
      </c>
      <c r="L404" s="1">
        <v>120</v>
      </c>
      <c r="M404" s="1" t="s">
        <v>94</v>
      </c>
      <c r="N404" s="1" t="s">
        <v>95</v>
      </c>
      <c r="O404" s="1"/>
      <c r="P404" s="1" t="s">
        <v>96</v>
      </c>
      <c r="Q404" s="1" t="s">
        <v>9</v>
      </c>
      <c r="R404" s="1">
        <v>0</v>
      </c>
      <c r="S404" s="1" t="s">
        <v>97</v>
      </c>
      <c r="T404" s="1" t="s">
        <v>97</v>
      </c>
      <c r="U404" s="1" t="b">
        <v>1</v>
      </c>
      <c r="V404" s="1" t="b">
        <v>0</v>
      </c>
      <c r="W404" s="1" t="b">
        <v>0</v>
      </c>
      <c r="X404" s="1">
        <v>0</v>
      </c>
      <c r="Y404" s="1" t="b">
        <v>1</v>
      </c>
      <c r="Z404" s="1" t="b">
        <v>1</v>
      </c>
      <c r="AA404" s="1">
        <v>70</v>
      </c>
      <c r="AB404" s="1" t="b">
        <v>1</v>
      </c>
      <c r="AC404" s="1">
        <v>142875819</v>
      </c>
      <c r="AD404" s="1">
        <v>2089813</v>
      </c>
      <c r="AE404" s="1">
        <v>0</v>
      </c>
      <c r="AF404" s="1" t="s">
        <v>1722</v>
      </c>
      <c r="AG404" s="1" t="s">
        <v>1723</v>
      </c>
      <c r="AH404" s="1">
        <v>62.1</v>
      </c>
      <c r="AI404" s="1">
        <v>64.900000000000006</v>
      </c>
      <c r="AJ404" s="1" t="s">
        <v>1736</v>
      </c>
      <c r="AK404" s="1" t="s">
        <v>1737</v>
      </c>
      <c r="AL404" s="1" t="s">
        <v>1738</v>
      </c>
    </row>
    <row r="405" spans="1:38" x14ac:dyDescent="0.6">
      <c r="A405" s="1">
        <v>277</v>
      </c>
      <c r="B405" s="1" t="s">
        <v>88</v>
      </c>
      <c r="C405" s="1">
        <v>67</v>
      </c>
      <c r="D405" s="1" t="s">
        <v>127</v>
      </c>
      <c r="E405" s="1" t="s">
        <v>90</v>
      </c>
      <c r="F405" s="1"/>
      <c r="G405" s="1"/>
      <c r="H405" s="1" t="s">
        <v>220</v>
      </c>
      <c r="I405" s="1" t="s">
        <v>221</v>
      </c>
      <c r="J405" s="1" t="s">
        <v>222</v>
      </c>
      <c r="K405" s="1">
        <v>1.25</v>
      </c>
      <c r="L405" s="1">
        <v>120</v>
      </c>
      <c r="M405" s="1" t="s">
        <v>7</v>
      </c>
      <c r="N405" s="1" t="s">
        <v>7</v>
      </c>
      <c r="O405" s="1" t="s">
        <v>96</v>
      </c>
      <c r="P405" s="1" t="s">
        <v>96</v>
      </c>
      <c r="Q405" s="1" t="s">
        <v>9</v>
      </c>
      <c r="R405" s="1">
        <v>0</v>
      </c>
      <c r="S405" s="1" t="s">
        <v>97</v>
      </c>
      <c r="T405" s="1" t="s">
        <v>97</v>
      </c>
      <c r="U405" s="1" t="b">
        <v>1</v>
      </c>
      <c r="V405" s="1" t="b">
        <v>0</v>
      </c>
      <c r="W405" s="1" t="b">
        <v>0</v>
      </c>
      <c r="X405" s="1">
        <v>5</v>
      </c>
      <c r="Y405" s="1" t="b">
        <v>1</v>
      </c>
      <c r="Z405" s="1" t="b">
        <v>1</v>
      </c>
      <c r="AA405" s="1">
        <v>60.8</v>
      </c>
      <c r="AB405" s="1" t="b">
        <v>0</v>
      </c>
      <c r="AC405" s="1">
        <v>0</v>
      </c>
      <c r="AD405" s="1">
        <v>2347304</v>
      </c>
      <c r="AE405" s="1">
        <v>139210456</v>
      </c>
      <c r="AF405" s="1" t="s">
        <v>1739</v>
      </c>
      <c r="AG405" s="1" t="s">
        <v>1739</v>
      </c>
      <c r="AH405" s="1">
        <v>60.5</v>
      </c>
      <c r="AI405" s="1">
        <v>58.3</v>
      </c>
      <c r="AJ405" s="1" t="s">
        <v>1740</v>
      </c>
      <c r="AK405" s="1" t="s">
        <v>1741</v>
      </c>
      <c r="AL405" s="1" t="s">
        <v>1742</v>
      </c>
    </row>
    <row r="406" spans="1:38" x14ac:dyDescent="0.6">
      <c r="A406" s="1">
        <v>282</v>
      </c>
      <c r="B406" s="1" t="s">
        <v>88</v>
      </c>
      <c r="C406" s="1">
        <v>54</v>
      </c>
      <c r="D406" s="1" t="s">
        <v>89</v>
      </c>
      <c r="E406" s="1" t="s">
        <v>90</v>
      </c>
      <c r="F406" s="1">
        <v>0</v>
      </c>
      <c r="G406" s="1"/>
      <c r="H406" s="1" t="s">
        <v>120</v>
      </c>
      <c r="I406" s="1" t="s">
        <v>121</v>
      </c>
      <c r="J406" s="1" t="s">
        <v>1192</v>
      </c>
      <c r="K406" s="1">
        <v>1</v>
      </c>
      <c r="L406" s="1">
        <v>120</v>
      </c>
      <c r="M406" s="1" t="s">
        <v>14</v>
      </c>
      <c r="N406" s="1" t="s">
        <v>95</v>
      </c>
      <c r="O406" s="1" t="s">
        <v>96</v>
      </c>
      <c r="P406" s="1"/>
      <c r="Q406" s="1" t="s">
        <v>9</v>
      </c>
      <c r="R406" s="1">
        <v>0</v>
      </c>
      <c r="S406" s="1" t="s">
        <v>97</v>
      </c>
      <c r="T406" s="1" t="s">
        <v>97</v>
      </c>
      <c r="U406" s="1" t="b">
        <v>1</v>
      </c>
      <c r="V406" s="1" t="b">
        <v>0</v>
      </c>
      <c r="W406" s="1" t="b">
        <v>0</v>
      </c>
      <c r="X406" s="1">
        <v>5</v>
      </c>
      <c r="Y406" s="1" t="b">
        <v>1</v>
      </c>
      <c r="Z406" s="1" t="b">
        <v>1</v>
      </c>
      <c r="AA406" s="1"/>
      <c r="AB406" s="1" t="b">
        <v>1</v>
      </c>
      <c r="AC406" s="1">
        <v>116653635</v>
      </c>
      <c r="AD406" s="1">
        <v>786877</v>
      </c>
      <c r="AE406" s="1">
        <v>0</v>
      </c>
      <c r="AF406" s="1" t="s">
        <v>1685</v>
      </c>
      <c r="AG406" s="1" t="s">
        <v>1686</v>
      </c>
      <c r="AH406" s="1">
        <v>55</v>
      </c>
      <c r="AI406" s="1">
        <v>46.2</v>
      </c>
      <c r="AJ406" s="1" t="s">
        <v>1743</v>
      </c>
      <c r="AK406" s="1" t="s">
        <v>1744</v>
      </c>
      <c r="AL406" s="1" t="s">
        <v>1745</v>
      </c>
    </row>
    <row r="407" spans="1:38" x14ac:dyDescent="0.6">
      <c r="A407" s="1">
        <v>289</v>
      </c>
      <c r="B407" s="1" t="s">
        <v>103</v>
      </c>
      <c r="C407" s="1">
        <v>64</v>
      </c>
      <c r="D407" s="1" t="s">
        <v>127</v>
      </c>
      <c r="E407" s="1" t="s">
        <v>108</v>
      </c>
      <c r="F407" s="1"/>
      <c r="G407" s="1"/>
      <c r="H407" s="1" t="s">
        <v>91</v>
      </c>
      <c r="I407" s="1" t="s">
        <v>92</v>
      </c>
      <c r="J407" s="1" t="s">
        <v>109</v>
      </c>
      <c r="K407" s="1">
        <v>1</v>
      </c>
      <c r="L407" s="1">
        <v>120</v>
      </c>
      <c r="M407" s="1" t="s">
        <v>94</v>
      </c>
      <c r="N407" s="1" t="s">
        <v>236</v>
      </c>
      <c r="O407" s="1"/>
      <c r="P407" s="1" t="s">
        <v>96</v>
      </c>
      <c r="Q407" s="1" t="s">
        <v>9</v>
      </c>
      <c r="R407" s="1">
        <v>0</v>
      </c>
      <c r="S407" s="1" t="s">
        <v>97</v>
      </c>
      <c r="T407" s="1"/>
      <c r="U407" s="1"/>
      <c r="V407" s="1" t="b">
        <v>0</v>
      </c>
      <c r="W407" s="1" t="b">
        <v>0</v>
      </c>
      <c r="X407" s="1">
        <v>0</v>
      </c>
      <c r="Y407" s="1" t="b">
        <v>1</v>
      </c>
      <c r="Z407" s="1" t="b">
        <v>1</v>
      </c>
      <c r="AA407" s="1">
        <v>75.2</v>
      </c>
      <c r="AB407" s="1" t="b">
        <v>1</v>
      </c>
      <c r="AC407" s="1">
        <v>166581534</v>
      </c>
      <c r="AD407" s="1">
        <v>1977058</v>
      </c>
      <c r="AE407" s="1">
        <v>0</v>
      </c>
      <c r="AF407" s="1"/>
      <c r="AG407" s="1" t="s">
        <v>1746</v>
      </c>
      <c r="AH407" s="1"/>
      <c r="AI407" s="1">
        <v>74.099999999999994</v>
      </c>
      <c r="AJ407" s="1" t="s">
        <v>1747</v>
      </c>
      <c r="AK407" s="1" t="s">
        <v>1748</v>
      </c>
      <c r="AL407" s="1" t="s">
        <v>1749</v>
      </c>
    </row>
    <row r="408" spans="1:38" x14ac:dyDescent="0.6">
      <c r="A408" s="1">
        <v>290</v>
      </c>
      <c r="B408" s="1" t="s">
        <v>103</v>
      </c>
      <c r="C408" s="1">
        <v>63</v>
      </c>
      <c r="D408" s="1" t="s">
        <v>127</v>
      </c>
      <c r="E408" s="1" t="s">
        <v>108</v>
      </c>
      <c r="F408" s="1"/>
      <c r="G408" s="1"/>
      <c r="H408" s="1" t="s">
        <v>91</v>
      </c>
      <c r="I408" s="1" t="s">
        <v>92</v>
      </c>
      <c r="J408" s="1" t="s">
        <v>109</v>
      </c>
      <c r="K408" s="1">
        <v>1</v>
      </c>
      <c r="L408" s="1">
        <v>120</v>
      </c>
      <c r="M408" s="1" t="s">
        <v>94</v>
      </c>
      <c r="N408" s="1" t="s">
        <v>95</v>
      </c>
      <c r="O408" s="1"/>
      <c r="P408" s="1" t="s">
        <v>96</v>
      </c>
      <c r="Q408" s="1" t="s">
        <v>9</v>
      </c>
      <c r="R408" s="1">
        <v>0</v>
      </c>
      <c r="S408" s="1" t="s">
        <v>97</v>
      </c>
      <c r="T408" s="1" t="s">
        <v>97</v>
      </c>
      <c r="U408" s="1" t="b">
        <v>1</v>
      </c>
      <c r="V408" s="1" t="b">
        <v>0</v>
      </c>
      <c r="W408" s="1" t="b">
        <v>0</v>
      </c>
      <c r="X408" s="1">
        <v>0</v>
      </c>
      <c r="Y408" s="1" t="b">
        <v>1</v>
      </c>
      <c r="Z408" s="1" t="b">
        <v>1</v>
      </c>
      <c r="AA408" s="1">
        <v>66</v>
      </c>
      <c r="AB408" s="1" t="b">
        <v>1</v>
      </c>
      <c r="AC408" s="1">
        <v>155335024</v>
      </c>
      <c r="AD408" s="1">
        <v>2213520</v>
      </c>
      <c r="AE408" s="1">
        <v>0</v>
      </c>
      <c r="AF408" s="1" t="s">
        <v>1750</v>
      </c>
      <c r="AG408" s="1" t="s">
        <v>1751</v>
      </c>
      <c r="AH408" s="1">
        <v>64.8</v>
      </c>
      <c r="AI408" s="1">
        <v>63.8</v>
      </c>
      <c r="AJ408" s="1" t="s">
        <v>1752</v>
      </c>
      <c r="AK408" s="1" t="s">
        <v>1753</v>
      </c>
      <c r="AL408" s="1" t="s">
        <v>1754</v>
      </c>
    </row>
    <row r="409" spans="1:38" x14ac:dyDescent="0.6">
      <c r="A409" s="1">
        <v>291</v>
      </c>
      <c r="B409" s="1" t="s">
        <v>103</v>
      </c>
      <c r="C409" s="1">
        <v>59</v>
      </c>
      <c r="D409" s="1" t="s">
        <v>89</v>
      </c>
      <c r="E409" s="1" t="s">
        <v>108</v>
      </c>
      <c r="F409" s="1"/>
      <c r="G409" s="1"/>
      <c r="H409" s="1" t="s">
        <v>91</v>
      </c>
      <c r="I409" s="1" t="s">
        <v>92</v>
      </c>
      <c r="J409" s="1" t="s">
        <v>109</v>
      </c>
      <c r="K409" s="1">
        <v>1</v>
      </c>
      <c r="L409" s="1">
        <v>120</v>
      </c>
      <c r="M409" s="1" t="s">
        <v>94</v>
      </c>
      <c r="N409" s="1" t="s">
        <v>95</v>
      </c>
      <c r="O409" s="1"/>
      <c r="P409" s="1" t="s">
        <v>96</v>
      </c>
      <c r="Q409" s="1" t="s">
        <v>9</v>
      </c>
      <c r="R409" s="1">
        <v>0</v>
      </c>
      <c r="S409" s="1" t="s">
        <v>97</v>
      </c>
      <c r="T409" s="1" t="s">
        <v>97</v>
      </c>
      <c r="U409" s="1" t="b">
        <v>1</v>
      </c>
      <c r="V409" s="1" t="b">
        <v>0</v>
      </c>
      <c r="W409" s="1" t="b">
        <v>0</v>
      </c>
      <c r="X409" s="1">
        <v>0</v>
      </c>
      <c r="Y409" s="1" t="b">
        <v>1</v>
      </c>
      <c r="Z409" s="1" t="b">
        <v>1</v>
      </c>
      <c r="AA409" s="1">
        <v>73.3</v>
      </c>
      <c r="AB409" s="1" t="b">
        <v>1</v>
      </c>
      <c r="AC409" s="1">
        <v>153528394</v>
      </c>
      <c r="AD409" s="1">
        <v>1398710</v>
      </c>
      <c r="AE409" s="1">
        <v>0</v>
      </c>
      <c r="AF409" s="1" t="s">
        <v>1755</v>
      </c>
      <c r="AG409" s="1" t="s">
        <v>1756</v>
      </c>
      <c r="AH409" s="1">
        <v>75.400000000000006</v>
      </c>
      <c r="AI409" s="1">
        <v>71.400000000000006</v>
      </c>
      <c r="AJ409" s="1" t="s">
        <v>1757</v>
      </c>
      <c r="AK409" s="1" t="s">
        <v>1758</v>
      </c>
      <c r="AL409" s="1" t="s">
        <v>1759</v>
      </c>
    </row>
    <row r="410" spans="1:38" x14ac:dyDescent="0.6">
      <c r="A410" s="1">
        <v>292</v>
      </c>
      <c r="B410" s="1" t="s">
        <v>103</v>
      </c>
      <c r="C410" s="1">
        <v>52</v>
      </c>
      <c r="D410" s="1" t="s">
        <v>89</v>
      </c>
      <c r="E410" s="1" t="s">
        <v>90</v>
      </c>
      <c r="F410" s="1"/>
      <c r="G410" s="1"/>
      <c r="H410" s="1" t="s">
        <v>91</v>
      </c>
      <c r="I410" s="1" t="s">
        <v>92</v>
      </c>
      <c r="J410" s="1" t="s">
        <v>109</v>
      </c>
      <c r="K410" s="1">
        <v>1</v>
      </c>
      <c r="L410" s="1">
        <v>120</v>
      </c>
      <c r="M410" s="1" t="s">
        <v>14</v>
      </c>
      <c r="N410" s="1" t="s">
        <v>95</v>
      </c>
      <c r="O410" s="1" t="s">
        <v>96</v>
      </c>
      <c r="P410" s="1"/>
      <c r="Q410" s="1" t="s">
        <v>9</v>
      </c>
      <c r="R410" s="1">
        <v>0</v>
      </c>
      <c r="S410" s="1" t="s">
        <v>97</v>
      </c>
      <c r="T410" s="1" t="s">
        <v>97</v>
      </c>
      <c r="U410" s="1" t="b">
        <v>1</v>
      </c>
      <c r="V410" s="1" t="b">
        <v>0</v>
      </c>
      <c r="W410" s="1" t="b">
        <v>0</v>
      </c>
      <c r="X410" s="1">
        <v>5</v>
      </c>
      <c r="Y410" s="1" t="b">
        <v>1</v>
      </c>
      <c r="Z410" s="1" t="b">
        <v>1</v>
      </c>
      <c r="AA410" s="1"/>
      <c r="AB410" s="1" t="b">
        <v>1</v>
      </c>
      <c r="AC410" s="1">
        <v>142888056</v>
      </c>
      <c r="AD410" s="1">
        <v>504712</v>
      </c>
      <c r="AE410" s="1">
        <v>0</v>
      </c>
      <c r="AF410" s="1" t="s">
        <v>1760</v>
      </c>
      <c r="AG410" s="1" t="s">
        <v>1761</v>
      </c>
      <c r="AH410" s="1">
        <v>83.3</v>
      </c>
      <c r="AI410" s="1">
        <v>81.3</v>
      </c>
      <c r="AJ410" s="1" t="s">
        <v>1762</v>
      </c>
      <c r="AK410" s="1" t="s">
        <v>1763</v>
      </c>
      <c r="AL410" s="1" t="s">
        <v>1764</v>
      </c>
    </row>
    <row r="411" spans="1:38" x14ac:dyDescent="0.6">
      <c r="A411" s="1">
        <v>293</v>
      </c>
      <c r="B411" s="1" t="s">
        <v>88</v>
      </c>
      <c r="C411" s="1"/>
      <c r="D411" s="1"/>
      <c r="E411" s="1" t="s">
        <v>108</v>
      </c>
      <c r="F411" s="1"/>
      <c r="G411" s="1"/>
      <c r="H411" s="1" t="s">
        <v>91</v>
      </c>
      <c r="I411" s="1" t="s">
        <v>92</v>
      </c>
      <c r="J411" s="1" t="s">
        <v>109</v>
      </c>
      <c r="K411" s="1">
        <v>1</v>
      </c>
      <c r="L411" s="1">
        <v>120</v>
      </c>
      <c r="M411" s="1" t="s">
        <v>14</v>
      </c>
      <c r="N411" s="1" t="s">
        <v>95</v>
      </c>
      <c r="O411" s="1" t="s">
        <v>96</v>
      </c>
      <c r="P411" s="1"/>
      <c r="Q411" s="1" t="s">
        <v>9</v>
      </c>
      <c r="R411" s="1">
        <v>0</v>
      </c>
      <c r="S411" s="1" t="s">
        <v>97</v>
      </c>
      <c r="T411" s="1" t="s">
        <v>97</v>
      </c>
      <c r="U411" s="1" t="b">
        <v>1</v>
      </c>
      <c r="V411" s="1" t="b">
        <v>0</v>
      </c>
      <c r="W411" s="1" t="b">
        <v>0</v>
      </c>
      <c r="X411" s="1">
        <v>5</v>
      </c>
      <c r="Y411" s="1" t="b">
        <v>1</v>
      </c>
      <c r="Z411" s="1" t="b">
        <v>1</v>
      </c>
      <c r="AA411" s="1"/>
      <c r="AB411" s="1" t="b">
        <v>1</v>
      </c>
      <c r="AC411" s="1">
        <v>143955856</v>
      </c>
      <c r="AD411" s="1">
        <v>747632</v>
      </c>
      <c r="AE411" s="1">
        <v>0</v>
      </c>
      <c r="AF411" s="1" t="s">
        <v>1765</v>
      </c>
      <c r="AG411" s="1" t="s">
        <v>1766</v>
      </c>
      <c r="AH411" s="1">
        <v>67.7</v>
      </c>
      <c r="AI411" s="1">
        <v>62</v>
      </c>
      <c r="AJ411" s="1" t="s">
        <v>1767</v>
      </c>
      <c r="AK411" s="1" t="s">
        <v>1768</v>
      </c>
      <c r="AL411" s="1" t="s">
        <v>1769</v>
      </c>
    </row>
    <row r="412" spans="1:38" x14ac:dyDescent="0.6">
      <c r="A412" s="1">
        <v>284</v>
      </c>
      <c r="B412" s="1" t="s">
        <v>88</v>
      </c>
      <c r="C412" s="1">
        <v>56</v>
      </c>
      <c r="D412" s="1" t="s">
        <v>89</v>
      </c>
      <c r="E412" s="1" t="s">
        <v>90</v>
      </c>
      <c r="F412" s="1"/>
      <c r="G412" s="1"/>
      <c r="H412" s="1" t="s">
        <v>91</v>
      </c>
      <c r="I412" s="1" t="s">
        <v>92</v>
      </c>
      <c r="J412" s="1" t="s">
        <v>109</v>
      </c>
      <c r="K412" s="1">
        <v>1</v>
      </c>
      <c r="L412" s="1">
        <v>120</v>
      </c>
      <c r="M412" s="1" t="s">
        <v>14</v>
      </c>
      <c r="N412" s="1" t="s">
        <v>95</v>
      </c>
      <c r="O412" s="1" t="s">
        <v>96</v>
      </c>
      <c r="P412" s="1"/>
      <c r="Q412" s="1" t="s">
        <v>9</v>
      </c>
      <c r="R412" s="1">
        <v>0</v>
      </c>
      <c r="S412" s="1" t="s">
        <v>97</v>
      </c>
      <c r="T412" s="1" t="s">
        <v>97</v>
      </c>
      <c r="U412" s="1" t="b">
        <v>1</v>
      </c>
      <c r="V412" s="1" t="b">
        <v>0</v>
      </c>
      <c r="W412" s="1" t="b">
        <v>0</v>
      </c>
      <c r="X412" s="1">
        <v>5</v>
      </c>
      <c r="Y412" s="1" t="b">
        <v>1</v>
      </c>
      <c r="Z412" s="1" t="b">
        <v>1</v>
      </c>
      <c r="AA412" s="1"/>
      <c r="AB412" s="1" t="b">
        <v>1</v>
      </c>
      <c r="AC412" s="1">
        <v>150646212</v>
      </c>
      <c r="AD412" s="1">
        <v>610876</v>
      </c>
      <c r="AE412" s="1">
        <v>0</v>
      </c>
      <c r="AF412" s="1" t="s">
        <v>1709</v>
      </c>
      <c r="AG412" s="1" t="s">
        <v>1710</v>
      </c>
      <c r="AH412" s="1">
        <v>62</v>
      </c>
      <c r="AI412" s="1">
        <v>64</v>
      </c>
      <c r="AJ412" s="1" t="s">
        <v>1770</v>
      </c>
      <c r="AK412" s="1" t="s">
        <v>1771</v>
      </c>
      <c r="AL412" s="1" t="s">
        <v>1772</v>
      </c>
    </row>
    <row r="413" spans="1:38" x14ac:dyDescent="0.6">
      <c r="A413" s="1">
        <v>293</v>
      </c>
      <c r="B413" s="1" t="s">
        <v>88</v>
      </c>
      <c r="C413" s="1"/>
      <c r="D413" s="1"/>
      <c r="E413" s="1" t="s">
        <v>108</v>
      </c>
      <c r="F413" s="1"/>
      <c r="G413" s="1"/>
      <c r="H413" s="1" t="s">
        <v>91</v>
      </c>
      <c r="I413" s="1" t="s">
        <v>92</v>
      </c>
      <c r="J413" s="1" t="s">
        <v>109</v>
      </c>
      <c r="K413" s="1">
        <v>1</v>
      </c>
      <c r="L413" s="1">
        <v>120</v>
      </c>
      <c r="M413" s="1" t="s">
        <v>94</v>
      </c>
      <c r="N413" s="1" t="s">
        <v>95</v>
      </c>
      <c r="O413" s="1"/>
      <c r="P413" s="1" t="s">
        <v>96</v>
      </c>
      <c r="Q413" s="1" t="s">
        <v>9</v>
      </c>
      <c r="R413" s="1">
        <v>0</v>
      </c>
      <c r="S413" s="1" t="s">
        <v>97</v>
      </c>
      <c r="T413" s="1" t="s">
        <v>97</v>
      </c>
      <c r="U413" s="1" t="b">
        <v>1</v>
      </c>
      <c r="V413" s="1" t="b">
        <v>0</v>
      </c>
      <c r="W413" s="1" t="b">
        <v>0</v>
      </c>
      <c r="X413" s="1">
        <v>0</v>
      </c>
      <c r="Y413" s="1" t="b">
        <v>1</v>
      </c>
      <c r="Z413" s="1" t="b">
        <v>1</v>
      </c>
      <c r="AA413" s="1">
        <v>63.4</v>
      </c>
      <c r="AB413" s="1" t="b">
        <v>1</v>
      </c>
      <c r="AC413" s="1">
        <v>156925211</v>
      </c>
      <c r="AD413" s="1">
        <v>2196197</v>
      </c>
      <c r="AE413" s="1">
        <v>0</v>
      </c>
      <c r="AF413" s="1" t="s">
        <v>1765</v>
      </c>
      <c r="AG413" s="1" t="s">
        <v>1766</v>
      </c>
      <c r="AH413" s="1">
        <v>67.7</v>
      </c>
      <c r="AI413" s="1">
        <v>62</v>
      </c>
      <c r="AJ413" s="1" t="s">
        <v>1773</v>
      </c>
      <c r="AK413" s="1" t="s">
        <v>1774</v>
      </c>
      <c r="AL413" s="1" t="s">
        <v>1775</v>
      </c>
    </row>
    <row r="414" spans="1:38" x14ac:dyDescent="0.6">
      <c r="A414" s="1">
        <v>288</v>
      </c>
      <c r="B414" s="1" t="s">
        <v>103</v>
      </c>
      <c r="C414" s="1">
        <v>65</v>
      </c>
      <c r="D414" s="1" t="s">
        <v>127</v>
      </c>
      <c r="E414" s="1" t="s">
        <v>90</v>
      </c>
      <c r="F414" s="1"/>
      <c r="G414" s="1"/>
      <c r="H414" s="1" t="s">
        <v>91</v>
      </c>
      <c r="I414" s="1" t="s">
        <v>92</v>
      </c>
      <c r="J414" s="1" t="s">
        <v>109</v>
      </c>
      <c r="K414" s="1">
        <v>1</v>
      </c>
      <c r="L414" s="1">
        <v>120</v>
      </c>
      <c r="M414" s="1" t="s">
        <v>94</v>
      </c>
      <c r="N414" s="1" t="s">
        <v>95</v>
      </c>
      <c r="O414" s="1"/>
      <c r="P414" s="1" t="s">
        <v>96</v>
      </c>
      <c r="Q414" s="1" t="s">
        <v>9</v>
      </c>
      <c r="R414" s="1">
        <v>0</v>
      </c>
      <c r="S414" s="1" t="s">
        <v>97</v>
      </c>
      <c r="T414" s="1" t="s">
        <v>97</v>
      </c>
      <c r="U414" s="1" t="b">
        <v>1</v>
      </c>
      <c r="V414" s="1" t="b">
        <v>0</v>
      </c>
      <c r="W414" s="1" t="b">
        <v>0</v>
      </c>
      <c r="X414" s="1">
        <v>0</v>
      </c>
      <c r="Y414" s="1" t="b">
        <v>1</v>
      </c>
      <c r="Z414" s="1" t="b">
        <v>1</v>
      </c>
      <c r="AA414" s="1">
        <v>62.3</v>
      </c>
      <c r="AB414" s="1" t="b">
        <v>1</v>
      </c>
      <c r="AC414" s="1">
        <v>141143981</v>
      </c>
      <c r="AD414" s="1">
        <v>1462355</v>
      </c>
      <c r="AE414" s="1">
        <v>0</v>
      </c>
      <c r="AF414" s="1" t="s">
        <v>1727</v>
      </c>
      <c r="AG414" s="1" t="s">
        <v>1728</v>
      </c>
      <c r="AH414" s="1">
        <v>62.4</v>
      </c>
      <c r="AI414" s="1">
        <v>60.3</v>
      </c>
      <c r="AJ414" s="1" t="s">
        <v>1776</v>
      </c>
      <c r="AK414" s="1" t="s">
        <v>1777</v>
      </c>
      <c r="AL414" s="1" t="s">
        <v>1778</v>
      </c>
    </row>
    <row r="415" spans="1:38" x14ac:dyDescent="0.6">
      <c r="A415" s="1">
        <v>295</v>
      </c>
      <c r="B415" s="1" t="s">
        <v>88</v>
      </c>
      <c r="C415" s="1"/>
      <c r="D415" s="1"/>
      <c r="E415" s="1" t="s">
        <v>108</v>
      </c>
      <c r="F415" s="1"/>
      <c r="G415" s="1"/>
      <c r="H415" s="1" t="s">
        <v>91</v>
      </c>
      <c r="I415" s="1" t="s">
        <v>92</v>
      </c>
      <c r="J415" s="1" t="s">
        <v>109</v>
      </c>
      <c r="K415" s="1">
        <v>1</v>
      </c>
      <c r="L415" s="1">
        <v>120</v>
      </c>
      <c r="M415" s="1" t="s">
        <v>94</v>
      </c>
      <c r="N415" s="1" t="s">
        <v>236</v>
      </c>
      <c r="O415" s="1"/>
      <c r="P415" s="1" t="s">
        <v>96</v>
      </c>
      <c r="Q415" s="1" t="s">
        <v>9</v>
      </c>
      <c r="R415" s="1">
        <v>0</v>
      </c>
      <c r="S415" s="1" t="s">
        <v>97</v>
      </c>
      <c r="T415" s="1"/>
      <c r="U415" s="1"/>
      <c r="V415" s="1" t="b">
        <v>0</v>
      </c>
      <c r="W415" s="1" t="b">
        <v>0</v>
      </c>
      <c r="X415" s="1">
        <v>0</v>
      </c>
      <c r="Y415" s="1" t="b">
        <v>1</v>
      </c>
      <c r="Z415" s="1" t="b">
        <v>1</v>
      </c>
      <c r="AA415" s="1">
        <v>71.599999999999994</v>
      </c>
      <c r="AB415" s="1" t="b">
        <v>1</v>
      </c>
      <c r="AC415" s="1">
        <v>171168602</v>
      </c>
      <c r="AD415" s="1">
        <v>1584294</v>
      </c>
      <c r="AE415" s="1">
        <v>0</v>
      </c>
      <c r="AF415" s="1"/>
      <c r="AG415" s="1" t="s">
        <v>1779</v>
      </c>
      <c r="AH415" s="1"/>
      <c r="AI415" s="1">
        <v>68.5</v>
      </c>
      <c r="AJ415" s="1" t="s">
        <v>1780</v>
      </c>
      <c r="AK415" s="1" t="s">
        <v>1781</v>
      </c>
      <c r="AL415" s="1" t="s">
        <v>1782</v>
      </c>
    </row>
    <row r="416" spans="1:38" x14ac:dyDescent="0.6">
      <c r="A416" s="1">
        <v>298</v>
      </c>
      <c r="B416" s="1" t="s">
        <v>103</v>
      </c>
      <c r="C416" s="1"/>
      <c r="D416" s="1"/>
      <c r="E416" s="1" t="s">
        <v>108</v>
      </c>
      <c r="F416" s="1"/>
      <c r="G416" s="1"/>
      <c r="H416" s="1" t="s">
        <v>91</v>
      </c>
      <c r="I416" s="1" t="s">
        <v>92</v>
      </c>
      <c r="J416" s="1" t="s">
        <v>109</v>
      </c>
      <c r="K416" s="1">
        <v>1</v>
      </c>
      <c r="L416" s="1">
        <v>120</v>
      </c>
      <c r="M416" s="1" t="s">
        <v>94</v>
      </c>
      <c r="N416" s="1" t="s">
        <v>95</v>
      </c>
      <c r="O416" s="1"/>
      <c r="P416" s="1" t="s">
        <v>96</v>
      </c>
      <c r="Q416" s="1" t="s">
        <v>9</v>
      </c>
      <c r="R416" s="1">
        <v>0</v>
      </c>
      <c r="S416" s="1" t="s">
        <v>97</v>
      </c>
      <c r="T416" s="1" t="s">
        <v>97</v>
      </c>
      <c r="U416" s="1" t="b">
        <v>1</v>
      </c>
      <c r="V416" s="1" t="b">
        <v>0</v>
      </c>
      <c r="W416" s="1" t="b">
        <v>0</v>
      </c>
      <c r="X416" s="1">
        <v>0</v>
      </c>
      <c r="Y416" s="1" t="b">
        <v>1</v>
      </c>
      <c r="Z416" s="1" t="b">
        <v>1</v>
      </c>
      <c r="AA416" s="1">
        <v>71.2</v>
      </c>
      <c r="AB416" s="1" t="b">
        <v>1</v>
      </c>
      <c r="AC416" s="1">
        <v>154367374</v>
      </c>
      <c r="AD416" s="1">
        <v>1346162</v>
      </c>
      <c r="AE416" s="1">
        <v>0</v>
      </c>
      <c r="AF416" s="1" t="s">
        <v>1783</v>
      </c>
      <c r="AG416" s="1" t="s">
        <v>1784</v>
      </c>
      <c r="AH416" s="1">
        <v>62.1</v>
      </c>
      <c r="AI416" s="1">
        <v>66</v>
      </c>
      <c r="AJ416" s="1" t="s">
        <v>1785</v>
      </c>
      <c r="AK416" s="1" t="s">
        <v>1786</v>
      </c>
      <c r="AL416" s="1" t="s">
        <v>1787</v>
      </c>
    </row>
    <row r="417" spans="1:38" x14ac:dyDescent="0.6">
      <c r="A417" s="1">
        <v>300</v>
      </c>
      <c r="B417" s="1" t="s">
        <v>103</v>
      </c>
      <c r="C417" s="1"/>
      <c r="D417" s="1"/>
      <c r="E417" s="1" t="s">
        <v>90</v>
      </c>
      <c r="F417" s="1"/>
      <c r="G417" s="1"/>
      <c r="H417" s="1" t="s">
        <v>91</v>
      </c>
      <c r="I417" s="1" t="s">
        <v>92</v>
      </c>
      <c r="J417" s="1" t="s">
        <v>109</v>
      </c>
      <c r="K417" s="1">
        <v>1</v>
      </c>
      <c r="L417" s="1">
        <v>120</v>
      </c>
      <c r="M417" s="1" t="s">
        <v>14</v>
      </c>
      <c r="N417" s="1" t="s">
        <v>95</v>
      </c>
      <c r="O417" s="1" t="s">
        <v>96</v>
      </c>
      <c r="P417" s="1"/>
      <c r="Q417" s="1" t="s">
        <v>9</v>
      </c>
      <c r="R417" s="1">
        <v>0</v>
      </c>
      <c r="S417" s="1" t="s">
        <v>97</v>
      </c>
      <c r="T417" s="1" t="s">
        <v>97</v>
      </c>
      <c r="U417" s="1" t="b">
        <v>1</v>
      </c>
      <c r="V417" s="1" t="b">
        <v>0</v>
      </c>
      <c r="W417" s="1" t="b">
        <v>0</v>
      </c>
      <c r="X417" s="1">
        <v>5</v>
      </c>
      <c r="Y417" s="1" t="b">
        <v>1</v>
      </c>
      <c r="Z417" s="1" t="b">
        <v>1</v>
      </c>
      <c r="AA417" s="1"/>
      <c r="AB417" s="1" t="b">
        <v>1</v>
      </c>
      <c r="AC417" s="1">
        <v>140721413</v>
      </c>
      <c r="AD417" s="1">
        <v>836347</v>
      </c>
      <c r="AE417" s="1">
        <v>0</v>
      </c>
      <c r="AF417" s="1" t="s">
        <v>1788</v>
      </c>
      <c r="AG417" s="1" t="s">
        <v>1789</v>
      </c>
      <c r="AH417" s="1">
        <v>60.4</v>
      </c>
      <c r="AI417" s="1">
        <v>78.900000000000006</v>
      </c>
      <c r="AJ417" s="1" t="s">
        <v>1790</v>
      </c>
      <c r="AK417" s="1" t="s">
        <v>1791</v>
      </c>
      <c r="AL417" s="1" t="s">
        <v>1792</v>
      </c>
    </row>
    <row r="418" spans="1:38" x14ac:dyDescent="0.6">
      <c r="A418" s="1">
        <v>298</v>
      </c>
      <c r="B418" s="1" t="s">
        <v>103</v>
      </c>
      <c r="C418" s="1"/>
      <c r="D418" s="1"/>
      <c r="E418" s="1" t="s">
        <v>108</v>
      </c>
      <c r="F418" s="1"/>
      <c r="G418" s="1"/>
      <c r="H418" s="1" t="s">
        <v>91</v>
      </c>
      <c r="I418" s="1" t="s">
        <v>92</v>
      </c>
      <c r="J418" s="1" t="s">
        <v>109</v>
      </c>
      <c r="K418" s="1">
        <v>1</v>
      </c>
      <c r="L418" s="1">
        <v>120</v>
      </c>
      <c r="M418" s="1" t="s">
        <v>14</v>
      </c>
      <c r="N418" s="1" t="s">
        <v>95</v>
      </c>
      <c r="O418" s="1" t="s">
        <v>96</v>
      </c>
      <c r="P418" s="1"/>
      <c r="Q418" s="1" t="s">
        <v>9</v>
      </c>
      <c r="R418" s="1">
        <v>0</v>
      </c>
      <c r="S418" s="1" t="s">
        <v>97</v>
      </c>
      <c r="T418" s="1" t="s">
        <v>97</v>
      </c>
      <c r="U418" s="1" t="b">
        <v>1</v>
      </c>
      <c r="V418" s="1" t="b">
        <v>0</v>
      </c>
      <c r="W418" s="1" t="b">
        <v>0</v>
      </c>
      <c r="X418" s="1">
        <v>5</v>
      </c>
      <c r="Y418" s="1" t="b">
        <v>1</v>
      </c>
      <c r="Z418" s="1" t="b">
        <v>1</v>
      </c>
      <c r="AA418" s="1"/>
      <c r="AB418" s="1" t="b">
        <v>1</v>
      </c>
      <c r="AC418" s="1">
        <v>151136111</v>
      </c>
      <c r="AD418" s="1">
        <v>645265</v>
      </c>
      <c r="AE418" s="1">
        <v>0</v>
      </c>
      <c r="AF418" s="1" t="s">
        <v>1783</v>
      </c>
      <c r="AG418" s="1" t="s">
        <v>1784</v>
      </c>
      <c r="AH418" s="1">
        <v>62.1</v>
      </c>
      <c r="AI418" s="1">
        <v>66</v>
      </c>
      <c r="AJ418" s="1" t="s">
        <v>1793</v>
      </c>
      <c r="AK418" s="1" t="s">
        <v>1794</v>
      </c>
      <c r="AL418" s="1" t="s">
        <v>1795</v>
      </c>
    </row>
    <row r="419" spans="1:38" x14ac:dyDescent="0.6">
      <c r="A419" s="1">
        <v>297</v>
      </c>
      <c r="B419" s="1" t="s">
        <v>103</v>
      </c>
      <c r="C419" s="1">
        <v>50</v>
      </c>
      <c r="D419" s="1" t="s">
        <v>89</v>
      </c>
      <c r="E419" s="1" t="s">
        <v>108</v>
      </c>
      <c r="F419" s="1"/>
      <c r="G419" s="1"/>
      <c r="H419" s="1" t="s">
        <v>91</v>
      </c>
      <c r="I419" s="1" t="s">
        <v>92</v>
      </c>
      <c r="J419" s="1" t="s">
        <v>109</v>
      </c>
      <c r="K419" s="1">
        <v>1</v>
      </c>
      <c r="L419" s="1">
        <v>120</v>
      </c>
      <c r="M419" s="1" t="s">
        <v>7</v>
      </c>
      <c r="N419" s="1" t="s">
        <v>7</v>
      </c>
      <c r="O419" s="1" t="s">
        <v>96</v>
      </c>
      <c r="P419" s="1" t="s">
        <v>96</v>
      </c>
      <c r="Q419" s="1" t="s">
        <v>9</v>
      </c>
      <c r="R419" s="1">
        <v>0</v>
      </c>
      <c r="S419" s="1" t="s">
        <v>97</v>
      </c>
      <c r="T419" s="1" t="s">
        <v>97</v>
      </c>
      <c r="U419" s="1" t="b">
        <v>1</v>
      </c>
      <c r="V419" s="1" t="b">
        <v>0</v>
      </c>
      <c r="W419" s="1" t="b">
        <v>0</v>
      </c>
      <c r="X419" s="1">
        <v>5</v>
      </c>
      <c r="Y419" s="1" t="b">
        <v>1</v>
      </c>
      <c r="Z419" s="1" t="b">
        <v>1</v>
      </c>
      <c r="AA419" s="1">
        <v>83.2</v>
      </c>
      <c r="AB419" s="1" t="b">
        <v>0</v>
      </c>
      <c r="AC419" s="1">
        <v>0</v>
      </c>
      <c r="AD419" s="1">
        <v>2801839</v>
      </c>
      <c r="AE419" s="1">
        <v>146358097</v>
      </c>
      <c r="AF419" s="1" t="s">
        <v>1796</v>
      </c>
      <c r="AG419" s="1" t="s">
        <v>1796</v>
      </c>
      <c r="AH419" s="1">
        <v>72.400000000000006</v>
      </c>
      <c r="AI419" s="1">
        <v>76.599999999999994</v>
      </c>
      <c r="AJ419" s="1" t="s">
        <v>1797</v>
      </c>
      <c r="AK419" s="1" t="s">
        <v>1798</v>
      </c>
      <c r="AL419" s="1" t="s">
        <v>1799</v>
      </c>
    </row>
    <row r="420" spans="1:38" x14ac:dyDescent="0.6">
      <c r="A420" s="1">
        <v>294</v>
      </c>
      <c r="B420" s="1" t="s">
        <v>88</v>
      </c>
      <c r="C420" s="1">
        <v>52</v>
      </c>
      <c r="D420" s="1" t="s">
        <v>89</v>
      </c>
      <c r="E420" s="1" t="s">
        <v>108</v>
      </c>
      <c r="F420" s="1"/>
      <c r="G420" s="1"/>
      <c r="H420" s="1" t="s">
        <v>91</v>
      </c>
      <c r="I420" s="1" t="s">
        <v>92</v>
      </c>
      <c r="J420" s="1" t="s">
        <v>109</v>
      </c>
      <c r="K420" s="1">
        <v>1</v>
      </c>
      <c r="L420" s="1">
        <v>120</v>
      </c>
      <c r="M420" s="1" t="s">
        <v>7</v>
      </c>
      <c r="N420" s="1" t="s">
        <v>7</v>
      </c>
      <c r="O420" s="1" t="s">
        <v>96</v>
      </c>
      <c r="P420" s="1" t="s">
        <v>96</v>
      </c>
      <c r="Q420" s="1" t="s">
        <v>9</v>
      </c>
      <c r="R420" s="1">
        <v>0</v>
      </c>
      <c r="S420" s="1" t="s">
        <v>97</v>
      </c>
      <c r="T420" s="1" t="s">
        <v>97</v>
      </c>
      <c r="U420" s="1" t="b">
        <v>1</v>
      </c>
      <c r="V420" s="1" t="b">
        <v>0</v>
      </c>
      <c r="W420" s="1" t="b">
        <v>0</v>
      </c>
      <c r="X420" s="1">
        <v>5</v>
      </c>
      <c r="Y420" s="1" t="b">
        <v>1</v>
      </c>
      <c r="Z420" s="1" t="b">
        <v>1</v>
      </c>
      <c r="AA420" s="1">
        <v>59.8</v>
      </c>
      <c r="AB420" s="1" t="b">
        <v>0</v>
      </c>
      <c r="AC420" s="1">
        <v>0</v>
      </c>
      <c r="AD420" s="1">
        <v>3862992</v>
      </c>
      <c r="AE420" s="1">
        <v>154209840</v>
      </c>
      <c r="AF420" s="1" t="s">
        <v>1800</v>
      </c>
      <c r="AG420" s="1" t="s">
        <v>1800</v>
      </c>
      <c r="AH420" s="1">
        <v>54.9</v>
      </c>
      <c r="AI420" s="1">
        <v>58.8</v>
      </c>
      <c r="AJ420" s="1" t="s">
        <v>1801</v>
      </c>
      <c r="AK420" s="1" t="s">
        <v>1802</v>
      </c>
      <c r="AL420" s="1" t="s">
        <v>1803</v>
      </c>
    </row>
    <row r="421" spans="1:38" x14ac:dyDescent="0.6">
      <c r="A421" s="1">
        <v>299</v>
      </c>
      <c r="B421" s="1" t="s">
        <v>88</v>
      </c>
      <c r="C421" s="1"/>
      <c r="D421" s="1"/>
      <c r="E421" s="1" t="s">
        <v>90</v>
      </c>
      <c r="F421" s="1"/>
      <c r="G421" s="1"/>
      <c r="H421" s="1" t="s">
        <v>91</v>
      </c>
      <c r="I421" s="1" t="s">
        <v>92</v>
      </c>
      <c r="J421" s="1" t="s">
        <v>109</v>
      </c>
      <c r="K421" s="1">
        <v>1</v>
      </c>
      <c r="L421" s="1">
        <v>120</v>
      </c>
      <c r="M421" s="1" t="s">
        <v>94</v>
      </c>
      <c r="N421" s="1" t="s">
        <v>236</v>
      </c>
      <c r="O421" s="1"/>
      <c r="P421" s="1" t="s">
        <v>96</v>
      </c>
      <c r="Q421" s="1" t="s">
        <v>9</v>
      </c>
      <c r="R421" s="1">
        <v>0</v>
      </c>
      <c r="S421" s="1" t="s">
        <v>97</v>
      </c>
      <c r="T421" s="1"/>
      <c r="U421" s="1"/>
      <c r="V421" s="1" t="b">
        <v>0</v>
      </c>
      <c r="W421" s="1" t="b">
        <v>0</v>
      </c>
      <c r="X421" s="1">
        <v>0</v>
      </c>
      <c r="Y421" s="1" t="b">
        <v>1</v>
      </c>
      <c r="Z421" s="1" t="b">
        <v>1</v>
      </c>
      <c r="AA421" s="1">
        <v>80.099999999999994</v>
      </c>
      <c r="AB421" s="1" t="b">
        <v>1</v>
      </c>
      <c r="AC421" s="1">
        <v>182709080</v>
      </c>
      <c r="AD421" s="1">
        <v>1053864</v>
      </c>
      <c r="AE421" s="1">
        <v>0</v>
      </c>
      <c r="AF421" s="1"/>
      <c r="AG421" s="1" t="s">
        <v>1804</v>
      </c>
      <c r="AH421" s="1"/>
      <c r="AI421" s="1">
        <v>76</v>
      </c>
      <c r="AJ421" s="1" t="s">
        <v>1805</v>
      </c>
      <c r="AK421" s="1" t="s">
        <v>1806</v>
      </c>
      <c r="AL421" s="1" t="s">
        <v>1807</v>
      </c>
    </row>
    <row r="422" spans="1:38" x14ac:dyDescent="0.6">
      <c r="A422" s="1">
        <v>302</v>
      </c>
      <c r="B422" s="1" t="s">
        <v>88</v>
      </c>
      <c r="C422" s="1"/>
      <c r="D422" s="1"/>
      <c r="E422" s="1" t="s">
        <v>90</v>
      </c>
      <c r="F422" s="1"/>
      <c r="G422" s="1"/>
      <c r="H422" s="1" t="s">
        <v>91</v>
      </c>
      <c r="I422" s="1" t="s">
        <v>92</v>
      </c>
      <c r="J422" s="1" t="s">
        <v>109</v>
      </c>
      <c r="K422" s="1">
        <v>1</v>
      </c>
      <c r="L422" s="1">
        <v>120</v>
      </c>
      <c r="M422" s="1" t="s">
        <v>94</v>
      </c>
      <c r="N422" s="1" t="s">
        <v>236</v>
      </c>
      <c r="O422" s="1"/>
      <c r="P422" s="1" t="s">
        <v>96</v>
      </c>
      <c r="Q422" s="1" t="s">
        <v>9</v>
      </c>
      <c r="R422" s="1">
        <v>0</v>
      </c>
      <c r="S422" s="1" t="s">
        <v>97</v>
      </c>
      <c r="T422" s="1"/>
      <c r="U422" s="1"/>
      <c r="V422" s="1" t="b">
        <v>0</v>
      </c>
      <c r="W422" s="1" t="b">
        <v>0</v>
      </c>
      <c r="X422" s="1">
        <v>0</v>
      </c>
      <c r="Y422" s="1" t="b">
        <v>1</v>
      </c>
      <c r="Z422" s="1" t="b">
        <v>1</v>
      </c>
      <c r="AA422" s="1">
        <v>65.599999999999994</v>
      </c>
      <c r="AB422" s="1" t="b">
        <v>1</v>
      </c>
      <c r="AC422" s="1">
        <v>132843843</v>
      </c>
      <c r="AD422" s="1">
        <v>1373885</v>
      </c>
      <c r="AE422" s="1">
        <v>0</v>
      </c>
      <c r="AF422" s="1"/>
      <c r="AG422" s="1" t="s">
        <v>1808</v>
      </c>
      <c r="AH422" s="1"/>
      <c r="AI422" s="1">
        <v>61.1</v>
      </c>
      <c r="AJ422" s="1" t="s">
        <v>1809</v>
      </c>
      <c r="AK422" s="1" t="s">
        <v>1810</v>
      </c>
      <c r="AL422" s="1" t="s">
        <v>1811</v>
      </c>
    </row>
    <row r="423" spans="1:38" x14ac:dyDescent="0.6">
      <c r="A423" s="1">
        <v>290</v>
      </c>
      <c r="B423" s="1" t="s">
        <v>103</v>
      </c>
      <c r="C423" s="1">
        <v>63</v>
      </c>
      <c r="D423" s="1" t="s">
        <v>127</v>
      </c>
      <c r="E423" s="1" t="s">
        <v>108</v>
      </c>
      <c r="F423" s="1"/>
      <c r="G423" s="1"/>
      <c r="H423" s="1" t="s">
        <v>91</v>
      </c>
      <c r="I423" s="1" t="s">
        <v>92</v>
      </c>
      <c r="J423" s="1" t="s">
        <v>109</v>
      </c>
      <c r="K423" s="1">
        <v>1</v>
      </c>
      <c r="L423" s="1">
        <v>120</v>
      </c>
      <c r="M423" s="1" t="s">
        <v>14</v>
      </c>
      <c r="N423" s="1" t="s">
        <v>95</v>
      </c>
      <c r="O423" s="1" t="s">
        <v>96</v>
      </c>
      <c r="P423" s="1"/>
      <c r="Q423" s="1" t="s">
        <v>9</v>
      </c>
      <c r="R423" s="1">
        <v>0</v>
      </c>
      <c r="S423" s="1" t="s">
        <v>97</v>
      </c>
      <c r="T423" s="1" t="s">
        <v>97</v>
      </c>
      <c r="U423" s="1" t="b">
        <v>1</v>
      </c>
      <c r="V423" s="1" t="b">
        <v>0</v>
      </c>
      <c r="W423" s="1" t="b">
        <v>0</v>
      </c>
      <c r="X423" s="1">
        <v>5</v>
      </c>
      <c r="Y423" s="1" t="b">
        <v>1</v>
      </c>
      <c r="Z423" s="1" t="b">
        <v>1</v>
      </c>
      <c r="AA423" s="1"/>
      <c r="AB423" s="1" t="b">
        <v>1</v>
      </c>
      <c r="AC423" s="1">
        <v>146510874</v>
      </c>
      <c r="AD423" s="1">
        <v>814054</v>
      </c>
      <c r="AE423" s="1">
        <v>0</v>
      </c>
      <c r="AF423" s="1" t="s">
        <v>1750</v>
      </c>
      <c r="AG423" s="1" t="s">
        <v>1751</v>
      </c>
      <c r="AH423" s="1">
        <v>64.8</v>
      </c>
      <c r="AI423" s="1">
        <v>63.8</v>
      </c>
      <c r="AJ423" s="1" t="s">
        <v>1812</v>
      </c>
      <c r="AK423" s="1" t="s">
        <v>1813</v>
      </c>
      <c r="AL423" s="1" t="s">
        <v>1814</v>
      </c>
    </row>
    <row r="424" spans="1:38" x14ac:dyDescent="0.6">
      <c r="A424" s="1">
        <v>291</v>
      </c>
      <c r="B424" s="1" t="s">
        <v>103</v>
      </c>
      <c r="C424" s="1">
        <v>59</v>
      </c>
      <c r="D424" s="1" t="s">
        <v>89</v>
      </c>
      <c r="E424" s="1" t="s">
        <v>108</v>
      </c>
      <c r="F424" s="1"/>
      <c r="G424" s="1"/>
      <c r="H424" s="1" t="s">
        <v>91</v>
      </c>
      <c r="I424" s="1" t="s">
        <v>92</v>
      </c>
      <c r="J424" s="1" t="s">
        <v>109</v>
      </c>
      <c r="K424" s="1">
        <v>1</v>
      </c>
      <c r="L424" s="1">
        <v>120</v>
      </c>
      <c r="M424" s="1" t="s">
        <v>14</v>
      </c>
      <c r="N424" s="1" t="s">
        <v>95</v>
      </c>
      <c r="O424" s="1" t="s">
        <v>96</v>
      </c>
      <c r="P424" s="1"/>
      <c r="Q424" s="1" t="s">
        <v>9</v>
      </c>
      <c r="R424" s="1">
        <v>0</v>
      </c>
      <c r="S424" s="1" t="s">
        <v>97</v>
      </c>
      <c r="T424" s="1" t="s">
        <v>97</v>
      </c>
      <c r="U424" s="1" t="b">
        <v>1</v>
      </c>
      <c r="V424" s="1" t="b">
        <v>0</v>
      </c>
      <c r="W424" s="1" t="b">
        <v>0</v>
      </c>
      <c r="X424" s="1">
        <v>5</v>
      </c>
      <c r="Y424" s="1" t="b">
        <v>1</v>
      </c>
      <c r="Z424" s="1" t="b">
        <v>1</v>
      </c>
      <c r="AA424" s="1"/>
      <c r="AB424" s="1" t="b">
        <v>1</v>
      </c>
      <c r="AC424" s="1">
        <v>139966561</v>
      </c>
      <c r="AD424" s="1">
        <v>542623</v>
      </c>
      <c r="AE424" s="1">
        <v>0</v>
      </c>
      <c r="AF424" s="1" t="s">
        <v>1755</v>
      </c>
      <c r="AG424" s="1" t="s">
        <v>1756</v>
      </c>
      <c r="AH424" s="1">
        <v>75.400000000000006</v>
      </c>
      <c r="AI424" s="1">
        <v>71.400000000000006</v>
      </c>
      <c r="AJ424" s="1" t="s">
        <v>1815</v>
      </c>
      <c r="AK424" s="1" t="s">
        <v>1816</v>
      </c>
      <c r="AL424" s="1" t="s">
        <v>1817</v>
      </c>
    </row>
    <row r="425" spans="1:38" x14ac:dyDescent="0.6">
      <c r="A425" s="1">
        <v>300</v>
      </c>
      <c r="B425" s="1" t="s">
        <v>103</v>
      </c>
      <c r="C425" s="1"/>
      <c r="D425" s="1"/>
      <c r="E425" s="1" t="s">
        <v>90</v>
      </c>
      <c r="F425" s="1"/>
      <c r="G425" s="1"/>
      <c r="H425" s="1" t="s">
        <v>91</v>
      </c>
      <c r="I425" s="1" t="s">
        <v>92</v>
      </c>
      <c r="J425" s="1" t="s">
        <v>109</v>
      </c>
      <c r="K425" s="1">
        <v>1</v>
      </c>
      <c r="L425" s="1">
        <v>120</v>
      </c>
      <c r="M425" s="1" t="s">
        <v>94</v>
      </c>
      <c r="N425" s="1" t="s">
        <v>95</v>
      </c>
      <c r="O425" s="1"/>
      <c r="P425" s="1" t="s">
        <v>96</v>
      </c>
      <c r="Q425" s="1" t="s">
        <v>9</v>
      </c>
      <c r="R425" s="1">
        <v>0</v>
      </c>
      <c r="S425" s="1" t="s">
        <v>97</v>
      </c>
      <c r="T425" s="1" t="s">
        <v>97</v>
      </c>
      <c r="U425" s="1" t="b">
        <v>1</v>
      </c>
      <c r="V425" s="1" t="b">
        <v>0</v>
      </c>
      <c r="W425" s="1" t="b">
        <v>0</v>
      </c>
      <c r="X425" s="1">
        <v>0</v>
      </c>
      <c r="Y425" s="1" t="b">
        <v>1</v>
      </c>
      <c r="Z425" s="1" t="b">
        <v>1</v>
      </c>
      <c r="AA425" s="1">
        <v>84.1</v>
      </c>
      <c r="AB425" s="1" t="b">
        <v>1</v>
      </c>
      <c r="AC425" s="1">
        <v>141754693</v>
      </c>
      <c r="AD425" s="1">
        <v>2162363</v>
      </c>
      <c r="AE425" s="1">
        <v>0</v>
      </c>
      <c r="AF425" s="1" t="s">
        <v>1788</v>
      </c>
      <c r="AG425" s="1" t="s">
        <v>1789</v>
      </c>
      <c r="AH425" s="1">
        <v>60.4</v>
      </c>
      <c r="AI425" s="1">
        <v>78.900000000000006</v>
      </c>
      <c r="AJ425" s="1" t="s">
        <v>1818</v>
      </c>
      <c r="AK425" s="1" t="s">
        <v>1819</v>
      </c>
      <c r="AL425" s="1" t="s">
        <v>1820</v>
      </c>
    </row>
    <row r="426" spans="1:38" x14ac:dyDescent="0.6">
      <c r="A426" s="1">
        <v>292</v>
      </c>
      <c r="B426" s="1" t="s">
        <v>103</v>
      </c>
      <c r="C426" s="1">
        <v>52</v>
      </c>
      <c r="D426" s="1" t="s">
        <v>89</v>
      </c>
      <c r="E426" s="1" t="s">
        <v>90</v>
      </c>
      <c r="F426" s="1"/>
      <c r="G426" s="1"/>
      <c r="H426" s="1" t="s">
        <v>91</v>
      </c>
      <c r="I426" s="1" t="s">
        <v>92</v>
      </c>
      <c r="J426" s="1" t="s">
        <v>109</v>
      </c>
      <c r="K426" s="1">
        <v>1</v>
      </c>
      <c r="L426" s="1">
        <v>120</v>
      </c>
      <c r="M426" s="1" t="s">
        <v>94</v>
      </c>
      <c r="N426" s="1" t="s">
        <v>95</v>
      </c>
      <c r="O426" s="1"/>
      <c r="P426" s="1" t="s">
        <v>96</v>
      </c>
      <c r="Q426" s="1" t="s">
        <v>9</v>
      </c>
      <c r="R426" s="1">
        <v>0</v>
      </c>
      <c r="S426" s="1" t="s">
        <v>97</v>
      </c>
      <c r="T426" s="1" t="s">
        <v>97</v>
      </c>
      <c r="U426" s="1" t="b">
        <v>1</v>
      </c>
      <c r="V426" s="1" t="b">
        <v>0</v>
      </c>
      <c r="W426" s="1" t="b">
        <v>0</v>
      </c>
      <c r="X426" s="1">
        <v>0</v>
      </c>
      <c r="Y426" s="1" t="b">
        <v>1</v>
      </c>
      <c r="Z426" s="1" t="b">
        <v>1</v>
      </c>
      <c r="AA426" s="1">
        <v>84.9</v>
      </c>
      <c r="AB426" s="1" t="b">
        <v>1</v>
      </c>
      <c r="AC426" s="1">
        <v>152277823</v>
      </c>
      <c r="AD426" s="1">
        <v>1338561</v>
      </c>
      <c r="AE426" s="1">
        <v>0</v>
      </c>
      <c r="AF426" s="1" t="s">
        <v>1760</v>
      </c>
      <c r="AG426" s="1" t="s">
        <v>1761</v>
      </c>
      <c r="AH426" s="1">
        <v>83.3</v>
      </c>
      <c r="AI426" s="1">
        <v>81.3</v>
      </c>
      <c r="AJ426" s="1" t="s">
        <v>1821</v>
      </c>
      <c r="AK426" s="1" t="s">
        <v>1822</v>
      </c>
      <c r="AL426" s="1" t="s">
        <v>1823</v>
      </c>
    </row>
    <row r="427" spans="1:38" x14ac:dyDescent="0.6">
      <c r="A427" s="1">
        <v>305</v>
      </c>
      <c r="B427" s="1" t="s">
        <v>88</v>
      </c>
      <c r="C427" s="1">
        <v>66</v>
      </c>
      <c r="D427" s="1" t="s">
        <v>127</v>
      </c>
      <c r="E427" s="1" t="s">
        <v>108</v>
      </c>
      <c r="F427" s="1"/>
      <c r="G427" s="1"/>
      <c r="H427" s="1" t="s">
        <v>91</v>
      </c>
      <c r="I427" s="1" t="s">
        <v>92</v>
      </c>
      <c r="J427" s="1" t="s">
        <v>93</v>
      </c>
      <c r="K427" s="1">
        <v>1</v>
      </c>
      <c r="L427" s="1">
        <v>120</v>
      </c>
      <c r="M427" s="1" t="s">
        <v>7</v>
      </c>
      <c r="N427" s="1" t="s">
        <v>7</v>
      </c>
      <c r="O427" s="1" t="s">
        <v>96</v>
      </c>
      <c r="P427" s="1" t="s">
        <v>96</v>
      </c>
      <c r="Q427" s="1" t="s">
        <v>9</v>
      </c>
      <c r="R427" s="1">
        <v>0</v>
      </c>
      <c r="S427" s="1" t="s">
        <v>97</v>
      </c>
      <c r="T427" s="1" t="s">
        <v>97</v>
      </c>
      <c r="U427" s="1" t="b">
        <v>1</v>
      </c>
      <c r="V427" s="1" t="b">
        <v>0</v>
      </c>
      <c r="W427" s="1" t="b">
        <v>0</v>
      </c>
      <c r="X427" s="1">
        <v>5</v>
      </c>
      <c r="Y427" s="1" t="b">
        <v>1</v>
      </c>
      <c r="Z427" s="1" t="b">
        <v>1</v>
      </c>
      <c r="AA427" s="1">
        <v>68.8</v>
      </c>
      <c r="AB427" s="1" t="b">
        <v>0</v>
      </c>
      <c r="AC427" s="1">
        <v>0</v>
      </c>
      <c r="AD427" s="1">
        <v>1763034</v>
      </c>
      <c r="AE427" s="1">
        <v>141367590</v>
      </c>
      <c r="AF427" s="1" t="s">
        <v>1824</v>
      </c>
      <c r="AG427" s="1" t="s">
        <v>1824</v>
      </c>
      <c r="AH427" s="1">
        <v>63.6</v>
      </c>
      <c r="AI427" s="1">
        <v>66.2</v>
      </c>
      <c r="AJ427" s="1" t="s">
        <v>1825</v>
      </c>
      <c r="AK427" s="1" t="s">
        <v>1826</v>
      </c>
      <c r="AL427" s="1" t="s">
        <v>1827</v>
      </c>
    </row>
    <row r="428" spans="1:38" x14ac:dyDescent="0.6">
      <c r="A428" s="1">
        <v>306</v>
      </c>
      <c r="B428" s="1" t="s">
        <v>88</v>
      </c>
      <c r="C428" s="1">
        <v>55</v>
      </c>
      <c r="D428" s="1" t="s">
        <v>89</v>
      </c>
      <c r="E428" s="1" t="s">
        <v>108</v>
      </c>
      <c r="F428" s="1"/>
      <c r="G428" s="1"/>
      <c r="H428" s="1" t="s">
        <v>189</v>
      </c>
      <c r="I428" s="1" t="s">
        <v>190</v>
      </c>
      <c r="J428" s="1" t="s">
        <v>191</v>
      </c>
      <c r="K428" s="1">
        <v>1</v>
      </c>
      <c r="L428" s="1">
        <v>120</v>
      </c>
      <c r="M428" s="1" t="s">
        <v>14</v>
      </c>
      <c r="N428" s="1" t="s">
        <v>95</v>
      </c>
      <c r="O428" s="1" t="s">
        <v>96</v>
      </c>
      <c r="P428" s="1"/>
      <c r="Q428" s="1" t="s">
        <v>9</v>
      </c>
      <c r="R428" s="1">
        <v>0</v>
      </c>
      <c r="S428" s="1" t="s">
        <v>97</v>
      </c>
      <c r="T428" s="1" t="s">
        <v>97</v>
      </c>
      <c r="U428" s="1" t="b">
        <v>1</v>
      </c>
      <c r="V428" s="1" t="b">
        <v>0</v>
      </c>
      <c r="W428" s="1" t="b">
        <v>0</v>
      </c>
      <c r="X428" s="1">
        <v>5</v>
      </c>
      <c r="Y428" s="1" t="b">
        <v>1</v>
      </c>
      <c r="Z428" s="1" t="b">
        <v>1</v>
      </c>
      <c r="AA428" s="1"/>
      <c r="AB428" s="1" t="b">
        <v>1</v>
      </c>
      <c r="AC428" s="1">
        <v>141715849</v>
      </c>
      <c r="AD428" s="1">
        <v>890487</v>
      </c>
      <c r="AE428" s="1">
        <v>0</v>
      </c>
      <c r="AF428" s="1" t="s">
        <v>1828</v>
      </c>
      <c r="AG428" s="1" t="s">
        <v>1829</v>
      </c>
      <c r="AH428" s="1">
        <v>56.1</v>
      </c>
      <c r="AI428" s="1">
        <v>50.7</v>
      </c>
      <c r="AJ428" s="1" t="s">
        <v>1830</v>
      </c>
      <c r="AK428" s="1" t="s">
        <v>1831</v>
      </c>
      <c r="AL428" s="1" t="s">
        <v>1832</v>
      </c>
    </row>
    <row r="429" spans="1:38" x14ac:dyDescent="0.6">
      <c r="A429" s="1">
        <v>306</v>
      </c>
      <c r="B429" s="1" t="s">
        <v>88</v>
      </c>
      <c r="C429" s="1">
        <v>55</v>
      </c>
      <c r="D429" s="1" t="s">
        <v>89</v>
      </c>
      <c r="E429" s="1" t="s">
        <v>108</v>
      </c>
      <c r="F429" s="1"/>
      <c r="G429" s="1"/>
      <c r="H429" s="1" t="s">
        <v>189</v>
      </c>
      <c r="I429" s="1" t="s">
        <v>190</v>
      </c>
      <c r="J429" s="1" t="s">
        <v>191</v>
      </c>
      <c r="K429" s="1">
        <v>1</v>
      </c>
      <c r="L429" s="1">
        <v>120</v>
      </c>
      <c r="M429" s="1" t="s">
        <v>94</v>
      </c>
      <c r="N429" s="1" t="s">
        <v>95</v>
      </c>
      <c r="O429" s="1"/>
      <c r="P429" s="1" t="s">
        <v>96</v>
      </c>
      <c r="Q429" s="1" t="s">
        <v>9</v>
      </c>
      <c r="R429" s="1">
        <v>0</v>
      </c>
      <c r="S429" s="1" t="s">
        <v>97</v>
      </c>
      <c r="T429" s="1" t="s">
        <v>97</v>
      </c>
      <c r="U429" s="1" t="b">
        <v>1</v>
      </c>
      <c r="V429" s="1" t="b">
        <v>0</v>
      </c>
      <c r="W429" s="1" t="b">
        <v>0</v>
      </c>
      <c r="X429" s="1">
        <v>0</v>
      </c>
      <c r="Y429" s="1" t="b">
        <v>1</v>
      </c>
      <c r="Z429" s="1" t="b">
        <v>1</v>
      </c>
      <c r="AA429" s="1">
        <v>52.7</v>
      </c>
      <c r="AB429" s="1" t="b">
        <v>1</v>
      </c>
      <c r="AC429" s="1">
        <v>141721025</v>
      </c>
      <c r="AD429" s="1">
        <v>2720319</v>
      </c>
      <c r="AE429" s="1">
        <v>0</v>
      </c>
      <c r="AF429" s="1" t="s">
        <v>1828</v>
      </c>
      <c r="AG429" s="1" t="s">
        <v>1829</v>
      </c>
      <c r="AH429" s="1">
        <v>56.1</v>
      </c>
      <c r="AI429" s="1">
        <v>50.7</v>
      </c>
      <c r="AJ429" s="1" t="s">
        <v>1833</v>
      </c>
      <c r="AK429" s="1" t="s">
        <v>1834</v>
      </c>
      <c r="AL429" s="1" t="s">
        <v>1835</v>
      </c>
    </row>
    <row r="430" spans="1:38" x14ac:dyDescent="0.6">
      <c r="A430" s="1">
        <v>310</v>
      </c>
      <c r="B430" s="1" t="s">
        <v>103</v>
      </c>
      <c r="C430" s="1">
        <v>65</v>
      </c>
      <c r="D430" s="1" t="s">
        <v>127</v>
      </c>
      <c r="E430" s="1" t="s">
        <v>108</v>
      </c>
      <c r="F430" s="1"/>
      <c r="G430" s="1"/>
      <c r="H430" s="1" t="s">
        <v>220</v>
      </c>
      <c r="I430" s="1" t="s">
        <v>221</v>
      </c>
      <c r="J430" s="1" t="s">
        <v>1176</v>
      </c>
      <c r="K430" s="1">
        <v>1.25</v>
      </c>
      <c r="L430" s="1">
        <v>120</v>
      </c>
      <c r="M430" s="1" t="s">
        <v>94</v>
      </c>
      <c r="N430" s="1" t="s">
        <v>95</v>
      </c>
      <c r="O430" s="1"/>
      <c r="P430" s="1" t="s">
        <v>96</v>
      </c>
      <c r="Q430" s="1" t="s">
        <v>9</v>
      </c>
      <c r="R430" s="1">
        <v>0</v>
      </c>
      <c r="S430" s="1" t="s">
        <v>97</v>
      </c>
      <c r="T430" s="1" t="s">
        <v>97</v>
      </c>
      <c r="U430" s="1" t="b">
        <v>1</v>
      </c>
      <c r="V430" s="1" t="b">
        <v>0</v>
      </c>
      <c r="W430" s="1" t="b">
        <v>0</v>
      </c>
      <c r="X430" s="1">
        <v>0</v>
      </c>
      <c r="Y430" s="1" t="b">
        <v>1</v>
      </c>
      <c r="Z430" s="1" t="b">
        <v>1</v>
      </c>
      <c r="AA430" s="1">
        <v>62.7</v>
      </c>
      <c r="AB430" s="1" t="b">
        <v>1</v>
      </c>
      <c r="AC430" s="1">
        <v>142023207</v>
      </c>
      <c r="AD430" s="1">
        <v>2942425</v>
      </c>
      <c r="AE430" s="1">
        <v>0</v>
      </c>
      <c r="AF430" s="1" t="s">
        <v>1836</v>
      </c>
      <c r="AG430" s="1" t="s">
        <v>1837</v>
      </c>
      <c r="AH430" s="1">
        <v>58.2</v>
      </c>
      <c r="AI430" s="1">
        <v>58.9</v>
      </c>
      <c r="AJ430" s="1" t="s">
        <v>1838</v>
      </c>
      <c r="AK430" s="1" t="s">
        <v>1839</v>
      </c>
      <c r="AL430" s="1" t="s">
        <v>1840</v>
      </c>
    </row>
    <row r="431" spans="1:38" x14ac:dyDescent="0.6">
      <c r="A431" s="1">
        <v>307</v>
      </c>
      <c r="B431" s="1" t="s">
        <v>103</v>
      </c>
      <c r="C431" s="1">
        <v>54</v>
      </c>
      <c r="D431" s="1" t="s">
        <v>89</v>
      </c>
      <c r="E431" s="1" t="s">
        <v>108</v>
      </c>
      <c r="F431" s="1"/>
      <c r="G431" s="1"/>
      <c r="H431" s="1" t="s">
        <v>220</v>
      </c>
      <c r="I431" s="1" t="s">
        <v>221</v>
      </c>
      <c r="J431" s="1" t="s">
        <v>222</v>
      </c>
      <c r="K431" s="1">
        <v>1.25</v>
      </c>
      <c r="L431" s="1">
        <v>120</v>
      </c>
      <c r="M431" s="1" t="s">
        <v>94</v>
      </c>
      <c r="N431" s="1" t="s">
        <v>95</v>
      </c>
      <c r="O431" s="1"/>
      <c r="P431" s="1" t="s">
        <v>96</v>
      </c>
      <c r="Q431" s="1" t="s">
        <v>9</v>
      </c>
      <c r="R431" s="1">
        <v>0</v>
      </c>
      <c r="S431" s="1" t="s">
        <v>97</v>
      </c>
      <c r="T431" s="1" t="s">
        <v>97</v>
      </c>
      <c r="U431" s="1" t="b">
        <v>1</v>
      </c>
      <c r="V431" s="1" t="b">
        <v>0</v>
      </c>
      <c r="W431" s="1" t="b">
        <v>0</v>
      </c>
      <c r="X431" s="1">
        <v>0</v>
      </c>
      <c r="Y431" s="1" t="b">
        <v>1</v>
      </c>
      <c r="Z431" s="1" t="b">
        <v>1</v>
      </c>
      <c r="AA431" s="1">
        <v>78.2</v>
      </c>
      <c r="AB431" s="1" t="b">
        <v>1</v>
      </c>
      <c r="AC431" s="1">
        <v>164283137</v>
      </c>
      <c r="AD431" s="1">
        <v>1654015</v>
      </c>
      <c r="AE431" s="1">
        <v>0</v>
      </c>
      <c r="AF431" s="1" t="s">
        <v>1841</v>
      </c>
      <c r="AG431" s="1" t="s">
        <v>1842</v>
      </c>
      <c r="AH431" s="1">
        <v>71.599999999999994</v>
      </c>
      <c r="AI431" s="1">
        <v>73.2</v>
      </c>
      <c r="AJ431" s="1" t="s">
        <v>1843</v>
      </c>
      <c r="AK431" s="1" t="s">
        <v>1844</v>
      </c>
      <c r="AL431" s="1" t="s">
        <v>1845</v>
      </c>
    </row>
    <row r="432" spans="1:38" x14ac:dyDescent="0.6">
      <c r="A432" s="1">
        <v>308</v>
      </c>
      <c r="B432" s="1" t="s">
        <v>103</v>
      </c>
      <c r="C432" s="1">
        <v>53</v>
      </c>
      <c r="D432" s="1" t="s">
        <v>89</v>
      </c>
      <c r="E432" s="1" t="s">
        <v>108</v>
      </c>
      <c r="F432" s="1"/>
      <c r="G432" s="1"/>
      <c r="H432" s="1" t="s">
        <v>220</v>
      </c>
      <c r="I432" s="1" t="s">
        <v>221</v>
      </c>
      <c r="J432" s="1" t="s">
        <v>222</v>
      </c>
      <c r="K432" s="1">
        <v>1.25</v>
      </c>
      <c r="L432" s="1">
        <v>120</v>
      </c>
      <c r="M432" s="1" t="s">
        <v>94</v>
      </c>
      <c r="N432" s="1" t="s">
        <v>95</v>
      </c>
      <c r="O432" s="1"/>
      <c r="P432" s="1" t="s">
        <v>96</v>
      </c>
      <c r="Q432" s="1" t="s">
        <v>9</v>
      </c>
      <c r="R432" s="1">
        <v>0</v>
      </c>
      <c r="S432" s="1" t="s">
        <v>97</v>
      </c>
      <c r="T432" s="1" t="s">
        <v>97</v>
      </c>
      <c r="U432" s="1" t="b">
        <v>1</v>
      </c>
      <c r="V432" s="1" t="b">
        <v>0</v>
      </c>
      <c r="W432" s="1" t="b">
        <v>0</v>
      </c>
      <c r="X432" s="1">
        <v>0</v>
      </c>
      <c r="Y432" s="1" t="b">
        <v>1</v>
      </c>
      <c r="Z432" s="1" t="b">
        <v>1</v>
      </c>
      <c r="AA432" s="1">
        <v>69.5</v>
      </c>
      <c r="AB432" s="1" t="b">
        <v>1</v>
      </c>
      <c r="AC432" s="1">
        <v>152333742</v>
      </c>
      <c r="AD432" s="1">
        <v>2593362</v>
      </c>
      <c r="AE432" s="1">
        <v>0</v>
      </c>
      <c r="AF432" s="1" t="s">
        <v>1846</v>
      </c>
      <c r="AG432" s="1" t="s">
        <v>1847</v>
      </c>
      <c r="AH432" s="1">
        <v>71.8</v>
      </c>
      <c r="AI432" s="1">
        <v>67.900000000000006</v>
      </c>
      <c r="AJ432" s="1" t="s">
        <v>1848</v>
      </c>
      <c r="AK432" s="1" t="s">
        <v>1849</v>
      </c>
      <c r="AL432" s="1" t="s">
        <v>1850</v>
      </c>
    </row>
    <row r="433" spans="1:38" x14ac:dyDescent="0.6">
      <c r="A433" s="1">
        <v>310</v>
      </c>
      <c r="B433" s="1" t="s">
        <v>103</v>
      </c>
      <c r="C433" s="1">
        <v>65</v>
      </c>
      <c r="D433" s="1" t="s">
        <v>127</v>
      </c>
      <c r="E433" s="1" t="s">
        <v>108</v>
      </c>
      <c r="F433" s="1"/>
      <c r="G433" s="1"/>
      <c r="H433" s="1" t="s">
        <v>220</v>
      </c>
      <c r="I433" s="1" t="s">
        <v>221</v>
      </c>
      <c r="J433" s="1" t="s">
        <v>1176</v>
      </c>
      <c r="K433" s="1">
        <v>1.25</v>
      </c>
      <c r="L433" s="1">
        <v>120</v>
      </c>
      <c r="M433" s="1" t="s">
        <v>14</v>
      </c>
      <c r="N433" s="1" t="s">
        <v>95</v>
      </c>
      <c r="O433" s="1" t="s">
        <v>96</v>
      </c>
      <c r="P433" s="1"/>
      <c r="Q433" s="1" t="s">
        <v>9</v>
      </c>
      <c r="R433" s="1">
        <v>0</v>
      </c>
      <c r="S433" s="1" t="s">
        <v>97</v>
      </c>
      <c r="T433" s="1" t="s">
        <v>97</v>
      </c>
      <c r="U433" s="1" t="b">
        <v>1</v>
      </c>
      <c r="V433" s="1" t="b">
        <v>0</v>
      </c>
      <c r="W433" s="1" t="b">
        <v>0</v>
      </c>
      <c r="X433" s="1">
        <v>5</v>
      </c>
      <c r="Y433" s="1" t="b">
        <v>1</v>
      </c>
      <c r="Z433" s="1" t="b">
        <v>1</v>
      </c>
      <c r="AA433" s="1"/>
      <c r="AB433" s="1" t="b">
        <v>1</v>
      </c>
      <c r="AC433" s="1">
        <v>131711175</v>
      </c>
      <c r="AD433" s="1">
        <v>933689</v>
      </c>
      <c r="AE433" s="1">
        <v>0</v>
      </c>
      <c r="AF433" s="1" t="s">
        <v>1836</v>
      </c>
      <c r="AG433" s="1" t="s">
        <v>1837</v>
      </c>
      <c r="AH433" s="1">
        <v>58.2</v>
      </c>
      <c r="AI433" s="1">
        <v>58.9</v>
      </c>
      <c r="AJ433" s="1" t="s">
        <v>1851</v>
      </c>
      <c r="AK433" s="1" t="s">
        <v>1852</v>
      </c>
      <c r="AL433" s="1" t="s">
        <v>1853</v>
      </c>
    </row>
    <row r="434" spans="1:38" x14ac:dyDescent="0.6">
      <c r="A434" s="1">
        <v>307</v>
      </c>
      <c r="B434" s="1" t="s">
        <v>103</v>
      </c>
      <c r="C434" s="1">
        <v>54</v>
      </c>
      <c r="D434" s="1" t="s">
        <v>89</v>
      </c>
      <c r="E434" s="1" t="s">
        <v>108</v>
      </c>
      <c r="F434" s="1"/>
      <c r="G434" s="1"/>
      <c r="H434" s="1" t="s">
        <v>220</v>
      </c>
      <c r="I434" s="1" t="s">
        <v>221</v>
      </c>
      <c r="J434" s="1" t="s">
        <v>222</v>
      </c>
      <c r="K434" s="1">
        <v>1.25</v>
      </c>
      <c r="L434" s="1">
        <v>120</v>
      </c>
      <c r="M434" s="1" t="s">
        <v>14</v>
      </c>
      <c r="N434" s="1" t="s">
        <v>95</v>
      </c>
      <c r="O434" s="1" t="s">
        <v>96</v>
      </c>
      <c r="P434" s="1"/>
      <c r="Q434" s="1" t="s">
        <v>9</v>
      </c>
      <c r="R434" s="1">
        <v>0</v>
      </c>
      <c r="S434" s="1" t="s">
        <v>97</v>
      </c>
      <c r="T434" s="1" t="s">
        <v>97</v>
      </c>
      <c r="U434" s="1" t="b">
        <v>1</v>
      </c>
      <c r="V434" s="1" t="b">
        <v>0</v>
      </c>
      <c r="W434" s="1" t="b">
        <v>0</v>
      </c>
      <c r="X434" s="1">
        <v>5</v>
      </c>
      <c r="Y434" s="1" t="b">
        <v>1</v>
      </c>
      <c r="Z434" s="1" t="b">
        <v>1</v>
      </c>
      <c r="AA434" s="1"/>
      <c r="AB434" s="1" t="b">
        <v>1</v>
      </c>
      <c r="AC434" s="1">
        <v>162165099</v>
      </c>
      <c r="AD434" s="1">
        <v>626325</v>
      </c>
      <c r="AE434" s="1">
        <v>0</v>
      </c>
      <c r="AF434" s="1" t="s">
        <v>1841</v>
      </c>
      <c r="AG434" s="1" t="s">
        <v>1842</v>
      </c>
      <c r="AH434" s="1">
        <v>71.599999999999994</v>
      </c>
      <c r="AI434" s="1">
        <v>73.2</v>
      </c>
      <c r="AJ434" s="1" t="s">
        <v>1854</v>
      </c>
      <c r="AK434" s="1" t="s">
        <v>1855</v>
      </c>
      <c r="AL434" s="1" t="s">
        <v>1856</v>
      </c>
    </row>
    <row r="435" spans="1:38" x14ac:dyDescent="0.6">
      <c r="A435" s="1">
        <v>312</v>
      </c>
      <c r="B435" s="1" t="s">
        <v>103</v>
      </c>
      <c r="C435" s="1">
        <v>67</v>
      </c>
      <c r="D435" s="1" t="s">
        <v>127</v>
      </c>
      <c r="E435" s="1" t="s">
        <v>90</v>
      </c>
      <c r="F435" s="1"/>
      <c r="G435" s="1"/>
      <c r="H435" s="1" t="s">
        <v>91</v>
      </c>
      <c r="I435" s="1" t="s">
        <v>92</v>
      </c>
      <c r="J435" s="1" t="s">
        <v>109</v>
      </c>
      <c r="K435" s="1">
        <v>1</v>
      </c>
      <c r="L435" s="1">
        <v>120</v>
      </c>
      <c r="M435" s="1" t="s">
        <v>7</v>
      </c>
      <c r="N435" s="1" t="s">
        <v>7</v>
      </c>
      <c r="O435" s="1" t="s">
        <v>96</v>
      </c>
      <c r="P435" s="1" t="s">
        <v>96</v>
      </c>
      <c r="Q435" s="1" t="s">
        <v>9</v>
      </c>
      <c r="R435" s="1">
        <v>0</v>
      </c>
      <c r="S435" s="1" t="s">
        <v>97</v>
      </c>
      <c r="T435" s="1" t="s">
        <v>97</v>
      </c>
      <c r="U435" s="1" t="b">
        <v>1</v>
      </c>
      <c r="V435" s="1" t="b">
        <v>0</v>
      </c>
      <c r="W435" s="1" t="b">
        <v>0</v>
      </c>
      <c r="X435" s="1">
        <v>5</v>
      </c>
      <c r="Y435" s="1" t="b">
        <v>1</v>
      </c>
      <c r="Z435" s="1" t="b">
        <v>1</v>
      </c>
      <c r="AA435" s="1">
        <v>71.599999999999994</v>
      </c>
      <c r="AB435" s="1" t="b">
        <v>0</v>
      </c>
      <c r="AC435" s="1">
        <v>0</v>
      </c>
      <c r="AD435" s="1">
        <v>3025229</v>
      </c>
      <c r="AE435" s="1">
        <v>121231027</v>
      </c>
      <c r="AF435" s="1" t="s">
        <v>1857</v>
      </c>
      <c r="AG435" s="1" t="s">
        <v>1857</v>
      </c>
      <c r="AH435" s="1">
        <v>65.7</v>
      </c>
      <c r="AI435" s="1">
        <v>65.599999999999994</v>
      </c>
      <c r="AJ435" s="1" t="s">
        <v>1858</v>
      </c>
      <c r="AK435" s="1" t="s">
        <v>1859</v>
      </c>
      <c r="AL435" s="1" t="s">
        <v>1860</v>
      </c>
    </row>
    <row r="436" spans="1:38" x14ac:dyDescent="0.6">
      <c r="A436" s="1">
        <v>313</v>
      </c>
      <c r="B436" s="1" t="s">
        <v>88</v>
      </c>
      <c r="C436" s="1">
        <v>60</v>
      </c>
      <c r="D436" s="1" t="s">
        <v>127</v>
      </c>
      <c r="E436" s="1" t="s">
        <v>108</v>
      </c>
      <c r="F436" s="1"/>
      <c r="G436" s="1"/>
      <c r="H436" s="1" t="s">
        <v>91</v>
      </c>
      <c r="I436" s="1" t="s">
        <v>92</v>
      </c>
      <c r="J436" s="1" t="s">
        <v>93</v>
      </c>
      <c r="K436" s="1">
        <v>1</v>
      </c>
      <c r="L436" s="1">
        <v>120</v>
      </c>
      <c r="M436" s="1" t="s">
        <v>14</v>
      </c>
      <c r="N436" s="1" t="s">
        <v>14</v>
      </c>
      <c r="O436" s="1" t="s">
        <v>96</v>
      </c>
      <c r="P436" s="1"/>
      <c r="Q436" s="1" t="s">
        <v>9</v>
      </c>
      <c r="R436" s="1">
        <v>0</v>
      </c>
      <c r="S436" s="1"/>
      <c r="T436" s="1" t="s">
        <v>97</v>
      </c>
      <c r="U436" s="1"/>
      <c r="V436" s="1" t="b">
        <v>0</v>
      </c>
      <c r="W436" s="1" t="b">
        <v>0</v>
      </c>
      <c r="X436" s="1">
        <v>5</v>
      </c>
      <c r="Y436" s="1" t="b">
        <v>1</v>
      </c>
      <c r="Z436" s="1" t="b">
        <v>1</v>
      </c>
      <c r="AA436" s="1"/>
      <c r="AB436" s="1" t="b">
        <v>1</v>
      </c>
      <c r="AC436" s="1">
        <v>144706700</v>
      </c>
      <c r="AD436" s="1">
        <v>521076</v>
      </c>
      <c r="AE436" s="1">
        <v>0</v>
      </c>
      <c r="AF436" s="1" t="s">
        <v>1861</v>
      </c>
      <c r="AG436" s="1"/>
      <c r="AH436" s="1">
        <v>71.3</v>
      </c>
      <c r="AI436" s="1"/>
      <c r="AJ436" s="1" t="s">
        <v>1862</v>
      </c>
      <c r="AK436" s="1" t="s">
        <v>1863</v>
      </c>
      <c r="AL436" s="1" t="s">
        <v>1864</v>
      </c>
    </row>
    <row r="437" spans="1:38" x14ac:dyDescent="0.6">
      <c r="A437" s="1">
        <v>311</v>
      </c>
      <c r="B437" s="1" t="s">
        <v>103</v>
      </c>
      <c r="C437" s="1">
        <v>58</v>
      </c>
      <c r="D437" s="1" t="s">
        <v>89</v>
      </c>
      <c r="E437" s="1" t="s">
        <v>90</v>
      </c>
      <c r="F437" s="1"/>
      <c r="G437" s="1"/>
      <c r="H437" s="1" t="s">
        <v>220</v>
      </c>
      <c r="I437" s="1" t="s">
        <v>221</v>
      </c>
      <c r="J437" s="1" t="s">
        <v>1176</v>
      </c>
      <c r="K437" s="1">
        <v>1.25</v>
      </c>
      <c r="L437" s="1">
        <v>120</v>
      </c>
      <c r="M437" s="1" t="s">
        <v>7</v>
      </c>
      <c r="N437" s="1" t="s">
        <v>7</v>
      </c>
      <c r="O437" s="1" t="s">
        <v>96</v>
      </c>
      <c r="P437" s="1" t="s">
        <v>96</v>
      </c>
      <c r="Q437" s="1" t="s">
        <v>9</v>
      </c>
      <c r="R437" s="1">
        <v>0</v>
      </c>
      <c r="S437" s="1" t="s">
        <v>97</v>
      </c>
      <c r="T437" s="1" t="s">
        <v>97</v>
      </c>
      <c r="U437" s="1" t="b">
        <v>1</v>
      </c>
      <c r="V437" s="1" t="b">
        <v>0</v>
      </c>
      <c r="W437" s="1" t="b">
        <v>0</v>
      </c>
      <c r="X437" s="1">
        <v>5</v>
      </c>
      <c r="Y437" s="1" t="b">
        <v>1</v>
      </c>
      <c r="Z437" s="1" t="b">
        <v>1</v>
      </c>
      <c r="AA437" s="1">
        <v>61</v>
      </c>
      <c r="AB437" s="1" t="b">
        <v>0</v>
      </c>
      <c r="AC437" s="1">
        <v>0</v>
      </c>
      <c r="AD437" s="1">
        <v>3079100</v>
      </c>
      <c r="AE437" s="1">
        <v>128255044</v>
      </c>
      <c r="AF437" s="1" t="s">
        <v>1865</v>
      </c>
      <c r="AG437" s="1" t="s">
        <v>1865</v>
      </c>
      <c r="AH437" s="1">
        <v>57.4</v>
      </c>
      <c r="AI437" s="1">
        <v>57.6</v>
      </c>
      <c r="AJ437" s="1" t="s">
        <v>1866</v>
      </c>
      <c r="AK437" s="1" t="s">
        <v>1867</v>
      </c>
      <c r="AL437" s="1" t="s">
        <v>1868</v>
      </c>
    </row>
    <row r="438" spans="1:38" x14ac:dyDescent="0.6">
      <c r="A438" s="1">
        <v>315</v>
      </c>
      <c r="B438" s="1" t="s">
        <v>88</v>
      </c>
      <c r="C438" s="1">
        <v>57</v>
      </c>
      <c r="D438" s="1" t="s">
        <v>89</v>
      </c>
      <c r="E438" s="1" t="s">
        <v>90</v>
      </c>
      <c r="F438" s="1"/>
      <c r="G438" s="1"/>
      <c r="H438" s="1" t="s">
        <v>91</v>
      </c>
      <c r="I438" s="1" t="s">
        <v>92</v>
      </c>
      <c r="J438" s="1" t="s">
        <v>93</v>
      </c>
      <c r="K438" s="1">
        <v>1</v>
      </c>
      <c r="L438" s="1">
        <v>120</v>
      </c>
      <c r="M438" s="1" t="s">
        <v>14</v>
      </c>
      <c r="N438" s="1" t="s">
        <v>95</v>
      </c>
      <c r="O438" s="1" t="s">
        <v>96</v>
      </c>
      <c r="P438" s="1"/>
      <c r="Q438" s="1" t="s">
        <v>9</v>
      </c>
      <c r="R438" s="1">
        <v>0</v>
      </c>
      <c r="S438" s="1" t="s">
        <v>97</v>
      </c>
      <c r="T438" s="1" t="s">
        <v>97</v>
      </c>
      <c r="U438" s="1" t="b">
        <v>1</v>
      </c>
      <c r="V438" s="1" t="b">
        <v>0</v>
      </c>
      <c r="W438" s="1" t="b">
        <v>0</v>
      </c>
      <c r="X438" s="1">
        <v>5</v>
      </c>
      <c r="Y438" s="1" t="b">
        <v>1</v>
      </c>
      <c r="Z438" s="1" t="b">
        <v>1</v>
      </c>
      <c r="AA438" s="1"/>
      <c r="AB438" s="1" t="b">
        <v>1</v>
      </c>
      <c r="AC438" s="1">
        <v>139697803</v>
      </c>
      <c r="AD438" s="1">
        <v>549237</v>
      </c>
      <c r="AE438" s="1">
        <v>0</v>
      </c>
      <c r="AF438" s="1" t="s">
        <v>1869</v>
      </c>
      <c r="AG438" s="1" t="s">
        <v>1870</v>
      </c>
      <c r="AH438" s="1">
        <v>68.400000000000006</v>
      </c>
      <c r="AI438" s="1">
        <v>68.400000000000006</v>
      </c>
      <c r="AJ438" s="1" t="s">
        <v>1871</v>
      </c>
      <c r="AK438" s="1" t="s">
        <v>1872</v>
      </c>
      <c r="AL438" s="1" t="s">
        <v>1873</v>
      </c>
    </row>
    <row r="439" spans="1:38" x14ac:dyDescent="0.6">
      <c r="A439" s="1">
        <v>296</v>
      </c>
      <c r="B439" s="1" t="s">
        <v>88</v>
      </c>
      <c r="C439" s="1"/>
      <c r="D439" s="1"/>
      <c r="E439" s="1" t="s">
        <v>108</v>
      </c>
      <c r="F439" s="1"/>
      <c r="G439" s="1"/>
      <c r="H439" s="1" t="s">
        <v>91</v>
      </c>
      <c r="I439" s="1" t="s">
        <v>92</v>
      </c>
      <c r="J439" s="1" t="s">
        <v>109</v>
      </c>
      <c r="K439" s="1">
        <v>1</v>
      </c>
      <c r="L439" s="1">
        <v>120</v>
      </c>
      <c r="M439" s="1" t="s">
        <v>7</v>
      </c>
      <c r="N439" s="1" t="s">
        <v>7</v>
      </c>
      <c r="O439" s="1" t="s">
        <v>96</v>
      </c>
      <c r="P439" s="1" t="s">
        <v>96</v>
      </c>
      <c r="Q439" s="1" t="s">
        <v>9</v>
      </c>
      <c r="R439" s="1">
        <v>0</v>
      </c>
      <c r="S439" s="1" t="s">
        <v>97</v>
      </c>
      <c r="T439" s="1" t="s">
        <v>97</v>
      </c>
      <c r="U439" s="1" t="b">
        <v>1</v>
      </c>
      <c r="V439" s="1" t="b">
        <v>0</v>
      </c>
      <c r="W439" s="1" t="b">
        <v>0</v>
      </c>
      <c r="X439" s="1">
        <v>5</v>
      </c>
      <c r="Y439" s="1" t="b">
        <v>1</v>
      </c>
      <c r="Z439" s="1" t="b">
        <v>1</v>
      </c>
      <c r="AA439" s="1">
        <v>83.7</v>
      </c>
      <c r="AB439" s="1" t="b">
        <v>0</v>
      </c>
      <c r="AC439" s="1">
        <v>0</v>
      </c>
      <c r="AD439" s="1">
        <v>2136311</v>
      </c>
      <c r="AE439" s="1">
        <v>170092297</v>
      </c>
      <c r="AF439" s="1" t="s">
        <v>1874</v>
      </c>
      <c r="AG439" s="1" t="s">
        <v>1874</v>
      </c>
      <c r="AH439" s="1">
        <v>79.5</v>
      </c>
      <c r="AI439" s="1">
        <v>81.099999999999994</v>
      </c>
      <c r="AJ439" s="1" t="s">
        <v>1875</v>
      </c>
      <c r="AK439" s="1" t="s">
        <v>1876</v>
      </c>
      <c r="AL439" s="1" t="s">
        <v>1877</v>
      </c>
    </row>
    <row r="440" spans="1:38" x14ac:dyDescent="0.6">
      <c r="A440" s="1">
        <v>303</v>
      </c>
      <c r="B440" s="1" t="s">
        <v>103</v>
      </c>
      <c r="C440" s="1">
        <v>89</v>
      </c>
      <c r="D440" s="1" t="s">
        <v>153</v>
      </c>
      <c r="E440" s="1"/>
      <c r="F440" s="1"/>
      <c r="G440" s="1"/>
      <c r="H440" s="1" t="s">
        <v>91</v>
      </c>
      <c r="I440" s="1" t="s">
        <v>92</v>
      </c>
      <c r="J440" s="1" t="s">
        <v>109</v>
      </c>
      <c r="K440" s="1">
        <v>1</v>
      </c>
      <c r="L440" s="1">
        <v>120</v>
      </c>
      <c r="M440" s="1" t="s">
        <v>7</v>
      </c>
      <c r="N440" s="1" t="s">
        <v>7</v>
      </c>
      <c r="O440" s="1" t="s">
        <v>96</v>
      </c>
      <c r="P440" s="1" t="s">
        <v>96</v>
      </c>
      <c r="Q440" s="1" t="s">
        <v>9</v>
      </c>
      <c r="R440" s="1">
        <v>0</v>
      </c>
      <c r="S440" s="1" t="s">
        <v>97</v>
      </c>
      <c r="T440" s="1" t="s">
        <v>97</v>
      </c>
      <c r="U440" s="1" t="b">
        <v>1</v>
      </c>
      <c r="V440" s="1" t="b">
        <v>0</v>
      </c>
      <c r="W440" s="1" t="b">
        <v>0</v>
      </c>
      <c r="X440" s="1">
        <v>5</v>
      </c>
      <c r="Y440" s="1" t="b">
        <v>1</v>
      </c>
      <c r="Z440" s="1" t="b">
        <v>1</v>
      </c>
      <c r="AA440" s="1">
        <v>65.599999999999994</v>
      </c>
      <c r="AB440" s="1" t="b">
        <v>0</v>
      </c>
      <c r="AC440" s="1">
        <v>0</v>
      </c>
      <c r="AD440" s="1">
        <v>3962226</v>
      </c>
      <c r="AE440" s="1">
        <v>131566222</v>
      </c>
      <c r="AF440" s="1" t="s">
        <v>1878</v>
      </c>
      <c r="AG440" s="1" t="s">
        <v>1878</v>
      </c>
      <c r="AH440" s="1">
        <v>67.8</v>
      </c>
      <c r="AI440" s="1">
        <v>62.7</v>
      </c>
      <c r="AJ440" s="1" t="s">
        <v>1879</v>
      </c>
      <c r="AK440" s="1" t="s">
        <v>1880</v>
      </c>
      <c r="AL440" s="1" t="s">
        <v>1881</v>
      </c>
    </row>
    <row r="441" spans="1:38" x14ac:dyDescent="0.6">
      <c r="A441" s="1">
        <v>314</v>
      </c>
      <c r="B441" s="1" t="s">
        <v>103</v>
      </c>
      <c r="C441" s="1">
        <v>61</v>
      </c>
      <c r="D441" s="1" t="s">
        <v>127</v>
      </c>
      <c r="E441" s="1" t="s">
        <v>90</v>
      </c>
      <c r="F441" s="1"/>
      <c r="G441" s="1"/>
      <c r="H441" s="1" t="s">
        <v>91</v>
      </c>
      <c r="I441" s="1" t="s">
        <v>92</v>
      </c>
      <c r="J441" s="1" t="s">
        <v>93</v>
      </c>
      <c r="K441" s="1">
        <v>1</v>
      </c>
      <c r="L441" s="1">
        <v>120</v>
      </c>
      <c r="M441" s="1" t="s">
        <v>7</v>
      </c>
      <c r="N441" s="1" t="s">
        <v>7</v>
      </c>
      <c r="O441" s="1" t="s">
        <v>96</v>
      </c>
      <c r="P441" s="1" t="s">
        <v>96</v>
      </c>
      <c r="Q441" s="1" t="s">
        <v>9</v>
      </c>
      <c r="R441" s="1">
        <v>0</v>
      </c>
      <c r="S441" s="1" t="s">
        <v>97</v>
      </c>
      <c r="T441" s="1" t="s">
        <v>97</v>
      </c>
      <c r="U441" s="1" t="b">
        <v>1</v>
      </c>
      <c r="V441" s="1" t="b">
        <v>0</v>
      </c>
      <c r="W441" s="1" t="b">
        <v>0</v>
      </c>
      <c r="X441" s="1">
        <v>5</v>
      </c>
      <c r="Y441" s="1" t="b">
        <v>1</v>
      </c>
      <c r="Z441" s="1" t="b">
        <v>1</v>
      </c>
      <c r="AA441" s="1">
        <v>71.5</v>
      </c>
      <c r="AB441" s="1" t="b">
        <v>0</v>
      </c>
      <c r="AC441" s="1">
        <v>0</v>
      </c>
      <c r="AD441" s="1">
        <v>1843679</v>
      </c>
      <c r="AE441" s="1">
        <v>151248417</v>
      </c>
      <c r="AF441" s="1" t="s">
        <v>1882</v>
      </c>
      <c r="AG441" s="1" t="s">
        <v>1882</v>
      </c>
      <c r="AH441" s="1">
        <v>60.7</v>
      </c>
      <c r="AI441" s="1">
        <v>65.8</v>
      </c>
      <c r="AJ441" s="1" t="s">
        <v>1883</v>
      </c>
      <c r="AK441" s="1" t="s">
        <v>1884</v>
      </c>
      <c r="AL441" s="1" t="s">
        <v>1885</v>
      </c>
    </row>
    <row r="442" spans="1:38" x14ac:dyDescent="0.6">
      <c r="A442" s="1">
        <v>317</v>
      </c>
      <c r="B442" s="1" t="s">
        <v>103</v>
      </c>
      <c r="C442" s="1">
        <v>59</v>
      </c>
      <c r="D442" s="1" t="s">
        <v>89</v>
      </c>
      <c r="E442" s="1" t="s">
        <v>90</v>
      </c>
      <c r="F442" s="1"/>
      <c r="G442" s="1"/>
      <c r="H442" s="1" t="s">
        <v>91</v>
      </c>
      <c r="I442" s="1" t="s">
        <v>92</v>
      </c>
      <c r="J442" s="1" t="s">
        <v>93</v>
      </c>
      <c r="K442" s="1">
        <v>1</v>
      </c>
      <c r="L442" s="1">
        <v>120</v>
      </c>
      <c r="M442" s="1" t="s">
        <v>94</v>
      </c>
      <c r="N442" s="1" t="s">
        <v>95</v>
      </c>
      <c r="O442" s="1"/>
      <c r="P442" s="1" t="s">
        <v>96</v>
      </c>
      <c r="Q442" s="1" t="s">
        <v>9</v>
      </c>
      <c r="R442" s="1">
        <v>0</v>
      </c>
      <c r="S442" s="1" t="s">
        <v>97</v>
      </c>
      <c r="T442" s="1" t="s">
        <v>97</v>
      </c>
      <c r="U442" s="1" t="b">
        <v>1</v>
      </c>
      <c r="V442" s="1" t="b">
        <v>0</v>
      </c>
      <c r="W442" s="1" t="b">
        <v>0</v>
      </c>
      <c r="X442" s="1">
        <v>0</v>
      </c>
      <c r="Y442" s="1" t="b">
        <v>1</v>
      </c>
      <c r="Z442" s="1" t="b">
        <v>1</v>
      </c>
      <c r="AA442" s="1">
        <v>67.099999999999994</v>
      </c>
      <c r="AB442" s="1" t="b">
        <v>1</v>
      </c>
      <c r="AC442" s="1">
        <v>142291407</v>
      </c>
      <c r="AD442" s="1">
        <v>1625649</v>
      </c>
      <c r="AE442" s="1">
        <v>0</v>
      </c>
      <c r="AF442" s="1" t="s">
        <v>1886</v>
      </c>
      <c r="AG442" s="1" t="s">
        <v>1887</v>
      </c>
      <c r="AH442" s="1">
        <v>65.599999999999994</v>
      </c>
      <c r="AI442" s="1">
        <v>63</v>
      </c>
      <c r="AJ442" s="1" t="s">
        <v>1888</v>
      </c>
      <c r="AK442" s="1" t="s">
        <v>1889</v>
      </c>
      <c r="AL442" s="1" t="s">
        <v>1890</v>
      </c>
    </row>
    <row r="443" spans="1:38" x14ac:dyDescent="0.6">
      <c r="A443" s="1">
        <v>319</v>
      </c>
      <c r="B443" s="1" t="s">
        <v>103</v>
      </c>
      <c r="C443" s="1">
        <v>55</v>
      </c>
      <c r="D443" s="1" t="s">
        <v>89</v>
      </c>
      <c r="E443" s="1" t="s">
        <v>108</v>
      </c>
      <c r="F443" s="1"/>
      <c r="G443" s="1"/>
      <c r="H443" s="1" t="s">
        <v>91</v>
      </c>
      <c r="I443" s="1" t="s">
        <v>92</v>
      </c>
      <c r="J443" s="1" t="s">
        <v>93</v>
      </c>
      <c r="K443" s="1">
        <v>1</v>
      </c>
      <c r="L443" s="1">
        <v>120</v>
      </c>
      <c r="M443" s="1" t="s">
        <v>94</v>
      </c>
      <c r="N443" s="1" t="s">
        <v>95</v>
      </c>
      <c r="O443" s="1"/>
      <c r="P443" s="1" t="s">
        <v>96</v>
      </c>
      <c r="Q443" s="1" t="s">
        <v>9</v>
      </c>
      <c r="R443" s="1">
        <v>0</v>
      </c>
      <c r="S443" s="1" t="s">
        <v>97</v>
      </c>
      <c r="T443" s="1" t="s">
        <v>97</v>
      </c>
      <c r="U443" s="1" t="b">
        <v>1</v>
      </c>
      <c r="V443" s="1" t="b">
        <v>0</v>
      </c>
      <c r="W443" s="1" t="b">
        <v>0</v>
      </c>
      <c r="X443" s="1">
        <v>0</v>
      </c>
      <c r="Y443" s="1" t="b">
        <v>1</v>
      </c>
      <c r="Z443" s="1" t="b">
        <v>1</v>
      </c>
      <c r="AA443" s="1">
        <v>79.7</v>
      </c>
      <c r="AB443" s="1" t="b">
        <v>1</v>
      </c>
      <c r="AC443" s="1">
        <v>162779159</v>
      </c>
      <c r="AD443" s="1">
        <v>1585129</v>
      </c>
      <c r="AE443" s="1">
        <v>0</v>
      </c>
      <c r="AF443" s="1" t="s">
        <v>1891</v>
      </c>
      <c r="AG443" s="1" t="s">
        <v>1892</v>
      </c>
      <c r="AH443" s="1">
        <v>74.5</v>
      </c>
      <c r="AI443" s="1">
        <v>76.099999999999994</v>
      </c>
      <c r="AJ443" s="1" t="s">
        <v>1893</v>
      </c>
      <c r="AK443" s="1" t="s">
        <v>1894</v>
      </c>
      <c r="AL443" s="1" t="s">
        <v>1895</v>
      </c>
    </row>
    <row r="444" spans="1:38" x14ac:dyDescent="0.6">
      <c r="A444" s="1">
        <v>319</v>
      </c>
      <c r="B444" s="1" t="s">
        <v>103</v>
      </c>
      <c r="C444" s="1">
        <v>55</v>
      </c>
      <c r="D444" s="1" t="s">
        <v>89</v>
      </c>
      <c r="E444" s="1" t="s">
        <v>108</v>
      </c>
      <c r="F444" s="1"/>
      <c r="G444" s="1"/>
      <c r="H444" s="1" t="s">
        <v>91</v>
      </c>
      <c r="I444" s="1" t="s">
        <v>92</v>
      </c>
      <c r="J444" s="1" t="s">
        <v>93</v>
      </c>
      <c r="K444" s="1">
        <v>1</v>
      </c>
      <c r="L444" s="1">
        <v>120</v>
      </c>
      <c r="M444" s="1" t="s">
        <v>14</v>
      </c>
      <c r="N444" s="1" t="s">
        <v>95</v>
      </c>
      <c r="O444" s="1" t="s">
        <v>96</v>
      </c>
      <c r="P444" s="1"/>
      <c r="Q444" s="1" t="s">
        <v>9</v>
      </c>
      <c r="R444" s="1">
        <v>0</v>
      </c>
      <c r="S444" s="1" t="s">
        <v>97</v>
      </c>
      <c r="T444" s="1" t="s">
        <v>97</v>
      </c>
      <c r="U444" s="1" t="b">
        <v>1</v>
      </c>
      <c r="V444" s="1" t="b">
        <v>0</v>
      </c>
      <c r="W444" s="1" t="b">
        <v>0</v>
      </c>
      <c r="X444" s="1">
        <v>5</v>
      </c>
      <c r="Y444" s="1" t="b">
        <v>1</v>
      </c>
      <c r="Z444" s="1" t="b">
        <v>1</v>
      </c>
      <c r="AA444" s="1"/>
      <c r="AB444" s="1" t="b">
        <v>1</v>
      </c>
      <c r="AC444" s="1">
        <v>158563728</v>
      </c>
      <c r="AD444" s="1">
        <v>557680</v>
      </c>
      <c r="AE444" s="1">
        <v>0</v>
      </c>
      <c r="AF444" s="1" t="s">
        <v>1891</v>
      </c>
      <c r="AG444" s="1" t="s">
        <v>1892</v>
      </c>
      <c r="AH444" s="1">
        <v>74.5</v>
      </c>
      <c r="AI444" s="1">
        <v>76.099999999999994</v>
      </c>
      <c r="AJ444" s="1" t="s">
        <v>1896</v>
      </c>
      <c r="AK444" s="1" t="s">
        <v>1897</v>
      </c>
      <c r="AL444" s="1" t="s">
        <v>1898</v>
      </c>
    </row>
    <row r="445" spans="1:38" x14ac:dyDescent="0.6">
      <c r="A445" s="1">
        <v>320</v>
      </c>
      <c r="B445" s="1" t="s">
        <v>103</v>
      </c>
      <c r="C445" s="1">
        <v>54</v>
      </c>
      <c r="D445" s="1" t="s">
        <v>89</v>
      </c>
      <c r="E445" s="1" t="s">
        <v>108</v>
      </c>
      <c r="F445" s="1"/>
      <c r="G445" s="1"/>
      <c r="H445" s="1" t="s">
        <v>91</v>
      </c>
      <c r="I445" s="1" t="s">
        <v>92</v>
      </c>
      <c r="J445" s="1" t="s">
        <v>93</v>
      </c>
      <c r="K445" s="1">
        <v>1</v>
      </c>
      <c r="L445" s="1">
        <v>120</v>
      </c>
      <c r="M445" s="1" t="s">
        <v>14</v>
      </c>
      <c r="N445" s="1" t="s">
        <v>95</v>
      </c>
      <c r="O445" s="1" t="s">
        <v>96</v>
      </c>
      <c r="P445" s="1"/>
      <c r="Q445" s="1" t="s">
        <v>9</v>
      </c>
      <c r="R445" s="1">
        <v>0</v>
      </c>
      <c r="S445" s="1" t="s">
        <v>97</v>
      </c>
      <c r="T445" s="1" t="s">
        <v>97</v>
      </c>
      <c r="U445" s="1" t="b">
        <v>1</v>
      </c>
      <c r="V445" s="1" t="b">
        <v>0</v>
      </c>
      <c r="W445" s="1" t="b">
        <v>0</v>
      </c>
      <c r="X445" s="1">
        <v>5</v>
      </c>
      <c r="Y445" s="1" t="b">
        <v>1</v>
      </c>
      <c r="Z445" s="1" t="b">
        <v>1</v>
      </c>
      <c r="AA445" s="1"/>
      <c r="AB445" s="1" t="b">
        <v>1</v>
      </c>
      <c r="AC445" s="1">
        <v>138607529</v>
      </c>
      <c r="AD445" s="1">
        <v>590935</v>
      </c>
      <c r="AE445" s="1">
        <v>0</v>
      </c>
      <c r="AF445" s="1" t="s">
        <v>1899</v>
      </c>
      <c r="AG445" s="1" t="s">
        <v>1900</v>
      </c>
      <c r="AH445" s="1">
        <v>76.7</v>
      </c>
      <c r="AI445" s="1">
        <v>66.3</v>
      </c>
      <c r="AJ445" s="1" t="s">
        <v>1901</v>
      </c>
      <c r="AK445" s="1" t="s">
        <v>1902</v>
      </c>
      <c r="AL445" s="1" t="s">
        <v>1903</v>
      </c>
    </row>
    <row r="446" spans="1:38" x14ac:dyDescent="0.6">
      <c r="A446" s="1">
        <v>320</v>
      </c>
      <c r="B446" s="1" t="s">
        <v>103</v>
      </c>
      <c r="C446" s="1">
        <v>54</v>
      </c>
      <c r="D446" s="1" t="s">
        <v>89</v>
      </c>
      <c r="E446" s="1" t="s">
        <v>108</v>
      </c>
      <c r="F446" s="1"/>
      <c r="G446" s="1"/>
      <c r="H446" s="1" t="s">
        <v>91</v>
      </c>
      <c r="I446" s="1" t="s">
        <v>92</v>
      </c>
      <c r="J446" s="1" t="s">
        <v>93</v>
      </c>
      <c r="K446" s="1">
        <v>1</v>
      </c>
      <c r="L446" s="1">
        <v>120</v>
      </c>
      <c r="M446" s="1" t="s">
        <v>94</v>
      </c>
      <c r="N446" s="1" t="s">
        <v>95</v>
      </c>
      <c r="O446" s="1"/>
      <c r="P446" s="1" t="s">
        <v>96</v>
      </c>
      <c r="Q446" s="1" t="s">
        <v>9</v>
      </c>
      <c r="R446" s="1">
        <v>0</v>
      </c>
      <c r="S446" s="1" t="s">
        <v>97</v>
      </c>
      <c r="T446" s="1" t="s">
        <v>97</v>
      </c>
      <c r="U446" s="1" t="b">
        <v>1</v>
      </c>
      <c r="V446" s="1" t="b">
        <v>0</v>
      </c>
      <c r="W446" s="1" t="b">
        <v>0</v>
      </c>
      <c r="X446" s="1">
        <v>0</v>
      </c>
      <c r="Y446" s="1" t="b">
        <v>1</v>
      </c>
      <c r="Z446" s="1" t="b">
        <v>1</v>
      </c>
      <c r="AA446" s="1">
        <v>66.2</v>
      </c>
      <c r="AB446" s="1" t="b">
        <v>1</v>
      </c>
      <c r="AC446" s="1">
        <v>144274871</v>
      </c>
      <c r="AD446" s="1">
        <v>1739337</v>
      </c>
      <c r="AE446" s="1">
        <v>0</v>
      </c>
      <c r="AF446" s="1" t="s">
        <v>1899</v>
      </c>
      <c r="AG446" s="1" t="s">
        <v>1900</v>
      </c>
      <c r="AH446" s="1">
        <v>76.7</v>
      </c>
      <c r="AI446" s="1">
        <v>66.3</v>
      </c>
      <c r="AJ446" s="1" t="s">
        <v>1904</v>
      </c>
      <c r="AK446" s="1" t="s">
        <v>1905</v>
      </c>
      <c r="AL446" s="1" t="s">
        <v>1906</v>
      </c>
    </row>
    <row r="447" spans="1:38" x14ac:dyDescent="0.6">
      <c r="A447" s="1">
        <v>304</v>
      </c>
      <c r="B447" s="1" t="s">
        <v>88</v>
      </c>
      <c r="C447" s="1">
        <v>52</v>
      </c>
      <c r="D447" s="1" t="s">
        <v>89</v>
      </c>
      <c r="E447" s="1" t="s">
        <v>90</v>
      </c>
      <c r="F447" s="1"/>
      <c r="G447" s="1"/>
      <c r="H447" s="1" t="s">
        <v>91</v>
      </c>
      <c r="I447" s="1" t="s">
        <v>92</v>
      </c>
      <c r="J447" s="1" t="s">
        <v>93</v>
      </c>
      <c r="K447" s="1">
        <v>1</v>
      </c>
      <c r="L447" s="1">
        <v>120</v>
      </c>
      <c r="M447" s="1" t="s">
        <v>7</v>
      </c>
      <c r="N447" s="1" t="s">
        <v>7</v>
      </c>
      <c r="O447" s="1" t="s">
        <v>96</v>
      </c>
      <c r="P447" s="1" t="s">
        <v>96</v>
      </c>
      <c r="Q447" s="1" t="s">
        <v>9</v>
      </c>
      <c r="R447" s="1">
        <v>0</v>
      </c>
      <c r="S447" s="1" t="s">
        <v>97</v>
      </c>
      <c r="T447" s="1" t="s">
        <v>97</v>
      </c>
      <c r="U447" s="1" t="b">
        <v>1</v>
      </c>
      <c r="V447" s="1" t="b">
        <v>0</v>
      </c>
      <c r="W447" s="1" t="b">
        <v>0</v>
      </c>
      <c r="X447" s="1">
        <v>5</v>
      </c>
      <c r="Y447" s="1" t="b">
        <v>1</v>
      </c>
      <c r="Z447" s="1" t="b">
        <v>1</v>
      </c>
      <c r="AA447" s="1">
        <v>68.2</v>
      </c>
      <c r="AB447" s="1" t="b">
        <v>0</v>
      </c>
      <c r="AC447" s="1">
        <v>0</v>
      </c>
      <c r="AD447" s="1">
        <v>2285596</v>
      </c>
      <c r="AE447" s="1">
        <v>159457252</v>
      </c>
      <c r="AF447" s="1" t="s">
        <v>1907</v>
      </c>
      <c r="AG447" s="1" t="s">
        <v>1907</v>
      </c>
      <c r="AH447" s="1">
        <v>69.2</v>
      </c>
      <c r="AI447" s="1">
        <v>63.3</v>
      </c>
      <c r="AJ447" s="1" t="s">
        <v>1908</v>
      </c>
      <c r="AK447" s="1" t="s">
        <v>1909</v>
      </c>
      <c r="AL447" s="1" t="s">
        <v>1910</v>
      </c>
    </row>
    <row r="448" spans="1:38" x14ac:dyDescent="0.6">
      <c r="A448" s="1">
        <v>301</v>
      </c>
      <c r="B448" s="1" t="s">
        <v>88</v>
      </c>
      <c r="C448" s="1"/>
      <c r="D448" s="1"/>
      <c r="E448" s="1" t="s">
        <v>108</v>
      </c>
      <c r="F448" s="1"/>
      <c r="G448" s="1"/>
      <c r="H448" s="1" t="s">
        <v>91</v>
      </c>
      <c r="I448" s="1" t="s">
        <v>92</v>
      </c>
      <c r="J448" s="1" t="s">
        <v>109</v>
      </c>
      <c r="K448" s="1">
        <v>1</v>
      </c>
      <c r="L448" s="1">
        <v>120</v>
      </c>
      <c r="M448" s="1" t="s">
        <v>7</v>
      </c>
      <c r="N448" s="1" t="s">
        <v>7</v>
      </c>
      <c r="O448" s="1" t="s">
        <v>96</v>
      </c>
      <c r="P448" s="1" t="s">
        <v>96</v>
      </c>
      <c r="Q448" s="1" t="s">
        <v>9</v>
      </c>
      <c r="R448" s="1">
        <v>0</v>
      </c>
      <c r="S448" s="1" t="s">
        <v>97</v>
      </c>
      <c r="T448" s="1" t="s">
        <v>97</v>
      </c>
      <c r="U448" s="1" t="b">
        <v>1</v>
      </c>
      <c r="V448" s="1" t="b">
        <v>0</v>
      </c>
      <c r="W448" s="1" t="b">
        <v>0</v>
      </c>
      <c r="X448" s="1">
        <v>5</v>
      </c>
      <c r="Y448" s="1" t="b">
        <v>1</v>
      </c>
      <c r="Z448" s="1" t="b">
        <v>1</v>
      </c>
      <c r="AA448" s="1">
        <v>79.400000000000006</v>
      </c>
      <c r="AB448" s="1" t="b">
        <v>0</v>
      </c>
      <c r="AC448" s="1">
        <v>0</v>
      </c>
      <c r="AD448" s="1">
        <v>3316700</v>
      </c>
      <c r="AE448" s="1">
        <v>166814756</v>
      </c>
      <c r="AF448" s="1" t="s">
        <v>1911</v>
      </c>
      <c r="AG448" s="1" t="s">
        <v>1911</v>
      </c>
      <c r="AH448" s="1">
        <v>87.2</v>
      </c>
      <c r="AI448" s="1">
        <v>78.099999999999994</v>
      </c>
      <c r="AJ448" s="1" t="s">
        <v>1912</v>
      </c>
      <c r="AK448" s="1" t="s">
        <v>1913</v>
      </c>
      <c r="AL448" s="1" t="s">
        <v>1914</v>
      </c>
    </row>
    <row r="449" spans="1:38" x14ac:dyDescent="0.6">
      <c r="A449" s="1">
        <v>326</v>
      </c>
      <c r="B449" s="1" t="s">
        <v>103</v>
      </c>
      <c r="C449" s="1">
        <v>68</v>
      </c>
      <c r="D449" s="1" t="s">
        <v>127</v>
      </c>
      <c r="E449" s="1" t="s">
        <v>90</v>
      </c>
      <c r="F449" s="1"/>
      <c r="G449" s="1"/>
      <c r="H449" s="1" t="s">
        <v>91</v>
      </c>
      <c r="I449" s="1" t="s">
        <v>92</v>
      </c>
      <c r="J449" s="1" t="s">
        <v>93</v>
      </c>
      <c r="K449" s="1">
        <v>1</v>
      </c>
      <c r="L449" s="1">
        <v>120</v>
      </c>
      <c r="M449" s="1" t="s">
        <v>14</v>
      </c>
      <c r="N449" s="1" t="s">
        <v>95</v>
      </c>
      <c r="O449" s="1" t="s">
        <v>96</v>
      </c>
      <c r="P449" s="1"/>
      <c r="Q449" s="1" t="s">
        <v>9</v>
      </c>
      <c r="R449" s="1">
        <v>0</v>
      </c>
      <c r="S449" s="1" t="s">
        <v>97</v>
      </c>
      <c r="T449" s="1" t="s">
        <v>97</v>
      </c>
      <c r="U449" s="1" t="b">
        <v>1</v>
      </c>
      <c r="V449" s="1" t="b">
        <v>0</v>
      </c>
      <c r="W449" s="1" t="b">
        <v>0</v>
      </c>
      <c r="X449" s="1">
        <v>5</v>
      </c>
      <c r="Y449" s="1" t="b">
        <v>1</v>
      </c>
      <c r="Z449" s="1" t="b">
        <v>1</v>
      </c>
      <c r="AA449" s="1"/>
      <c r="AB449" s="1" t="b">
        <v>1</v>
      </c>
      <c r="AC449" s="1">
        <v>112794240</v>
      </c>
      <c r="AD449" s="1">
        <v>451968</v>
      </c>
      <c r="AE449" s="1">
        <v>0</v>
      </c>
      <c r="AF449" s="1" t="s">
        <v>1915</v>
      </c>
      <c r="AG449" s="1" t="s">
        <v>1916</v>
      </c>
      <c r="AH449" s="1">
        <v>60.9</v>
      </c>
      <c r="AI449" s="1">
        <v>62.4</v>
      </c>
      <c r="AJ449" s="1" t="s">
        <v>1917</v>
      </c>
      <c r="AK449" s="1" t="s">
        <v>1918</v>
      </c>
      <c r="AL449" s="1" t="s">
        <v>1919</v>
      </c>
    </row>
    <row r="450" spans="1:38" x14ac:dyDescent="0.6">
      <c r="A450" s="1">
        <v>308</v>
      </c>
      <c r="B450" s="1" t="s">
        <v>103</v>
      </c>
      <c r="C450" s="1">
        <v>53</v>
      </c>
      <c r="D450" s="1" t="s">
        <v>89</v>
      </c>
      <c r="E450" s="1" t="s">
        <v>108</v>
      </c>
      <c r="F450" s="1"/>
      <c r="G450" s="1"/>
      <c r="H450" s="1" t="s">
        <v>220</v>
      </c>
      <c r="I450" s="1" t="s">
        <v>221</v>
      </c>
      <c r="J450" s="1" t="s">
        <v>222</v>
      </c>
      <c r="K450" s="1">
        <v>1.25</v>
      </c>
      <c r="L450" s="1">
        <v>120</v>
      </c>
      <c r="M450" s="1" t="s">
        <v>14</v>
      </c>
      <c r="N450" s="1" t="s">
        <v>95</v>
      </c>
      <c r="O450" s="1" t="s">
        <v>96</v>
      </c>
      <c r="P450" s="1"/>
      <c r="Q450" s="1" t="s">
        <v>9</v>
      </c>
      <c r="R450" s="1">
        <v>0</v>
      </c>
      <c r="S450" s="1" t="s">
        <v>97</v>
      </c>
      <c r="T450" s="1" t="s">
        <v>97</v>
      </c>
      <c r="U450" s="1" t="b">
        <v>1</v>
      </c>
      <c r="V450" s="1" t="b">
        <v>0</v>
      </c>
      <c r="W450" s="1" t="b">
        <v>0</v>
      </c>
      <c r="X450" s="1">
        <v>5</v>
      </c>
      <c r="Y450" s="1" t="b">
        <v>1</v>
      </c>
      <c r="Z450" s="1" t="b">
        <v>1</v>
      </c>
      <c r="AA450" s="1"/>
      <c r="AB450" s="1" t="b">
        <v>1</v>
      </c>
      <c r="AC450" s="1">
        <v>151449534</v>
      </c>
      <c r="AD450" s="1">
        <v>856130</v>
      </c>
      <c r="AE450" s="1">
        <v>0</v>
      </c>
      <c r="AF450" s="1" t="s">
        <v>1846</v>
      </c>
      <c r="AG450" s="1" t="s">
        <v>1847</v>
      </c>
      <c r="AH450" s="1">
        <v>71.8</v>
      </c>
      <c r="AI450" s="1">
        <v>67.900000000000006</v>
      </c>
      <c r="AJ450" s="1" t="s">
        <v>1920</v>
      </c>
      <c r="AK450" s="1" t="s">
        <v>1921</v>
      </c>
      <c r="AL450" s="1" t="s">
        <v>1922</v>
      </c>
    </row>
    <row r="451" spans="1:38" x14ac:dyDescent="0.6">
      <c r="A451" s="1">
        <v>325</v>
      </c>
      <c r="B451" s="1" t="s">
        <v>103</v>
      </c>
      <c r="C451" s="1">
        <v>51</v>
      </c>
      <c r="D451" s="1" t="s">
        <v>89</v>
      </c>
      <c r="E451" s="1" t="s">
        <v>108</v>
      </c>
      <c r="F451" s="1"/>
      <c r="G451" s="1"/>
      <c r="H451" s="1" t="s">
        <v>1923</v>
      </c>
      <c r="I451" s="1" t="s">
        <v>92</v>
      </c>
      <c r="J451" s="1" t="s">
        <v>93</v>
      </c>
      <c r="K451" s="1">
        <v>1</v>
      </c>
      <c r="L451" s="1">
        <v>120</v>
      </c>
      <c r="M451" s="1" t="s">
        <v>94</v>
      </c>
      <c r="N451" s="1" t="s">
        <v>95</v>
      </c>
      <c r="O451" s="1"/>
      <c r="P451" s="1" t="s">
        <v>96</v>
      </c>
      <c r="Q451" s="1" t="s">
        <v>9</v>
      </c>
      <c r="R451" s="1">
        <v>0</v>
      </c>
      <c r="S451" s="1" t="s">
        <v>97</v>
      </c>
      <c r="T451" s="1" t="s">
        <v>97</v>
      </c>
      <c r="U451" s="1" t="b">
        <v>1</v>
      </c>
      <c r="V451" s="1" t="b">
        <v>0</v>
      </c>
      <c r="W451" s="1" t="b">
        <v>0</v>
      </c>
      <c r="X451" s="1">
        <v>0</v>
      </c>
      <c r="Y451" s="1" t="b">
        <v>1</v>
      </c>
      <c r="Z451" s="1" t="b">
        <v>1</v>
      </c>
      <c r="AA451" s="1">
        <v>65.400000000000006</v>
      </c>
      <c r="AB451" s="1" t="b">
        <v>1</v>
      </c>
      <c r="AC451" s="1">
        <v>119119573</v>
      </c>
      <c r="AD451" s="1">
        <v>1204523</v>
      </c>
      <c r="AE451" s="1">
        <v>0</v>
      </c>
      <c r="AF451" s="1" t="s">
        <v>1924</v>
      </c>
      <c r="AG451" s="1" t="s">
        <v>1925</v>
      </c>
      <c r="AH451" s="1">
        <v>60.3</v>
      </c>
      <c r="AI451" s="1">
        <v>61.8</v>
      </c>
      <c r="AJ451" s="1" t="s">
        <v>1926</v>
      </c>
      <c r="AK451" s="1" t="s">
        <v>1927</v>
      </c>
      <c r="AL451" s="1" t="s">
        <v>1928</v>
      </c>
    </row>
    <row r="452" spans="1:38" x14ac:dyDescent="0.6">
      <c r="A452" s="1">
        <v>325</v>
      </c>
      <c r="B452" s="1" t="s">
        <v>103</v>
      </c>
      <c r="C452" s="1">
        <v>51</v>
      </c>
      <c r="D452" s="1" t="s">
        <v>89</v>
      </c>
      <c r="E452" s="1" t="s">
        <v>108</v>
      </c>
      <c r="F452" s="1"/>
      <c r="G452" s="1"/>
      <c r="H452" s="1" t="s">
        <v>1923</v>
      </c>
      <c r="I452" s="1" t="s">
        <v>92</v>
      </c>
      <c r="J452" s="1" t="s">
        <v>93</v>
      </c>
      <c r="K452" s="1">
        <v>1</v>
      </c>
      <c r="L452" s="1">
        <v>120</v>
      </c>
      <c r="M452" s="1" t="s">
        <v>14</v>
      </c>
      <c r="N452" s="1" t="s">
        <v>95</v>
      </c>
      <c r="O452" s="1" t="s">
        <v>96</v>
      </c>
      <c r="P452" s="1"/>
      <c r="Q452" s="1" t="s">
        <v>9</v>
      </c>
      <c r="R452" s="1">
        <v>0</v>
      </c>
      <c r="S452" s="1" t="s">
        <v>97</v>
      </c>
      <c r="T452" s="1" t="s">
        <v>97</v>
      </c>
      <c r="U452" s="1" t="b">
        <v>1</v>
      </c>
      <c r="V452" s="1" t="b">
        <v>0</v>
      </c>
      <c r="W452" s="1" t="b">
        <v>0</v>
      </c>
      <c r="X452" s="1">
        <v>5</v>
      </c>
      <c r="Y452" s="1" t="b">
        <v>1</v>
      </c>
      <c r="Z452" s="1" t="b">
        <v>1</v>
      </c>
      <c r="AA452" s="1"/>
      <c r="AB452" s="1" t="b">
        <v>1</v>
      </c>
      <c r="AC452" s="1">
        <v>109303625</v>
      </c>
      <c r="AD452" s="1">
        <v>534711</v>
      </c>
      <c r="AE452" s="1">
        <v>0</v>
      </c>
      <c r="AF452" s="1" t="s">
        <v>1924</v>
      </c>
      <c r="AG452" s="1" t="s">
        <v>1925</v>
      </c>
      <c r="AH452" s="1">
        <v>60.3</v>
      </c>
      <c r="AI452" s="1">
        <v>61.8</v>
      </c>
      <c r="AJ452" s="1" t="s">
        <v>1929</v>
      </c>
      <c r="AK452" s="1" t="s">
        <v>1930</v>
      </c>
      <c r="AL452" s="1" t="s">
        <v>1931</v>
      </c>
    </row>
    <row r="453" spans="1:38" x14ac:dyDescent="0.6">
      <c r="A453" s="1">
        <v>315</v>
      </c>
      <c r="B453" s="1" t="s">
        <v>88</v>
      </c>
      <c r="C453" s="1">
        <v>57</v>
      </c>
      <c r="D453" s="1" t="s">
        <v>89</v>
      </c>
      <c r="E453" s="1" t="s">
        <v>90</v>
      </c>
      <c r="F453" s="1"/>
      <c r="G453" s="1"/>
      <c r="H453" s="1" t="s">
        <v>91</v>
      </c>
      <c r="I453" s="1" t="s">
        <v>92</v>
      </c>
      <c r="J453" s="1" t="s">
        <v>93</v>
      </c>
      <c r="K453" s="1">
        <v>1</v>
      </c>
      <c r="L453" s="1">
        <v>120</v>
      </c>
      <c r="M453" s="1" t="s">
        <v>94</v>
      </c>
      <c r="N453" s="1" t="s">
        <v>95</v>
      </c>
      <c r="O453" s="1"/>
      <c r="P453" s="1" t="s">
        <v>96</v>
      </c>
      <c r="Q453" s="1" t="s">
        <v>9</v>
      </c>
      <c r="R453" s="1">
        <v>0</v>
      </c>
      <c r="S453" s="1" t="s">
        <v>97</v>
      </c>
      <c r="T453" s="1" t="s">
        <v>97</v>
      </c>
      <c r="U453" s="1" t="b">
        <v>1</v>
      </c>
      <c r="V453" s="1" t="b">
        <v>0</v>
      </c>
      <c r="W453" s="1" t="b">
        <v>0</v>
      </c>
      <c r="X453" s="1">
        <v>0</v>
      </c>
      <c r="Y453" s="1" t="b">
        <v>1</v>
      </c>
      <c r="Z453" s="1" t="b">
        <v>1</v>
      </c>
      <c r="AA453" s="1">
        <v>73.599999999999994</v>
      </c>
      <c r="AB453" s="1" t="b">
        <v>1</v>
      </c>
      <c r="AC453" s="1">
        <v>139647338</v>
      </c>
      <c r="AD453" s="1">
        <v>1386134</v>
      </c>
      <c r="AE453" s="1">
        <v>0</v>
      </c>
      <c r="AF453" s="1" t="s">
        <v>1869</v>
      </c>
      <c r="AG453" s="1" t="s">
        <v>1870</v>
      </c>
      <c r="AH453" s="1">
        <v>68.400000000000006</v>
      </c>
      <c r="AI453" s="1">
        <v>68.400000000000006</v>
      </c>
      <c r="AJ453" s="1" t="s">
        <v>1932</v>
      </c>
      <c r="AK453" s="1" t="s">
        <v>1933</v>
      </c>
      <c r="AL453" s="1" t="s">
        <v>1934</v>
      </c>
    </row>
    <row r="454" spans="1:38" x14ac:dyDescent="0.6">
      <c r="A454" s="1">
        <v>309</v>
      </c>
      <c r="B454" s="1" t="s">
        <v>103</v>
      </c>
      <c r="C454" s="1">
        <v>50</v>
      </c>
      <c r="D454" s="1" t="s">
        <v>89</v>
      </c>
      <c r="E454" s="1" t="s">
        <v>108</v>
      </c>
      <c r="F454" s="1"/>
      <c r="G454" s="1"/>
      <c r="H454" s="1" t="s">
        <v>220</v>
      </c>
      <c r="I454" s="1" t="s">
        <v>221</v>
      </c>
      <c r="J454" s="1" t="s">
        <v>222</v>
      </c>
      <c r="K454" s="1">
        <v>1.25</v>
      </c>
      <c r="L454" s="1">
        <v>120</v>
      </c>
      <c r="M454" s="1" t="s">
        <v>7</v>
      </c>
      <c r="N454" s="1" t="s">
        <v>7</v>
      </c>
      <c r="O454" s="1" t="s">
        <v>96</v>
      </c>
      <c r="P454" s="1" t="s">
        <v>96</v>
      </c>
      <c r="Q454" s="1" t="s">
        <v>9</v>
      </c>
      <c r="R454" s="1">
        <v>0</v>
      </c>
      <c r="S454" s="1" t="s">
        <v>97</v>
      </c>
      <c r="T454" s="1" t="s">
        <v>97</v>
      </c>
      <c r="U454" s="1" t="b">
        <v>1</v>
      </c>
      <c r="V454" s="1" t="b">
        <v>0</v>
      </c>
      <c r="W454" s="1" t="b">
        <v>0</v>
      </c>
      <c r="X454" s="1">
        <v>5</v>
      </c>
      <c r="Y454" s="1" t="b">
        <v>1</v>
      </c>
      <c r="Z454" s="1" t="b">
        <v>1</v>
      </c>
      <c r="AA454" s="1">
        <v>71.099999999999994</v>
      </c>
      <c r="AB454" s="1" t="b">
        <v>0</v>
      </c>
      <c r="AC454" s="1">
        <v>0</v>
      </c>
      <c r="AD454" s="1">
        <v>3427858</v>
      </c>
      <c r="AE454" s="1">
        <v>135770606</v>
      </c>
      <c r="AF454" s="1" t="s">
        <v>1935</v>
      </c>
      <c r="AG454" s="1" t="s">
        <v>1935</v>
      </c>
      <c r="AH454" s="1">
        <v>74.3</v>
      </c>
      <c r="AI454" s="1">
        <v>68.7</v>
      </c>
      <c r="AJ454" s="1" t="s">
        <v>1936</v>
      </c>
      <c r="AK454" s="1" t="s">
        <v>1937</v>
      </c>
      <c r="AL454" s="1" t="s">
        <v>1938</v>
      </c>
    </row>
    <row r="455" spans="1:38" x14ac:dyDescent="0.6">
      <c r="A455" s="1">
        <v>334</v>
      </c>
      <c r="B455" s="1" t="s">
        <v>103</v>
      </c>
      <c r="C455" s="1">
        <v>60</v>
      </c>
      <c r="D455" s="1" t="s">
        <v>127</v>
      </c>
      <c r="E455" s="1" t="s">
        <v>108</v>
      </c>
      <c r="F455" s="1"/>
      <c r="G455" s="1"/>
      <c r="H455" s="1" t="s">
        <v>91</v>
      </c>
      <c r="I455" s="1" t="s">
        <v>92</v>
      </c>
      <c r="J455" s="1" t="s">
        <v>93</v>
      </c>
      <c r="K455" s="1">
        <v>5</v>
      </c>
      <c r="L455" s="1">
        <v>120</v>
      </c>
      <c r="M455" s="1" t="s">
        <v>14</v>
      </c>
      <c r="N455" s="1" t="s">
        <v>14</v>
      </c>
      <c r="O455" s="1" t="s">
        <v>96</v>
      </c>
      <c r="P455" s="1"/>
      <c r="Q455" s="1" t="s">
        <v>9</v>
      </c>
      <c r="R455" s="1">
        <v>0</v>
      </c>
      <c r="S455" s="1"/>
      <c r="T455" s="1" t="s">
        <v>97</v>
      </c>
      <c r="U455" s="1"/>
      <c r="V455" s="1" t="b">
        <v>0</v>
      </c>
      <c r="W455" s="1" t="b">
        <v>0</v>
      </c>
      <c r="X455" s="1">
        <v>5</v>
      </c>
      <c r="Y455" s="1" t="b">
        <v>1</v>
      </c>
      <c r="Z455" s="1" t="b">
        <v>1</v>
      </c>
      <c r="AA455" s="1"/>
      <c r="AB455" s="1" t="b">
        <v>1</v>
      </c>
      <c r="AC455" s="1">
        <v>21140857</v>
      </c>
      <c r="AD455" s="1">
        <v>92807</v>
      </c>
      <c r="AE455" s="1">
        <v>0</v>
      </c>
      <c r="AF455" s="1" t="s">
        <v>1939</v>
      </c>
      <c r="AG455" s="1"/>
      <c r="AH455" s="1">
        <v>74.7</v>
      </c>
      <c r="AI455" s="1"/>
      <c r="AJ455" s="1" t="s">
        <v>1940</v>
      </c>
      <c r="AK455" s="1" t="s">
        <v>1941</v>
      </c>
      <c r="AL455" s="1" t="s">
        <v>1942</v>
      </c>
    </row>
    <row r="456" spans="1:38" x14ac:dyDescent="0.6">
      <c r="A456" s="1">
        <v>321</v>
      </c>
      <c r="B456" s="1" t="s">
        <v>103</v>
      </c>
      <c r="C456" s="1">
        <v>89</v>
      </c>
      <c r="D456" s="1" t="s">
        <v>153</v>
      </c>
      <c r="E456" s="1" t="s">
        <v>154</v>
      </c>
      <c r="F456" s="1"/>
      <c r="G456" s="1"/>
      <c r="H456" s="1" t="s">
        <v>91</v>
      </c>
      <c r="I456" s="1" t="s">
        <v>92</v>
      </c>
      <c r="J456" s="1" t="s">
        <v>93</v>
      </c>
      <c r="K456" s="1">
        <v>1</v>
      </c>
      <c r="L456" s="1">
        <v>120</v>
      </c>
      <c r="M456" s="1" t="s">
        <v>7</v>
      </c>
      <c r="N456" s="1" t="s">
        <v>7</v>
      </c>
      <c r="O456" s="1" t="s">
        <v>96</v>
      </c>
      <c r="P456" s="1" t="s">
        <v>96</v>
      </c>
      <c r="Q456" s="1" t="s">
        <v>9</v>
      </c>
      <c r="R456" s="1">
        <v>0</v>
      </c>
      <c r="S456" s="1" t="s">
        <v>97</v>
      </c>
      <c r="T456" s="1" t="s">
        <v>97</v>
      </c>
      <c r="U456" s="1" t="b">
        <v>1</v>
      </c>
      <c r="V456" s="1" t="b">
        <v>0</v>
      </c>
      <c r="W456" s="1" t="b">
        <v>0</v>
      </c>
      <c r="X456" s="1">
        <v>5</v>
      </c>
      <c r="Y456" s="1" t="b">
        <v>1</v>
      </c>
      <c r="Z456" s="1" t="b">
        <v>1</v>
      </c>
      <c r="AA456" s="1">
        <v>49.2</v>
      </c>
      <c r="AB456" s="1" t="b">
        <v>0</v>
      </c>
      <c r="AC456" s="1">
        <v>0</v>
      </c>
      <c r="AD456" s="1">
        <v>2334081</v>
      </c>
      <c r="AE456" s="1">
        <v>136864383</v>
      </c>
      <c r="AF456" s="1" t="s">
        <v>1943</v>
      </c>
      <c r="AG456" s="1" t="s">
        <v>1943</v>
      </c>
      <c r="AH456" s="1">
        <v>58.4</v>
      </c>
      <c r="AI456" s="1">
        <v>48.5</v>
      </c>
      <c r="AJ456" s="1" t="s">
        <v>1944</v>
      </c>
      <c r="AK456" s="1" t="s">
        <v>1945</v>
      </c>
      <c r="AL456" s="1" t="s">
        <v>1946</v>
      </c>
    </row>
    <row r="457" spans="1:38" x14ac:dyDescent="0.6">
      <c r="A457" s="1">
        <v>326</v>
      </c>
      <c r="B457" s="1" t="s">
        <v>103</v>
      </c>
      <c r="C457" s="1">
        <v>68</v>
      </c>
      <c r="D457" s="1" t="s">
        <v>127</v>
      </c>
      <c r="E457" s="1" t="s">
        <v>90</v>
      </c>
      <c r="F457" s="1"/>
      <c r="G457" s="1"/>
      <c r="H457" s="1" t="s">
        <v>91</v>
      </c>
      <c r="I457" s="1" t="s">
        <v>92</v>
      </c>
      <c r="J457" s="1" t="s">
        <v>93</v>
      </c>
      <c r="K457" s="1">
        <v>1</v>
      </c>
      <c r="L457" s="1">
        <v>120</v>
      </c>
      <c r="M457" s="1" t="s">
        <v>94</v>
      </c>
      <c r="N457" s="1" t="s">
        <v>95</v>
      </c>
      <c r="O457" s="1"/>
      <c r="P457" s="1" t="s">
        <v>96</v>
      </c>
      <c r="Q457" s="1" t="s">
        <v>9</v>
      </c>
      <c r="R457" s="1">
        <v>0</v>
      </c>
      <c r="S457" s="1" t="s">
        <v>97</v>
      </c>
      <c r="T457" s="1" t="s">
        <v>97</v>
      </c>
      <c r="U457" s="1" t="b">
        <v>1</v>
      </c>
      <c r="V457" s="1" t="b">
        <v>0</v>
      </c>
      <c r="W457" s="1" t="b">
        <v>0</v>
      </c>
      <c r="X457" s="1">
        <v>0</v>
      </c>
      <c r="Y457" s="1" t="b">
        <v>1</v>
      </c>
      <c r="Z457" s="1" t="b">
        <v>1</v>
      </c>
      <c r="AA457" s="1">
        <v>69</v>
      </c>
      <c r="AB457" s="1" t="b">
        <v>1</v>
      </c>
      <c r="AC457" s="1">
        <v>121743735</v>
      </c>
      <c r="AD457" s="1">
        <v>1201801</v>
      </c>
      <c r="AE457" s="1">
        <v>0</v>
      </c>
      <c r="AF457" s="1" t="s">
        <v>1915</v>
      </c>
      <c r="AG457" s="1" t="s">
        <v>1916</v>
      </c>
      <c r="AH457" s="1">
        <v>60.9</v>
      </c>
      <c r="AI457" s="1">
        <v>62.4</v>
      </c>
      <c r="AJ457" s="1" t="s">
        <v>1947</v>
      </c>
      <c r="AK457" s="1" t="s">
        <v>1948</v>
      </c>
      <c r="AL457" s="1" t="s">
        <v>1949</v>
      </c>
    </row>
    <row r="458" spans="1:38" x14ac:dyDescent="0.6">
      <c r="A458" s="1">
        <v>323</v>
      </c>
      <c r="B458" s="1" t="s">
        <v>103</v>
      </c>
      <c r="C458" s="1">
        <v>65</v>
      </c>
      <c r="D458" s="1" t="s">
        <v>127</v>
      </c>
      <c r="E458" s="1" t="s">
        <v>90</v>
      </c>
      <c r="F458" s="1"/>
      <c r="G458" s="1"/>
      <c r="H458" s="1" t="s">
        <v>91</v>
      </c>
      <c r="I458" s="1" t="s">
        <v>92</v>
      </c>
      <c r="J458" s="1" t="s">
        <v>93</v>
      </c>
      <c r="K458" s="1">
        <v>1</v>
      </c>
      <c r="L458" s="1">
        <v>120</v>
      </c>
      <c r="M458" s="1" t="s">
        <v>7</v>
      </c>
      <c r="N458" s="1" t="s">
        <v>7</v>
      </c>
      <c r="O458" s="1" t="s">
        <v>96</v>
      </c>
      <c r="P458" s="1" t="s">
        <v>96</v>
      </c>
      <c r="Q458" s="1" t="s">
        <v>9</v>
      </c>
      <c r="R458" s="1">
        <v>0</v>
      </c>
      <c r="S458" s="1" t="s">
        <v>97</v>
      </c>
      <c r="T458" s="1" t="s">
        <v>97</v>
      </c>
      <c r="U458" s="1" t="b">
        <v>1</v>
      </c>
      <c r="V458" s="1" t="b">
        <v>0</v>
      </c>
      <c r="W458" s="1" t="b">
        <v>0</v>
      </c>
      <c r="X458" s="1">
        <v>5</v>
      </c>
      <c r="Y458" s="1" t="b">
        <v>1</v>
      </c>
      <c r="Z458" s="1" t="b">
        <v>1</v>
      </c>
      <c r="AA458" s="1">
        <v>64.3</v>
      </c>
      <c r="AB458" s="1" t="b">
        <v>0</v>
      </c>
      <c r="AC458" s="1">
        <v>0</v>
      </c>
      <c r="AD458" s="1">
        <v>3501693</v>
      </c>
      <c r="AE458" s="1">
        <v>127832451</v>
      </c>
      <c r="AF458" s="1" t="s">
        <v>1950</v>
      </c>
      <c r="AG458" s="1" t="s">
        <v>1950</v>
      </c>
      <c r="AH458" s="1">
        <v>54.8</v>
      </c>
      <c r="AI458" s="1">
        <v>58</v>
      </c>
      <c r="AJ458" s="1" t="s">
        <v>1951</v>
      </c>
      <c r="AK458" s="1" t="s">
        <v>1952</v>
      </c>
      <c r="AL458" s="1" t="s">
        <v>1953</v>
      </c>
    </row>
    <row r="459" spans="1:38" x14ac:dyDescent="0.6">
      <c r="A459" s="1">
        <v>324</v>
      </c>
      <c r="B459" s="1" t="s">
        <v>103</v>
      </c>
      <c r="C459" s="1">
        <v>64</v>
      </c>
      <c r="D459" s="1" t="s">
        <v>127</v>
      </c>
      <c r="E459" s="1" t="s">
        <v>108</v>
      </c>
      <c r="F459" s="1"/>
      <c r="G459" s="1"/>
      <c r="H459" s="1" t="s">
        <v>91</v>
      </c>
      <c r="I459" s="1" t="s">
        <v>92</v>
      </c>
      <c r="J459" s="1" t="s">
        <v>93</v>
      </c>
      <c r="K459" s="1">
        <v>1</v>
      </c>
      <c r="L459" s="1">
        <v>120</v>
      </c>
      <c r="M459" s="1" t="s">
        <v>7</v>
      </c>
      <c r="N459" s="1" t="s">
        <v>7</v>
      </c>
      <c r="O459" s="1" t="s">
        <v>96</v>
      </c>
      <c r="P459" s="1" t="s">
        <v>96</v>
      </c>
      <c r="Q459" s="1" t="s">
        <v>9</v>
      </c>
      <c r="R459" s="1">
        <v>0</v>
      </c>
      <c r="S459" s="1" t="s">
        <v>97</v>
      </c>
      <c r="T459" s="1" t="s">
        <v>97</v>
      </c>
      <c r="U459" s="1" t="b">
        <v>1</v>
      </c>
      <c r="V459" s="1" t="b">
        <v>0</v>
      </c>
      <c r="W459" s="1" t="b">
        <v>0</v>
      </c>
      <c r="X459" s="1">
        <v>5</v>
      </c>
      <c r="Y459" s="1" t="b">
        <v>1</v>
      </c>
      <c r="Z459" s="1" t="b">
        <v>1</v>
      </c>
      <c r="AA459" s="1">
        <v>44.9</v>
      </c>
      <c r="AB459" s="1" t="b">
        <v>0</v>
      </c>
      <c r="AC459" s="1">
        <v>0</v>
      </c>
      <c r="AD459" s="1">
        <v>2460987</v>
      </c>
      <c r="AE459" s="1">
        <v>143291077</v>
      </c>
      <c r="AF459" s="1" t="s">
        <v>1954</v>
      </c>
      <c r="AG459" s="1" t="s">
        <v>1954</v>
      </c>
      <c r="AH459" s="1">
        <v>37.9</v>
      </c>
      <c r="AI459" s="1">
        <v>40.700000000000003</v>
      </c>
      <c r="AJ459" s="1" t="s">
        <v>1955</v>
      </c>
      <c r="AK459" s="1" t="s">
        <v>1956</v>
      </c>
      <c r="AL459" s="1" t="s">
        <v>1957</v>
      </c>
    </row>
    <row r="460" spans="1:38" x14ac:dyDescent="0.6">
      <c r="A460" s="1">
        <v>316</v>
      </c>
      <c r="B460" s="1" t="s">
        <v>88</v>
      </c>
      <c r="C460" s="1">
        <v>59</v>
      </c>
      <c r="D460" s="1" t="s">
        <v>89</v>
      </c>
      <c r="E460" s="1" t="s">
        <v>90</v>
      </c>
      <c r="F460" s="1"/>
      <c r="G460" s="1"/>
      <c r="H460" s="1" t="s">
        <v>91</v>
      </c>
      <c r="I460" s="1" t="s">
        <v>92</v>
      </c>
      <c r="J460" s="1" t="s">
        <v>93</v>
      </c>
      <c r="K460" s="1">
        <v>1</v>
      </c>
      <c r="L460" s="1">
        <v>120</v>
      </c>
      <c r="M460" s="1" t="s">
        <v>7</v>
      </c>
      <c r="N460" s="1" t="s">
        <v>7</v>
      </c>
      <c r="O460" s="1" t="s">
        <v>96</v>
      </c>
      <c r="P460" s="1" t="s">
        <v>96</v>
      </c>
      <c r="Q460" s="1" t="s">
        <v>9</v>
      </c>
      <c r="R460" s="1">
        <v>0</v>
      </c>
      <c r="S460" s="1" t="s">
        <v>97</v>
      </c>
      <c r="T460" s="1" t="s">
        <v>97</v>
      </c>
      <c r="U460" s="1" t="b">
        <v>1</v>
      </c>
      <c r="V460" s="1" t="b">
        <v>0</v>
      </c>
      <c r="W460" s="1" t="b">
        <v>0</v>
      </c>
      <c r="X460" s="1">
        <v>5</v>
      </c>
      <c r="Y460" s="1" t="b">
        <v>1</v>
      </c>
      <c r="Z460" s="1" t="b">
        <v>1</v>
      </c>
      <c r="AA460" s="1">
        <v>89.9</v>
      </c>
      <c r="AB460" s="1" t="b">
        <v>0</v>
      </c>
      <c r="AC460" s="1">
        <v>0</v>
      </c>
      <c r="AD460" s="1">
        <v>1343777</v>
      </c>
      <c r="AE460" s="1">
        <v>145194719</v>
      </c>
      <c r="AF460" s="1" t="s">
        <v>1958</v>
      </c>
      <c r="AG460" s="1" t="s">
        <v>1958</v>
      </c>
      <c r="AH460" s="1">
        <v>87.1</v>
      </c>
      <c r="AI460" s="1">
        <v>84.5</v>
      </c>
      <c r="AJ460" s="1" t="s">
        <v>1959</v>
      </c>
      <c r="AK460" s="1" t="s">
        <v>1960</v>
      </c>
      <c r="AL460" s="1" t="s">
        <v>1961</v>
      </c>
    </row>
    <row r="461" spans="1:38" x14ac:dyDescent="0.6">
      <c r="A461" s="1">
        <v>322</v>
      </c>
      <c r="B461" s="1" t="s">
        <v>88</v>
      </c>
      <c r="C461" s="1">
        <v>89</v>
      </c>
      <c r="D461" s="1" t="s">
        <v>153</v>
      </c>
      <c r="E461" s="1"/>
      <c r="F461" s="1"/>
      <c r="G461" s="1"/>
      <c r="H461" s="1" t="s">
        <v>91</v>
      </c>
      <c r="I461" s="1" t="s">
        <v>92</v>
      </c>
      <c r="J461" s="1" t="s">
        <v>93</v>
      </c>
      <c r="K461" s="1">
        <v>1</v>
      </c>
      <c r="L461" s="1">
        <v>120</v>
      </c>
      <c r="M461" s="1" t="s">
        <v>7</v>
      </c>
      <c r="N461" s="1" t="s">
        <v>7</v>
      </c>
      <c r="O461" s="1" t="s">
        <v>96</v>
      </c>
      <c r="P461" s="1" t="s">
        <v>96</v>
      </c>
      <c r="Q461" s="1" t="s">
        <v>9</v>
      </c>
      <c r="R461" s="1">
        <v>0</v>
      </c>
      <c r="S461" s="1" t="s">
        <v>97</v>
      </c>
      <c r="T461" s="1" t="s">
        <v>97</v>
      </c>
      <c r="U461" s="1" t="b">
        <v>1</v>
      </c>
      <c r="V461" s="1" t="b">
        <v>0</v>
      </c>
      <c r="W461" s="1" t="b">
        <v>0</v>
      </c>
      <c r="X461" s="1">
        <v>5</v>
      </c>
      <c r="Y461" s="1" t="b">
        <v>1</v>
      </c>
      <c r="Z461" s="1" t="b">
        <v>1</v>
      </c>
      <c r="AA461" s="1">
        <v>78.3</v>
      </c>
      <c r="AB461" s="1" t="b">
        <v>0</v>
      </c>
      <c r="AC461" s="1">
        <v>0</v>
      </c>
      <c r="AD461" s="1">
        <v>2361676</v>
      </c>
      <c r="AE461" s="1">
        <v>159905460</v>
      </c>
      <c r="AF461" s="1" t="s">
        <v>1962</v>
      </c>
      <c r="AG461" s="1" t="s">
        <v>1962</v>
      </c>
      <c r="AH461" s="1">
        <v>80.099999999999994</v>
      </c>
      <c r="AI461" s="1">
        <v>73.7</v>
      </c>
      <c r="AJ461" s="1" t="s">
        <v>1963</v>
      </c>
      <c r="AK461" s="1" t="s">
        <v>1964</v>
      </c>
      <c r="AL461" s="1" t="s">
        <v>1965</v>
      </c>
    </row>
    <row r="462" spans="1:38" x14ac:dyDescent="0.6">
      <c r="A462" s="1">
        <v>317</v>
      </c>
      <c r="B462" s="1" t="s">
        <v>103</v>
      </c>
      <c r="C462" s="1">
        <v>59</v>
      </c>
      <c r="D462" s="1" t="s">
        <v>89</v>
      </c>
      <c r="E462" s="1" t="s">
        <v>90</v>
      </c>
      <c r="F462" s="1"/>
      <c r="G462" s="1"/>
      <c r="H462" s="1" t="s">
        <v>91</v>
      </c>
      <c r="I462" s="1" t="s">
        <v>92</v>
      </c>
      <c r="J462" s="1" t="s">
        <v>93</v>
      </c>
      <c r="K462" s="1">
        <v>1</v>
      </c>
      <c r="L462" s="1">
        <v>120</v>
      </c>
      <c r="M462" s="1" t="s">
        <v>14</v>
      </c>
      <c r="N462" s="1" t="s">
        <v>95</v>
      </c>
      <c r="O462" s="1" t="s">
        <v>96</v>
      </c>
      <c r="P462" s="1"/>
      <c r="Q462" s="1" t="s">
        <v>9</v>
      </c>
      <c r="R462" s="1">
        <v>0</v>
      </c>
      <c r="S462" s="1" t="s">
        <v>97</v>
      </c>
      <c r="T462" s="1" t="s">
        <v>97</v>
      </c>
      <c r="U462" s="1" t="b">
        <v>1</v>
      </c>
      <c r="V462" s="1" t="b">
        <v>0</v>
      </c>
      <c r="W462" s="1" t="b">
        <v>0</v>
      </c>
      <c r="X462" s="1">
        <v>5</v>
      </c>
      <c r="Y462" s="1" t="b">
        <v>1</v>
      </c>
      <c r="Z462" s="1" t="b">
        <v>1</v>
      </c>
      <c r="AA462" s="1"/>
      <c r="AB462" s="1" t="b">
        <v>1</v>
      </c>
      <c r="AC462" s="1">
        <v>141799521</v>
      </c>
      <c r="AD462" s="1">
        <v>544671</v>
      </c>
      <c r="AE462" s="1">
        <v>0</v>
      </c>
      <c r="AF462" s="1" t="s">
        <v>1886</v>
      </c>
      <c r="AG462" s="1" t="s">
        <v>1887</v>
      </c>
      <c r="AH462" s="1">
        <v>65.599999999999994</v>
      </c>
      <c r="AI462" s="1">
        <v>63</v>
      </c>
      <c r="AJ462" s="1" t="s">
        <v>1966</v>
      </c>
      <c r="AK462" s="1" t="s">
        <v>1967</v>
      </c>
      <c r="AL462" s="1" t="s">
        <v>1968</v>
      </c>
    </row>
    <row r="463" spans="1:38" x14ac:dyDescent="0.6">
      <c r="A463" s="1">
        <v>330</v>
      </c>
      <c r="B463" s="1" t="s">
        <v>103</v>
      </c>
      <c r="C463" s="1">
        <v>50</v>
      </c>
      <c r="D463" s="1" t="s">
        <v>89</v>
      </c>
      <c r="E463" s="1" t="s">
        <v>90</v>
      </c>
      <c r="F463" s="1"/>
      <c r="G463" s="1"/>
      <c r="H463" s="1" t="s">
        <v>91</v>
      </c>
      <c r="I463" s="1" t="s">
        <v>92</v>
      </c>
      <c r="J463" s="1" t="s">
        <v>93</v>
      </c>
      <c r="K463" s="1">
        <v>1</v>
      </c>
      <c r="L463" s="1">
        <v>120</v>
      </c>
      <c r="M463" s="1" t="s">
        <v>7</v>
      </c>
      <c r="N463" s="1" t="s">
        <v>7</v>
      </c>
      <c r="O463" s="1" t="s">
        <v>96</v>
      </c>
      <c r="P463" s="1" t="s">
        <v>96</v>
      </c>
      <c r="Q463" s="1" t="s">
        <v>9</v>
      </c>
      <c r="R463" s="1">
        <v>0</v>
      </c>
      <c r="S463" s="1" t="s">
        <v>97</v>
      </c>
      <c r="T463" s="1" t="s">
        <v>97</v>
      </c>
      <c r="U463" s="1" t="b">
        <v>1</v>
      </c>
      <c r="V463" s="1" t="b">
        <v>0</v>
      </c>
      <c r="W463" s="1" t="b">
        <v>0</v>
      </c>
      <c r="X463" s="1">
        <v>5</v>
      </c>
      <c r="Y463" s="1" t="b">
        <v>1</v>
      </c>
      <c r="Z463" s="1" t="b">
        <v>1</v>
      </c>
      <c r="AA463" s="1">
        <v>83.7</v>
      </c>
      <c r="AB463" s="1" t="b">
        <v>0</v>
      </c>
      <c r="AC463" s="1">
        <v>0</v>
      </c>
      <c r="AD463" s="1">
        <v>2656087</v>
      </c>
      <c r="AE463" s="1">
        <v>128678057</v>
      </c>
      <c r="AF463" s="1" t="s">
        <v>1969</v>
      </c>
      <c r="AG463" s="1" t="s">
        <v>1969</v>
      </c>
      <c r="AH463" s="1">
        <v>81.7</v>
      </c>
      <c r="AI463" s="1">
        <v>77.8</v>
      </c>
      <c r="AJ463" s="1" t="s">
        <v>1970</v>
      </c>
      <c r="AK463" s="1" t="s">
        <v>1971</v>
      </c>
      <c r="AL463" s="1" t="s">
        <v>1972</v>
      </c>
    </row>
    <row r="464" spans="1:38" x14ac:dyDescent="0.6">
      <c r="A464" s="1">
        <v>327</v>
      </c>
      <c r="B464" s="1" t="s">
        <v>103</v>
      </c>
      <c r="C464" s="1">
        <v>60</v>
      </c>
      <c r="D464" s="1" t="s">
        <v>127</v>
      </c>
      <c r="E464" s="1" t="s">
        <v>90</v>
      </c>
      <c r="F464" s="1"/>
      <c r="G464" s="1"/>
      <c r="H464" s="1" t="s">
        <v>91</v>
      </c>
      <c r="I464" s="1" t="s">
        <v>92</v>
      </c>
      <c r="J464" s="1" t="s">
        <v>93</v>
      </c>
      <c r="K464" s="1">
        <v>1</v>
      </c>
      <c r="L464" s="1">
        <v>120</v>
      </c>
      <c r="M464" s="1" t="s">
        <v>14</v>
      </c>
      <c r="N464" s="1" t="s">
        <v>95</v>
      </c>
      <c r="O464" s="1" t="s">
        <v>96</v>
      </c>
      <c r="P464" s="1"/>
      <c r="Q464" s="1" t="s">
        <v>9</v>
      </c>
      <c r="R464" s="1">
        <v>0</v>
      </c>
      <c r="S464" s="1" t="s">
        <v>97</v>
      </c>
      <c r="T464" s="1" t="s">
        <v>97</v>
      </c>
      <c r="U464" s="1" t="b">
        <v>1</v>
      </c>
      <c r="V464" s="1" t="b">
        <v>0</v>
      </c>
      <c r="W464" s="1" t="b">
        <v>0</v>
      </c>
      <c r="X464" s="1">
        <v>5</v>
      </c>
      <c r="Y464" s="1" t="b">
        <v>1</v>
      </c>
      <c r="Z464" s="1" t="b">
        <v>1</v>
      </c>
      <c r="AA464" s="1"/>
      <c r="AB464" s="1" t="b">
        <v>1</v>
      </c>
      <c r="AC464" s="1">
        <v>91094382</v>
      </c>
      <c r="AD464" s="1">
        <v>656018</v>
      </c>
      <c r="AE464" s="1">
        <v>0</v>
      </c>
      <c r="AF464" s="1" t="s">
        <v>1973</v>
      </c>
      <c r="AG464" s="1" t="s">
        <v>1974</v>
      </c>
      <c r="AH464" s="1">
        <v>71.599999999999994</v>
      </c>
      <c r="AI464" s="1">
        <v>66.2</v>
      </c>
      <c r="AJ464" s="1" t="s">
        <v>1975</v>
      </c>
      <c r="AK464" s="1" t="s">
        <v>1976</v>
      </c>
      <c r="AL464" s="1" t="s">
        <v>1977</v>
      </c>
    </row>
    <row r="465" spans="1:38" x14ac:dyDescent="0.6">
      <c r="A465" s="1">
        <v>327</v>
      </c>
      <c r="B465" s="1" t="s">
        <v>103</v>
      </c>
      <c r="C465" s="1">
        <v>60</v>
      </c>
      <c r="D465" s="1" t="s">
        <v>127</v>
      </c>
      <c r="E465" s="1" t="s">
        <v>90</v>
      </c>
      <c r="F465" s="1"/>
      <c r="G465" s="1"/>
      <c r="H465" s="1" t="s">
        <v>91</v>
      </c>
      <c r="I465" s="1" t="s">
        <v>92</v>
      </c>
      <c r="J465" s="1" t="s">
        <v>93</v>
      </c>
      <c r="K465" s="1">
        <v>1</v>
      </c>
      <c r="L465" s="1">
        <v>120</v>
      </c>
      <c r="M465" s="1" t="s">
        <v>94</v>
      </c>
      <c r="N465" s="1" t="s">
        <v>95</v>
      </c>
      <c r="O465" s="1"/>
      <c r="P465" s="1" t="s">
        <v>96</v>
      </c>
      <c r="Q465" s="1" t="s">
        <v>9</v>
      </c>
      <c r="R465" s="1">
        <v>0</v>
      </c>
      <c r="S465" s="1" t="s">
        <v>97</v>
      </c>
      <c r="T465" s="1" t="s">
        <v>97</v>
      </c>
      <c r="U465" s="1" t="b">
        <v>1</v>
      </c>
      <c r="V465" s="1" t="b">
        <v>0</v>
      </c>
      <c r="W465" s="1" t="b">
        <v>0</v>
      </c>
      <c r="X465" s="1">
        <v>0</v>
      </c>
      <c r="Y465" s="1" t="b">
        <v>1</v>
      </c>
      <c r="Z465" s="1" t="b">
        <v>1</v>
      </c>
      <c r="AA465" s="1">
        <v>68.099999999999994</v>
      </c>
      <c r="AB465" s="1" t="b">
        <v>1</v>
      </c>
      <c r="AC465" s="1">
        <v>99147300</v>
      </c>
      <c r="AD465" s="1">
        <v>1778140</v>
      </c>
      <c r="AE465" s="1">
        <v>0</v>
      </c>
      <c r="AF465" s="1" t="s">
        <v>1973</v>
      </c>
      <c r="AG465" s="1" t="s">
        <v>1974</v>
      </c>
      <c r="AH465" s="1">
        <v>71.599999999999994</v>
      </c>
      <c r="AI465" s="1">
        <v>66.2</v>
      </c>
      <c r="AJ465" s="1" t="s">
        <v>1978</v>
      </c>
      <c r="AK465" s="1" t="s">
        <v>1979</v>
      </c>
      <c r="AL465" s="1" t="s">
        <v>1980</v>
      </c>
    </row>
    <row r="466" spans="1:38" x14ac:dyDescent="0.6">
      <c r="A466" s="1">
        <v>328</v>
      </c>
      <c r="B466" s="1" t="s">
        <v>88</v>
      </c>
      <c r="C466" s="1">
        <v>55</v>
      </c>
      <c r="D466" s="1" t="s">
        <v>89</v>
      </c>
      <c r="E466" s="1" t="s">
        <v>108</v>
      </c>
      <c r="F466" s="1"/>
      <c r="G466" s="1"/>
      <c r="H466" s="1" t="s">
        <v>91</v>
      </c>
      <c r="I466" s="1" t="s">
        <v>92</v>
      </c>
      <c r="J466" s="1" t="s">
        <v>93</v>
      </c>
      <c r="K466" s="1">
        <v>1</v>
      </c>
      <c r="L466" s="1">
        <v>120</v>
      </c>
      <c r="M466" s="1" t="s">
        <v>14</v>
      </c>
      <c r="N466" s="1" t="s">
        <v>14</v>
      </c>
      <c r="O466" s="1" t="s">
        <v>96</v>
      </c>
      <c r="P466" s="1"/>
      <c r="Q466" s="1" t="s">
        <v>9</v>
      </c>
      <c r="R466" s="1">
        <v>0</v>
      </c>
      <c r="S466" s="1"/>
      <c r="T466" s="1" t="s">
        <v>97</v>
      </c>
      <c r="U466" s="1"/>
      <c r="V466" s="1" t="b">
        <v>0</v>
      </c>
      <c r="W466" s="1" t="b">
        <v>0</v>
      </c>
      <c r="X466" s="1">
        <v>5</v>
      </c>
      <c r="Y466" s="1" t="b">
        <v>1</v>
      </c>
      <c r="Z466" s="1" t="b">
        <v>1</v>
      </c>
      <c r="AA466" s="1"/>
      <c r="AB466" s="1" t="b">
        <v>1</v>
      </c>
      <c r="AC466" s="1">
        <v>157607113</v>
      </c>
      <c r="AD466" s="1">
        <v>727863</v>
      </c>
      <c r="AE466" s="1">
        <v>0</v>
      </c>
      <c r="AF466" s="1" t="s">
        <v>1981</v>
      </c>
      <c r="AG466" s="1"/>
      <c r="AH466" s="1">
        <v>66.099999999999994</v>
      </c>
      <c r="AI466" s="1"/>
      <c r="AJ466" s="1" t="s">
        <v>1982</v>
      </c>
      <c r="AK466" s="1" t="s">
        <v>1983</v>
      </c>
      <c r="AL466" s="1" t="s">
        <v>1984</v>
      </c>
    </row>
    <row r="467" spans="1:38" x14ac:dyDescent="0.6">
      <c r="A467" s="1">
        <v>336</v>
      </c>
      <c r="B467" s="1" t="s">
        <v>103</v>
      </c>
      <c r="C467" s="1">
        <v>50</v>
      </c>
      <c r="D467" s="1" t="s">
        <v>89</v>
      </c>
      <c r="E467" s="1" t="s">
        <v>90</v>
      </c>
      <c r="F467" s="1"/>
      <c r="G467" s="1"/>
      <c r="H467" s="1" t="s">
        <v>220</v>
      </c>
      <c r="I467" s="1" t="s">
        <v>221</v>
      </c>
      <c r="J467" s="1" t="s">
        <v>222</v>
      </c>
      <c r="K467" s="1">
        <v>1.25</v>
      </c>
      <c r="L467" s="1">
        <v>120</v>
      </c>
      <c r="M467" s="1" t="s">
        <v>14</v>
      </c>
      <c r="N467" s="1" t="s">
        <v>14</v>
      </c>
      <c r="O467" s="1" t="s">
        <v>96</v>
      </c>
      <c r="P467" s="1"/>
      <c r="Q467" s="1" t="s">
        <v>9</v>
      </c>
      <c r="R467" s="1">
        <v>0</v>
      </c>
      <c r="S467" s="1"/>
      <c r="T467" s="1" t="s">
        <v>97</v>
      </c>
      <c r="U467" s="1"/>
      <c r="V467" s="1" t="b">
        <v>0</v>
      </c>
      <c r="W467" s="1" t="b">
        <v>0</v>
      </c>
      <c r="X467" s="1">
        <v>5</v>
      </c>
      <c r="Y467" s="1" t="b">
        <v>1</v>
      </c>
      <c r="Z467" s="1" t="b">
        <v>1</v>
      </c>
      <c r="AA467" s="1"/>
      <c r="AB467" s="1" t="b">
        <v>1</v>
      </c>
      <c r="AC467" s="1">
        <v>116976277</v>
      </c>
      <c r="AD467" s="1">
        <v>464235</v>
      </c>
      <c r="AE467" s="1">
        <v>0</v>
      </c>
      <c r="AF467" s="1" t="s">
        <v>1985</v>
      </c>
      <c r="AG467" s="1"/>
      <c r="AH467" s="1">
        <v>85.1</v>
      </c>
      <c r="AI467" s="1"/>
      <c r="AJ467" s="1" t="s">
        <v>1986</v>
      </c>
      <c r="AK467" s="1" t="s">
        <v>1987</v>
      </c>
      <c r="AL467" s="1" t="s">
        <v>1988</v>
      </c>
    </row>
    <row r="468" spans="1:38" x14ac:dyDescent="0.6">
      <c r="A468" s="1">
        <v>329</v>
      </c>
      <c r="B468" s="1" t="s">
        <v>103</v>
      </c>
      <c r="C468" s="1">
        <v>53</v>
      </c>
      <c r="D468" s="1" t="s">
        <v>89</v>
      </c>
      <c r="E468" s="1" t="s">
        <v>108</v>
      </c>
      <c r="F468" s="1"/>
      <c r="G468" s="1"/>
      <c r="H468" s="1" t="s">
        <v>91</v>
      </c>
      <c r="I468" s="1" t="s">
        <v>92</v>
      </c>
      <c r="J468" s="1" t="s">
        <v>93</v>
      </c>
      <c r="K468" s="1">
        <v>1</v>
      </c>
      <c r="L468" s="1">
        <v>120</v>
      </c>
      <c r="M468" s="1" t="s">
        <v>14</v>
      </c>
      <c r="N468" s="1" t="s">
        <v>14</v>
      </c>
      <c r="O468" s="1" t="s">
        <v>96</v>
      </c>
      <c r="P468" s="1"/>
      <c r="Q468" s="1" t="s">
        <v>9</v>
      </c>
      <c r="R468" s="1">
        <v>0</v>
      </c>
      <c r="S468" s="1"/>
      <c r="T468" s="1" t="s">
        <v>97</v>
      </c>
      <c r="U468" s="1"/>
      <c r="V468" s="1" t="b">
        <v>0</v>
      </c>
      <c r="W468" s="1" t="b">
        <v>0</v>
      </c>
      <c r="X468" s="1">
        <v>5</v>
      </c>
      <c r="Y468" s="1" t="b">
        <v>1</v>
      </c>
      <c r="Z468" s="1" t="b">
        <v>1</v>
      </c>
      <c r="AA468" s="1"/>
      <c r="AB468" s="1" t="b">
        <v>1</v>
      </c>
      <c r="AC468" s="1">
        <v>145204070</v>
      </c>
      <c r="AD468" s="1">
        <v>547994</v>
      </c>
      <c r="AE468" s="1">
        <v>0</v>
      </c>
      <c r="AF468" s="1" t="s">
        <v>1989</v>
      </c>
      <c r="AG468" s="1"/>
      <c r="AH468" s="1">
        <v>91.5</v>
      </c>
      <c r="AI468" s="1"/>
      <c r="AJ468" s="1" t="s">
        <v>1990</v>
      </c>
      <c r="AK468" s="1" t="s">
        <v>1991</v>
      </c>
      <c r="AL468" s="1" t="s">
        <v>1992</v>
      </c>
    </row>
    <row r="469" spans="1:38" x14ac:dyDescent="0.6">
      <c r="A469" s="1">
        <v>332</v>
      </c>
      <c r="B469" s="1" t="s">
        <v>88</v>
      </c>
      <c r="C469" s="1">
        <v>54</v>
      </c>
      <c r="D469" s="1" t="s">
        <v>89</v>
      </c>
      <c r="E469" s="1" t="s">
        <v>90</v>
      </c>
      <c r="F469" s="1"/>
      <c r="G469" s="1"/>
      <c r="H469" s="1" t="s">
        <v>91</v>
      </c>
      <c r="I469" s="1" t="s">
        <v>92</v>
      </c>
      <c r="J469" s="1" t="s">
        <v>93</v>
      </c>
      <c r="K469" s="1">
        <v>1</v>
      </c>
      <c r="L469" s="1">
        <v>120</v>
      </c>
      <c r="M469" s="1" t="s">
        <v>14</v>
      </c>
      <c r="N469" s="1" t="s">
        <v>14</v>
      </c>
      <c r="O469" s="1" t="s">
        <v>96</v>
      </c>
      <c r="P469" s="1"/>
      <c r="Q469" s="1" t="s">
        <v>9</v>
      </c>
      <c r="R469" s="1">
        <v>0</v>
      </c>
      <c r="S469" s="1"/>
      <c r="T469" s="1" t="s">
        <v>97</v>
      </c>
      <c r="U469" s="1"/>
      <c r="V469" s="1" t="b">
        <v>0</v>
      </c>
      <c r="W469" s="1" t="b">
        <v>0</v>
      </c>
      <c r="X469" s="1">
        <v>5</v>
      </c>
      <c r="Y469" s="1" t="b">
        <v>1</v>
      </c>
      <c r="Z469" s="1" t="b">
        <v>1</v>
      </c>
      <c r="AA469" s="1"/>
      <c r="AB469" s="1" t="b">
        <v>1</v>
      </c>
      <c r="AC469" s="1">
        <v>130623855</v>
      </c>
      <c r="AD469" s="1">
        <v>710289</v>
      </c>
      <c r="AE469" s="1">
        <v>0</v>
      </c>
      <c r="AF469" s="1" t="s">
        <v>1993</v>
      </c>
      <c r="AG469" s="1"/>
      <c r="AH469" s="1">
        <v>61.9</v>
      </c>
      <c r="AI469" s="1"/>
      <c r="AJ469" s="1" t="s">
        <v>1994</v>
      </c>
      <c r="AK469" s="1" t="s">
        <v>1995</v>
      </c>
      <c r="AL469" s="1" t="s">
        <v>1996</v>
      </c>
    </row>
    <row r="470" spans="1:38" x14ac:dyDescent="0.6">
      <c r="A470" s="1">
        <v>333</v>
      </c>
      <c r="B470" s="1" t="s">
        <v>103</v>
      </c>
      <c r="C470" s="1">
        <v>58</v>
      </c>
      <c r="D470" s="1" t="s">
        <v>89</v>
      </c>
      <c r="E470" s="1" t="s">
        <v>90</v>
      </c>
      <c r="F470" s="1"/>
      <c r="G470" s="1"/>
      <c r="H470" s="1" t="s">
        <v>91</v>
      </c>
      <c r="I470" s="1" t="s">
        <v>92</v>
      </c>
      <c r="J470" s="1" t="s">
        <v>93</v>
      </c>
      <c r="K470" s="1">
        <v>1</v>
      </c>
      <c r="L470" s="1">
        <v>120</v>
      </c>
      <c r="M470" s="1" t="s">
        <v>14</v>
      </c>
      <c r="N470" s="1" t="s">
        <v>14</v>
      </c>
      <c r="O470" s="1" t="s">
        <v>96</v>
      </c>
      <c r="P470" s="1"/>
      <c r="Q470" s="1" t="s">
        <v>9</v>
      </c>
      <c r="R470" s="1">
        <v>0</v>
      </c>
      <c r="S470" s="1"/>
      <c r="T470" s="1" t="s">
        <v>97</v>
      </c>
      <c r="U470" s="1"/>
      <c r="V470" s="1" t="b">
        <v>0</v>
      </c>
      <c r="W470" s="1" t="b">
        <v>0</v>
      </c>
      <c r="X470" s="1">
        <v>5</v>
      </c>
      <c r="Y470" s="1" t="b">
        <v>1</v>
      </c>
      <c r="Z470" s="1" t="b">
        <v>1</v>
      </c>
      <c r="AA470" s="1"/>
      <c r="AB470" s="1" t="b">
        <v>1</v>
      </c>
      <c r="AC470" s="1">
        <v>143674278</v>
      </c>
      <c r="AD470" s="1">
        <v>504922</v>
      </c>
      <c r="AE470" s="1">
        <v>0</v>
      </c>
      <c r="AF470" s="1" t="s">
        <v>1997</v>
      </c>
      <c r="AG470" s="1"/>
      <c r="AH470" s="1">
        <v>71</v>
      </c>
      <c r="AI470" s="1"/>
      <c r="AJ470" s="1" t="s">
        <v>1998</v>
      </c>
      <c r="AK470" s="1" t="s">
        <v>1999</v>
      </c>
      <c r="AL470" s="1" t="s">
        <v>2000</v>
      </c>
    </row>
    <row r="471" spans="1:38" x14ac:dyDescent="0.6">
      <c r="A471" s="1">
        <v>337</v>
      </c>
      <c r="B471" s="1" t="s">
        <v>103</v>
      </c>
      <c r="C471" s="1">
        <v>58</v>
      </c>
      <c r="D471" s="1" t="s">
        <v>89</v>
      </c>
      <c r="E471" s="1" t="s">
        <v>90</v>
      </c>
      <c r="F471" s="1"/>
      <c r="G471" s="1"/>
      <c r="H471" s="1" t="s">
        <v>220</v>
      </c>
      <c r="I471" s="1" t="s">
        <v>221</v>
      </c>
      <c r="J471" s="1" t="s">
        <v>222</v>
      </c>
      <c r="K471" s="1">
        <v>1.25</v>
      </c>
      <c r="L471" s="1">
        <v>120</v>
      </c>
      <c r="M471" s="1" t="s">
        <v>94</v>
      </c>
      <c r="N471" s="1" t="s">
        <v>95</v>
      </c>
      <c r="O471" s="1"/>
      <c r="P471" s="1" t="s">
        <v>96</v>
      </c>
      <c r="Q471" s="1" t="s">
        <v>9</v>
      </c>
      <c r="R471" s="1">
        <v>0</v>
      </c>
      <c r="S471" s="1" t="s">
        <v>97</v>
      </c>
      <c r="T471" s="1" t="s">
        <v>97</v>
      </c>
      <c r="U471" s="1" t="b">
        <v>1</v>
      </c>
      <c r="V471" s="1" t="b">
        <v>0</v>
      </c>
      <c r="W471" s="1" t="b">
        <v>0</v>
      </c>
      <c r="X471" s="1">
        <v>0</v>
      </c>
      <c r="Y471" s="1" t="b">
        <v>1</v>
      </c>
      <c r="Z471" s="1" t="b">
        <v>1</v>
      </c>
      <c r="AA471" s="1">
        <v>77.099999999999994</v>
      </c>
      <c r="AB471" s="1" t="b">
        <v>1</v>
      </c>
      <c r="AC471" s="1">
        <v>135675685</v>
      </c>
      <c r="AD471" s="1">
        <v>1425627</v>
      </c>
      <c r="AE471" s="1">
        <v>0</v>
      </c>
      <c r="AF471" s="1" t="s">
        <v>2001</v>
      </c>
      <c r="AG471" s="1" t="s">
        <v>2002</v>
      </c>
      <c r="AH471" s="1">
        <v>72.599999999999994</v>
      </c>
      <c r="AI471" s="1">
        <v>73.5</v>
      </c>
      <c r="AJ471" s="1" t="s">
        <v>2003</v>
      </c>
      <c r="AK471" s="1" t="s">
        <v>2004</v>
      </c>
      <c r="AL471" s="1" t="s">
        <v>2005</v>
      </c>
    </row>
    <row r="472" spans="1:38" x14ac:dyDescent="0.6">
      <c r="A472" s="1">
        <v>318</v>
      </c>
      <c r="B472" s="1" t="s">
        <v>88</v>
      </c>
      <c r="C472" s="1">
        <v>50</v>
      </c>
      <c r="D472" s="1" t="s">
        <v>89</v>
      </c>
      <c r="E472" s="1" t="s">
        <v>108</v>
      </c>
      <c r="F472" s="1"/>
      <c r="G472" s="1"/>
      <c r="H472" s="1" t="s">
        <v>91</v>
      </c>
      <c r="I472" s="1" t="s">
        <v>92</v>
      </c>
      <c r="J472" s="1" t="s">
        <v>93</v>
      </c>
      <c r="K472" s="1">
        <v>1</v>
      </c>
      <c r="L472" s="1">
        <v>120</v>
      </c>
      <c r="M472" s="1" t="s">
        <v>7</v>
      </c>
      <c r="N472" s="1" t="s">
        <v>7</v>
      </c>
      <c r="O472" s="1" t="s">
        <v>96</v>
      </c>
      <c r="P472" s="1" t="s">
        <v>96</v>
      </c>
      <c r="Q472" s="1" t="s">
        <v>9</v>
      </c>
      <c r="R472" s="1">
        <v>0</v>
      </c>
      <c r="S472" s="1" t="s">
        <v>97</v>
      </c>
      <c r="T472" s="1" t="s">
        <v>97</v>
      </c>
      <c r="U472" s="1" t="b">
        <v>1</v>
      </c>
      <c r="V472" s="1" t="b">
        <v>0</v>
      </c>
      <c r="W472" s="1" t="b">
        <v>0</v>
      </c>
      <c r="X472" s="1">
        <v>5</v>
      </c>
      <c r="Y472" s="1" t="b">
        <v>1</v>
      </c>
      <c r="Z472" s="1" t="b">
        <v>1</v>
      </c>
      <c r="AA472" s="1">
        <v>85.7</v>
      </c>
      <c r="AB472" s="1" t="b">
        <v>0</v>
      </c>
      <c r="AC472" s="1">
        <v>0</v>
      </c>
      <c r="AD472" s="1">
        <v>2227514</v>
      </c>
      <c r="AE472" s="1">
        <v>157418182</v>
      </c>
      <c r="AF472" s="1" t="s">
        <v>2006</v>
      </c>
      <c r="AG472" s="1" t="s">
        <v>2006</v>
      </c>
      <c r="AH472" s="1">
        <v>85.6</v>
      </c>
      <c r="AI472" s="1">
        <v>83.5</v>
      </c>
      <c r="AJ472" s="1" t="s">
        <v>2007</v>
      </c>
      <c r="AK472" s="1" t="s">
        <v>2008</v>
      </c>
      <c r="AL472" s="1" t="s">
        <v>2009</v>
      </c>
    </row>
    <row r="473" spans="1:38" x14ac:dyDescent="0.6">
      <c r="A473" s="1">
        <v>331</v>
      </c>
      <c r="B473" s="1" t="s">
        <v>88</v>
      </c>
      <c r="C473" s="1">
        <v>51</v>
      </c>
      <c r="D473" s="1" t="s">
        <v>89</v>
      </c>
      <c r="E473" s="1" t="s">
        <v>108</v>
      </c>
      <c r="F473" s="1"/>
      <c r="G473" s="1"/>
      <c r="H473" s="1" t="s">
        <v>91</v>
      </c>
      <c r="I473" s="1" t="s">
        <v>92</v>
      </c>
      <c r="J473" s="1" t="s">
        <v>93</v>
      </c>
      <c r="K473" s="1">
        <v>1</v>
      </c>
      <c r="L473" s="1">
        <v>120</v>
      </c>
      <c r="M473" s="1" t="s">
        <v>14</v>
      </c>
      <c r="N473" s="1" t="s">
        <v>14</v>
      </c>
      <c r="O473" s="1" t="s">
        <v>96</v>
      </c>
      <c r="P473" s="1"/>
      <c r="Q473" s="1" t="s">
        <v>9</v>
      </c>
      <c r="R473" s="1">
        <v>0</v>
      </c>
      <c r="S473" s="1"/>
      <c r="T473" s="1" t="s">
        <v>97</v>
      </c>
      <c r="U473" s="1"/>
      <c r="V473" s="1" t="b">
        <v>0</v>
      </c>
      <c r="W473" s="1" t="b">
        <v>0</v>
      </c>
      <c r="X473" s="1">
        <v>5</v>
      </c>
      <c r="Y473" s="1" t="b">
        <v>1</v>
      </c>
      <c r="Z473" s="1" t="b">
        <v>1</v>
      </c>
      <c r="AA473" s="1"/>
      <c r="AB473" s="1" t="b">
        <v>1</v>
      </c>
      <c r="AC473" s="1">
        <v>164089174</v>
      </c>
      <c r="AD473" s="1">
        <v>799402</v>
      </c>
      <c r="AE473" s="1">
        <v>0</v>
      </c>
      <c r="AF473" s="1" t="s">
        <v>2010</v>
      </c>
      <c r="AG473" s="1"/>
      <c r="AH473" s="1">
        <v>62.6</v>
      </c>
      <c r="AI473" s="1"/>
      <c r="AJ473" s="1" t="s">
        <v>2011</v>
      </c>
      <c r="AK473" s="1" t="s">
        <v>2012</v>
      </c>
      <c r="AL473" s="1" t="s">
        <v>2013</v>
      </c>
    </row>
    <row r="474" spans="1:38" x14ac:dyDescent="0.6">
      <c r="A474" s="1">
        <v>340</v>
      </c>
      <c r="B474" s="1" t="s">
        <v>103</v>
      </c>
      <c r="C474" s="1">
        <v>63</v>
      </c>
      <c r="D474" s="1" t="s">
        <v>127</v>
      </c>
      <c r="E474" s="1" t="s">
        <v>90</v>
      </c>
      <c r="F474" s="1"/>
      <c r="G474" s="1"/>
      <c r="H474" s="1" t="s">
        <v>220</v>
      </c>
      <c r="I474" s="1" t="s">
        <v>221</v>
      </c>
      <c r="J474" s="1" t="s">
        <v>222</v>
      </c>
      <c r="K474" s="1">
        <v>1.25</v>
      </c>
      <c r="L474" s="1">
        <v>120</v>
      </c>
      <c r="M474" s="1" t="s">
        <v>94</v>
      </c>
      <c r="N474" s="1" t="s">
        <v>95</v>
      </c>
      <c r="O474" s="1"/>
      <c r="P474" s="1" t="s">
        <v>96</v>
      </c>
      <c r="Q474" s="1" t="s">
        <v>9</v>
      </c>
      <c r="R474" s="1">
        <v>0</v>
      </c>
      <c r="S474" s="1" t="s">
        <v>97</v>
      </c>
      <c r="T474" s="1" t="s">
        <v>97</v>
      </c>
      <c r="U474" s="1" t="b">
        <v>1</v>
      </c>
      <c r="V474" s="1" t="b">
        <v>0</v>
      </c>
      <c r="W474" s="1" t="b">
        <v>0</v>
      </c>
      <c r="X474" s="1">
        <v>0</v>
      </c>
      <c r="Y474" s="1" t="b">
        <v>1</v>
      </c>
      <c r="Z474" s="1" t="b">
        <v>1</v>
      </c>
      <c r="AA474" s="1">
        <v>80</v>
      </c>
      <c r="AB474" s="1" t="b">
        <v>1</v>
      </c>
      <c r="AC474" s="1">
        <v>154598620</v>
      </c>
      <c r="AD474" s="1">
        <v>1901348</v>
      </c>
      <c r="AE474" s="1">
        <v>0</v>
      </c>
      <c r="AF474" s="1" t="s">
        <v>2014</v>
      </c>
      <c r="AG474" s="1" t="s">
        <v>2015</v>
      </c>
      <c r="AH474" s="1">
        <v>75.8</v>
      </c>
      <c r="AI474" s="1">
        <v>73.400000000000006</v>
      </c>
      <c r="AJ474" s="1" t="s">
        <v>2016</v>
      </c>
      <c r="AK474" s="1" t="s">
        <v>2017</v>
      </c>
      <c r="AL474" s="1" t="s">
        <v>2018</v>
      </c>
    </row>
    <row r="475" spans="1:38" x14ac:dyDescent="0.6">
      <c r="A475" s="1">
        <v>340</v>
      </c>
      <c r="B475" s="1" t="s">
        <v>103</v>
      </c>
      <c r="C475" s="1">
        <v>63</v>
      </c>
      <c r="D475" s="1" t="s">
        <v>127</v>
      </c>
      <c r="E475" s="1" t="s">
        <v>90</v>
      </c>
      <c r="F475" s="1"/>
      <c r="G475" s="1"/>
      <c r="H475" s="1" t="s">
        <v>220</v>
      </c>
      <c r="I475" s="1" t="s">
        <v>221</v>
      </c>
      <c r="J475" s="1" t="s">
        <v>222</v>
      </c>
      <c r="K475" s="1">
        <v>1.25</v>
      </c>
      <c r="L475" s="1">
        <v>120</v>
      </c>
      <c r="M475" s="1" t="s">
        <v>14</v>
      </c>
      <c r="N475" s="1" t="s">
        <v>95</v>
      </c>
      <c r="O475" s="1" t="s">
        <v>96</v>
      </c>
      <c r="P475" s="1"/>
      <c r="Q475" s="1" t="s">
        <v>9</v>
      </c>
      <c r="R475" s="1">
        <v>0</v>
      </c>
      <c r="S475" s="1" t="s">
        <v>97</v>
      </c>
      <c r="T475" s="1" t="s">
        <v>97</v>
      </c>
      <c r="U475" s="1" t="b">
        <v>1</v>
      </c>
      <c r="V475" s="1" t="b">
        <v>0</v>
      </c>
      <c r="W475" s="1" t="b">
        <v>0</v>
      </c>
      <c r="X475" s="1">
        <v>5</v>
      </c>
      <c r="Y475" s="1" t="b">
        <v>1</v>
      </c>
      <c r="Z475" s="1" t="b">
        <v>1</v>
      </c>
      <c r="AA475" s="1"/>
      <c r="AB475" s="1" t="b">
        <v>1</v>
      </c>
      <c r="AC475" s="1">
        <v>143525147</v>
      </c>
      <c r="AD475" s="1">
        <v>654053</v>
      </c>
      <c r="AE475" s="1">
        <v>0</v>
      </c>
      <c r="AF475" s="1" t="s">
        <v>2014</v>
      </c>
      <c r="AG475" s="1" t="s">
        <v>2015</v>
      </c>
      <c r="AH475" s="1">
        <v>75.8</v>
      </c>
      <c r="AI475" s="1">
        <v>73.400000000000006</v>
      </c>
      <c r="AJ475" s="1" t="s">
        <v>2019</v>
      </c>
      <c r="AK475" s="1" t="s">
        <v>2020</v>
      </c>
      <c r="AL475" s="1" t="s">
        <v>2021</v>
      </c>
    </row>
    <row r="476" spans="1:38" x14ac:dyDescent="0.6">
      <c r="A476" s="1">
        <v>341</v>
      </c>
      <c r="B476" s="1" t="s">
        <v>88</v>
      </c>
      <c r="C476" s="1">
        <v>54</v>
      </c>
      <c r="D476" s="1" t="s">
        <v>89</v>
      </c>
      <c r="E476" s="1" t="s">
        <v>90</v>
      </c>
      <c r="F476" s="1"/>
      <c r="G476" s="1"/>
      <c r="H476" s="1" t="s">
        <v>91</v>
      </c>
      <c r="I476" s="1" t="s">
        <v>92</v>
      </c>
      <c r="J476" s="1" t="s">
        <v>109</v>
      </c>
      <c r="K476" s="1">
        <v>1</v>
      </c>
      <c r="L476" s="1">
        <v>120</v>
      </c>
      <c r="M476" s="1" t="s">
        <v>14</v>
      </c>
      <c r="N476" s="1" t="s">
        <v>95</v>
      </c>
      <c r="O476" s="1" t="s">
        <v>96</v>
      </c>
      <c r="P476" s="1"/>
      <c r="Q476" s="1" t="s">
        <v>9</v>
      </c>
      <c r="R476" s="1">
        <v>0</v>
      </c>
      <c r="S476" s="1" t="s">
        <v>97</v>
      </c>
      <c r="T476" s="1" t="s">
        <v>97</v>
      </c>
      <c r="U476" s="1" t="b">
        <v>1</v>
      </c>
      <c r="V476" s="1" t="b">
        <v>0</v>
      </c>
      <c r="W476" s="1" t="b">
        <v>0</v>
      </c>
      <c r="X476" s="1">
        <v>5</v>
      </c>
      <c r="Y476" s="1" t="b">
        <v>1</v>
      </c>
      <c r="Z476" s="1" t="b">
        <v>1</v>
      </c>
      <c r="AA476" s="1"/>
      <c r="AB476" s="1" t="b">
        <v>1</v>
      </c>
      <c r="AC476" s="1">
        <v>156552322</v>
      </c>
      <c r="AD476" s="1">
        <v>471934</v>
      </c>
      <c r="AE476" s="1">
        <v>0</v>
      </c>
      <c r="AF476" s="1" t="s">
        <v>2022</v>
      </c>
      <c r="AG476" s="1" t="s">
        <v>2023</v>
      </c>
      <c r="AH476" s="1">
        <v>87.6</v>
      </c>
      <c r="AI476" s="1">
        <v>79.7</v>
      </c>
      <c r="AJ476" s="1" t="s">
        <v>2024</v>
      </c>
      <c r="AK476" s="1" t="s">
        <v>2025</v>
      </c>
      <c r="AL476" s="1" t="s">
        <v>2026</v>
      </c>
    </row>
    <row r="477" spans="1:38" x14ac:dyDescent="0.6">
      <c r="A477" s="1">
        <v>343</v>
      </c>
      <c r="B477" s="1" t="s">
        <v>103</v>
      </c>
      <c r="C477" s="1">
        <v>66</v>
      </c>
      <c r="D477" s="1" t="s">
        <v>127</v>
      </c>
      <c r="E477" s="1" t="s">
        <v>90</v>
      </c>
      <c r="F477" s="1"/>
      <c r="G477" s="1"/>
      <c r="H477" s="1" t="s">
        <v>91</v>
      </c>
      <c r="I477" s="1" t="s">
        <v>92</v>
      </c>
      <c r="J477" s="1" t="s">
        <v>109</v>
      </c>
      <c r="K477" s="1">
        <v>1</v>
      </c>
      <c r="L477" s="1">
        <v>120</v>
      </c>
      <c r="M477" s="1" t="s">
        <v>14</v>
      </c>
      <c r="N477" s="1" t="s">
        <v>14</v>
      </c>
      <c r="O477" s="1" t="s">
        <v>96</v>
      </c>
      <c r="P477" s="1"/>
      <c r="Q477" s="1" t="s">
        <v>9</v>
      </c>
      <c r="R477" s="1">
        <v>0</v>
      </c>
      <c r="S477" s="1"/>
      <c r="T477" s="1" t="s">
        <v>97</v>
      </c>
      <c r="U477" s="1"/>
      <c r="V477" s="1" t="b">
        <v>0</v>
      </c>
      <c r="W477" s="1" t="b">
        <v>0</v>
      </c>
      <c r="X477" s="1">
        <v>5</v>
      </c>
      <c r="Y477" s="1" t="b">
        <v>1</v>
      </c>
      <c r="Z477" s="1" t="b">
        <v>1</v>
      </c>
      <c r="AA477" s="1"/>
      <c r="AB477" s="1" t="b">
        <v>1</v>
      </c>
      <c r="AC477" s="1">
        <v>131416537</v>
      </c>
      <c r="AD477" s="1">
        <v>704039</v>
      </c>
      <c r="AE477" s="1">
        <v>0</v>
      </c>
      <c r="AF477" s="1" t="s">
        <v>2027</v>
      </c>
      <c r="AG477" s="1"/>
      <c r="AH477" s="1">
        <v>54.5</v>
      </c>
      <c r="AI477" s="1"/>
      <c r="AJ477" s="1" t="s">
        <v>2028</v>
      </c>
      <c r="AK477" s="1" t="s">
        <v>2029</v>
      </c>
      <c r="AL477" s="1" t="s">
        <v>2030</v>
      </c>
    </row>
    <row r="478" spans="1:38" x14ac:dyDescent="0.6">
      <c r="A478" s="1">
        <v>341</v>
      </c>
      <c r="B478" s="1" t="s">
        <v>88</v>
      </c>
      <c r="C478" s="1">
        <v>54</v>
      </c>
      <c r="D478" s="1" t="s">
        <v>89</v>
      </c>
      <c r="E478" s="1" t="s">
        <v>90</v>
      </c>
      <c r="F478" s="1"/>
      <c r="G478" s="1"/>
      <c r="H478" s="1" t="s">
        <v>91</v>
      </c>
      <c r="I478" s="1" t="s">
        <v>92</v>
      </c>
      <c r="J478" s="1" t="s">
        <v>109</v>
      </c>
      <c r="K478" s="1">
        <v>1</v>
      </c>
      <c r="L478" s="1">
        <v>120</v>
      </c>
      <c r="M478" s="1" t="s">
        <v>94</v>
      </c>
      <c r="N478" s="1" t="s">
        <v>95</v>
      </c>
      <c r="O478" s="1"/>
      <c r="P478" s="1" t="s">
        <v>96</v>
      </c>
      <c r="Q478" s="1" t="s">
        <v>9</v>
      </c>
      <c r="R478" s="1">
        <v>0</v>
      </c>
      <c r="S478" s="1" t="s">
        <v>97</v>
      </c>
      <c r="T478" s="1" t="s">
        <v>97</v>
      </c>
      <c r="U478" s="1" t="b">
        <v>1</v>
      </c>
      <c r="V478" s="1" t="b">
        <v>0</v>
      </c>
      <c r="W478" s="1" t="b">
        <v>0</v>
      </c>
      <c r="X478" s="1">
        <v>0</v>
      </c>
      <c r="Y478" s="1" t="b">
        <v>1</v>
      </c>
      <c r="Z478" s="1" t="b">
        <v>1</v>
      </c>
      <c r="AA478" s="1">
        <v>84.3</v>
      </c>
      <c r="AB478" s="1" t="b">
        <v>1</v>
      </c>
      <c r="AC478" s="1">
        <v>157447485</v>
      </c>
      <c r="AD478" s="1">
        <v>1411779</v>
      </c>
      <c r="AE478" s="1">
        <v>0</v>
      </c>
      <c r="AF478" s="1" t="s">
        <v>2022</v>
      </c>
      <c r="AG478" s="1" t="s">
        <v>2023</v>
      </c>
      <c r="AH478" s="1">
        <v>87.6</v>
      </c>
      <c r="AI478" s="1">
        <v>79.7</v>
      </c>
      <c r="AJ478" s="1" t="s">
        <v>2031</v>
      </c>
      <c r="AK478" s="1" t="s">
        <v>2032</v>
      </c>
      <c r="AL478" s="1" t="s">
        <v>2033</v>
      </c>
    </row>
    <row r="479" spans="1:38" x14ac:dyDescent="0.6">
      <c r="A479" s="1">
        <v>351</v>
      </c>
      <c r="B479" s="1" t="s">
        <v>103</v>
      </c>
      <c r="C479" s="1">
        <v>50</v>
      </c>
      <c r="D479" s="1" t="s">
        <v>89</v>
      </c>
      <c r="E479" s="1" t="s">
        <v>90</v>
      </c>
      <c r="F479" s="1"/>
      <c r="G479" s="1"/>
      <c r="H479" s="1" t="s">
        <v>220</v>
      </c>
      <c r="I479" s="1" t="s">
        <v>221</v>
      </c>
      <c r="J479" s="1" t="s">
        <v>222</v>
      </c>
      <c r="K479" s="1">
        <v>1.25</v>
      </c>
      <c r="L479" s="1">
        <v>120</v>
      </c>
      <c r="M479" s="1" t="s">
        <v>94</v>
      </c>
      <c r="N479" s="1" t="s">
        <v>95</v>
      </c>
      <c r="O479" s="1"/>
      <c r="P479" s="1" t="s">
        <v>96</v>
      </c>
      <c r="Q479" s="1" t="s">
        <v>9</v>
      </c>
      <c r="R479" s="1">
        <v>0</v>
      </c>
      <c r="S479" s="1" t="s">
        <v>97</v>
      </c>
      <c r="T479" s="1" t="s">
        <v>97</v>
      </c>
      <c r="U479" s="1" t="b">
        <v>1</v>
      </c>
      <c r="V479" s="1" t="b">
        <v>0</v>
      </c>
      <c r="W479" s="1" t="b">
        <v>0</v>
      </c>
      <c r="X479" s="1">
        <v>0</v>
      </c>
      <c r="Y479" s="1" t="b">
        <v>1</v>
      </c>
      <c r="Z479" s="1" t="b">
        <v>1</v>
      </c>
      <c r="AA479" s="1">
        <v>75.400000000000006</v>
      </c>
      <c r="AB479" s="1" t="b">
        <v>1</v>
      </c>
      <c r="AC479" s="1">
        <v>124490686</v>
      </c>
      <c r="AD479" s="1">
        <v>2124866</v>
      </c>
      <c r="AE479" s="1">
        <v>0</v>
      </c>
      <c r="AF479" s="1" t="s">
        <v>2034</v>
      </c>
      <c r="AG479" s="1" t="s">
        <v>2035</v>
      </c>
      <c r="AH479" s="1">
        <v>77</v>
      </c>
      <c r="AI479" s="1">
        <v>72.5</v>
      </c>
      <c r="AJ479" s="1" t="s">
        <v>2036</v>
      </c>
      <c r="AK479" s="1" t="s">
        <v>2037</v>
      </c>
      <c r="AL479" s="1" t="s">
        <v>2038</v>
      </c>
    </row>
    <row r="480" spans="1:38" x14ac:dyDescent="0.6">
      <c r="A480" s="1">
        <v>349</v>
      </c>
      <c r="B480" s="1" t="s">
        <v>88</v>
      </c>
      <c r="C480" s="1">
        <v>57</v>
      </c>
      <c r="D480" s="1" t="s">
        <v>89</v>
      </c>
      <c r="E480" s="1" t="s">
        <v>108</v>
      </c>
      <c r="F480" s="1"/>
      <c r="G480" s="1"/>
      <c r="H480" s="1" t="s">
        <v>91</v>
      </c>
      <c r="I480" s="1" t="s">
        <v>92</v>
      </c>
      <c r="J480" s="1" t="s">
        <v>93</v>
      </c>
      <c r="K480" s="1">
        <v>1</v>
      </c>
      <c r="L480" s="1">
        <v>120</v>
      </c>
      <c r="M480" s="1" t="s">
        <v>94</v>
      </c>
      <c r="N480" s="1" t="s">
        <v>95</v>
      </c>
      <c r="O480" s="1"/>
      <c r="P480" s="1" t="s">
        <v>96</v>
      </c>
      <c r="Q480" s="1" t="s">
        <v>9</v>
      </c>
      <c r="R480" s="1">
        <v>0</v>
      </c>
      <c r="S480" s="1" t="s">
        <v>97</v>
      </c>
      <c r="T480" s="1" t="s">
        <v>97</v>
      </c>
      <c r="U480" s="1" t="b">
        <v>1</v>
      </c>
      <c r="V480" s="1" t="b">
        <v>0</v>
      </c>
      <c r="W480" s="1" t="b">
        <v>0</v>
      </c>
      <c r="X480" s="1">
        <v>0</v>
      </c>
      <c r="Y480" s="1" t="b">
        <v>1</v>
      </c>
      <c r="Z480" s="1" t="b">
        <v>1</v>
      </c>
      <c r="AA480" s="1">
        <v>63.8</v>
      </c>
      <c r="AB480" s="1" t="b">
        <v>1</v>
      </c>
      <c r="AC480" s="1">
        <v>129030105</v>
      </c>
      <c r="AD480" s="1">
        <v>2304039</v>
      </c>
      <c r="AE480" s="1">
        <v>0</v>
      </c>
      <c r="AF480" s="1" t="s">
        <v>2039</v>
      </c>
      <c r="AG480" s="1" t="s">
        <v>2040</v>
      </c>
      <c r="AH480" s="1">
        <v>71</v>
      </c>
      <c r="AI480" s="1">
        <v>64.099999999999994</v>
      </c>
      <c r="AJ480" s="1" t="s">
        <v>2041</v>
      </c>
      <c r="AK480" s="1" t="s">
        <v>2042</v>
      </c>
      <c r="AL480" s="1" t="s">
        <v>2043</v>
      </c>
    </row>
    <row r="481" spans="1:38" x14ac:dyDescent="0.6">
      <c r="A481" s="1">
        <v>342</v>
      </c>
      <c r="B481" s="1" t="s">
        <v>103</v>
      </c>
      <c r="C481" s="1">
        <v>55</v>
      </c>
      <c r="D481" s="1" t="s">
        <v>89</v>
      </c>
      <c r="E481" s="1" t="s">
        <v>108</v>
      </c>
      <c r="F481" s="1"/>
      <c r="G481" s="1"/>
      <c r="H481" s="1" t="s">
        <v>91</v>
      </c>
      <c r="I481" s="1" t="s">
        <v>92</v>
      </c>
      <c r="J481" s="1" t="s">
        <v>109</v>
      </c>
      <c r="K481" s="1">
        <v>1</v>
      </c>
      <c r="L481" s="1">
        <v>120</v>
      </c>
      <c r="M481" s="1" t="s">
        <v>7</v>
      </c>
      <c r="N481" s="1" t="s">
        <v>7</v>
      </c>
      <c r="O481" s="1" t="s">
        <v>96</v>
      </c>
      <c r="P481" s="1" t="s">
        <v>96</v>
      </c>
      <c r="Q481" s="1" t="s">
        <v>9</v>
      </c>
      <c r="R481" s="1">
        <v>0</v>
      </c>
      <c r="S481" s="1" t="s">
        <v>97</v>
      </c>
      <c r="T481" s="1" t="s">
        <v>97</v>
      </c>
      <c r="U481" s="1" t="b">
        <v>1</v>
      </c>
      <c r="V481" s="1" t="b">
        <v>0</v>
      </c>
      <c r="W481" s="1" t="b">
        <v>0</v>
      </c>
      <c r="X481" s="1">
        <v>5</v>
      </c>
      <c r="Y481" s="1" t="b">
        <v>1</v>
      </c>
      <c r="Z481" s="1" t="b">
        <v>1</v>
      </c>
      <c r="AA481" s="1">
        <v>55</v>
      </c>
      <c r="AB481" s="1" t="b">
        <v>0</v>
      </c>
      <c r="AC481" s="1">
        <v>0</v>
      </c>
      <c r="AD481" s="1">
        <v>2782807</v>
      </c>
      <c r="AE481" s="1">
        <v>155552169</v>
      </c>
      <c r="AF481" s="1" t="s">
        <v>2044</v>
      </c>
      <c r="AG481" s="1" t="s">
        <v>2044</v>
      </c>
      <c r="AH481" s="1">
        <v>61.2</v>
      </c>
      <c r="AI481" s="1">
        <v>55.2</v>
      </c>
      <c r="AJ481" s="1" t="s">
        <v>2045</v>
      </c>
      <c r="AK481" s="1" t="s">
        <v>2046</v>
      </c>
      <c r="AL481" s="1" t="s">
        <v>2047</v>
      </c>
    </row>
    <row r="482" spans="1:38" x14ac:dyDescent="0.6">
      <c r="A482" s="1">
        <v>352</v>
      </c>
      <c r="B482" s="1" t="s">
        <v>103</v>
      </c>
      <c r="C482" s="1">
        <v>62</v>
      </c>
      <c r="D482" s="1" t="s">
        <v>127</v>
      </c>
      <c r="E482" s="1" t="s">
        <v>90</v>
      </c>
      <c r="F482" s="1"/>
      <c r="G482" s="1"/>
      <c r="H482" s="1" t="s">
        <v>220</v>
      </c>
      <c r="I482" s="1" t="s">
        <v>221</v>
      </c>
      <c r="J482" s="1" t="s">
        <v>222</v>
      </c>
      <c r="K482" s="1">
        <v>1.25</v>
      </c>
      <c r="L482" s="1">
        <v>120</v>
      </c>
      <c r="M482" s="1" t="s">
        <v>7</v>
      </c>
      <c r="N482" s="1" t="s">
        <v>7</v>
      </c>
      <c r="O482" s="1" t="s">
        <v>96</v>
      </c>
      <c r="P482" s="1" t="s">
        <v>96</v>
      </c>
      <c r="Q482" s="1" t="s">
        <v>9</v>
      </c>
      <c r="R482" s="1">
        <v>0</v>
      </c>
      <c r="S482" s="1" t="s">
        <v>97</v>
      </c>
      <c r="T482" s="1" t="s">
        <v>97</v>
      </c>
      <c r="U482" s="1" t="b">
        <v>1</v>
      </c>
      <c r="V482" s="1" t="b">
        <v>0</v>
      </c>
      <c r="W482" s="1" t="b">
        <v>0</v>
      </c>
      <c r="X482" s="1">
        <v>5</v>
      </c>
      <c r="Y482" s="1" t="b">
        <v>1</v>
      </c>
      <c r="Z482" s="1" t="b">
        <v>1</v>
      </c>
      <c r="AA482" s="1">
        <v>54.1</v>
      </c>
      <c r="AB482" s="1" t="b">
        <v>0</v>
      </c>
      <c r="AC482" s="1">
        <v>0</v>
      </c>
      <c r="AD482" s="1">
        <v>2639319</v>
      </c>
      <c r="AE482" s="1">
        <v>128170537</v>
      </c>
      <c r="AF482" s="1" t="s">
        <v>2048</v>
      </c>
      <c r="AG482" s="1" t="s">
        <v>2048</v>
      </c>
      <c r="AH482" s="1">
        <v>48.9</v>
      </c>
      <c r="AI482" s="1">
        <v>48.5</v>
      </c>
      <c r="AJ482" s="1" t="s">
        <v>2049</v>
      </c>
      <c r="AK482" s="1" t="s">
        <v>2050</v>
      </c>
      <c r="AL482" s="1" t="s">
        <v>2051</v>
      </c>
    </row>
    <row r="483" spans="1:38" x14ac:dyDescent="0.6">
      <c r="A483" s="1">
        <v>345</v>
      </c>
      <c r="B483" s="1" t="s">
        <v>88</v>
      </c>
      <c r="C483" s="1">
        <v>67</v>
      </c>
      <c r="D483" s="1" t="s">
        <v>127</v>
      </c>
      <c r="E483" s="1" t="s">
        <v>108</v>
      </c>
      <c r="F483" s="1"/>
      <c r="G483" s="1"/>
      <c r="H483" s="1" t="s">
        <v>91</v>
      </c>
      <c r="I483" s="1" t="s">
        <v>92</v>
      </c>
      <c r="J483" s="1" t="s">
        <v>109</v>
      </c>
      <c r="K483" s="1">
        <v>1</v>
      </c>
      <c r="L483" s="1">
        <v>120</v>
      </c>
      <c r="M483" s="1" t="s">
        <v>7</v>
      </c>
      <c r="N483" s="1" t="s">
        <v>7</v>
      </c>
      <c r="O483" s="1" t="s">
        <v>96</v>
      </c>
      <c r="P483" s="1" t="s">
        <v>96</v>
      </c>
      <c r="Q483" s="1" t="s">
        <v>9</v>
      </c>
      <c r="R483" s="1">
        <v>0</v>
      </c>
      <c r="S483" s="1" t="s">
        <v>97</v>
      </c>
      <c r="T483" s="1" t="s">
        <v>97</v>
      </c>
      <c r="U483" s="1" t="b">
        <v>1</v>
      </c>
      <c r="V483" s="1" t="b">
        <v>0</v>
      </c>
      <c r="W483" s="1" t="b">
        <v>0</v>
      </c>
      <c r="X483" s="1">
        <v>5</v>
      </c>
      <c r="Y483" s="1" t="b">
        <v>1</v>
      </c>
      <c r="Z483" s="1" t="b">
        <v>1</v>
      </c>
      <c r="AA483" s="1">
        <v>52.3</v>
      </c>
      <c r="AB483" s="1" t="b">
        <v>0</v>
      </c>
      <c r="AC483" s="1">
        <v>0</v>
      </c>
      <c r="AD483" s="1">
        <v>3016501</v>
      </c>
      <c r="AE483" s="1">
        <v>148240587</v>
      </c>
      <c r="AF483" s="1" t="s">
        <v>2052</v>
      </c>
      <c r="AG483" s="1" t="s">
        <v>2052</v>
      </c>
      <c r="AH483" s="1">
        <v>31.1</v>
      </c>
      <c r="AI483" s="1">
        <v>52.5</v>
      </c>
      <c r="AJ483" s="1" t="s">
        <v>2053</v>
      </c>
      <c r="AK483" s="1" t="s">
        <v>2054</v>
      </c>
      <c r="AL483" s="1" t="s">
        <v>2055</v>
      </c>
    </row>
    <row r="484" spans="1:38" x14ac:dyDescent="0.6">
      <c r="A484" s="1">
        <v>351</v>
      </c>
      <c r="B484" s="1" t="s">
        <v>103</v>
      </c>
      <c r="C484" s="1">
        <v>50</v>
      </c>
      <c r="D484" s="1" t="s">
        <v>89</v>
      </c>
      <c r="E484" s="1" t="s">
        <v>90</v>
      </c>
      <c r="F484" s="1"/>
      <c r="G484" s="1"/>
      <c r="H484" s="1" t="s">
        <v>220</v>
      </c>
      <c r="I484" s="1" t="s">
        <v>221</v>
      </c>
      <c r="J484" s="1" t="s">
        <v>222</v>
      </c>
      <c r="K484" s="1">
        <v>1.25</v>
      </c>
      <c r="L484" s="1">
        <v>120</v>
      </c>
      <c r="M484" s="1" t="s">
        <v>14</v>
      </c>
      <c r="N484" s="1" t="s">
        <v>95</v>
      </c>
      <c r="O484" s="1" t="s">
        <v>96</v>
      </c>
      <c r="P484" s="1"/>
      <c r="Q484" s="1" t="s">
        <v>9</v>
      </c>
      <c r="R484" s="1">
        <v>0</v>
      </c>
      <c r="S484" s="1" t="s">
        <v>97</v>
      </c>
      <c r="T484" s="1" t="s">
        <v>97</v>
      </c>
      <c r="U484" s="1" t="b">
        <v>1</v>
      </c>
      <c r="V484" s="1" t="b">
        <v>0</v>
      </c>
      <c r="W484" s="1" t="b">
        <v>0</v>
      </c>
      <c r="X484" s="1">
        <v>5</v>
      </c>
      <c r="Y484" s="1" t="b">
        <v>1</v>
      </c>
      <c r="Z484" s="1" t="b">
        <v>1</v>
      </c>
      <c r="AA484" s="1"/>
      <c r="AB484" s="1" t="b">
        <v>1</v>
      </c>
      <c r="AC484" s="1">
        <v>124538009</v>
      </c>
      <c r="AD484" s="1">
        <v>766823</v>
      </c>
      <c r="AE484" s="1">
        <v>0</v>
      </c>
      <c r="AF484" s="1" t="s">
        <v>2034</v>
      </c>
      <c r="AG484" s="1" t="s">
        <v>2035</v>
      </c>
      <c r="AH484" s="1">
        <v>77</v>
      </c>
      <c r="AI484" s="1">
        <v>72.5</v>
      </c>
      <c r="AJ484" s="1" t="s">
        <v>2056</v>
      </c>
      <c r="AK484" s="1" t="s">
        <v>2057</v>
      </c>
      <c r="AL484" s="1" t="s">
        <v>2058</v>
      </c>
    </row>
    <row r="485" spans="1:38" x14ac:dyDescent="0.6">
      <c r="A485" s="1">
        <v>349</v>
      </c>
      <c r="B485" s="1" t="s">
        <v>88</v>
      </c>
      <c r="C485" s="1">
        <v>57</v>
      </c>
      <c r="D485" s="1" t="s">
        <v>89</v>
      </c>
      <c r="E485" s="1" t="s">
        <v>108</v>
      </c>
      <c r="F485" s="1"/>
      <c r="G485" s="1"/>
      <c r="H485" s="1" t="s">
        <v>91</v>
      </c>
      <c r="I485" s="1" t="s">
        <v>92</v>
      </c>
      <c r="J485" s="1" t="s">
        <v>93</v>
      </c>
      <c r="K485" s="1">
        <v>1</v>
      </c>
      <c r="L485" s="1">
        <v>120</v>
      </c>
      <c r="M485" s="1" t="s">
        <v>14</v>
      </c>
      <c r="N485" s="1" t="s">
        <v>95</v>
      </c>
      <c r="O485" s="1" t="s">
        <v>96</v>
      </c>
      <c r="P485" s="1"/>
      <c r="Q485" s="1" t="s">
        <v>9</v>
      </c>
      <c r="R485" s="1">
        <v>0</v>
      </c>
      <c r="S485" s="1" t="s">
        <v>97</v>
      </c>
      <c r="T485" s="1" t="s">
        <v>97</v>
      </c>
      <c r="U485" s="1" t="b">
        <v>1</v>
      </c>
      <c r="V485" s="1" t="b">
        <v>0</v>
      </c>
      <c r="W485" s="1" t="b">
        <v>0</v>
      </c>
      <c r="X485" s="1">
        <v>5</v>
      </c>
      <c r="Y485" s="1" t="b">
        <v>1</v>
      </c>
      <c r="Z485" s="1" t="b">
        <v>1</v>
      </c>
      <c r="AA485" s="1"/>
      <c r="AB485" s="1" t="b">
        <v>1</v>
      </c>
      <c r="AC485" s="1">
        <v>141685884</v>
      </c>
      <c r="AD485" s="1">
        <v>920452</v>
      </c>
      <c r="AE485" s="1">
        <v>0</v>
      </c>
      <c r="AF485" s="1" t="s">
        <v>2039</v>
      </c>
      <c r="AG485" s="1" t="s">
        <v>2040</v>
      </c>
      <c r="AH485" s="1">
        <v>71</v>
      </c>
      <c r="AI485" s="1">
        <v>64.099999999999994</v>
      </c>
      <c r="AJ485" s="1" t="s">
        <v>2059</v>
      </c>
      <c r="AK485" s="1" t="s">
        <v>2060</v>
      </c>
      <c r="AL485" s="1" t="s">
        <v>2061</v>
      </c>
    </row>
    <row r="486" spans="1:38" x14ac:dyDescent="0.6">
      <c r="A486" s="1">
        <v>353</v>
      </c>
      <c r="B486" s="1" t="s">
        <v>103</v>
      </c>
      <c r="C486" s="1">
        <v>53</v>
      </c>
      <c r="D486" s="1" t="s">
        <v>89</v>
      </c>
      <c r="E486" s="1" t="s">
        <v>90</v>
      </c>
      <c r="F486" s="1"/>
      <c r="G486" s="1"/>
      <c r="H486" s="1" t="s">
        <v>220</v>
      </c>
      <c r="I486" s="1" t="s">
        <v>221</v>
      </c>
      <c r="J486" s="1" t="s">
        <v>222</v>
      </c>
      <c r="K486" s="1">
        <v>1.25</v>
      </c>
      <c r="L486" s="1">
        <v>120</v>
      </c>
      <c r="M486" s="1" t="s">
        <v>94</v>
      </c>
      <c r="N486" s="1" t="s">
        <v>95</v>
      </c>
      <c r="O486" s="1"/>
      <c r="P486" s="1" t="s">
        <v>96</v>
      </c>
      <c r="Q486" s="1" t="s">
        <v>9</v>
      </c>
      <c r="R486" s="1">
        <v>0</v>
      </c>
      <c r="S486" s="1" t="s">
        <v>97</v>
      </c>
      <c r="T486" s="1" t="s">
        <v>97</v>
      </c>
      <c r="U486" s="1" t="b">
        <v>1</v>
      </c>
      <c r="V486" s="1" t="b">
        <v>0</v>
      </c>
      <c r="W486" s="1" t="b">
        <v>0</v>
      </c>
      <c r="X486" s="1">
        <v>0</v>
      </c>
      <c r="Y486" s="1" t="b">
        <v>1</v>
      </c>
      <c r="Z486" s="1" t="b">
        <v>1</v>
      </c>
      <c r="AA486" s="1">
        <v>69.2</v>
      </c>
      <c r="AB486" s="1" t="b">
        <v>1</v>
      </c>
      <c r="AC486" s="1">
        <v>123659322</v>
      </c>
      <c r="AD486" s="1">
        <v>1645510</v>
      </c>
      <c r="AE486" s="1">
        <v>0</v>
      </c>
      <c r="AF486" s="1" t="s">
        <v>2062</v>
      </c>
      <c r="AG486" s="1" t="s">
        <v>2063</v>
      </c>
      <c r="AH486" s="1">
        <v>59.4</v>
      </c>
      <c r="AI486" s="1">
        <v>64.099999999999994</v>
      </c>
      <c r="AJ486" s="1" t="s">
        <v>2064</v>
      </c>
      <c r="AK486" s="1" t="s">
        <v>2065</v>
      </c>
      <c r="AL486" s="1" t="s">
        <v>2066</v>
      </c>
    </row>
    <row r="487" spans="1:38" x14ac:dyDescent="0.6">
      <c r="A487" s="1">
        <v>337</v>
      </c>
      <c r="B487" s="1" t="s">
        <v>103</v>
      </c>
      <c r="C487" s="1">
        <v>58</v>
      </c>
      <c r="D487" s="1" t="s">
        <v>89</v>
      </c>
      <c r="E487" s="1" t="s">
        <v>90</v>
      </c>
      <c r="F487" s="1"/>
      <c r="G487" s="1"/>
      <c r="H487" s="1" t="s">
        <v>220</v>
      </c>
      <c r="I487" s="1" t="s">
        <v>221</v>
      </c>
      <c r="J487" s="1" t="s">
        <v>222</v>
      </c>
      <c r="K487" s="1">
        <v>1.25</v>
      </c>
      <c r="L487" s="1">
        <v>120</v>
      </c>
      <c r="M487" s="1" t="s">
        <v>14</v>
      </c>
      <c r="N487" s="1" t="s">
        <v>95</v>
      </c>
      <c r="O487" s="1" t="s">
        <v>96</v>
      </c>
      <c r="P487" s="1"/>
      <c r="Q487" s="1" t="s">
        <v>9</v>
      </c>
      <c r="R487" s="1">
        <v>0</v>
      </c>
      <c r="S487" s="1" t="s">
        <v>97</v>
      </c>
      <c r="T487" s="1" t="s">
        <v>97</v>
      </c>
      <c r="U487" s="1" t="b">
        <v>1</v>
      </c>
      <c r="V487" s="1" t="b">
        <v>0</v>
      </c>
      <c r="W487" s="1" t="b">
        <v>0</v>
      </c>
      <c r="X487" s="1">
        <v>5</v>
      </c>
      <c r="Y487" s="1" t="b">
        <v>1</v>
      </c>
      <c r="Z487" s="1" t="b">
        <v>1</v>
      </c>
      <c r="AA487" s="1"/>
      <c r="AB487" s="1" t="b">
        <v>1</v>
      </c>
      <c r="AC487" s="1">
        <v>131840627</v>
      </c>
      <c r="AD487" s="1">
        <v>542093</v>
      </c>
      <c r="AE487" s="1">
        <v>0</v>
      </c>
      <c r="AF487" s="1" t="s">
        <v>2001</v>
      </c>
      <c r="AG487" s="1" t="s">
        <v>2002</v>
      </c>
      <c r="AH487" s="1">
        <v>72.599999999999994</v>
      </c>
      <c r="AI487" s="1">
        <v>73.5</v>
      </c>
      <c r="AJ487" s="1" t="s">
        <v>2067</v>
      </c>
      <c r="AK487" s="1" t="s">
        <v>2068</v>
      </c>
      <c r="AL487" s="1" t="s">
        <v>2069</v>
      </c>
    </row>
    <row r="488" spans="1:38" x14ac:dyDescent="0.6">
      <c r="A488" s="1">
        <v>339</v>
      </c>
      <c r="B488" s="1" t="s">
        <v>103</v>
      </c>
      <c r="C488" s="1">
        <v>54</v>
      </c>
      <c r="D488" s="1" t="s">
        <v>89</v>
      </c>
      <c r="E488" s="1" t="s">
        <v>90</v>
      </c>
      <c r="F488" s="1"/>
      <c r="G488" s="1"/>
      <c r="H488" s="1" t="s">
        <v>220</v>
      </c>
      <c r="I488" s="1" t="s">
        <v>221</v>
      </c>
      <c r="J488" s="1" t="s">
        <v>222</v>
      </c>
      <c r="K488" s="1">
        <v>1.25</v>
      </c>
      <c r="L488" s="1">
        <v>120</v>
      </c>
      <c r="M488" s="1" t="s">
        <v>14</v>
      </c>
      <c r="N488" s="1" t="s">
        <v>95</v>
      </c>
      <c r="O488" s="1" t="s">
        <v>96</v>
      </c>
      <c r="P488" s="1"/>
      <c r="Q488" s="1" t="s">
        <v>9</v>
      </c>
      <c r="R488" s="1">
        <v>0</v>
      </c>
      <c r="S488" s="1" t="s">
        <v>97</v>
      </c>
      <c r="T488" s="1" t="s">
        <v>97</v>
      </c>
      <c r="U488" s="1" t="b">
        <v>1</v>
      </c>
      <c r="V488" s="1" t="b">
        <v>0</v>
      </c>
      <c r="W488" s="1" t="b">
        <v>0</v>
      </c>
      <c r="X488" s="1">
        <v>5</v>
      </c>
      <c r="Y488" s="1" t="b">
        <v>1</v>
      </c>
      <c r="Z488" s="1" t="b">
        <v>1</v>
      </c>
      <c r="AA488" s="1"/>
      <c r="AB488" s="1" t="b">
        <v>1</v>
      </c>
      <c r="AC488" s="1">
        <v>134577703</v>
      </c>
      <c r="AD488" s="1">
        <v>426457</v>
      </c>
      <c r="AE488" s="1">
        <v>0</v>
      </c>
      <c r="AF488" s="1" t="s">
        <v>2070</v>
      </c>
      <c r="AG488" s="1" t="s">
        <v>2071</v>
      </c>
      <c r="AH488" s="1">
        <v>67.2</v>
      </c>
      <c r="AI488" s="1">
        <v>69.900000000000006</v>
      </c>
      <c r="AJ488" s="1" t="s">
        <v>2072</v>
      </c>
      <c r="AK488" s="1" t="s">
        <v>2073</v>
      </c>
      <c r="AL488" s="1" t="s">
        <v>2074</v>
      </c>
    </row>
    <row r="489" spans="1:38" x14ac:dyDescent="0.6">
      <c r="A489" s="1">
        <v>339</v>
      </c>
      <c r="B489" s="1" t="s">
        <v>103</v>
      </c>
      <c r="C489" s="1">
        <v>54</v>
      </c>
      <c r="D489" s="1" t="s">
        <v>89</v>
      </c>
      <c r="E489" s="1" t="s">
        <v>90</v>
      </c>
      <c r="F489" s="1"/>
      <c r="G489" s="1"/>
      <c r="H489" s="1" t="s">
        <v>220</v>
      </c>
      <c r="I489" s="1" t="s">
        <v>221</v>
      </c>
      <c r="J489" s="1" t="s">
        <v>222</v>
      </c>
      <c r="K489" s="1">
        <v>1.25</v>
      </c>
      <c r="L489" s="1">
        <v>120</v>
      </c>
      <c r="M489" s="1" t="s">
        <v>94</v>
      </c>
      <c r="N489" s="1" t="s">
        <v>95</v>
      </c>
      <c r="O489" s="1"/>
      <c r="P489" s="1" t="s">
        <v>96</v>
      </c>
      <c r="Q489" s="1" t="s">
        <v>9</v>
      </c>
      <c r="R489" s="1">
        <v>0</v>
      </c>
      <c r="S489" s="1" t="s">
        <v>97</v>
      </c>
      <c r="T489" s="1" t="s">
        <v>97</v>
      </c>
      <c r="U489" s="1" t="b">
        <v>1</v>
      </c>
      <c r="V489" s="1" t="b">
        <v>0</v>
      </c>
      <c r="W489" s="1" t="b">
        <v>0</v>
      </c>
      <c r="X489" s="1">
        <v>0</v>
      </c>
      <c r="Y489" s="1" t="b">
        <v>1</v>
      </c>
      <c r="Z489" s="1" t="b">
        <v>1</v>
      </c>
      <c r="AA489" s="1">
        <v>75.400000000000006</v>
      </c>
      <c r="AB489" s="1" t="b">
        <v>1</v>
      </c>
      <c r="AC489" s="1">
        <v>138216749</v>
      </c>
      <c r="AD489" s="1">
        <v>1243859</v>
      </c>
      <c r="AE489" s="1">
        <v>0</v>
      </c>
      <c r="AF489" s="1" t="s">
        <v>2070</v>
      </c>
      <c r="AG489" s="1" t="s">
        <v>2071</v>
      </c>
      <c r="AH489" s="1">
        <v>67.2</v>
      </c>
      <c r="AI489" s="1">
        <v>69.900000000000006</v>
      </c>
      <c r="AJ489" s="1" t="s">
        <v>2075</v>
      </c>
      <c r="AK489" s="1" t="s">
        <v>2076</v>
      </c>
      <c r="AL489" s="1" t="s">
        <v>2077</v>
      </c>
    </row>
    <row r="490" spans="1:38" x14ac:dyDescent="0.6">
      <c r="A490" s="1">
        <v>335</v>
      </c>
      <c r="B490" s="1" t="s">
        <v>103</v>
      </c>
      <c r="C490" s="1">
        <v>50</v>
      </c>
      <c r="D490" s="1" t="s">
        <v>89</v>
      </c>
      <c r="E490" s="1" t="s">
        <v>108</v>
      </c>
      <c r="F490" s="1"/>
      <c r="G490" s="1"/>
      <c r="H490" s="1" t="s">
        <v>91</v>
      </c>
      <c r="I490" s="1" t="s">
        <v>92</v>
      </c>
      <c r="J490" s="1" t="s">
        <v>93</v>
      </c>
      <c r="K490" s="1">
        <v>1</v>
      </c>
      <c r="L490" s="1">
        <v>120</v>
      </c>
      <c r="M490" s="1" t="s">
        <v>14</v>
      </c>
      <c r="N490" s="1" t="s">
        <v>14</v>
      </c>
      <c r="O490" s="1" t="s">
        <v>96</v>
      </c>
      <c r="P490" s="1"/>
      <c r="Q490" s="1" t="s">
        <v>9</v>
      </c>
      <c r="R490" s="1">
        <v>0</v>
      </c>
      <c r="S490" s="1"/>
      <c r="T490" s="1" t="s">
        <v>97</v>
      </c>
      <c r="U490" s="1"/>
      <c r="V490" s="1" t="b">
        <v>0</v>
      </c>
      <c r="W490" s="1" t="b">
        <v>0</v>
      </c>
      <c r="X490" s="1">
        <v>5</v>
      </c>
      <c r="Y490" s="1" t="b">
        <v>1</v>
      </c>
      <c r="Z490" s="1" t="b">
        <v>1</v>
      </c>
      <c r="AA490" s="1"/>
      <c r="AB490" s="1" t="b">
        <v>1</v>
      </c>
      <c r="AC490" s="1">
        <v>145682148</v>
      </c>
      <c r="AD490" s="1">
        <v>594204</v>
      </c>
      <c r="AE490" s="1">
        <v>0</v>
      </c>
      <c r="AF490" s="1" t="s">
        <v>2078</v>
      </c>
      <c r="AG490" s="1"/>
      <c r="AH490" s="1">
        <v>69.7</v>
      </c>
      <c r="AI490" s="1"/>
      <c r="AJ490" s="1" t="s">
        <v>2079</v>
      </c>
      <c r="AK490" s="1" t="s">
        <v>2080</v>
      </c>
      <c r="AL490" s="1" t="s">
        <v>2081</v>
      </c>
    </row>
    <row r="491" spans="1:38" x14ac:dyDescent="0.6">
      <c r="A491" s="1">
        <v>354</v>
      </c>
      <c r="B491" s="1" t="s">
        <v>103</v>
      </c>
      <c r="C491" s="1">
        <v>79</v>
      </c>
      <c r="D491" s="1" t="s">
        <v>119</v>
      </c>
      <c r="E491" s="1" t="s">
        <v>90</v>
      </c>
      <c r="F491" s="1"/>
      <c r="G491" s="1"/>
      <c r="H491" s="1" t="s">
        <v>220</v>
      </c>
      <c r="I491" s="1" t="s">
        <v>221</v>
      </c>
      <c r="J491" s="1" t="s">
        <v>222</v>
      </c>
      <c r="K491" s="1">
        <v>1.25</v>
      </c>
      <c r="L491" s="1">
        <v>120</v>
      </c>
      <c r="M491" s="1" t="s">
        <v>14</v>
      </c>
      <c r="N491" s="1" t="s">
        <v>95</v>
      </c>
      <c r="O491" s="1" t="s">
        <v>96</v>
      </c>
      <c r="P491" s="1"/>
      <c r="Q491" s="1" t="s">
        <v>9</v>
      </c>
      <c r="R491" s="1">
        <v>0</v>
      </c>
      <c r="S491" s="1" t="s">
        <v>97</v>
      </c>
      <c r="T491" s="1" t="s">
        <v>97</v>
      </c>
      <c r="U491" s="1" t="b">
        <v>1</v>
      </c>
      <c r="V491" s="1" t="b">
        <v>0</v>
      </c>
      <c r="W491" s="1" t="b">
        <v>0</v>
      </c>
      <c r="X491" s="1">
        <v>5</v>
      </c>
      <c r="Y491" s="1" t="b">
        <v>1</v>
      </c>
      <c r="Z491" s="1" t="b">
        <v>1</v>
      </c>
      <c r="AA491" s="1"/>
      <c r="AB491" s="1" t="b">
        <v>1</v>
      </c>
      <c r="AC491" s="1">
        <v>109154487</v>
      </c>
      <c r="AD491" s="1">
        <v>683849</v>
      </c>
      <c r="AE491" s="1">
        <v>0</v>
      </c>
      <c r="AF491" s="1" t="s">
        <v>2082</v>
      </c>
      <c r="AG491" s="1" t="s">
        <v>2083</v>
      </c>
      <c r="AH491" s="1">
        <v>57</v>
      </c>
      <c r="AI491" s="1">
        <v>53.6</v>
      </c>
      <c r="AJ491" s="1" t="s">
        <v>2084</v>
      </c>
      <c r="AK491" s="1" t="s">
        <v>2085</v>
      </c>
      <c r="AL491" s="1" t="s">
        <v>2086</v>
      </c>
    </row>
    <row r="492" spans="1:38" x14ac:dyDescent="0.6">
      <c r="A492" s="1">
        <v>350</v>
      </c>
      <c r="B492" s="1" t="s">
        <v>88</v>
      </c>
      <c r="C492" s="1">
        <v>59</v>
      </c>
      <c r="D492" s="1" t="s">
        <v>89</v>
      </c>
      <c r="E492" s="1" t="s">
        <v>108</v>
      </c>
      <c r="F492" s="1"/>
      <c r="G492" s="1"/>
      <c r="H492" s="1" t="s">
        <v>189</v>
      </c>
      <c r="I492" s="1" t="s">
        <v>190</v>
      </c>
      <c r="J492" s="1" t="s">
        <v>191</v>
      </c>
      <c r="K492" s="1">
        <v>1</v>
      </c>
      <c r="L492" s="1">
        <v>120</v>
      </c>
      <c r="M492" s="1" t="s">
        <v>7</v>
      </c>
      <c r="N492" s="1" t="s">
        <v>7</v>
      </c>
      <c r="O492" s="1" t="s">
        <v>96</v>
      </c>
      <c r="P492" s="1" t="s">
        <v>96</v>
      </c>
      <c r="Q492" s="1" t="s">
        <v>9</v>
      </c>
      <c r="R492" s="1">
        <v>0</v>
      </c>
      <c r="S492" s="1" t="s">
        <v>97</v>
      </c>
      <c r="T492" s="1" t="s">
        <v>97</v>
      </c>
      <c r="U492" s="1" t="b">
        <v>1</v>
      </c>
      <c r="V492" s="1" t="b">
        <v>0</v>
      </c>
      <c r="W492" s="1" t="b">
        <v>0</v>
      </c>
      <c r="X492" s="1">
        <v>5</v>
      </c>
      <c r="Y492" s="1" t="b">
        <v>1</v>
      </c>
      <c r="Z492" s="1" t="b">
        <v>1</v>
      </c>
      <c r="AA492" s="1">
        <v>69.2</v>
      </c>
      <c r="AB492" s="1" t="b">
        <v>0</v>
      </c>
      <c r="AC492" s="1">
        <v>0</v>
      </c>
      <c r="AD492" s="1">
        <v>3471437</v>
      </c>
      <c r="AE492" s="1">
        <v>162203571</v>
      </c>
      <c r="AF492" s="1" t="s">
        <v>2087</v>
      </c>
      <c r="AG492" s="1" t="s">
        <v>2087</v>
      </c>
      <c r="AH492" s="1">
        <v>58.2</v>
      </c>
      <c r="AI492" s="1">
        <v>64.099999999999994</v>
      </c>
      <c r="AJ492" s="1" t="s">
        <v>2088</v>
      </c>
      <c r="AK492" s="1" t="s">
        <v>2089</v>
      </c>
      <c r="AL492" s="1" t="s">
        <v>2090</v>
      </c>
    </row>
    <row r="493" spans="1:38" x14ac:dyDescent="0.6">
      <c r="A493" s="1">
        <v>338</v>
      </c>
      <c r="B493" s="1" t="s">
        <v>103</v>
      </c>
      <c r="C493" s="1">
        <v>56</v>
      </c>
      <c r="D493" s="1" t="s">
        <v>89</v>
      </c>
      <c r="E493" s="1" t="s">
        <v>108</v>
      </c>
      <c r="F493" s="1"/>
      <c r="G493" s="1"/>
      <c r="H493" s="1" t="s">
        <v>91</v>
      </c>
      <c r="I493" s="1" t="s">
        <v>92</v>
      </c>
      <c r="J493" s="1" t="s">
        <v>93</v>
      </c>
      <c r="K493" s="1">
        <v>1</v>
      </c>
      <c r="L493" s="1">
        <v>120</v>
      </c>
      <c r="M493" s="1" t="s">
        <v>94</v>
      </c>
      <c r="N493" s="1" t="s">
        <v>95</v>
      </c>
      <c r="O493" s="1"/>
      <c r="P493" s="1" t="s">
        <v>96</v>
      </c>
      <c r="Q493" s="1" t="s">
        <v>9</v>
      </c>
      <c r="R493" s="1">
        <v>0</v>
      </c>
      <c r="S493" s="1" t="s">
        <v>97</v>
      </c>
      <c r="T493" s="1" t="s">
        <v>97</v>
      </c>
      <c r="U493" s="1" t="b">
        <v>1</v>
      </c>
      <c r="V493" s="1" t="b">
        <v>0</v>
      </c>
      <c r="W493" s="1" t="b">
        <v>0</v>
      </c>
      <c r="X493" s="1">
        <v>0</v>
      </c>
      <c r="Y493" s="1" t="b">
        <v>1</v>
      </c>
      <c r="Z493" s="1" t="b">
        <v>1</v>
      </c>
      <c r="AA493" s="1">
        <v>68.5</v>
      </c>
      <c r="AB493" s="1" t="b">
        <v>1</v>
      </c>
      <c r="AC493" s="1">
        <v>154849679</v>
      </c>
      <c r="AD493" s="1">
        <v>1650289</v>
      </c>
      <c r="AE493" s="1">
        <v>0</v>
      </c>
      <c r="AF493" s="1" t="s">
        <v>2091</v>
      </c>
      <c r="AG493" s="1" t="s">
        <v>2092</v>
      </c>
      <c r="AH493" s="1">
        <v>60.2</v>
      </c>
      <c r="AI493" s="1">
        <v>64</v>
      </c>
      <c r="AJ493" s="1" t="s">
        <v>2093</v>
      </c>
      <c r="AK493" s="1" t="s">
        <v>2094</v>
      </c>
      <c r="AL493" s="1" t="s">
        <v>2095</v>
      </c>
    </row>
    <row r="494" spans="1:38" x14ac:dyDescent="0.6">
      <c r="A494" s="1">
        <v>338</v>
      </c>
      <c r="B494" s="1" t="s">
        <v>103</v>
      </c>
      <c r="C494" s="1">
        <v>56</v>
      </c>
      <c r="D494" s="1" t="s">
        <v>89</v>
      </c>
      <c r="E494" s="1" t="s">
        <v>108</v>
      </c>
      <c r="F494" s="1"/>
      <c r="G494" s="1"/>
      <c r="H494" s="1" t="s">
        <v>91</v>
      </c>
      <c r="I494" s="1" t="s">
        <v>92</v>
      </c>
      <c r="J494" s="1" t="s">
        <v>93</v>
      </c>
      <c r="K494" s="1">
        <v>1</v>
      </c>
      <c r="L494" s="1">
        <v>120</v>
      </c>
      <c r="M494" s="1" t="s">
        <v>14</v>
      </c>
      <c r="N494" s="1" t="s">
        <v>95</v>
      </c>
      <c r="O494" s="1" t="s">
        <v>96</v>
      </c>
      <c r="P494" s="1"/>
      <c r="Q494" s="1" t="s">
        <v>9</v>
      </c>
      <c r="R494" s="1">
        <v>0</v>
      </c>
      <c r="S494" s="1" t="s">
        <v>97</v>
      </c>
      <c r="T494" s="1" t="s">
        <v>97</v>
      </c>
      <c r="U494" s="1" t="b">
        <v>1</v>
      </c>
      <c r="V494" s="1" t="b">
        <v>0</v>
      </c>
      <c r="W494" s="1" t="b">
        <v>0</v>
      </c>
      <c r="X494" s="1">
        <v>5</v>
      </c>
      <c r="Y494" s="1" t="b">
        <v>1</v>
      </c>
      <c r="Z494" s="1" t="b">
        <v>1</v>
      </c>
      <c r="AA494" s="1"/>
      <c r="AB494" s="1" t="b">
        <v>1</v>
      </c>
      <c r="AC494" s="1">
        <v>145961646</v>
      </c>
      <c r="AD494" s="1">
        <v>576850</v>
      </c>
      <c r="AE494" s="1">
        <v>0</v>
      </c>
      <c r="AF494" s="1" t="s">
        <v>2091</v>
      </c>
      <c r="AG494" s="1" t="s">
        <v>2092</v>
      </c>
      <c r="AH494" s="1">
        <v>60.2</v>
      </c>
      <c r="AI494" s="1">
        <v>64</v>
      </c>
      <c r="AJ494" s="1" t="s">
        <v>2096</v>
      </c>
      <c r="AK494" s="1" t="s">
        <v>2097</v>
      </c>
      <c r="AL494" s="1" t="s">
        <v>2098</v>
      </c>
    </row>
    <row r="495" spans="1:38" x14ac:dyDescent="0.6">
      <c r="A495" s="1">
        <v>354</v>
      </c>
      <c r="B495" s="1" t="s">
        <v>103</v>
      </c>
      <c r="C495" s="1">
        <v>79</v>
      </c>
      <c r="D495" s="1" t="s">
        <v>119</v>
      </c>
      <c r="E495" s="1" t="s">
        <v>90</v>
      </c>
      <c r="F495" s="1"/>
      <c r="G495" s="1"/>
      <c r="H495" s="1" t="s">
        <v>220</v>
      </c>
      <c r="I495" s="1" t="s">
        <v>221</v>
      </c>
      <c r="J495" s="1" t="s">
        <v>222</v>
      </c>
      <c r="K495" s="1">
        <v>1.25</v>
      </c>
      <c r="L495" s="1">
        <v>120</v>
      </c>
      <c r="M495" s="1" t="s">
        <v>94</v>
      </c>
      <c r="N495" s="1" t="s">
        <v>95</v>
      </c>
      <c r="O495" s="1"/>
      <c r="P495" s="1" t="s">
        <v>96</v>
      </c>
      <c r="Q495" s="1" t="s">
        <v>9</v>
      </c>
      <c r="R495" s="1">
        <v>0</v>
      </c>
      <c r="S495" s="1" t="s">
        <v>97</v>
      </c>
      <c r="T495" s="1" t="s">
        <v>97</v>
      </c>
      <c r="U495" s="1" t="b">
        <v>1</v>
      </c>
      <c r="V495" s="1" t="b">
        <v>0</v>
      </c>
      <c r="W495" s="1" t="b">
        <v>0</v>
      </c>
      <c r="X495" s="1">
        <v>0</v>
      </c>
      <c r="Y495" s="1" t="b">
        <v>1</v>
      </c>
      <c r="Z495" s="1" t="b">
        <v>1</v>
      </c>
      <c r="AA495" s="1">
        <v>55.3</v>
      </c>
      <c r="AB495" s="1" t="b">
        <v>1</v>
      </c>
      <c r="AC495" s="1">
        <v>133972667</v>
      </c>
      <c r="AD495" s="1">
        <v>1293637</v>
      </c>
      <c r="AE495" s="1">
        <v>0</v>
      </c>
      <c r="AF495" s="1" t="s">
        <v>2082</v>
      </c>
      <c r="AG495" s="1" t="s">
        <v>2083</v>
      </c>
      <c r="AH495" s="1">
        <v>57</v>
      </c>
      <c r="AI495" s="1">
        <v>53.6</v>
      </c>
      <c r="AJ495" s="1" t="s">
        <v>2099</v>
      </c>
      <c r="AK495" s="1" t="s">
        <v>2100</v>
      </c>
      <c r="AL495" s="1" t="s">
        <v>2101</v>
      </c>
    </row>
    <row r="496" spans="1:38" x14ac:dyDescent="0.6">
      <c r="A496" s="1">
        <v>356</v>
      </c>
      <c r="B496" s="1" t="s">
        <v>103</v>
      </c>
      <c r="C496" s="1">
        <v>54</v>
      </c>
      <c r="D496" s="1" t="s">
        <v>89</v>
      </c>
      <c r="E496" s="1" t="s">
        <v>90</v>
      </c>
      <c r="F496" s="1"/>
      <c r="G496" s="1"/>
      <c r="H496" s="1" t="s">
        <v>220</v>
      </c>
      <c r="I496" s="1" t="s">
        <v>221</v>
      </c>
      <c r="J496" s="1" t="s">
        <v>222</v>
      </c>
      <c r="K496" s="1">
        <v>1.25</v>
      </c>
      <c r="L496" s="1">
        <v>120</v>
      </c>
      <c r="M496" s="1" t="s">
        <v>14</v>
      </c>
      <c r="N496" s="1" t="s">
        <v>95</v>
      </c>
      <c r="O496" s="1" t="s">
        <v>96</v>
      </c>
      <c r="P496" s="1"/>
      <c r="Q496" s="1" t="s">
        <v>9</v>
      </c>
      <c r="R496" s="1">
        <v>0</v>
      </c>
      <c r="S496" s="1" t="s">
        <v>97</v>
      </c>
      <c r="T496" s="1" t="s">
        <v>97</v>
      </c>
      <c r="U496" s="1" t="b">
        <v>1</v>
      </c>
      <c r="V496" s="1" t="b">
        <v>0</v>
      </c>
      <c r="W496" s="1" t="b">
        <v>0</v>
      </c>
      <c r="X496" s="1">
        <v>5</v>
      </c>
      <c r="Y496" s="1" t="b">
        <v>1</v>
      </c>
      <c r="Z496" s="1" t="b">
        <v>1</v>
      </c>
      <c r="AA496" s="1"/>
      <c r="AB496" s="1" t="b">
        <v>1</v>
      </c>
      <c r="AC496" s="1">
        <v>122888247</v>
      </c>
      <c r="AD496" s="1">
        <v>581577</v>
      </c>
      <c r="AE496" s="1">
        <v>0</v>
      </c>
      <c r="AF496" s="1" t="s">
        <v>2102</v>
      </c>
      <c r="AG496" s="1" t="s">
        <v>2103</v>
      </c>
      <c r="AH496" s="1">
        <v>58.2</v>
      </c>
      <c r="AI496" s="1">
        <v>61.7</v>
      </c>
      <c r="AJ496" s="1" t="s">
        <v>2104</v>
      </c>
      <c r="AK496" s="1" t="s">
        <v>2105</v>
      </c>
      <c r="AL496" s="1" t="s">
        <v>2106</v>
      </c>
    </row>
    <row r="497" spans="1:38" x14ac:dyDescent="0.6">
      <c r="A497" s="1">
        <v>357</v>
      </c>
      <c r="B497" s="1" t="s">
        <v>88</v>
      </c>
      <c r="C497" s="1">
        <v>51</v>
      </c>
      <c r="D497" s="1" t="s">
        <v>89</v>
      </c>
      <c r="E497" s="1" t="s">
        <v>90</v>
      </c>
      <c r="F497" s="1"/>
      <c r="G497" s="1"/>
      <c r="H497" s="1" t="s">
        <v>220</v>
      </c>
      <c r="I497" s="1" t="s">
        <v>221</v>
      </c>
      <c r="J497" s="1" t="s">
        <v>222</v>
      </c>
      <c r="K497" s="1">
        <v>1.25</v>
      </c>
      <c r="L497" s="1">
        <v>120</v>
      </c>
      <c r="M497" s="1" t="s">
        <v>94</v>
      </c>
      <c r="N497" s="1" t="s">
        <v>95</v>
      </c>
      <c r="O497" s="1"/>
      <c r="P497" s="1" t="s">
        <v>96</v>
      </c>
      <c r="Q497" s="1" t="s">
        <v>9</v>
      </c>
      <c r="R497" s="1">
        <v>0</v>
      </c>
      <c r="S497" s="1" t="s">
        <v>97</v>
      </c>
      <c r="T497" s="1" t="s">
        <v>97</v>
      </c>
      <c r="U497" s="1" t="b">
        <v>1</v>
      </c>
      <c r="V497" s="1" t="b">
        <v>0</v>
      </c>
      <c r="W497" s="1" t="b">
        <v>0</v>
      </c>
      <c r="X497" s="1">
        <v>0</v>
      </c>
      <c r="Y497" s="1" t="b">
        <v>1</v>
      </c>
      <c r="Z497" s="1" t="b">
        <v>1</v>
      </c>
      <c r="AA497" s="1">
        <v>72.900000000000006</v>
      </c>
      <c r="AB497" s="1" t="b">
        <v>1</v>
      </c>
      <c r="AC497" s="1">
        <v>111565302</v>
      </c>
      <c r="AD497" s="1">
        <v>1680906</v>
      </c>
      <c r="AE497" s="1">
        <v>0</v>
      </c>
      <c r="AF497" s="1" t="s">
        <v>2107</v>
      </c>
      <c r="AG497" s="1" t="s">
        <v>2108</v>
      </c>
      <c r="AH497" s="1">
        <v>80.7</v>
      </c>
      <c r="AI497" s="1">
        <v>72.099999999999994</v>
      </c>
      <c r="AJ497" s="1" t="s">
        <v>2109</v>
      </c>
      <c r="AK497" s="1" t="s">
        <v>2110</v>
      </c>
      <c r="AL497" s="1" t="s">
        <v>2111</v>
      </c>
    </row>
    <row r="498" spans="1:38" x14ac:dyDescent="0.6">
      <c r="A498" s="1">
        <v>357</v>
      </c>
      <c r="B498" s="1" t="s">
        <v>88</v>
      </c>
      <c r="C498" s="1">
        <v>51</v>
      </c>
      <c r="D498" s="1" t="s">
        <v>89</v>
      </c>
      <c r="E498" s="1" t="s">
        <v>90</v>
      </c>
      <c r="F498" s="1"/>
      <c r="G498" s="1"/>
      <c r="H498" s="1" t="s">
        <v>220</v>
      </c>
      <c r="I498" s="1" t="s">
        <v>221</v>
      </c>
      <c r="J498" s="1" t="s">
        <v>222</v>
      </c>
      <c r="K498" s="1">
        <v>1.25</v>
      </c>
      <c r="L498" s="1">
        <v>120</v>
      </c>
      <c r="M498" s="1" t="s">
        <v>14</v>
      </c>
      <c r="N498" s="1" t="s">
        <v>95</v>
      </c>
      <c r="O498" s="1" t="s">
        <v>96</v>
      </c>
      <c r="P498" s="1"/>
      <c r="Q498" s="1" t="s">
        <v>9</v>
      </c>
      <c r="R498" s="1">
        <v>0</v>
      </c>
      <c r="S498" s="1" t="s">
        <v>97</v>
      </c>
      <c r="T498" s="1" t="s">
        <v>97</v>
      </c>
      <c r="U498" s="1" t="b">
        <v>1</v>
      </c>
      <c r="V498" s="1" t="b">
        <v>0</v>
      </c>
      <c r="W498" s="1" t="b">
        <v>0</v>
      </c>
      <c r="X498" s="1">
        <v>5</v>
      </c>
      <c r="Y498" s="1" t="b">
        <v>1</v>
      </c>
      <c r="Z498" s="1" t="b">
        <v>1</v>
      </c>
      <c r="AA498" s="1"/>
      <c r="AB498" s="1" t="b">
        <v>1</v>
      </c>
      <c r="AC498" s="1">
        <v>106016881</v>
      </c>
      <c r="AD498" s="1">
        <v>675727</v>
      </c>
      <c r="AE498" s="1">
        <v>0</v>
      </c>
      <c r="AF498" s="1" t="s">
        <v>2107</v>
      </c>
      <c r="AG498" s="1" t="s">
        <v>2108</v>
      </c>
      <c r="AH498" s="1">
        <v>80.7</v>
      </c>
      <c r="AI498" s="1">
        <v>72.099999999999994</v>
      </c>
      <c r="AJ498" s="1" t="s">
        <v>2112</v>
      </c>
      <c r="AK498" s="1" t="s">
        <v>2113</v>
      </c>
      <c r="AL498" s="1" t="s">
        <v>2114</v>
      </c>
    </row>
    <row r="499" spans="1:38" x14ac:dyDescent="0.6">
      <c r="A499" s="1">
        <v>356</v>
      </c>
      <c r="B499" s="1" t="s">
        <v>103</v>
      </c>
      <c r="C499" s="1">
        <v>54</v>
      </c>
      <c r="D499" s="1" t="s">
        <v>89</v>
      </c>
      <c r="E499" s="1" t="s">
        <v>90</v>
      </c>
      <c r="F499" s="1"/>
      <c r="G499" s="1"/>
      <c r="H499" s="1" t="s">
        <v>220</v>
      </c>
      <c r="I499" s="1" t="s">
        <v>221</v>
      </c>
      <c r="J499" s="1" t="s">
        <v>222</v>
      </c>
      <c r="K499" s="1">
        <v>1.25</v>
      </c>
      <c r="L499" s="1">
        <v>120</v>
      </c>
      <c r="M499" s="1" t="s">
        <v>94</v>
      </c>
      <c r="N499" s="1" t="s">
        <v>95</v>
      </c>
      <c r="O499" s="1"/>
      <c r="P499" s="1" t="s">
        <v>96</v>
      </c>
      <c r="Q499" s="1" t="s">
        <v>9</v>
      </c>
      <c r="R499" s="1">
        <v>0</v>
      </c>
      <c r="S499" s="1" t="s">
        <v>97</v>
      </c>
      <c r="T499" s="1" t="s">
        <v>97</v>
      </c>
      <c r="U499" s="1" t="b">
        <v>1</v>
      </c>
      <c r="V499" s="1" t="b">
        <v>0</v>
      </c>
      <c r="W499" s="1" t="b">
        <v>0</v>
      </c>
      <c r="X499" s="1">
        <v>0</v>
      </c>
      <c r="Y499" s="1" t="b">
        <v>1</v>
      </c>
      <c r="Z499" s="1" t="b">
        <v>1</v>
      </c>
      <c r="AA499" s="1">
        <v>67.5</v>
      </c>
      <c r="AB499" s="1" t="b">
        <v>1</v>
      </c>
      <c r="AC499" s="1">
        <v>126984221</v>
      </c>
      <c r="AD499" s="1">
        <v>1728483</v>
      </c>
      <c r="AE499" s="1">
        <v>0</v>
      </c>
      <c r="AF499" s="1" t="s">
        <v>2102</v>
      </c>
      <c r="AG499" s="1" t="s">
        <v>2103</v>
      </c>
      <c r="AH499" s="1">
        <v>58.2</v>
      </c>
      <c r="AI499" s="1">
        <v>61.7</v>
      </c>
      <c r="AJ499" s="1" t="s">
        <v>2115</v>
      </c>
      <c r="AK499" s="1" t="s">
        <v>2116</v>
      </c>
      <c r="AL499" s="1" t="s">
        <v>2117</v>
      </c>
    </row>
    <row r="500" spans="1:38" x14ac:dyDescent="0.6">
      <c r="A500" s="1">
        <v>355</v>
      </c>
      <c r="B500" s="1" t="s">
        <v>103</v>
      </c>
      <c r="C500" s="1">
        <v>56</v>
      </c>
      <c r="D500" s="1" t="s">
        <v>89</v>
      </c>
      <c r="E500" s="1" t="s">
        <v>90</v>
      </c>
      <c r="F500" s="1"/>
      <c r="G500" s="1"/>
      <c r="H500" s="1" t="s">
        <v>220</v>
      </c>
      <c r="I500" s="1" t="s">
        <v>221</v>
      </c>
      <c r="J500" s="1" t="s">
        <v>222</v>
      </c>
      <c r="K500" s="1">
        <v>1.25</v>
      </c>
      <c r="L500" s="1">
        <v>120</v>
      </c>
      <c r="M500" s="1" t="s">
        <v>94</v>
      </c>
      <c r="N500" s="1" t="s">
        <v>95</v>
      </c>
      <c r="O500" s="1"/>
      <c r="P500" s="1" t="s">
        <v>96</v>
      </c>
      <c r="Q500" s="1" t="s">
        <v>9</v>
      </c>
      <c r="R500" s="1">
        <v>0</v>
      </c>
      <c r="S500" s="1" t="s">
        <v>97</v>
      </c>
      <c r="T500" s="1" t="s">
        <v>97</v>
      </c>
      <c r="U500" s="1" t="b">
        <v>1</v>
      </c>
      <c r="V500" s="1" t="b">
        <v>0</v>
      </c>
      <c r="W500" s="1" t="b">
        <v>0</v>
      </c>
      <c r="X500" s="1">
        <v>0</v>
      </c>
      <c r="Y500" s="1" t="b">
        <v>1</v>
      </c>
      <c r="Z500" s="1" t="b">
        <v>1</v>
      </c>
      <c r="AA500" s="1">
        <v>67.8</v>
      </c>
      <c r="AB500" s="1" t="b">
        <v>1</v>
      </c>
      <c r="AC500" s="1">
        <v>146104082</v>
      </c>
      <c r="AD500" s="1">
        <v>1482990</v>
      </c>
      <c r="AE500" s="1">
        <v>0</v>
      </c>
      <c r="AF500" s="1" t="s">
        <v>2118</v>
      </c>
      <c r="AG500" s="1" t="s">
        <v>2119</v>
      </c>
      <c r="AH500" s="1">
        <v>58.7</v>
      </c>
      <c r="AI500" s="1">
        <v>63.7</v>
      </c>
      <c r="AJ500" s="1" t="s">
        <v>2120</v>
      </c>
      <c r="AK500" s="1" t="s">
        <v>2121</v>
      </c>
      <c r="AL500" s="1" t="s">
        <v>2122</v>
      </c>
    </row>
    <row r="501" spans="1:38" x14ac:dyDescent="0.6">
      <c r="A501" s="1">
        <v>355</v>
      </c>
      <c r="B501" s="1" t="s">
        <v>103</v>
      </c>
      <c r="C501" s="1">
        <v>56</v>
      </c>
      <c r="D501" s="1" t="s">
        <v>89</v>
      </c>
      <c r="E501" s="1" t="s">
        <v>90</v>
      </c>
      <c r="F501" s="1"/>
      <c r="G501" s="1"/>
      <c r="H501" s="1" t="s">
        <v>220</v>
      </c>
      <c r="I501" s="1" t="s">
        <v>221</v>
      </c>
      <c r="J501" s="1" t="s">
        <v>222</v>
      </c>
      <c r="K501" s="1">
        <v>1.25</v>
      </c>
      <c r="L501" s="1">
        <v>120</v>
      </c>
      <c r="M501" s="1" t="s">
        <v>14</v>
      </c>
      <c r="N501" s="1" t="s">
        <v>95</v>
      </c>
      <c r="O501" s="1" t="s">
        <v>96</v>
      </c>
      <c r="P501" s="1"/>
      <c r="Q501" s="1" t="s">
        <v>9</v>
      </c>
      <c r="R501" s="1">
        <v>0</v>
      </c>
      <c r="S501" s="1" t="s">
        <v>97</v>
      </c>
      <c r="T501" s="1" t="s">
        <v>97</v>
      </c>
      <c r="U501" s="1" t="b">
        <v>1</v>
      </c>
      <c r="V501" s="1" t="b">
        <v>0</v>
      </c>
      <c r="W501" s="1" t="b">
        <v>0</v>
      </c>
      <c r="X501" s="1">
        <v>5</v>
      </c>
      <c r="Y501" s="1" t="b">
        <v>1</v>
      </c>
      <c r="Z501" s="1" t="b">
        <v>1</v>
      </c>
      <c r="AA501" s="1"/>
      <c r="AB501" s="1" t="b">
        <v>1</v>
      </c>
      <c r="AC501" s="1">
        <v>134547707</v>
      </c>
      <c r="AD501" s="1">
        <v>456453</v>
      </c>
      <c r="AE501" s="1">
        <v>0</v>
      </c>
      <c r="AF501" s="1" t="s">
        <v>2118</v>
      </c>
      <c r="AG501" s="1" t="s">
        <v>2119</v>
      </c>
      <c r="AH501" s="1">
        <v>58.7</v>
      </c>
      <c r="AI501" s="1">
        <v>63.7</v>
      </c>
      <c r="AJ501" s="1" t="s">
        <v>2123</v>
      </c>
      <c r="AK501" s="1" t="s">
        <v>2124</v>
      </c>
      <c r="AL501" s="1" t="s">
        <v>2125</v>
      </c>
    </row>
    <row r="502" spans="1:38" x14ac:dyDescent="0.6">
      <c r="A502" s="1">
        <v>360</v>
      </c>
      <c r="B502" s="1" t="s">
        <v>103</v>
      </c>
      <c r="C502" s="1">
        <v>68</v>
      </c>
      <c r="D502" s="1" t="s">
        <v>127</v>
      </c>
      <c r="E502" s="1" t="s">
        <v>108</v>
      </c>
      <c r="F502" s="1"/>
      <c r="G502" s="1"/>
      <c r="H502" s="1" t="s">
        <v>220</v>
      </c>
      <c r="I502" s="1" t="s">
        <v>221</v>
      </c>
      <c r="J502" s="1" t="s">
        <v>222</v>
      </c>
      <c r="K502" s="1">
        <v>1.25</v>
      </c>
      <c r="L502" s="1">
        <v>120</v>
      </c>
      <c r="M502" s="1" t="s">
        <v>14</v>
      </c>
      <c r="N502" s="1" t="s">
        <v>95</v>
      </c>
      <c r="O502" s="1" t="s">
        <v>96</v>
      </c>
      <c r="P502" s="1"/>
      <c r="Q502" s="1" t="s">
        <v>9</v>
      </c>
      <c r="R502" s="1">
        <v>0</v>
      </c>
      <c r="S502" s="1" t="s">
        <v>97</v>
      </c>
      <c r="T502" s="1" t="s">
        <v>97</v>
      </c>
      <c r="U502" s="1" t="b">
        <v>1</v>
      </c>
      <c r="V502" s="1" t="b">
        <v>0</v>
      </c>
      <c r="W502" s="1" t="b">
        <v>0</v>
      </c>
      <c r="X502" s="1">
        <v>5</v>
      </c>
      <c r="Y502" s="1" t="b">
        <v>1</v>
      </c>
      <c r="Z502" s="1" t="b">
        <v>1</v>
      </c>
      <c r="AA502" s="1"/>
      <c r="AB502" s="1" t="b">
        <v>1</v>
      </c>
      <c r="AC502" s="1">
        <v>120772657</v>
      </c>
      <c r="AD502" s="1">
        <v>600015</v>
      </c>
      <c r="AE502" s="1">
        <v>0</v>
      </c>
      <c r="AF502" s="1" t="s">
        <v>2126</v>
      </c>
      <c r="AG502" s="1" t="s">
        <v>2127</v>
      </c>
      <c r="AH502" s="1">
        <v>69.099999999999994</v>
      </c>
      <c r="AI502" s="1">
        <v>69.3</v>
      </c>
      <c r="AJ502" s="1" t="s">
        <v>2128</v>
      </c>
      <c r="AK502" s="1" t="s">
        <v>2129</v>
      </c>
      <c r="AL502" s="1" t="s">
        <v>2130</v>
      </c>
    </row>
    <row r="503" spans="1:38" x14ac:dyDescent="0.6">
      <c r="A503" s="1">
        <v>360</v>
      </c>
      <c r="B503" s="1" t="s">
        <v>103</v>
      </c>
      <c r="C503" s="1">
        <v>68</v>
      </c>
      <c r="D503" s="1" t="s">
        <v>127</v>
      </c>
      <c r="E503" s="1" t="s">
        <v>108</v>
      </c>
      <c r="F503" s="1"/>
      <c r="G503" s="1"/>
      <c r="H503" s="1" t="s">
        <v>220</v>
      </c>
      <c r="I503" s="1" t="s">
        <v>221</v>
      </c>
      <c r="J503" s="1" t="s">
        <v>222</v>
      </c>
      <c r="K503" s="1">
        <v>1.25</v>
      </c>
      <c r="L503" s="1">
        <v>120</v>
      </c>
      <c r="M503" s="1" t="s">
        <v>94</v>
      </c>
      <c r="N503" s="1" t="s">
        <v>95</v>
      </c>
      <c r="O503" s="1"/>
      <c r="P503" s="1" t="s">
        <v>96</v>
      </c>
      <c r="Q503" s="1" t="s">
        <v>9</v>
      </c>
      <c r="R503" s="1">
        <v>0</v>
      </c>
      <c r="S503" s="1" t="s">
        <v>97</v>
      </c>
      <c r="T503" s="1" t="s">
        <v>97</v>
      </c>
      <c r="U503" s="1" t="b">
        <v>1</v>
      </c>
      <c r="V503" s="1" t="b">
        <v>0</v>
      </c>
      <c r="W503" s="1" t="b">
        <v>0</v>
      </c>
      <c r="X503" s="1">
        <v>0</v>
      </c>
      <c r="Y503" s="1" t="b">
        <v>1</v>
      </c>
      <c r="Z503" s="1" t="b">
        <v>1</v>
      </c>
      <c r="AA503" s="1">
        <v>72.3</v>
      </c>
      <c r="AB503" s="1" t="b">
        <v>1</v>
      </c>
      <c r="AC503" s="1">
        <v>125710770</v>
      </c>
      <c r="AD503" s="1">
        <v>1691214</v>
      </c>
      <c r="AE503" s="1">
        <v>0</v>
      </c>
      <c r="AF503" s="1" t="s">
        <v>2126</v>
      </c>
      <c r="AG503" s="1" t="s">
        <v>2127</v>
      </c>
      <c r="AH503" s="1">
        <v>69.099999999999994</v>
      </c>
      <c r="AI503" s="1">
        <v>69.3</v>
      </c>
      <c r="AJ503" s="1" t="s">
        <v>2131</v>
      </c>
      <c r="AK503" s="1" t="s">
        <v>2132</v>
      </c>
      <c r="AL503" s="1" t="s">
        <v>2133</v>
      </c>
    </row>
    <row r="504" spans="1:38" x14ac:dyDescent="0.6">
      <c r="A504" s="1">
        <v>358</v>
      </c>
      <c r="B504" s="1" t="s">
        <v>103</v>
      </c>
      <c r="C504" s="1">
        <v>57</v>
      </c>
      <c r="D504" s="1" t="s">
        <v>89</v>
      </c>
      <c r="E504" s="1" t="s">
        <v>108</v>
      </c>
      <c r="F504" s="1"/>
      <c r="G504" s="1"/>
      <c r="H504" s="1" t="s">
        <v>220</v>
      </c>
      <c r="I504" s="1" t="s">
        <v>221</v>
      </c>
      <c r="J504" s="1" t="s">
        <v>222</v>
      </c>
      <c r="K504" s="1">
        <v>1.25</v>
      </c>
      <c r="L504" s="1">
        <v>120</v>
      </c>
      <c r="M504" s="1" t="s">
        <v>14</v>
      </c>
      <c r="N504" s="1" t="s">
        <v>95</v>
      </c>
      <c r="O504" s="1" t="s">
        <v>96</v>
      </c>
      <c r="P504" s="1"/>
      <c r="Q504" s="1" t="s">
        <v>9</v>
      </c>
      <c r="R504" s="1">
        <v>0</v>
      </c>
      <c r="S504" s="1" t="s">
        <v>97</v>
      </c>
      <c r="T504" s="1" t="s">
        <v>97</v>
      </c>
      <c r="U504" s="1" t="b">
        <v>1</v>
      </c>
      <c r="V504" s="1" t="b">
        <v>0</v>
      </c>
      <c r="W504" s="1" t="b">
        <v>0</v>
      </c>
      <c r="X504" s="1">
        <v>5</v>
      </c>
      <c r="Y504" s="1" t="b">
        <v>1</v>
      </c>
      <c r="Z504" s="1" t="b">
        <v>1</v>
      </c>
      <c r="AA504" s="1"/>
      <c r="AB504" s="1" t="b">
        <v>1</v>
      </c>
      <c r="AC504" s="1">
        <v>146084791</v>
      </c>
      <c r="AD504" s="1">
        <v>977993</v>
      </c>
      <c r="AE504" s="1">
        <v>0</v>
      </c>
      <c r="AF504" s="1" t="s">
        <v>2134</v>
      </c>
      <c r="AG504" s="1" t="s">
        <v>2135</v>
      </c>
      <c r="AH504" s="1">
        <v>76.8</v>
      </c>
      <c r="AI504" s="1">
        <v>71</v>
      </c>
      <c r="AJ504" s="1" t="s">
        <v>2136</v>
      </c>
      <c r="AK504" s="1" t="s">
        <v>2137</v>
      </c>
      <c r="AL504" s="1" t="s">
        <v>2138</v>
      </c>
    </row>
    <row r="505" spans="1:38" x14ac:dyDescent="0.6">
      <c r="A505" s="1">
        <v>358</v>
      </c>
      <c r="B505" s="1" t="s">
        <v>103</v>
      </c>
      <c r="C505" s="1">
        <v>57</v>
      </c>
      <c r="D505" s="1" t="s">
        <v>89</v>
      </c>
      <c r="E505" s="1" t="s">
        <v>108</v>
      </c>
      <c r="F505" s="1"/>
      <c r="G505" s="1"/>
      <c r="H505" s="1" t="s">
        <v>220</v>
      </c>
      <c r="I505" s="1" t="s">
        <v>221</v>
      </c>
      <c r="J505" s="1" t="s">
        <v>222</v>
      </c>
      <c r="K505" s="1">
        <v>1.25</v>
      </c>
      <c r="L505" s="1">
        <v>120</v>
      </c>
      <c r="M505" s="1" t="s">
        <v>94</v>
      </c>
      <c r="N505" s="1" t="s">
        <v>95</v>
      </c>
      <c r="O505" s="1"/>
      <c r="P505" s="1" t="s">
        <v>96</v>
      </c>
      <c r="Q505" s="1" t="s">
        <v>9</v>
      </c>
      <c r="R505" s="1">
        <v>0</v>
      </c>
      <c r="S505" s="1" t="s">
        <v>97</v>
      </c>
      <c r="T505" s="1" t="s">
        <v>97</v>
      </c>
      <c r="U505" s="1" t="b">
        <v>1</v>
      </c>
      <c r="V505" s="1" t="b">
        <v>0</v>
      </c>
      <c r="W505" s="1" t="b">
        <v>0</v>
      </c>
      <c r="X505" s="1">
        <v>0</v>
      </c>
      <c r="Y505" s="1" t="b">
        <v>1</v>
      </c>
      <c r="Z505" s="1" t="b">
        <v>1</v>
      </c>
      <c r="AA505" s="1">
        <v>72.5</v>
      </c>
      <c r="AB505" s="1" t="b">
        <v>1</v>
      </c>
      <c r="AC505" s="1">
        <v>155411444</v>
      </c>
      <c r="AD505" s="1">
        <v>2399244</v>
      </c>
      <c r="AE505" s="1">
        <v>0</v>
      </c>
      <c r="AF505" s="1" t="s">
        <v>2134</v>
      </c>
      <c r="AG505" s="1" t="s">
        <v>2135</v>
      </c>
      <c r="AH505" s="1">
        <v>76.8</v>
      </c>
      <c r="AI505" s="1">
        <v>71</v>
      </c>
      <c r="AJ505" s="1" t="s">
        <v>2139</v>
      </c>
      <c r="AK505" s="1" t="s">
        <v>2140</v>
      </c>
      <c r="AL505" s="1" t="s">
        <v>2141</v>
      </c>
    </row>
    <row r="506" spans="1:38" x14ac:dyDescent="0.6">
      <c r="A506" s="1">
        <v>344</v>
      </c>
      <c r="B506" s="1" t="s">
        <v>103</v>
      </c>
      <c r="C506" s="1">
        <v>60</v>
      </c>
      <c r="D506" s="1" t="s">
        <v>127</v>
      </c>
      <c r="E506" s="1" t="s">
        <v>90</v>
      </c>
      <c r="F506" s="1"/>
      <c r="G506" s="1"/>
      <c r="H506" s="1" t="s">
        <v>91</v>
      </c>
      <c r="I506" s="1" t="s">
        <v>92</v>
      </c>
      <c r="J506" s="1" t="s">
        <v>109</v>
      </c>
      <c r="K506" s="1">
        <v>1</v>
      </c>
      <c r="L506" s="1">
        <v>120</v>
      </c>
      <c r="M506" s="1" t="s">
        <v>14</v>
      </c>
      <c r="N506" s="1" t="s">
        <v>14</v>
      </c>
      <c r="O506" s="1" t="s">
        <v>96</v>
      </c>
      <c r="P506" s="1"/>
      <c r="Q506" s="1" t="s">
        <v>200</v>
      </c>
      <c r="R506" s="1">
        <v>1</v>
      </c>
      <c r="S506" s="1"/>
      <c r="T506" s="1" t="s">
        <v>200</v>
      </c>
      <c r="U506" s="1"/>
      <c r="V506" s="1" t="b">
        <v>0</v>
      </c>
      <c r="W506" s="1" t="b">
        <v>1</v>
      </c>
      <c r="X506" s="1">
        <v>6</v>
      </c>
      <c r="Y506" s="1" t="b">
        <v>1</v>
      </c>
      <c r="Z506" s="1" t="b">
        <v>1</v>
      </c>
      <c r="AA506" s="1"/>
      <c r="AB506" s="1" t="b">
        <v>1</v>
      </c>
      <c r="AC506" s="1">
        <v>133359252</v>
      </c>
      <c r="AD506" s="1">
        <v>858476</v>
      </c>
      <c r="AE506" s="1">
        <v>0</v>
      </c>
      <c r="AF506" s="1" t="s">
        <v>2142</v>
      </c>
      <c r="AG506" s="1"/>
      <c r="AH506" s="1">
        <v>55.5</v>
      </c>
      <c r="AI506" s="1"/>
      <c r="AJ506" s="1" t="s">
        <v>2143</v>
      </c>
      <c r="AK506" s="1" t="s">
        <v>2144</v>
      </c>
      <c r="AL506" s="1" t="s">
        <v>2145</v>
      </c>
    </row>
    <row r="507" spans="1:38" x14ac:dyDescent="0.6">
      <c r="A507" s="1">
        <v>353</v>
      </c>
      <c r="B507" s="1" t="s">
        <v>103</v>
      </c>
      <c r="C507" s="1">
        <v>53</v>
      </c>
      <c r="D507" s="1" t="s">
        <v>89</v>
      </c>
      <c r="E507" s="1" t="s">
        <v>90</v>
      </c>
      <c r="F507" s="1"/>
      <c r="G507" s="1"/>
      <c r="H507" s="1" t="s">
        <v>220</v>
      </c>
      <c r="I507" s="1" t="s">
        <v>221</v>
      </c>
      <c r="J507" s="1" t="s">
        <v>222</v>
      </c>
      <c r="K507" s="1">
        <v>1.25</v>
      </c>
      <c r="L507" s="1">
        <v>120</v>
      </c>
      <c r="M507" s="1" t="s">
        <v>14</v>
      </c>
      <c r="N507" s="1" t="s">
        <v>95</v>
      </c>
      <c r="O507" s="1" t="s">
        <v>96</v>
      </c>
      <c r="P507" s="1"/>
      <c r="Q507" s="1" t="s">
        <v>9</v>
      </c>
      <c r="R507" s="1">
        <v>0</v>
      </c>
      <c r="S507" s="1" t="s">
        <v>97</v>
      </c>
      <c r="T507" s="1" t="s">
        <v>97</v>
      </c>
      <c r="U507" s="1" t="b">
        <v>1</v>
      </c>
      <c r="V507" s="1" t="b">
        <v>0</v>
      </c>
      <c r="W507" s="1" t="b">
        <v>0</v>
      </c>
      <c r="X507" s="1">
        <v>5</v>
      </c>
      <c r="Y507" s="1" t="b">
        <v>1</v>
      </c>
      <c r="Z507" s="1" t="b">
        <v>1</v>
      </c>
      <c r="AA507" s="1"/>
      <c r="AB507" s="1" t="b">
        <v>1</v>
      </c>
      <c r="AC507" s="1">
        <v>124392932</v>
      </c>
      <c r="AD507" s="1">
        <v>649756</v>
      </c>
      <c r="AE507" s="1">
        <v>0</v>
      </c>
      <c r="AF507" s="1" t="s">
        <v>2062</v>
      </c>
      <c r="AG507" s="1" t="s">
        <v>2063</v>
      </c>
      <c r="AH507" s="1">
        <v>59.4</v>
      </c>
      <c r="AI507" s="1">
        <v>64.099999999999994</v>
      </c>
      <c r="AJ507" s="1" t="s">
        <v>2146</v>
      </c>
      <c r="AK507" s="1" t="s">
        <v>2147</v>
      </c>
      <c r="AL507" s="1" t="s">
        <v>2148</v>
      </c>
    </row>
    <row r="508" spans="1:38" x14ac:dyDescent="0.6">
      <c r="A508" s="1">
        <v>359</v>
      </c>
      <c r="B508" s="1" t="s">
        <v>88</v>
      </c>
      <c r="C508" s="1">
        <v>56</v>
      </c>
      <c r="D508" s="1" t="s">
        <v>89</v>
      </c>
      <c r="E508" s="1" t="s">
        <v>108</v>
      </c>
      <c r="F508" s="1"/>
      <c r="G508" s="1"/>
      <c r="H508" s="1" t="s">
        <v>220</v>
      </c>
      <c r="I508" s="1" t="s">
        <v>221</v>
      </c>
      <c r="J508" s="1" t="s">
        <v>222</v>
      </c>
      <c r="K508" s="1">
        <v>1.25</v>
      </c>
      <c r="L508" s="1">
        <v>120</v>
      </c>
      <c r="M508" s="1" t="s">
        <v>7</v>
      </c>
      <c r="N508" s="1" t="s">
        <v>7</v>
      </c>
      <c r="O508" s="1" t="s">
        <v>96</v>
      </c>
      <c r="P508" s="1" t="s">
        <v>96</v>
      </c>
      <c r="Q508" s="1" t="s">
        <v>9</v>
      </c>
      <c r="R508" s="1">
        <v>0</v>
      </c>
      <c r="S508" s="1" t="s">
        <v>97</v>
      </c>
      <c r="T508" s="1" t="s">
        <v>97</v>
      </c>
      <c r="U508" s="1" t="b">
        <v>1</v>
      </c>
      <c r="V508" s="1" t="b">
        <v>0</v>
      </c>
      <c r="W508" s="1" t="b">
        <v>0</v>
      </c>
      <c r="X508" s="1">
        <v>5</v>
      </c>
      <c r="Y508" s="1" t="b">
        <v>1</v>
      </c>
      <c r="Z508" s="1" t="b">
        <v>1</v>
      </c>
      <c r="AA508" s="1">
        <v>62</v>
      </c>
      <c r="AB508" s="1" t="b">
        <v>0</v>
      </c>
      <c r="AC508" s="1">
        <v>0</v>
      </c>
      <c r="AD508" s="1">
        <v>2815641</v>
      </c>
      <c r="AE508" s="1">
        <v>150800743</v>
      </c>
      <c r="AF508" s="1" t="s">
        <v>2149</v>
      </c>
      <c r="AG508" s="1" t="s">
        <v>2149</v>
      </c>
      <c r="AH508" s="1">
        <v>64</v>
      </c>
      <c r="AI508" s="1">
        <v>59.2</v>
      </c>
      <c r="AJ508" s="1" t="s">
        <v>2150</v>
      </c>
      <c r="AK508" s="1" t="s">
        <v>2151</v>
      </c>
      <c r="AL508" s="1" t="s">
        <v>2152</v>
      </c>
    </row>
    <row r="509" spans="1:38" x14ac:dyDescent="0.6">
      <c r="A509" s="1">
        <v>363</v>
      </c>
      <c r="B509" s="1" t="s">
        <v>88</v>
      </c>
      <c r="C509" s="1">
        <v>65</v>
      </c>
      <c r="D509" s="1" t="s">
        <v>127</v>
      </c>
      <c r="E509" s="1" t="s">
        <v>90</v>
      </c>
      <c r="F509" s="1">
        <v>10.5</v>
      </c>
      <c r="G509" s="1"/>
      <c r="H509" s="1" t="s">
        <v>120</v>
      </c>
      <c r="I509" s="1" t="s">
        <v>121</v>
      </c>
      <c r="J509" s="1" t="s">
        <v>122</v>
      </c>
      <c r="K509" s="1">
        <v>1</v>
      </c>
      <c r="L509" s="1">
        <v>120</v>
      </c>
      <c r="M509" s="1" t="s">
        <v>94</v>
      </c>
      <c r="N509" s="1" t="s">
        <v>95</v>
      </c>
      <c r="O509" s="1"/>
      <c r="P509" s="1" t="s">
        <v>96</v>
      </c>
      <c r="Q509" s="1" t="s">
        <v>9</v>
      </c>
      <c r="R509" s="1">
        <v>0</v>
      </c>
      <c r="S509" s="1" t="s">
        <v>97</v>
      </c>
      <c r="T509" s="1" t="s">
        <v>97</v>
      </c>
      <c r="U509" s="1" t="b">
        <v>1</v>
      </c>
      <c r="V509" s="1" t="b">
        <v>0</v>
      </c>
      <c r="W509" s="1" t="b">
        <v>0</v>
      </c>
      <c r="X509" s="1">
        <v>0</v>
      </c>
      <c r="Y509" s="1" t="b">
        <v>1</v>
      </c>
      <c r="Z509" s="1" t="b">
        <v>1</v>
      </c>
      <c r="AA509" s="1">
        <v>68.8</v>
      </c>
      <c r="AB509" s="1" t="b">
        <v>1</v>
      </c>
      <c r="AC509" s="1">
        <v>140679052</v>
      </c>
      <c r="AD509" s="1">
        <v>1665140</v>
      </c>
      <c r="AE509" s="1">
        <v>0</v>
      </c>
      <c r="AF509" s="1" t="s">
        <v>2153</v>
      </c>
      <c r="AG509" s="1" t="s">
        <v>2154</v>
      </c>
      <c r="AH509" s="1">
        <v>60</v>
      </c>
      <c r="AI509" s="1">
        <v>62.7</v>
      </c>
      <c r="AJ509" s="1" t="s">
        <v>2155</v>
      </c>
      <c r="AK509" s="1" t="s">
        <v>2156</v>
      </c>
      <c r="AL509" s="1" t="s">
        <v>2157</v>
      </c>
    </row>
    <row r="510" spans="1:38" x14ac:dyDescent="0.6">
      <c r="A510" s="1">
        <v>347</v>
      </c>
      <c r="B510" s="1" t="s">
        <v>88</v>
      </c>
      <c r="C510" s="1">
        <v>54</v>
      </c>
      <c r="D510" s="1" t="s">
        <v>89</v>
      </c>
      <c r="E510" s="1" t="s">
        <v>108</v>
      </c>
      <c r="F510" s="1"/>
      <c r="G510" s="1"/>
      <c r="H510" s="1" t="s">
        <v>91</v>
      </c>
      <c r="I510" s="1" t="s">
        <v>92</v>
      </c>
      <c r="J510" s="1" t="s">
        <v>93</v>
      </c>
      <c r="K510" s="1">
        <v>1</v>
      </c>
      <c r="L510" s="1">
        <v>120</v>
      </c>
      <c r="M510" s="1" t="s">
        <v>14</v>
      </c>
      <c r="N510" s="1" t="s">
        <v>14</v>
      </c>
      <c r="O510" s="1" t="s">
        <v>96</v>
      </c>
      <c r="P510" s="1"/>
      <c r="Q510" s="1" t="s">
        <v>9</v>
      </c>
      <c r="R510" s="1">
        <v>0</v>
      </c>
      <c r="S510" s="1"/>
      <c r="T510" s="1" t="s">
        <v>97</v>
      </c>
      <c r="U510" s="1"/>
      <c r="V510" s="1" t="b">
        <v>0</v>
      </c>
      <c r="W510" s="1" t="b">
        <v>0</v>
      </c>
      <c r="X510" s="1">
        <v>5</v>
      </c>
      <c r="Y510" s="1" t="b">
        <v>1</v>
      </c>
      <c r="Z510" s="1" t="b">
        <v>1</v>
      </c>
      <c r="AA510" s="1"/>
      <c r="AB510" s="1" t="b">
        <v>1</v>
      </c>
      <c r="AC510" s="1">
        <v>160812145</v>
      </c>
      <c r="AD510" s="1">
        <v>668559</v>
      </c>
      <c r="AE510" s="1">
        <v>0</v>
      </c>
      <c r="AF510" s="1" t="s">
        <v>2158</v>
      </c>
      <c r="AG510" s="1"/>
      <c r="AH510" s="1">
        <v>70.599999999999994</v>
      </c>
      <c r="AI510" s="1"/>
      <c r="AJ510" s="1" t="s">
        <v>2159</v>
      </c>
      <c r="AK510" s="1" t="s">
        <v>2160</v>
      </c>
      <c r="AL510" s="1" t="s">
        <v>2161</v>
      </c>
    </row>
    <row r="511" spans="1:38" x14ac:dyDescent="0.6">
      <c r="A511" s="1">
        <v>346</v>
      </c>
      <c r="B511" s="1" t="s">
        <v>88</v>
      </c>
      <c r="C511" s="1">
        <v>70</v>
      </c>
      <c r="D511" s="1" t="s">
        <v>119</v>
      </c>
      <c r="E511" s="1" t="s">
        <v>108</v>
      </c>
      <c r="F511" s="1"/>
      <c r="G511" s="1"/>
      <c r="H511" s="1" t="s">
        <v>91</v>
      </c>
      <c r="I511" s="1" t="s">
        <v>92</v>
      </c>
      <c r="J511" s="1" t="s">
        <v>93</v>
      </c>
      <c r="K511" s="1">
        <v>1</v>
      </c>
      <c r="L511" s="1">
        <v>120</v>
      </c>
      <c r="M511" s="1" t="s">
        <v>7</v>
      </c>
      <c r="N511" s="1" t="s">
        <v>7</v>
      </c>
      <c r="O511" s="1" t="s">
        <v>96</v>
      </c>
      <c r="P511" s="1" t="s">
        <v>96</v>
      </c>
      <c r="Q511" s="1" t="s">
        <v>9</v>
      </c>
      <c r="R511" s="1">
        <v>0</v>
      </c>
      <c r="S511" s="1" t="s">
        <v>97</v>
      </c>
      <c r="T511" s="1" t="s">
        <v>97</v>
      </c>
      <c r="U511" s="1" t="b">
        <v>1</v>
      </c>
      <c r="V511" s="1" t="b">
        <v>0</v>
      </c>
      <c r="W511" s="1" t="b">
        <v>0</v>
      </c>
      <c r="X511" s="1">
        <v>5</v>
      </c>
      <c r="Y511" s="1" t="b">
        <v>1</v>
      </c>
      <c r="Z511" s="1" t="b">
        <v>1</v>
      </c>
      <c r="AA511" s="1">
        <v>61.7</v>
      </c>
      <c r="AB511" s="1" t="b">
        <v>0</v>
      </c>
      <c r="AC511" s="1">
        <v>0</v>
      </c>
      <c r="AD511" s="1">
        <v>2305998</v>
      </c>
      <c r="AE511" s="1">
        <v>152621106</v>
      </c>
      <c r="AF511" s="1" t="s">
        <v>2162</v>
      </c>
      <c r="AG511" s="1" t="s">
        <v>2162</v>
      </c>
      <c r="AH511" s="1">
        <v>66.599999999999994</v>
      </c>
      <c r="AI511" s="1">
        <v>61.3</v>
      </c>
      <c r="AJ511" s="1" t="s">
        <v>2163</v>
      </c>
      <c r="AK511" s="1" t="s">
        <v>2164</v>
      </c>
      <c r="AL511" s="1" t="s">
        <v>2165</v>
      </c>
    </row>
    <row r="512" spans="1:38" x14ac:dyDescent="0.6">
      <c r="A512" s="1">
        <v>364</v>
      </c>
      <c r="B512" s="1" t="s">
        <v>103</v>
      </c>
      <c r="C512" s="1">
        <v>72</v>
      </c>
      <c r="D512" s="1" t="s">
        <v>119</v>
      </c>
      <c r="E512" s="1" t="s">
        <v>90</v>
      </c>
      <c r="F512" s="1">
        <v>100</v>
      </c>
      <c r="G512" s="1"/>
      <c r="H512" s="1" t="s">
        <v>120</v>
      </c>
      <c r="I512" s="1" t="s">
        <v>121</v>
      </c>
      <c r="J512" s="1" t="s">
        <v>122</v>
      </c>
      <c r="K512" s="1">
        <v>1</v>
      </c>
      <c r="L512" s="1">
        <v>120</v>
      </c>
      <c r="M512" s="1" t="s">
        <v>14</v>
      </c>
      <c r="N512" s="1" t="s">
        <v>14</v>
      </c>
      <c r="O512" s="1" t="s">
        <v>96</v>
      </c>
      <c r="P512" s="1"/>
      <c r="Q512" s="1" t="s">
        <v>9</v>
      </c>
      <c r="R512" s="1">
        <v>0</v>
      </c>
      <c r="S512" s="1"/>
      <c r="T512" s="1" t="s">
        <v>97</v>
      </c>
      <c r="U512" s="1"/>
      <c r="V512" s="1" t="b">
        <v>0</v>
      </c>
      <c r="W512" s="1" t="b">
        <v>0</v>
      </c>
      <c r="X512" s="1">
        <v>5</v>
      </c>
      <c r="Y512" s="1" t="b">
        <v>1</v>
      </c>
      <c r="Z512" s="1" t="b">
        <v>1</v>
      </c>
      <c r="AA512" s="1"/>
      <c r="AB512" s="1" t="b">
        <v>1</v>
      </c>
      <c r="AC512" s="1">
        <v>138853396</v>
      </c>
      <c r="AD512" s="1">
        <v>607212</v>
      </c>
      <c r="AE512" s="1">
        <v>0</v>
      </c>
      <c r="AF512" s="1" t="s">
        <v>2166</v>
      </c>
      <c r="AG512" s="1"/>
      <c r="AH512" s="1">
        <v>69.099999999999994</v>
      </c>
      <c r="AI512" s="1"/>
      <c r="AJ512" s="1" t="s">
        <v>2167</v>
      </c>
      <c r="AK512" s="1" t="s">
        <v>2168</v>
      </c>
      <c r="AL512" s="1" t="s">
        <v>2169</v>
      </c>
    </row>
    <row r="513" spans="1:38" x14ac:dyDescent="0.6">
      <c r="A513" s="1">
        <v>367</v>
      </c>
      <c r="B513" s="1" t="s">
        <v>103</v>
      </c>
      <c r="C513" s="1">
        <v>50</v>
      </c>
      <c r="D513" s="1" t="s">
        <v>89</v>
      </c>
      <c r="E513" s="1" t="s">
        <v>108</v>
      </c>
      <c r="F513" s="1"/>
      <c r="G513" s="1"/>
      <c r="H513" s="1" t="s">
        <v>91</v>
      </c>
      <c r="I513" s="1" t="s">
        <v>92</v>
      </c>
      <c r="J513" s="1" t="s">
        <v>109</v>
      </c>
      <c r="K513" s="1">
        <v>1</v>
      </c>
      <c r="L513" s="1">
        <v>120</v>
      </c>
      <c r="M513" s="1" t="s">
        <v>14</v>
      </c>
      <c r="N513" s="1" t="s">
        <v>95</v>
      </c>
      <c r="O513" s="1" t="s">
        <v>96</v>
      </c>
      <c r="P513" s="1"/>
      <c r="Q513" s="1" t="s">
        <v>9</v>
      </c>
      <c r="R513" s="1">
        <v>0</v>
      </c>
      <c r="S513" s="1" t="s">
        <v>97</v>
      </c>
      <c r="T513" s="1" t="s">
        <v>97</v>
      </c>
      <c r="U513" s="1" t="b">
        <v>1</v>
      </c>
      <c r="V513" s="1" t="b">
        <v>0</v>
      </c>
      <c r="W513" s="1" t="b">
        <v>0</v>
      </c>
      <c r="X513" s="1">
        <v>5</v>
      </c>
      <c r="Y513" s="1" t="b">
        <v>1</v>
      </c>
      <c r="Z513" s="1" t="b">
        <v>1</v>
      </c>
      <c r="AA513" s="1"/>
      <c r="AB513" s="1" t="b">
        <v>1</v>
      </c>
      <c r="AC513" s="1">
        <v>152094894</v>
      </c>
      <c r="AD513" s="1">
        <v>472914</v>
      </c>
      <c r="AE513" s="1">
        <v>0</v>
      </c>
      <c r="AF513" s="1" t="s">
        <v>2170</v>
      </c>
      <c r="AG513" s="1" t="s">
        <v>2171</v>
      </c>
      <c r="AH513" s="1">
        <v>68.3</v>
      </c>
      <c r="AI513" s="1">
        <v>71.8</v>
      </c>
      <c r="AJ513" s="1" t="s">
        <v>2172</v>
      </c>
      <c r="AK513" s="1" t="s">
        <v>2173</v>
      </c>
      <c r="AL513" s="1" t="s">
        <v>2174</v>
      </c>
    </row>
    <row r="514" spans="1:38" x14ac:dyDescent="0.6">
      <c r="A514" s="1">
        <v>365</v>
      </c>
      <c r="B514" s="1" t="s">
        <v>103</v>
      </c>
      <c r="C514" s="1">
        <v>52</v>
      </c>
      <c r="D514" s="1" t="s">
        <v>89</v>
      </c>
      <c r="E514" s="1" t="s">
        <v>90</v>
      </c>
      <c r="F514" s="1">
        <v>10.5</v>
      </c>
      <c r="G514" s="1"/>
      <c r="H514" s="1" t="s">
        <v>120</v>
      </c>
      <c r="I514" s="1" t="s">
        <v>121</v>
      </c>
      <c r="J514" s="1" t="s">
        <v>122</v>
      </c>
      <c r="K514" s="1">
        <v>1</v>
      </c>
      <c r="L514" s="1">
        <v>120</v>
      </c>
      <c r="M514" s="1" t="s">
        <v>7</v>
      </c>
      <c r="N514" s="1" t="s">
        <v>7</v>
      </c>
      <c r="O514" s="1" t="s">
        <v>96</v>
      </c>
      <c r="P514" s="1" t="s">
        <v>96</v>
      </c>
      <c r="Q514" s="1" t="s">
        <v>9</v>
      </c>
      <c r="R514" s="1">
        <v>0</v>
      </c>
      <c r="S514" s="1" t="s">
        <v>97</v>
      </c>
      <c r="T514" s="1" t="s">
        <v>97</v>
      </c>
      <c r="U514" s="1" t="b">
        <v>1</v>
      </c>
      <c r="V514" s="1" t="b">
        <v>0</v>
      </c>
      <c r="W514" s="1" t="b">
        <v>0</v>
      </c>
      <c r="X514" s="1">
        <v>5</v>
      </c>
      <c r="Y514" s="1" t="b">
        <v>1</v>
      </c>
      <c r="Z514" s="1" t="b">
        <v>1</v>
      </c>
      <c r="AA514" s="1">
        <v>74.8</v>
      </c>
      <c r="AB514" s="1" t="b">
        <v>0</v>
      </c>
      <c r="AC514" s="1">
        <v>0</v>
      </c>
      <c r="AD514" s="1">
        <v>3108682</v>
      </c>
      <c r="AE514" s="1">
        <v>157061302</v>
      </c>
      <c r="AF514" s="1" t="s">
        <v>2175</v>
      </c>
      <c r="AG514" s="1" t="s">
        <v>2175</v>
      </c>
      <c r="AH514" s="1">
        <v>63.2</v>
      </c>
      <c r="AI514" s="1">
        <v>66.599999999999994</v>
      </c>
      <c r="AJ514" s="1" t="s">
        <v>2176</v>
      </c>
      <c r="AK514" s="1" t="s">
        <v>2177</v>
      </c>
      <c r="AL514" s="1" t="s">
        <v>2178</v>
      </c>
    </row>
    <row r="515" spans="1:38" x14ac:dyDescent="0.6">
      <c r="A515" s="1">
        <v>371</v>
      </c>
      <c r="B515" s="1" t="s">
        <v>103</v>
      </c>
      <c r="C515" s="1">
        <v>66</v>
      </c>
      <c r="D515" s="1" t="s">
        <v>127</v>
      </c>
      <c r="E515" s="1" t="s">
        <v>90</v>
      </c>
      <c r="F515" s="1"/>
      <c r="G515" s="1"/>
      <c r="H515" s="1" t="s">
        <v>91</v>
      </c>
      <c r="I515" s="1" t="s">
        <v>92</v>
      </c>
      <c r="J515" s="1" t="s">
        <v>109</v>
      </c>
      <c r="K515" s="1">
        <v>1</v>
      </c>
      <c r="L515" s="1">
        <v>120</v>
      </c>
      <c r="M515" s="1" t="s">
        <v>14</v>
      </c>
      <c r="N515" s="1" t="s">
        <v>95</v>
      </c>
      <c r="O515" s="1" t="s">
        <v>96</v>
      </c>
      <c r="P515" s="1"/>
      <c r="Q515" s="1" t="s">
        <v>9</v>
      </c>
      <c r="R515" s="1">
        <v>0</v>
      </c>
      <c r="S515" s="1" t="s">
        <v>97</v>
      </c>
      <c r="T515" s="1" t="s">
        <v>97</v>
      </c>
      <c r="U515" s="1" t="b">
        <v>1</v>
      </c>
      <c r="V515" s="1" t="b">
        <v>0</v>
      </c>
      <c r="W515" s="1" t="b">
        <v>0</v>
      </c>
      <c r="X515" s="1">
        <v>5</v>
      </c>
      <c r="Y515" s="1" t="b">
        <v>1</v>
      </c>
      <c r="Z515" s="1" t="b">
        <v>1</v>
      </c>
      <c r="AA515" s="1"/>
      <c r="AB515" s="1" t="b">
        <v>1</v>
      </c>
      <c r="AC515" s="1">
        <v>120598207</v>
      </c>
      <c r="AD515" s="1">
        <v>512321</v>
      </c>
      <c r="AE515" s="1">
        <v>0</v>
      </c>
      <c r="AF515" s="1" t="s">
        <v>2179</v>
      </c>
      <c r="AG515" s="1" t="s">
        <v>2180</v>
      </c>
      <c r="AH515" s="1">
        <v>59.6</v>
      </c>
      <c r="AI515" s="1">
        <v>57.6</v>
      </c>
      <c r="AJ515" s="1" t="s">
        <v>2181</v>
      </c>
      <c r="AK515" s="1" t="s">
        <v>2182</v>
      </c>
      <c r="AL515" s="1" t="s">
        <v>2183</v>
      </c>
    </row>
    <row r="516" spans="1:38" x14ac:dyDescent="0.6">
      <c r="A516" s="1">
        <v>369</v>
      </c>
      <c r="B516" s="1" t="s">
        <v>103</v>
      </c>
      <c r="C516" s="1">
        <v>63</v>
      </c>
      <c r="D516" s="1" t="s">
        <v>127</v>
      </c>
      <c r="E516" s="1" t="s">
        <v>90</v>
      </c>
      <c r="F516" s="1"/>
      <c r="G516" s="1"/>
      <c r="H516" s="1" t="s">
        <v>91</v>
      </c>
      <c r="I516" s="1" t="s">
        <v>92</v>
      </c>
      <c r="J516" s="1" t="s">
        <v>109</v>
      </c>
      <c r="K516" s="1">
        <v>1</v>
      </c>
      <c r="L516" s="1">
        <v>120</v>
      </c>
      <c r="M516" s="1" t="s">
        <v>14</v>
      </c>
      <c r="N516" s="1" t="s">
        <v>14</v>
      </c>
      <c r="O516" s="1" t="s">
        <v>96</v>
      </c>
      <c r="P516" s="1"/>
      <c r="Q516" s="1" t="s">
        <v>9</v>
      </c>
      <c r="R516" s="1">
        <v>0</v>
      </c>
      <c r="S516" s="1"/>
      <c r="T516" s="1" t="s">
        <v>97</v>
      </c>
      <c r="U516" s="1"/>
      <c r="V516" s="1" t="b">
        <v>0</v>
      </c>
      <c r="W516" s="1" t="b">
        <v>0</v>
      </c>
      <c r="X516" s="1">
        <v>5</v>
      </c>
      <c r="Y516" s="1" t="b">
        <v>1</v>
      </c>
      <c r="Z516" s="1" t="b">
        <v>1</v>
      </c>
      <c r="AA516" s="1"/>
      <c r="AB516" s="1" t="b">
        <v>1</v>
      </c>
      <c r="AC516" s="1">
        <v>135215541</v>
      </c>
      <c r="AD516" s="1">
        <v>575051</v>
      </c>
      <c r="AE516" s="1">
        <v>0</v>
      </c>
      <c r="AF516" s="1" t="s">
        <v>2184</v>
      </c>
      <c r="AG516" s="1"/>
      <c r="AH516" s="1">
        <v>77.599999999999994</v>
      </c>
      <c r="AI516" s="1"/>
      <c r="AJ516" s="1" t="s">
        <v>2185</v>
      </c>
      <c r="AK516" s="1" t="s">
        <v>2186</v>
      </c>
      <c r="AL516" s="1" t="s">
        <v>2187</v>
      </c>
    </row>
    <row r="517" spans="1:38" x14ac:dyDescent="0.6">
      <c r="A517" s="1">
        <v>367</v>
      </c>
      <c r="B517" s="1" t="s">
        <v>103</v>
      </c>
      <c r="C517" s="1">
        <v>50</v>
      </c>
      <c r="D517" s="1" t="s">
        <v>89</v>
      </c>
      <c r="E517" s="1" t="s">
        <v>108</v>
      </c>
      <c r="F517" s="1"/>
      <c r="G517" s="1"/>
      <c r="H517" s="1" t="s">
        <v>91</v>
      </c>
      <c r="I517" s="1" t="s">
        <v>92</v>
      </c>
      <c r="J517" s="1" t="s">
        <v>109</v>
      </c>
      <c r="K517" s="1">
        <v>1</v>
      </c>
      <c r="L517" s="1">
        <v>120</v>
      </c>
      <c r="M517" s="1" t="s">
        <v>94</v>
      </c>
      <c r="N517" s="1" t="s">
        <v>95</v>
      </c>
      <c r="O517" s="1"/>
      <c r="P517" s="1" t="s">
        <v>96</v>
      </c>
      <c r="Q517" s="1" t="s">
        <v>9</v>
      </c>
      <c r="R517" s="1">
        <v>0</v>
      </c>
      <c r="S517" s="1" t="s">
        <v>97</v>
      </c>
      <c r="T517" s="1" t="s">
        <v>97</v>
      </c>
      <c r="U517" s="1" t="b">
        <v>1</v>
      </c>
      <c r="V517" s="1" t="b">
        <v>0</v>
      </c>
      <c r="W517" s="1" t="b">
        <v>0</v>
      </c>
      <c r="X517" s="1">
        <v>0</v>
      </c>
      <c r="Y517" s="1" t="b">
        <v>1</v>
      </c>
      <c r="Z517" s="1" t="b">
        <v>1</v>
      </c>
      <c r="AA517" s="1">
        <v>75.7</v>
      </c>
      <c r="AB517" s="1" t="b">
        <v>1</v>
      </c>
      <c r="AC517" s="1">
        <v>160905596</v>
      </c>
      <c r="AD517" s="1">
        <v>1361540</v>
      </c>
      <c r="AE517" s="1">
        <v>0</v>
      </c>
      <c r="AF517" s="1" t="s">
        <v>2170</v>
      </c>
      <c r="AG517" s="1" t="s">
        <v>2171</v>
      </c>
      <c r="AH517" s="1">
        <v>68.3</v>
      </c>
      <c r="AI517" s="1">
        <v>71.8</v>
      </c>
      <c r="AJ517" s="1" t="s">
        <v>2188</v>
      </c>
      <c r="AK517" s="1" t="s">
        <v>2189</v>
      </c>
      <c r="AL517" s="1" t="s">
        <v>2190</v>
      </c>
    </row>
    <row r="518" spans="1:38" x14ac:dyDescent="0.6">
      <c r="A518" s="1">
        <v>368</v>
      </c>
      <c r="B518" s="1" t="s">
        <v>103</v>
      </c>
      <c r="C518" s="1">
        <v>74</v>
      </c>
      <c r="D518" s="1" t="s">
        <v>119</v>
      </c>
      <c r="E518" s="1" t="s">
        <v>90</v>
      </c>
      <c r="F518" s="1"/>
      <c r="G518" s="1"/>
      <c r="H518" s="1" t="s">
        <v>91</v>
      </c>
      <c r="I518" s="1" t="s">
        <v>92</v>
      </c>
      <c r="J518" s="1" t="s">
        <v>109</v>
      </c>
      <c r="K518" s="1">
        <v>1</v>
      </c>
      <c r="L518" s="1">
        <v>120</v>
      </c>
      <c r="M518" s="1" t="s">
        <v>7</v>
      </c>
      <c r="N518" s="1" t="s">
        <v>7</v>
      </c>
      <c r="O518" s="1" t="s">
        <v>96</v>
      </c>
      <c r="P518" s="1" t="s">
        <v>96</v>
      </c>
      <c r="Q518" s="1" t="s">
        <v>9</v>
      </c>
      <c r="R518" s="1">
        <v>0</v>
      </c>
      <c r="S518" s="1" t="s">
        <v>97</v>
      </c>
      <c r="T518" s="1" t="s">
        <v>97</v>
      </c>
      <c r="U518" s="1" t="b">
        <v>1</v>
      </c>
      <c r="V518" s="1" t="b">
        <v>0</v>
      </c>
      <c r="W518" s="1" t="b">
        <v>0</v>
      </c>
      <c r="X518" s="1">
        <v>5</v>
      </c>
      <c r="Y518" s="1" t="b">
        <v>1</v>
      </c>
      <c r="Z518" s="1" t="b">
        <v>1</v>
      </c>
      <c r="AA518" s="1">
        <v>61.3</v>
      </c>
      <c r="AB518" s="1" t="b">
        <v>0</v>
      </c>
      <c r="AC518" s="1">
        <v>0</v>
      </c>
      <c r="AD518" s="1">
        <v>2709623</v>
      </c>
      <c r="AE518" s="1">
        <v>139110281</v>
      </c>
      <c r="AF518" s="1" t="s">
        <v>2191</v>
      </c>
      <c r="AG518" s="1" t="s">
        <v>2191</v>
      </c>
      <c r="AH518" s="1">
        <v>63.7</v>
      </c>
      <c r="AI518" s="1">
        <v>59.4</v>
      </c>
      <c r="AJ518" s="1" t="s">
        <v>2192</v>
      </c>
      <c r="AK518" s="1" t="s">
        <v>2193</v>
      </c>
      <c r="AL518" s="1" t="s">
        <v>2194</v>
      </c>
    </row>
    <row r="519" spans="1:38" x14ac:dyDescent="0.6">
      <c r="A519" s="1">
        <v>370</v>
      </c>
      <c r="B519" s="1" t="s">
        <v>103</v>
      </c>
      <c r="C519" s="1">
        <v>50</v>
      </c>
      <c r="D519" s="1" t="s">
        <v>89</v>
      </c>
      <c r="E519" s="1" t="s">
        <v>108</v>
      </c>
      <c r="F519" s="1"/>
      <c r="G519" s="1"/>
      <c r="H519" s="1" t="s">
        <v>91</v>
      </c>
      <c r="I519" s="1" t="s">
        <v>92</v>
      </c>
      <c r="J519" s="1" t="s">
        <v>109</v>
      </c>
      <c r="K519" s="1">
        <v>1</v>
      </c>
      <c r="L519" s="1">
        <v>120</v>
      </c>
      <c r="M519" s="1" t="s">
        <v>7</v>
      </c>
      <c r="N519" s="1" t="s">
        <v>7</v>
      </c>
      <c r="O519" s="1" t="s">
        <v>96</v>
      </c>
      <c r="P519" s="1" t="s">
        <v>96</v>
      </c>
      <c r="Q519" s="1" t="s">
        <v>9</v>
      </c>
      <c r="R519" s="1">
        <v>0</v>
      </c>
      <c r="S519" s="1" t="s">
        <v>97</v>
      </c>
      <c r="T519" s="1" t="s">
        <v>97</v>
      </c>
      <c r="U519" s="1" t="b">
        <v>1</v>
      </c>
      <c r="V519" s="1" t="b">
        <v>0</v>
      </c>
      <c r="W519" s="1" t="b">
        <v>0</v>
      </c>
      <c r="X519" s="1">
        <v>5</v>
      </c>
      <c r="Y519" s="1" t="b">
        <v>1</v>
      </c>
      <c r="Z519" s="1" t="b">
        <v>1</v>
      </c>
      <c r="AA519" s="1">
        <v>67.400000000000006</v>
      </c>
      <c r="AB519" s="1" t="b">
        <v>0</v>
      </c>
      <c r="AC519" s="1">
        <v>0</v>
      </c>
      <c r="AD519" s="1">
        <v>3357915</v>
      </c>
      <c r="AE519" s="1">
        <v>140034853</v>
      </c>
      <c r="AF519" s="1" t="s">
        <v>2195</v>
      </c>
      <c r="AG519" s="1" t="s">
        <v>2195</v>
      </c>
      <c r="AH519" s="1">
        <v>72.5</v>
      </c>
      <c r="AI519" s="1">
        <v>64.7</v>
      </c>
      <c r="AJ519" s="1" t="s">
        <v>2196</v>
      </c>
      <c r="AK519" s="1" t="s">
        <v>2197</v>
      </c>
      <c r="AL519" s="1" t="s">
        <v>2198</v>
      </c>
    </row>
    <row r="520" spans="1:38" x14ac:dyDescent="0.6">
      <c r="A520" s="1">
        <v>374</v>
      </c>
      <c r="B520" s="1" t="s">
        <v>103</v>
      </c>
      <c r="C520" s="1">
        <v>59</v>
      </c>
      <c r="D520" s="1" t="s">
        <v>89</v>
      </c>
      <c r="E520" s="1" t="s">
        <v>108</v>
      </c>
      <c r="F520" s="1"/>
      <c r="G520" s="1"/>
      <c r="H520" s="1" t="s">
        <v>91</v>
      </c>
      <c r="I520" s="1" t="s">
        <v>92</v>
      </c>
      <c r="J520" s="1" t="s">
        <v>109</v>
      </c>
      <c r="K520" s="1">
        <v>1</v>
      </c>
      <c r="L520" s="1">
        <v>120</v>
      </c>
      <c r="M520" s="1" t="s">
        <v>14</v>
      </c>
      <c r="N520" s="1" t="s">
        <v>95</v>
      </c>
      <c r="O520" s="1" t="s">
        <v>96</v>
      </c>
      <c r="P520" s="1"/>
      <c r="Q520" s="1" t="s">
        <v>9</v>
      </c>
      <c r="R520" s="1">
        <v>0</v>
      </c>
      <c r="S520" s="1" t="s">
        <v>97</v>
      </c>
      <c r="T520" s="1" t="s">
        <v>97</v>
      </c>
      <c r="U520" s="1" t="b">
        <v>1</v>
      </c>
      <c r="V520" s="1" t="b">
        <v>0</v>
      </c>
      <c r="W520" s="1" t="b">
        <v>0</v>
      </c>
      <c r="X520" s="1">
        <v>5</v>
      </c>
      <c r="Y520" s="1" t="b">
        <v>1</v>
      </c>
      <c r="Z520" s="1" t="b">
        <v>1</v>
      </c>
      <c r="AA520" s="1"/>
      <c r="AB520" s="1" t="b">
        <v>1</v>
      </c>
      <c r="AC520" s="1">
        <v>161929355</v>
      </c>
      <c r="AD520" s="1">
        <v>599925</v>
      </c>
      <c r="AE520" s="1">
        <v>0</v>
      </c>
      <c r="AF520" s="1" t="s">
        <v>2199</v>
      </c>
      <c r="AG520" s="1" t="s">
        <v>2200</v>
      </c>
      <c r="AH520" s="1">
        <v>64.400000000000006</v>
      </c>
      <c r="AI520" s="1">
        <v>59.3</v>
      </c>
      <c r="AJ520" s="1" t="s">
        <v>2201</v>
      </c>
      <c r="AK520" s="1" t="s">
        <v>2202</v>
      </c>
      <c r="AL520" s="1" t="s">
        <v>2203</v>
      </c>
    </row>
    <row r="521" spans="1:38" x14ac:dyDescent="0.6">
      <c r="A521" s="1">
        <v>362</v>
      </c>
      <c r="B521" s="1" t="s">
        <v>88</v>
      </c>
      <c r="C521" s="1">
        <v>61</v>
      </c>
      <c r="D521" s="1" t="s">
        <v>127</v>
      </c>
      <c r="E521" s="1" t="s">
        <v>90</v>
      </c>
      <c r="F521" s="1"/>
      <c r="G521" s="1"/>
      <c r="H521" s="1" t="s">
        <v>220</v>
      </c>
      <c r="I521" s="1" t="s">
        <v>221</v>
      </c>
      <c r="J521" s="1" t="s">
        <v>1176</v>
      </c>
      <c r="K521" s="1">
        <v>1.25</v>
      </c>
      <c r="L521" s="1">
        <v>120</v>
      </c>
      <c r="M521" s="1" t="s">
        <v>7</v>
      </c>
      <c r="N521" s="1" t="s">
        <v>7</v>
      </c>
      <c r="O521" s="1" t="s">
        <v>96</v>
      </c>
      <c r="P521" s="1" t="s">
        <v>96</v>
      </c>
      <c r="Q521" s="1" t="s">
        <v>9</v>
      </c>
      <c r="R521" s="1">
        <v>0</v>
      </c>
      <c r="S521" s="1" t="s">
        <v>97</v>
      </c>
      <c r="T521" s="1" t="s">
        <v>97</v>
      </c>
      <c r="U521" s="1" t="b">
        <v>1</v>
      </c>
      <c r="V521" s="1" t="b">
        <v>0</v>
      </c>
      <c r="W521" s="1" t="b">
        <v>0</v>
      </c>
      <c r="X521" s="1">
        <v>5</v>
      </c>
      <c r="Y521" s="1" t="b">
        <v>1</v>
      </c>
      <c r="Z521" s="1" t="b">
        <v>1</v>
      </c>
      <c r="AA521" s="1">
        <v>79.7</v>
      </c>
      <c r="AB521" s="1" t="b">
        <v>0</v>
      </c>
      <c r="AC521" s="1">
        <v>0</v>
      </c>
      <c r="AD521" s="1">
        <v>2311272</v>
      </c>
      <c r="AE521" s="1">
        <v>132955032</v>
      </c>
      <c r="AF521" s="1" t="s">
        <v>2204</v>
      </c>
      <c r="AG521" s="1" t="s">
        <v>2204</v>
      </c>
      <c r="AH521" s="1">
        <v>71.599999999999994</v>
      </c>
      <c r="AI521" s="1">
        <v>73.5</v>
      </c>
      <c r="AJ521" s="1" t="s">
        <v>2205</v>
      </c>
      <c r="AK521" s="1" t="s">
        <v>2206</v>
      </c>
      <c r="AL521" s="1" t="s">
        <v>2207</v>
      </c>
    </row>
    <row r="522" spans="1:38" x14ac:dyDescent="0.6">
      <c r="A522" s="1">
        <v>374</v>
      </c>
      <c r="B522" s="1" t="s">
        <v>103</v>
      </c>
      <c r="C522" s="1">
        <v>59</v>
      </c>
      <c r="D522" s="1" t="s">
        <v>89</v>
      </c>
      <c r="E522" s="1" t="s">
        <v>108</v>
      </c>
      <c r="F522" s="1"/>
      <c r="G522" s="1"/>
      <c r="H522" s="1" t="s">
        <v>91</v>
      </c>
      <c r="I522" s="1" t="s">
        <v>92</v>
      </c>
      <c r="J522" s="1" t="s">
        <v>109</v>
      </c>
      <c r="K522" s="1">
        <v>1</v>
      </c>
      <c r="L522" s="1">
        <v>120</v>
      </c>
      <c r="M522" s="1" t="s">
        <v>94</v>
      </c>
      <c r="N522" s="1" t="s">
        <v>95</v>
      </c>
      <c r="O522" s="1"/>
      <c r="P522" s="1" t="s">
        <v>96</v>
      </c>
      <c r="Q522" s="1" t="s">
        <v>9</v>
      </c>
      <c r="R522" s="1">
        <v>0</v>
      </c>
      <c r="S522" s="1" t="s">
        <v>97</v>
      </c>
      <c r="T522" s="1" t="s">
        <v>97</v>
      </c>
      <c r="U522" s="1" t="b">
        <v>1</v>
      </c>
      <c r="V522" s="1" t="b">
        <v>0</v>
      </c>
      <c r="W522" s="1" t="b">
        <v>0</v>
      </c>
      <c r="X522" s="1">
        <v>0</v>
      </c>
      <c r="Y522" s="1" t="b">
        <v>1</v>
      </c>
      <c r="Z522" s="1" t="b">
        <v>1</v>
      </c>
      <c r="AA522" s="1">
        <v>60.6</v>
      </c>
      <c r="AB522" s="1" t="b">
        <v>1</v>
      </c>
      <c r="AC522" s="1">
        <v>166837799</v>
      </c>
      <c r="AD522" s="1">
        <v>1720793</v>
      </c>
      <c r="AE522" s="1">
        <v>0</v>
      </c>
      <c r="AF522" s="1" t="s">
        <v>2199</v>
      </c>
      <c r="AG522" s="1" t="s">
        <v>2200</v>
      </c>
      <c r="AH522" s="1">
        <v>64.400000000000006</v>
      </c>
      <c r="AI522" s="1">
        <v>59.3</v>
      </c>
      <c r="AJ522" s="1" t="s">
        <v>2208</v>
      </c>
      <c r="AK522" s="1" t="s">
        <v>2209</v>
      </c>
      <c r="AL522" s="1" t="s">
        <v>2210</v>
      </c>
    </row>
    <row r="523" spans="1:38" x14ac:dyDescent="0.6">
      <c r="A523" s="1">
        <v>380</v>
      </c>
      <c r="B523" s="1" t="s">
        <v>103</v>
      </c>
      <c r="C523" s="1">
        <v>69</v>
      </c>
      <c r="D523" s="1" t="s">
        <v>127</v>
      </c>
      <c r="E523" s="1" t="s">
        <v>90</v>
      </c>
      <c r="F523" s="1"/>
      <c r="G523" s="1"/>
      <c r="H523" s="1" t="s">
        <v>91</v>
      </c>
      <c r="I523" s="1" t="s">
        <v>92</v>
      </c>
      <c r="J523" s="1" t="s">
        <v>93</v>
      </c>
      <c r="K523" s="1">
        <v>1</v>
      </c>
      <c r="L523" s="1">
        <v>120</v>
      </c>
      <c r="M523" s="1" t="s">
        <v>14</v>
      </c>
      <c r="N523" s="1" t="s">
        <v>95</v>
      </c>
      <c r="O523" s="1" t="s">
        <v>96</v>
      </c>
      <c r="P523" s="1"/>
      <c r="Q523" s="1" t="s">
        <v>9</v>
      </c>
      <c r="R523" s="1">
        <v>0</v>
      </c>
      <c r="S523" s="1" t="s">
        <v>97</v>
      </c>
      <c r="T523" s="1" t="s">
        <v>97</v>
      </c>
      <c r="U523" s="1" t="b">
        <v>1</v>
      </c>
      <c r="V523" s="1" t="b">
        <v>0</v>
      </c>
      <c r="W523" s="1" t="b">
        <v>0</v>
      </c>
      <c r="X523" s="1">
        <v>5</v>
      </c>
      <c r="Y523" s="1" t="b">
        <v>1</v>
      </c>
      <c r="Z523" s="1" t="b">
        <v>1</v>
      </c>
      <c r="AA523" s="1"/>
      <c r="AB523" s="1" t="b">
        <v>1</v>
      </c>
      <c r="AC523" s="1">
        <v>126213536</v>
      </c>
      <c r="AD523" s="1">
        <v>402016</v>
      </c>
      <c r="AE523" s="1">
        <v>0</v>
      </c>
      <c r="AF523" s="1" t="s">
        <v>2211</v>
      </c>
      <c r="AG523" s="1" t="s">
        <v>2212</v>
      </c>
      <c r="AH523" s="1">
        <v>51.2</v>
      </c>
      <c r="AI523" s="1">
        <v>55</v>
      </c>
      <c r="AJ523" s="1" t="s">
        <v>2213</v>
      </c>
      <c r="AK523" s="1" t="s">
        <v>2214</v>
      </c>
      <c r="AL523" s="1" t="s">
        <v>2215</v>
      </c>
    </row>
    <row r="524" spans="1:38" x14ac:dyDescent="0.6">
      <c r="A524" s="1">
        <v>380</v>
      </c>
      <c r="B524" s="1" t="s">
        <v>103</v>
      </c>
      <c r="C524" s="1">
        <v>69</v>
      </c>
      <c r="D524" s="1" t="s">
        <v>127</v>
      </c>
      <c r="E524" s="1" t="s">
        <v>90</v>
      </c>
      <c r="F524" s="1"/>
      <c r="G524" s="1"/>
      <c r="H524" s="1" t="s">
        <v>91</v>
      </c>
      <c r="I524" s="1" t="s">
        <v>92</v>
      </c>
      <c r="J524" s="1" t="s">
        <v>93</v>
      </c>
      <c r="K524" s="1">
        <v>1</v>
      </c>
      <c r="L524" s="1">
        <v>120</v>
      </c>
      <c r="M524" s="1" t="s">
        <v>94</v>
      </c>
      <c r="N524" s="1" t="s">
        <v>95</v>
      </c>
      <c r="O524" s="1"/>
      <c r="P524" s="1" t="s">
        <v>96</v>
      </c>
      <c r="Q524" s="1" t="s">
        <v>9</v>
      </c>
      <c r="R524" s="1">
        <v>0</v>
      </c>
      <c r="S524" s="1" t="s">
        <v>97</v>
      </c>
      <c r="T524" s="1" t="s">
        <v>97</v>
      </c>
      <c r="U524" s="1" t="b">
        <v>1</v>
      </c>
      <c r="V524" s="1" t="b">
        <v>0</v>
      </c>
      <c r="W524" s="1" t="b">
        <v>0</v>
      </c>
      <c r="X524" s="1">
        <v>0</v>
      </c>
      <c r="Y524" s="1" t="b">
        <v>1</v>
      </c>
      <c r="Z524" s="1" t="b">
        <v>1</v>
      </c>
      <c r="AA524" s="1">
        <v>62</v>
      </c>
      <c r="AB524" s="1" t="b">
        <v>1</v>
      </c>
      <c r="AC524" s="1">
        <v>130165899</v>
      </c>
      <c r="AD524" s="1">
        <v>1168245</v>
      </c>
      <c r="AE524" s="1">
        <v>0</v>
      </c>
      <c r="AF524" s="1" t="s">
        <v>2211</v>
      </c>
      <c r="AG524" s="1" t="s">
        <v>2212</v>
      </c>
      <c r="AH524" s="1">
        <v>51.2</v>
      </c>
      <c r="AI524" s="1">
        <v>55</v>
      </c>
      <c r="AJ524" s="1" t="s">
        <v>2216</v>
      </c>
      <c r="AK524" s="1" t="s">
        <v>2217</v>
      </c>
      <c r="AL524" s="1" t="s">
        <v>2218</v>
      </c>
    </row>
    <row r="525" spans="1:38" x14ac:dyDescent="0.6">
      <c r="A525" s="1">
        <v>373</v>
      </c>
      <c r="B525" s="1" t="s">
        <v>103</v>
      </c>
      <c r="C525" s="1">
        <v>61</v>
      </c>
      <c r="D525" s="1" t="s">
        <v>127</v>
      </c>
      <c r="E525" s="1" t="s">
        <v>90</v>
      </c>
      <c r="F525" s="1"/>
      <c r="G525" s="1"/>
      <c r="H525" s="1" t="s">
        <v>91</v>
      </c>
      <c r="I525" s="1" t="s">
        <v>92</v>
      </c>
      <c r="J525" s="1" t="s">
        <v>109</v>
      </c>
      <c r="K525" s="1">
        <v>1</v>
      </c>
      <c r="L525" s="1">
        <v>120</v>
      </c>
      <c r="M525" s="1" t="s">
        <v>7</v>
      </c>
      <c r="N525" s="1" t="s">
        <v>7</v>
      </c>
      <c r="O525" s="1" t="s">
        <v>96</v>
      </c>
      <c r="P525" s="1" t="s">
        <v>96</v>
      </c>
      <c r="Q525" s="1" t="s">
        <v>9</v>
      </c>
      <c r="R525" s="1">
        <v>0</v>
      </c>
      <c r="S525" s="1" t="s">
        <v>97</v>
      </c>
      <c r="T525" s="1" t="s">
        <v>97</v>
      </c>
      <c r="U525" s="1" t="b">
        <v>1</v>
      </c>
      <c r="V525" s="1" t="b">
        <v>0</v>
      </c>
      <c r="W525" s="1" t="b">
        <v>0</v>
      </c>
      <c r="X525" s="1">
        <v>5</v>
      </c>
      <c r="Y525" s="1" t="b">
        <v>1</v>
      </c>
      <c r="Z525" s="1" t="b">
        <v>1</v>
      </c>
      <c r="AA525" s="1">
        <v>62.5</v>
      </c>
      <c r="AB525" s="1" t="b">
        <v>0</v>
      </c>
      <c r="AC525" s="1">
        <v>0</v>
      </c>
      <c r="AD525" s="1">
        <v>3266185</v>
      </c>
      <c r="AE525" s="1">
        <v>147728759</v>
      </c>
      <c r="AF525" s="1" t="s">
        <v>2219</v>
      </c>
      <c r="AG525" s="1" t="s">
        <v>2219</v>
      </c>
      <c r="AH525" s="1">
        <v>33.6</v>
      </c>
      <c r="AI525" s="1">
        <v>58.6</v>
      </c>
      <c r="AJ525" s="1" t="s">
        <v>2220</v>
      </c>
      <c r="AK525" s="1" t="s">
        <v>2221</v>
      </c>
      <c r="AL525" s="1" t="s">
        <v>2222</v>
      </c>
    </row>
    <row r="526" spans="1:38" x14ac:dyDescent="0.6">
      <c r="A526" s="1">
        <v>371</v>
      </c>
      <c r="B526" s="1" t="s">
        <v>103</v>
      </c>
      <c r="C526" s="1">
        <v>66</v>
      </c>
      <c r="D526" s="1" t="s">
        <v>127</v>
      </c>
      <c r="E526" s="1" t="s">
        <v>90</v>
      </c>
      <c r="F526" s="1"/>
      <c r="G526" s="1"/>
      <c r="H526" s="1" t="s">
        <v>91</v>
      </c>
      <c r="I526" s="1" t="s">
        <v>92</v>
      </c>
      <c r="J526" s="1" t="s">
        <v>109</v>
      </c>
      <c r="K526" s="1">
        <v>1</v>
      </c>
      <c r="L526" s="1">
        <v>120</v>
      </c>
      <c r="M526" s="1" t="s">
        <v>94</v>
      </c>
      <c r="N526" s="1" t="s">
        <v>95</v>
      </c>
      <c r="O526" s="1"/>
      <c r="P526" s="1" t="s">
        <v>96</v>
      </c>
      <c r="Q526" s="1" t="s">
        <v>9</v>
      </c>
      <c r="R526" s="1">
        <v>0</v>
      </c>
      <c r="S526" s="1" t="s">
        <v>97</v>
      </c>
      <c r="T526" s="1" t="s">
        <v>97</v>
      </c>
      <c r="U526" s="1" t="b">
        <v>1</v>
      </c>
      <c r="V526" s="1" t="b">
        <v>0</v>
      </c>
      <c r="W526" s="1" t="b">
        <v>0</v>
      </c>
      <c r="X526" s="1">
        <v>0</v>
      </c>
      <c r="Y526" s="1" t="b">
        <v>1</v>
      </c>
      <c r="Z526" s="1" t="b">
        <v>1</v>
      </c>
      <c r="AA526" s="1">
        <v>59.7</v>
      </c>
      <c r="AB526" s="1" t="b">
        <v>1</v>
      </c>
      <c r="AC526" s="1">
        <v>125374097</v>
      </c>
      <c r="AD526" s="1">
        <v>1241455</v>
      </c>
      <c r="AE526" s="1">
        <v>0</v>
      </c>
      <c r="AF526" s="1" t="s">
        <v>2179</v>
      </c>
      <c r="AG526" s="1" t="s">
        <v>2180</v>
      </c>
      <c r="AH526" s="1">
        <v>59.6</v>
      </c>
      <c r="AI526" s="1">
        <v>57.6</v>
      </c>
      <c r="AJ526" s="1" t="s">
        <v>2223</v>
      </c>
      <c r="AK526" s="1" t="s">
        <v>2224</v>
      </c>
      <c r="AL526" s="1" t="s">
        <v>2225</v>
      </c>
    </row>
    <row r="527" spans="1:38" x14ac:dyDescent="0.6">
      <c r="A527" s="1">
        <v>372</v>
      </c>
      <c r="B527" s="1" t="s">
        <v>103</v>
      </c>
      <c r="C527" s="1">
        <v>54</v>
      </c>
      <c r="D527" s="1" t="s">
        <v>89</v>
      </c>
      <c r="E527" s="1" t="s">
        <v>108</v>
      </c>
      <c r="F527" s="1"/>
      <c r="G527" s="1"/>
      <c r="H527" s="1" t="s">
        <v>91</v>
      </c>
      <c r="I527" s="1" t="s">
        <v>92</v>
      </c>
      <c r="J527" s="1" t="s">
        <v>109</v>
      </c>
      <c r="K527" s="1">
        <v>1</v>
      </c>
      <c r="L527" s="1">
        <v>120</v>
      </c>
      <c r="M527" s="1" t="s">
        <v>7</v>
      </c>
      <c r="N527" s="1" t="s">
        <v>7</v>
      </c>
      <c r="O527" s="1" t="s">
        <v>96</v>
      </c>
      <c r="P527" s="1" t="s">
        <v>96</v>
      </c>
      <c r="Q527" s="1" t="s">
        <v>9</v>
      </c>
      <c r="R527" s="1">
        <v>0</v>
      </c>
      <c r="S527" s="1" t="s">
        <v>97</v>
      </c>
      <c r="T527" s="1" t="s">
        <v>97</v>
      </c>
      <c r="U527" s="1" t="b">
        <v>1</v>
      </c>
      <c r="V527" s="1" t="b">
        <v>0</v>
      </c>
      <c r="W527" s="1" t="b">
        <v>0</v>
      </c>
      <c r="X527" s="1">
        <v>5</v>
      </c>
      <c r="Y527" s="1" t="b">
        <v>1</v>
      </c>
      <c r="Z527" s="1" t="b">
        <v>1</v>
      </c>
      <c r="AA527" s="1">
        <v>61.6</v>
      </c>
      <c r="AB527" s="1" t="b">
        <v>0</v>
      </c>
      <c r="AC527" s="1">
        <v>0</v>
      </c>
      <c r="AD527" s="1">
        <v>3420005</v>
      </c>
      <c r="AE527" s="1">
        <v>157274267</v>
      </c>
      <c r="AF527" s="1" t="s">
        <v>2226</v>
      </c>
      <c r="AG527" s="1" t="s">
        <v>2226</v>
      </c>
      <c r="AH527" s="1">
        <v>63</v>
      </c>
      <c r="AI527" s="1">
        <v>59.5</v>
      </c>
      <c r="AJ527" s="1" t="s">
        <v>2227</v>
      </c>
      <c r="AK527" s="1" t="s">
        <v>2228</v>
      </c>
      <c r="AL527" s="1" t="s">
        <v>2229</v>
      </c>
    </row>
    <row r="528" spans="1:38" x14ac:dyDescent="0.6">
      <c r="A528" s="1">
        <v>363</v>
      </c>
      <c r="B528" s="1" t="s">
        <v>88</v>
      </c>
      <c r="C528" s="1">
        <v>65</v>
      </c>
      <c r="D528" s="1" t="s">
        <v>127</v>
      </c>
      <c r="E528" s="1" t="s">
        <v>90</v>
      </c>
      <c r="F528" s="1">
        <v>10.5</v>
      </c>
      <c r="G528" s="1"/>
      <c r="H528" s="1" t="s">
        <v>120</v>
      </c>
      <c r="I528" s="1" t="s">
        <v>121</v>
      </c>
      <c r="J528" s="1" t="s">
        <v>122</v>
      </c>
      <c r="K528" s="1">
        <v>1</v>
      </c>
      <c r="L528" s="1">
        <v>120</v>
      </c>
      <c r="M528" s="1" t="s">
        <v>14</v>
      </c>
      <c r="N528" s="1" t="s">
        <v>95</v>
      </c>
      <c r="O528" s="1" t="s">
        <v>96</v>
      </c>
      <c r="P528" s="1"/>
      <c r="Q528" s="1" t="s">
        <v>9</v>
      </c>
      <c r="R528" s="1">
        <v>0</v>
      </c>
      <c r="S528" s="1" t="s">
        <v>97</v>
      </c>
      <c r="T528" s="1" t="s">
        <v>97</v>
      </c>
      <c r="U528" s="1" t="b">
        <v>1</v>
      </c>
      <c r="V528" s="1" t="b">
        <v>0</v>
      </c>
      <c r="W528" s="1" t="b">
        <v>0</v>
      </c>
      <c r="X528" s="1">
        <v>5</v>
      </c>
      <c r="Y528" s="1" t="b">
        <v>1</v>
      </c>
      <c r="Z528" s="1" t="b">
        <v>1</v>
      </c>
      <c r="AA528" s="1"/>
      <c r="AB528" s="1" t="b">
        <v>1</v>
      </c>
      <c r="AC528" s="1">
        <v>144031665</v>
      </c>
      <c r="AD528" s="1">
        <v>933967</v>
      </c>
      <c r="AE528" s="1">
        <v>0</v>
      </c>
      <c r="AF528" s="1" t="s">
        <v>2153</v>
      </c>
      <c r="AG528" s="1" t="s">
        <v>2154</v>
      </c>
      <c r="AH528" s="1">
        <v>60</v>
      </c>
      <c r="AI528" s="1">
        <v>62.7</v>
      </c>
      <c r="AJ528" s="1" t="s">
        <v>2230</v>
      </c>
      <c r="AK528" s="1" t="s">
        <v>2231</v>
      </c>
      <c r="AL528" s="1" t="s">
        <v>2232</v>
      </c>
    </row>
    <row r="529" spans="1:38" x14ac:dyDescent="0.6">
      <c r="A529" s="1">
        <v>366</v>
      </c>
      <c r="B529" s="1" t="s">
        <v>88</v>
      </c>
      <c r="C529" s="1">
        <v>59</v>
      </c>
      <c r="D529" s="1" t="s">
        <v>89</v>
      </c>
      <c r="E529" s="1" t="s">
        <v>90</v>
      </c>
      <c r="F529" s="1">
        <v>10.5</v>
      </c>
      <c r="G529" s="1"/>
      <c r="H529" s="1" t="s">
        <v>120</v>
      </c>
      <c r="I529" s="1" t="s">
        <v>121</v>
      </c>
      <c r="J529" s="1" t="s">
        <v>122</v>
      </c>
      <c r="K529" s="1">
        <v>1</v>
      </c>
      <c r="L529" s="1">
        <v>120</v>
      </c>
      <c r="M529" s="1" t="s">
        <v>94</v>
      </c>
      <c r="N529" s="1" t="s">
        <v>95</v>
      </c>
      <c r="O529" s="1"/>
      <c r="P529" s="1" t="s">
        <v>96</v>
      </c>
      <c r="Q529" s="1" t="s">
        <v>9</v>
      </c>
      <c r="R529" s="1">
        <v>0</v>
      </c>
      <c r="S529" s="1" t="s">
        <v>97</v>
      </c>
      <c r="T529" s="1" t="s">
        <v>97</v>
      </c>
      <c r="U529" s="1" t="b">
        <v>1</v>
      </c>
      <c r="V529" s="1" t="b">
        <v>0</v>
      </c>
      <c r="W529" s="1" t="b">
        <v>0</v>
      </c>
      <c r="X529" s="1">
        <v>0</v>
      </c>
      <c r="Y529" s="1" t="b">
        <v>1</v>
      </c>
      <c r="Z529" s="1" t="b">
        <v>1</v>
      </c>
      <c r="AA529" s="1">
        <v>52.1</v>
      </c>
      <c r="AB529" s="1" t="b">
        <v>1</v>
      </c>
      <c r="AC529" s="1">
        <v>152725975</v>
      </c>
      <c r="AD529" s="1">
        <v>1676841</v>
      </c>
      <c r="AE529" s="1">
        <v>0</v>
      </c>
      <c r="AF529" s="1" t="s">
        <v>2233</v>
      </c>
      <c r="AG529" s="1" t="s">
        <v>2234</v>
      </c>
      <c r="AH529" s="1">
        <v>52.2</v>
      </c>
      <c r="AI529" s="1">
        <v>50.5</v>
      </c>
      <c r="AJ529" s="1" t="s">
        <v>2235</v>
      </c>
      <c r="AK529" s="1" t="s">
        <v>2236</v>
      </c>
      <c r="AL529" s="1" t="s">
        <v>2237</v>
      </c>
    </row>
    <row r="530" spans="1:38" x14ac:dyDescent="0.6">
      <c r="A530" s="1">
        <v>361</v>
      </c>
      <c r="B530" s="1" t="s">
        <v>88</v>
      </c>
      <c r="C530" s="1">
        <v>50</v>
      </c>
      <c r="D530" s="1" t="s">
        <v>89</v>
      </c>
      <c r="E530" s="1" t="s">
        <v>90</v>
      </c>
      <c r="F530" s="1"/>
      <c r="G530" s="1"/>
      <c r="H530" s="1" t="s">
        <v>220</v>
      </c>
      <c r="I530" s="1" t="s">
        <v>221</v>
      </c>
      <c r="J530" s="1" t="s">
        <v>222</v>
      </c>
      <c r="K530" s="1">
        <v>1.25</v>
      </c>
      <c r="L530" s="1">
        <v>120</v>
      </c>
      <c r="M530" s="1" t="s">
        <v>7</v>
      </c>
      <c r="N530" s="1" t="s">
        <v>7</v>
      </c>
      <c r="O530" s="1" t="s">
        <v>96</v>
      </c>
      <c r="P530" s="1" t="s">
        <v>96</v>
      </c>
      <c r="Q530" s="1" t="s">
        <v>9</v>
      </c>
      <c r="R530" s="1">
        <v>0</v>
      </c>
      <c r="S530" s="1" t="s">
        <v>97</v>
      </c>
      <c r="T530" s="1" t="s">
        <v>97</v>
      </c>
      <c r="U530" s="1" t="b">
        <v>1</v>
      </c>
      <c r="V530" s="1" t="b">
        <v>0</v>
      </c>
      <c r="W530" s="1" t="b">
        <v>0</v>
      </c>
      <c r="X530" s="1">
        <v>5</v>
      </c>
      <c r="Y530" s="1" t="b">
        <v>1</v>
      </c>
      <c r="Z530" s="1" t="b">
        <v>1</v>
      </c>
      <c r="AA530" s="1">
        <v>75.2</v>
      </c>
      <c r="AB530" s="1" t="b">
        <v>0</v>
      </c>
      <c r="AC530" s="1">
        <v>0</v>
      </c>
      <c r="AD530" s="1">
        <v>1197002</v>
      </c>
      <c r="AE530" s="1">
        <v>126204982</v>
      </c>
      <c r="AF530" s="1" t="s">
        <v>2238</v>
      </c>
      <c r="AG530" s="1" t="s">
        <v>2238</v>
      </c>
      <c r="AH530" s="1">
        <v>79.8</v>
      </c>
      <c r="AI530" s="1">
        <v>73.900000000000006</v>
      </c>
      <c r="AJ530" s="1" t="s">
        <v>2239</v>
      </c>
      <c r="AK530" s="1" t="s">
        <v>2240</v>
      </c>
      <c r="AL530" s="1" t="s">
        <v>2241</v>
      </c>
    </row>
    <row r="531" spans="1:38" x14ac:dyDescent="0.6">
      <c r="A531" s="1">
        <v>366</v>
      </c>
      <c r="B531" s="1" t="s">
        <v>88</v>
      </c>
      <c r="C531" s="1">
        <v>59</v>
      </c>
      <c r="D531" s="1" t="s">
        <v>89</v>
      </c>
      <c r="E531" s="1" t="s">
        <v>90</v>
      </c>
      <c r="F531" s="1">
        <v>10.5</v>
      </c>
      <c r="G531" s="1"/>
      <c r="H531" s="1" t="s">
        <v>120</v>
      </c>
      <c r="I531" s="1" t="s">
        <v>121</v>
      </c>
      <c r="J531" s="1" t="s">
        <v>122</v>
      </c>
      <c r="K531" s="1">
        <v>1</v>
      </c>
      <c r="L531" s="1">
        <v>120</v>
      </c>
      <c r="M531" s="1" t="s">
        <v>14</v>
      </c>
      <c r="N531" s="1" t="s">
        <v>95</v>
      </c>
      <c r="O531" s="1" t="s">
        <v>96</v>
      </c>
      <c r="P531" s="1"/>
      <c r="Q531" s="1" t="s">
        <v>9</v>
      </c>
      <c r="R531" s="1">
        <v>0</v>
      </c>
      <c r="S531" s="1" t="s">
        <v>97</v>
      </c>
      <c r="T531" s="1" t="s">
        <v>97</v>
      </c>
      <c r="U531" s="1" t="b">
        <v>1</v>
      </c>
      <c r="V531" s="1" t="b">
        <v>0</v>
      </c>
      <c r="W531" s="1" t="b">
        <v>0</v>
      </c>
      <c r="X531" s="1">
        <v>5</v>
      </c>
      <c r="Y531" s="1" t="b">
        <v>1</v>
      </c>
      <c r="Z531" s="1" t="b">
        <v>1</v>
      </c>
      <c r="AA531" s="1"/>
      <c r="AB531" s="1" t="b">
        <v>1</v>
      </c>
      <c r="AC531" s="1">
        <v>160101543</v>
      </c>
      <c r="AD531" s="1">
        <v>592729</v>
      </c>
      <c r="AE531" s="1">
        <v>0</v>
      </c>
      <c r="AF531" s="1" t="s">
        <v>2233</v>
      </c>
      <c r="AG531" s="1" t="s">
        <v>2234</v>
      </c>
      <c r="AH531" s="1">
        <v>52.2</v>
      </c>
      <c r="AI531" s="1">
        <v>50.5</v>
      </c>
      <c r="AJ531" s="1" t="s">
        <v>2242</v>
      </c>
      <c r="AK531" s="1" t="s">
        <v>2243</v>
      </c>
      <c r="AL531" s="1" t="s">
        <v>2244</v>
      </c>
    </row>
    <row r="532" spans="1:38" x14ac:dyDescent="0.6">
      <c r="A532" s="1">
        <v>383</v>
      </c>
      <c r="B532" s="1" t="s">
        <v>103</v>
      </c>
      <c r="C532" s="1">
        <v>79</v>
      </c>
      <c r="D532" s="1" t="s">
        <v>119</v>
      </c>
      <c r="E532" s="1" t="s">
        <v>90</v>
      </c>
      <c r="F532" s="1"/>
      <c r="G532" s="1"/>
      <c r="H532" s="1" t="s">
        <v>91</v>
      </c>
      <c r="I532" s="1" t="s">
        <v>92</v>
      </c>
      <c r="J532" s="1" t="s">
        <v>93</v>
      </c>
      <c r="K532" s="1">
        <v>1</v>
      </c>
      <c r="L532" s="1">
        <v>120</v>
      </c>
      <c r="M532" s="1" t="s">
        <v>14</v>
      </c>
      <c r="N532" s="1" t="s">
        <v>95</v>
      </c>
      <c r="O532" s="1" t="s">
        <v>96</v>
      </c>
      <c r="P532" s="1"/>
      <c r="Q532" s="1" t="s">
        <v>9</v>
      </c>
      <c r="R532" s="1">
        <v>0</v>
      </c>
      <c r="S532" s="1" t="s">
        <v>97</v>
      </c>
      <c r="T532" s="1" t="s">
        <v>97</v>
      </c>
      <c r="U532" s="1" t="b">
        <v>1</v>
      </c>
      <c r="V532" s="1" t="b">
        <v>0</v>
      </c>
      <c r="W532" s="1" t="b">
        <v>0</v>
      </c>
      <c r="X532" s="1">
        <v>5</v>
      </c>
      <c r="Y532" s="1" t="b">
        <v>1</v>
      </c>
      <c r="Z532" s="1" t="b">
        <v>1</v>
      </c>
      <c r="AA532" s="1"/>
      <c r="AB532" s="1" t="b">
        <v>1</v>
      </c>
      <c r="AC532" s="1">
        <v>120091724</v>
      </c>
      <c r="AD532" s="1">
        <v>494516</v>
      </c>
      <c r="AE532" s="1">
        <v>0</v>
      </c>
      <c r="AF532" s="1" t="s">
        <v>2245</v>
      </c>
      <c r="AG532" s="1" t="s">
        <v>2246</v>
      </c>
      <c r="AH532" s="1">
        <v>51.4</v>
      </c>
      <c r="AI532" s="1">
        <v>47.1</v>
      </c>
      <c r="AJ532" s="1" t="s">
        <v>2247</v>
      </c>
      <c r="AK532" s="1" t="s">
        <v>2248</v>
      </c>
      <c r="AL532" s="1" t="s">
        <v>2249</v>
      </c>
    </row>
    <row r="533" spans="1:38" x14ac:dyDescent="0.6">
      <c r="A533" s="1">
        <v>382</v>
      </c>
      <c r="B533" s="1" t="s">
        <v>88</v>
      </c>
      <c r="C533" s="1">
        <v>50</v>
      </c>
      <c r="D533" s="1" t="s">
        <v>89</v>
      </c>
      <c r="E533" s="1" t="s">
        <v>90</v>
      </c>
      <c r="F533" s="1"/>
      <c r="G533" s="1"/>
      <c r="H533" s="1" t="s">
        <v>91</v>
      </c>
      <c r="I533" s="1" t="s">
        <v>92</v>
      </c>
      <c r="J533" s="1" t="s">
        <v>93</v>
      </c>
      <c r="K533" s="1">
        <v>1</v>
      </c>
      <c r="L533" s="1">
        <v>120</v>
      </c>
      <c r="M533" s="1" t="s">
        <v>7</v>
      </c>
      <c r="N533" s="1" t="s">
        <v>7</v>
      </c>
      <c r="O533" s="1" t="s">
        <v>96</v>
      </c>
      <c r="P533" s="1" t="s">
        <v>96</v>
      </c>
      <c r="Q533" s="1" t="s">
        <v>9</v>
      </c>
      <c r="R533" s="1">
        <v>0</v>
      </c>
      <c r="S533" s="1" t="s">
        <v>97</v>
      </c>
      <c r="T533" s="1" t="s">
        <v>97</v>
      </c>
      <c r="U533" s="1" t="b">
        <v>1</v>
      </c>
      <c r="V533" s="1" t="b">
        <v>0</v>
      </c>
      <c r="W533" s="1" t="b">
        <v>0</v>
      </c>
      <c r="X533" s="1">
        <v>5</v>
      </c>
      <c r="Y533" s="1" t="b">
        <v>1</v>
      </c>
      <c r="Z533" s="1" t="b">
        <v>1</v>
      </c>
      <c r="AA533" s="1">
        <v>66.8</v>
      </c>
      <c r="AB533" s="1" t="b">
        <v>0</v>
      </c>
      <c r="AC533" s="1">
        <v>0</v>
      </c>
      <c r="AD533" s="1">
        <v>1906828</v>
      </c>
      <c r="AE533" s="1">
        <v>125495156</v>
      </c>
      <c r="AF533" s="1" t="s">
        <v>2250</v>
      </c>
      <c r="AG533" s="1" t="s">
        <v>2250</v>
      </c>
      <c r="AH533" s="1">
        <v>61.4</v>
      </c>
      <c r="AI533" s="1">
        <v>63.4</v>
      </c>
      <c r="AJ533" s="1" t="s">
        <v>2251</v>
      </c>
      <c r="AK533" s="1" t="s">
        <v>2252</v>
      </c>
      <c r="AL533" s="1" t="s">
        <v>2253</v>
      </c>
    </row>
    <row r="534" spans="1:38" x14ac:dyDescent="0.6">
      <c r="A534" s="1">
        <v>378</v>
      </c>
      <c r="B534" s="1" t="s">
        <v>103</v>
      </c>
      <c r="C534" s="1">
        <v>54</v>
      </c>
      <c r="D534" s="1" t="s">
        <v>89</v>
      </c>
      <c r="E534" s="1" t="s">
        <v>108</v>
      </c>
      <c r="F534" s="1"/>
      <c r="G534" s="1"/>
      <c r="H534" s="1" t="s">
        <v>91</v>
      </c>
      <c r="I534" s="1" t="s">
        <v>92</v>
      </c>
      <c r="J534" s="1" t="s">
        <v>93</v>
      </c>
      <c r="K534" s="1">
        <v>1</v>
      </c>
      <c r="L534" s="1">
        <v>120</v>
      </c>
      <c r="M534" s="1" t="s">
        <v>14</v>
      </c>
      <c r="N534" s="1" t="s">
        <v>95</v>
      </c>
      <c r="O534" s="1" t="s">
        <v>96</v>
      </c>
      <c r="P534" s="1"/>
      <c r="Q534" s="1" t="s">
        <v>9</v>
      </c>
      <c r="R534" s="1">
        <v>0</v>
      </c>
      <c r="S534" s="1" t="s">
        <v>97</v>
      </c>
      <c r="T534" s="1" t="s">
        <v>97</v>
      </c>
      <c r="U534" s="1" t="b">
        <v>1</v>
      </c>
      <c r="V534" s="1" t="b">
        <v>0</v>
      </c>
      <c r="W534" s="1" t="b">
        <v>0</v>
      </c>
      <c r="X534" s="1">
        <v>5</v>
      </c>
      <c r="Y534" s="1" t="b">
        <v>1</v>
      </c>
      <c r="Z534" s="1" t="b">
        <v>1</v>
      </c>
      <c r="AA534" s="1"/>
      <c r="AB534" s="1" t="b">
        <v>1</v>
      </c>
      <c r="AC534" s="1">
        <v>150818269</v>
      </c>
      <c r="AD534" s="1">
        <v>438819</v>
      </c>
      <c r="AE534" s="1">
        <v>0</v>
      </c>
      <c r="AF534" s="1" t="s">
        <v>2254</v>
      </c>
      <c r="AG534" s="1" t="s">
        <v>2255</v>
      </c>
      <c r="AH534" s="1">
        <v>85.1</v>
      </c>
      <c r="AI534" s="1">
        <v>79.7</v>
      </c>
      <c r="AJ534" s="1" t="s">
        <v>2256</v>
      </c>
      <c r="AK534" s="1" t="s">
        <v>2257</v>
      </c>
      <c r="AL534" s="1" t="s">
        <v>2258</v>
      </c>
    </row>
    <row r="535" spans="1:38" x14ac:dyDescent="0.6">
      <c r="A535" s="1">
        <v>381</v>
      </c>
      <c r="B535" s="1" t="s">
        <v>88</v>
      </c>
      <c r="C535" s="1">
        <v>53</v>
      </c>
      <c r="D535" s="1" t="s">
        <v>89</v>
      </c>
      <c r="E535" s="1" t="s">
        <v>90</v>
      </c>
      <c r="F535" s="1"/>
      <c r="G535" s="1"/>
      <c r="H535" s="1" t="s">
        <v>91</v>
      </c>
      <c r="I535" s="1" t="s">
        <v>92</v>
      </c>
      <c r="J535" s="1" t="s">
        <v>93</v>
      </c>
      <c r="K535" s="1">
        <v>1</v>
      </c>
      <c r="L535" s="1">
        <v>120</v>
      </c>
      <c r="M535" s="1" t="s">
        <v>7</v>
      </c>
      <c r="N535" s="1" t="s">
        <v>7</v>
      </c>
      <c r="O535" s="1" t="s">
        <v>96</v>
      </c>
      <c r="P535" s="1" t="s">
        <v>96</v>
      </c>
      <c r="Q535" s="1" t="s">
        <v>9</v>
      </c>
      <c r="R535" s="1">
        <v>0</v>
      </c>
      <c r="S535" s="1" t="s">
        <v>97</v>
      </c>
      <c r="T535" s="1" t="s">
        <v>97</v>
      </c>
      <c r="U535" s="1" t="b">
        <v>1</v>
      </c>
      <c r="V535" s="1" t="b">
        <v>0</v>
      </c>
      <c r="W535" s="1" t="b">
        <v>0</v>
      </c>
      <c r="X535" s="1">
        <v>5</v>
      </c>
      <c r="Y535" s="1" t="b">
        <v>1</v>
      </c>
      <c r="Z535" s="1" t="b">
        <v>1</v>
      </c>
      <c r="AA535" s="1">
        <v>82.7</v>
      </c>
      <c r="AB535" s="1" t="b">
        <v>0</v>
      </c>
      <c r="AC535" s="1">
        <v>0</v>
      </c>
      <c r="AD535" s="1">
        <v>1789643</v>
      </c>
      <c r="AE535" s="1">
        <v>145273141</v>
      </c>
      <c r="AF535" s="1" t="s">
        <v>2259</v>
      </c>
      <c r="AG535" s="1" t="s">
        <v>2259</v>
      </c>
      <c r="AH535" s="1">
        <v>76.8</v>
      </c>
      <c r="AI535" s="1">
        <v>76.099999999999994</v>
      </c>
      <c r="AJ535" s="1" t="s">
        <v>2260</v>
      </c>
      <c r="AK535" s="1" t="s">
        <v>2261</v>
      </c>
      <c r="AL535" s="1" t="s">
        <v>2262</v>
      </c>
    </row>
    <row r="536" spans="1:38" x14ac:dyDescent="0.6">
      <c r="A536" s="1">
        <v>378</v>
      </c>
      <c r="B536" s="1" t="s">
        <v>103</v>
      </c>
      <c r="C536" s="1">
        <v>54</v>
      </c>
      <c r="D536" s="1" t="s">
        <v>89</v>
      </c>
      <c r="E536" s="1" t="s">
        <v>108</v>
      </c>
      <c r="F536" s="1"/>
      <c r="G536" s="1"/>
      <c r="H536" s="1" t="s">
        <v>91</v>
      </c>
      <c r="I536" s="1" t="s">
        <v>92</v>
      </c>
      <c r="J536" s="1" t="s">
        <v>93</v>
      </c>
      <c r="K536" s="1">
        <v>1</v>
      </c>
      <c r="L536" s="1">
        <v>120</v>
      </c>
      <c r="M536" s="1" t="s">
        <v>94</v>
      </c>
      <c r="N536" s="1" t="s">
        <v>95</v>
      </c>
      <c r="O536" s="1"/>
      <c r="P536" s="1" t="s">
        <v>96</v>
      </c>
      <c r="Q536" s="1" t="s">
        <v>9</v>
      </c>
      <c r="R536" s="1">
        <v>0</v>
      </c>
      <c r="S536" s="1" t="s">
        <v>97</v>
      </c>
      <c r="T536" s="1" t="s">
        <v>97</v>
      </c>
      <c r="U536" s="1" t="b">
        <v>1</v>
      </c>
      <c r="V536" s="1" t="b">
        <v>0</v>
      </c>
      <c r="W536" s="1" t="b">
        <v>0</v>
      </c>
      <c r="X536" s="1">
        <v>0</v>
      </c>
      <c r="Y536" s="1" t="b">
        <v>1</v>
      </c>
      <c r="Z536" s="1" t="b">
        <v>1</v>
      </c>
      <c r="AA536" s="1">
        <v>81.099999999999994</v>
      </c>
      <c r="AB536" s="1" t="b">
        <v>1</v>
      </c>
      <c r="AC536" s="1">
        <v>152574472</v>
      </c>
      <c r="AD536" s="1">
        <v>1304056</v>
      </c>
      <c r="AE536" s="1">
        <v>0</v>
      </c>
      <c r="AF536" s="1" t="s">
        <v>2254</v>
      </c>
      <c r="AG536" s="1" t="s">
        <v>2255</v>
      </c>
      <c r="AH536" s="1">
        <v>85.1</v>
      </c>
      <c r="AI536" s="1">
        <v>79.7</v>
      </c>
      <c r="AJ536" s="1" t="s">
        <v>2263</v>
      </c>
      <c r="AK536" s="1" t="s">
        <v>2264</v>
      </c>
      <c r="AL536" s="1" t="s">
        <v>2265</v>
      </c>
    </row>
    <row r="537" spans="1:38" x14ac:dyDescent="0.6">
      <c r="A537" s="1">
        <v>384</v>
      </c>
      <c r="B537" s="1" t="s">
        <v>103</v>
      </c>
      <c r="C537" s="1">
        <v>89</v>
      </c>
      <c r="D537" s="1" t="s">
        <v>153</v>
      </c>
      <c r="E537" s="1" t="s">
        <v>108</v>
      </c>
      <c r="F537" s="1"/>
      <c r="G537" s="1"/>
      <c r="H537" s="1" t="s">
        <v>91</v>
      </c>
      <c r="I537" s="1" t="s">
        <v>92</v>
      </c>
      <c r="J537" s="1" t="s">
        <v>93</v>
      </c>
      <c r="K537" s="1">
        <v>1</v>
      </c>
      <c r="L537" s="1">
        <v>120</v>
      </c>
      <c r="M537" s="1" t="s">
        <v>94</v>
      </c>
      <c r="N537" s="1" t="s">
        <v>95</v>
      </c>
      <c r="O537" s="1"/>
      <c r="P537" s="1" t="s">
        <v>96</v>
      </c>
      <c r="Q537" s="1" t="s">
        <v>9</v>
      </c>
      <c r="R537" s="1">
        <v>0</v>
      </c>
      <c r="S537" s="1" t="s">
        <v>97</v>
      </c>
      <c r="T537" s="1" t="s">
        <v>97</v>
      </c>
      <c r="U537" s="1" t="b">
        <v>1</v>
      </c>
      <c r="V537" s="1" t="b">
        <v>0</v>
      </c>
      <c r="W537" s="1" t="b">
        <v>0</v>
      </c>
      <c r="X537" s="1">
        <v>0</v>
      </c>
      <c r="Y537" s="1" t="b">
        <v>1</v>
      </c>
      <c r="Z537" s="1" t="b">
        <v>1</v>
      </c>
      <c r="AA537" s="1">
        <v>47.9</v>
      </c>
      <c r="AB537" s="1" t="b">
        <v>1</v>
      </c>
      <c r="AC537" s="1">
        <v>159732724</v>
      </c>
      <c r="AD537" s="1">
        <v>2010124</v>
      </c>
      <c r="AE537" s="1">
        <v>0</v>
      </c>
      <c r="AF537" s="1" t="s">
        <v>2266</v>
      </c>
      <c r="AG537" s="1" t="s">
        <v>2267</v>
      </c>
      <c r="AH537" s="1">
        <v>50.7</v>
      </c>
      <c r="AI537" s="1">
        <v>45.3</v>
      </c>
      <c r="AJ537" s="1" t="s">
        <v>2268</v>
      </c>
      <c r="AK537" s="1" t="s">
        <v>2269</v>
      </c>
      <c r="AL537" s="1" t="s">
        <v>2270</v>
      </c>
    </row>
    <row r="538" spans="1:38" x14ac:dyDescent="0.6">
      <c r="A538" s="1">
        <v>377</v>
      </c>
      <c r="B538" s="1" t="s">
        <v>88</v>
      </c>
      <c r="C538" s="1">
        <v>54</v>
      </c>
      <c r="D538" s="1" t="s">
        <v>89</v>
      </c>
      <c r="E538" s="1" t="s">
        <v>108</v>
      </c>
      <c r="F538" s="1"/>
      <c r="G538" s="1"/>
      <c r="H538" s="1" t="s">
        <v>91</v>
      </c>
      <c r="I538" s="1" t="s">
        <v>92</v>
      </c>
      <c r="J538" s="1" t="s">
        <v>93</v>
      </c>
      <c r="K538" s="1">
        <v>1</v>
      </c>
      <c r="L538" s="1">
        <v>120</v>
      </c>
      <c r="M538" s="1" t="s">
        <v>7</v>
      </c>
      <c r="N538" s="1" t="s">
        <v>7</v>
      </c>
      <c r="O538" s="1" t="s">
        <v>96</v>
      </c>
      <c r="P538" s="1" t="s">
        <v>96</v>
      </c>
      <c r="Q538" s="1" t="s">
        <v>9</v>
      </c>
      <c r="R538" s="1">
        <v>0</v>
      </c>
      <c r="S538" s="1" t="s">
        <v>97</v>
      </c>
      <c r="T538" s="1" t="s">
        <v>97</v>
      </c>
      <c r="U538" s="1" t="b">
        <v>1</v>
      </c>
      <c r="V538" s="1" t="b">
        <v>0</v>
      </c>
      <c r="W538" s="1" t="b">
        <v>0</v>
      </c>
      <c r="X538" s="1">
        <v>5</v>
      </c>
      <c r="Y538" s="1" t="b">
        <v>1</v>
      </c>
      <c r="Z538" s="1" t="b">
        <v>1</v>
      </c>
      <c r="AA538" s="1">
        <v>68</v>
      </c>
      <c r="AB538" s="1" t="b">
        <v>0</v>
      </c>
      <c r="AC538" s="1">
        <v>0</v>
      </c>
      <c r="AD538" s="1">
        <v>3258257</v>
      </c>
      <c r="AE538" s="1">
        <v>147736687</v>
      </c>
      <c r="AF538" s="1" t="s">
        <v>2271</v>
      </c>
      <c r="AG538" s="1" t="s">
        <v>2271</v>
      </c>
      <c r="AH538" s="1">
        <v>70.5</v>
      </c>
      <c r="AI538" s="1">
        <v>65.900000000000006</v>
      </c>
      <c r="AJ538" s="1" t="s">
        <v>2272</v>
      </c>
      <c r="AK538" s="1" t="s">
        <v>2273</v>
      </c>
      <c r="AL538" s="1" t="s">
        <v>2274</v>
      </c>
    </row>
    <row r="539" spans="1:38" x14ac:dyDescent="0.6">
      <c r="A539" s="1">
        <v>383</v>
      </c>
      <c r="B539" s="1" t="s">
        <v>103</v>
      </c>
      <c r="C539" s="1">
        <v>79</v>
      </c>
      <c r="D539" s="1" t="s">
        <v>119</v>
      </c>
      <c r="E539" s="1" t="s">
        <v>90</v>
      </c>
      <c r="F539" s="1"/>
      <c r="G539" s="1"/>
      <c r="H539" s="1" t="s">
        <v>91</v>
      </c>
      <c r="I539" s="1" t="s">
        <v>92</v>
      </c>
      <c r="J539" s="1" t="s">
        <v>93</v>
      </c>
      <c r="K539" s="1">
        <v>1</v>
      </c>
      <c r="L539" s="1">
        <v>120</v>
      </c>
      <c r="M539" s="1" t="s">
        <v>94</v>
      </c>
      <c r="N539" s="1" t="s">
        <v>95</v>
      </c>
      <c r="O539" s="1"/>
      <c r="P539" s="1" t="s">
        <v>96</v>
      </c>
      <c r="Q539" s="1" t="s">
        <v>9</v>
      </c>
      <c r="R539" s="1">
        <v>0</v>
      </c>
      <c r="S539" s="1" t="s">
        <v>97</v>
      </c>
      <c r="T539" s="1" t="s">
        <v>97</v>
      </c>
      <c r="U539" s="1" t="b">
        <v>1</v>
      </c>
      <c r="V539" s="1" t="b">
        <v>0</v>
      </c>
      <c r="W539" s="1" t="b">
        <v>0</v>
      </c>
      <c r="X539" s="1">
        <v>0</v>
      </c>
      <c r="Y539" s="1" t="b">
        <v>1</v>
      </c>
      <c r="Z539" s="1" t="b">
        <v>1</v>
      </c>
      <c r="AA539" s="1">
        <v>48.9</v>
      </c>
      <c r="AB539" s="1" t="b">
        <v>1</v>
      </c>
      <c r="AC539" s="1">
        <v>122956879</v>
      </c>
      <c r="AD539" s="1">
        <v>1299377</v>
      </c>
      <c r="AE539" s="1">
        <v>0</v>
      </c>
      <c r="AF539" s="1" t="s">
        <v>2245</v>
      </c>
      <c r="AG539" s="1" t="s">
        <v>2246</v>
      </c>
      <c r="AH539" s="1">
        <v>51.4</v>
      </c>
      <c r="AI539" s="1">
        <v>47.1</v>
      </c>
      <c r="AJ539" s="1" t="s">
        <v>2275</v>
      </c>
      <c r="AK539" s="1" t="s">
        <v>2276</v>
      </c>
      <c r="AL539" s="1" t="s">
        <v>2277</v>
      </c>
    </row>
    <row r="540" spans="1:38" x14ac:dyDescent="0.6">
      <c r="A540" s="1">
        <v>389</v>
      </c>
      <c r="B540" s="1" t="s">
        <v>103</v>
      </c>
      <c r="C540" s="1">
        <v>54</v>
      </c>
      <c r="D540" s="1" t="s">
        <v>89</v>
      </c>
      <c r="E540" s="1" t="s">
        <v>90</v>
      </c>
      <c r="F540" s="1"/>
      <c r="G540" s="1"/>
      <c r="H540" s="1" t="s">
        <v>91</v>
      </c>
      <c r="I540" s="1" t="s">
        <v>92</v>
      </c>
      <c r="J540" s="1" t="s">
        <v>93</v>
      </c>
      <c r="K540" s="1">
        <v>1</v>
      </c>
      <c r="L540" s="1">
        <v>120</v>
      </c>
      <c r="M540" s="1" t="s">
        <v>7</v>
      </c>
      <c r="N540" s="1" t="s">
        <v>7</v>
      </c>
      <c r="O540" s="1" t="s">
        <v>96</v>
      </c>
      <c r="P540" s="1" t="s">
        <v>96</v>
      </c>
      <c r="Q540" s="1" t="s">
        <v>9</v>
      </c>
      <c r="R540" s="1">
        <v>0</v>
      </c>
      <c r="S540" s="1" t="s">
        <v>97</v>
      </c>
      <c r="T540" s="1" t="s">
        <v>97</v>
      </c>
      <c r="U540" s="1" t="b">
        <v>1</v>
      </c>
      <c r="V540" s="1" t="b">
        <v>0</v>
      </c>
      <c r="W540" s="1" t="b">
        <v>0</v>
      </c>
      <c r="X540" s="1">
        <v>5</v>
      </c>
      <c r="Y540" s="1" t="b">
        <v>1</v>
      </c>
      <c r="Z540" s="1" t="b">
        <v>1</v>
      </c>
      <c r="AA540" s="1">
        <v>66.7</v>
      </c>
      <c r="AB540" s="1" t="b">
        <v>0</v>
      </c>
      <c r="AC540" s="1">
        <v>0</v>
      </c>
      <c r="AD540" s="1">
        <v>2937493</v>
      </c>
      <c r="AE540" s="1">
        <v>128396651</v>
      </c>
      <c r="AF540" s="1" t="s">
        <v>2278</v>
      </c>
      <c r="AG540" s="1" t="s">
        <v>2278</v>
      </c>
      <c r="AH540" s="1">
        <v>76.599999999999994</v>
      </c>
      <c r="AI540" s="1">
        <v>62.8</v>
      </c>
      <c r="AJ540" s="1" t="s">
        <v>2279</v>
      </c>
      <c r="AK540" s="1" t="s">
        <v>2280</v>
      </c>
      <c r="AL540" s="1" t="s">
        <v>2281</v>
      </c>
    </row>
    <row r="541" spans="1:38" x14ac:dyDescent="0.6">
      <c r="A541" s="1">
        <v>390</v>
      </c>
      <c r="B541" s="1" t="s">
        <v>88</v>
      </c>
      <c r="C541" s="1">
        <v>77</v>
      </c>
      <c r="D541" s="1" t="s">
        <v>119</v>
      </c>
      <c r="E541" s="1" t="s">
        <v>90</v>
      </c>
      <c r="F541" s="1"/>
      <c r="G541" s="1"/>
      <c r="H541" s="1" t="s">
        <v>91</v>
      </c>
      <c r="I541" s="1" t="s">
        <v>92</v>
      </c>
      <c r="J541" s="1" t="s">
        <v>93</v>
      </c>
      <c r="K541" s="1">
        <v>1</v>
      </c>
      <c r="L541" s="1">
        <v>120</v>
      </c>
      <c r="M541" s="1" t="s">
        <v>7</v>
      </c>
      <c r="N541" s="1" t="s">
        <v>7</v>
      </c>
      <c r="O541" s="1" t="s">
        <v>96</v>
      </c>
      <c r="P541" s="1" t="s">
        <v>96</v>
      </c>
      <c r="Q541" s="1" t="s">
        <v>9</v>
      </c>
      <c r="R541" s="1">
        <v>0</v>
      </c>
      <c r="S541" s="1" t="s">
        <v>97</v>
      </c>
      <c r="T541" s="1" t="s">
        <v>97</v>
      </c>
      <c r="U541" s="1" t="b">
        <v>1</v>
      </c>
      <c r="V541" s="1" t="b">
        <v>0</v>
      </c>
      <c r="W541" s="1" t="b">
        <v>0</v>
      </c>
      <c r="X541" s="1">
        <v>5</v>
      </c>
      <c r="Y541" s="1" t="b">
        <v>1</v>
      </c>
      <c r="Z541" s="1" t="b">
        <v>1</v>
      </c>
      <c r="AA541" s="1">
        <v>53.8</v>
      </c>
      <c r="AB541" s="1" t="b">
        <v>0</v>
      </c>
      <c r="AC541" s="1">
        <v>0</v>
      </c>
      <c r="AD541" s="1">
        <v>3547305</v>
      </c>
      <c r="AE541" s="1">
        <v>130408279</v>
      </c>
      <c r="AF541" s="1" t="s">
        <v>2282</v>
      </c>
      <c r="AG541" s="1" t="s">
        <v>2282</v>
      </c>
      <c r="AH541" s="1">
        <v>48.3</v>
      </c>
      <c r="AI541" s="1">
        <v>50.6</v>
      </c>
      <c r="AJ541" s="1" t="s">
        <v>2283</v>
      </c>
      <c r="AK541" s="1" t="s">
        <v>2284</v>
      </c>
      <c r="AL541" s="1" t="s">
        <v>2285</v>
      </c>
    </row>
    <row r="542" spans="1:38" x14ac:dyDescent="0.6">
      <c r="A542" s="1">
        <v>376</v>
      </c>
      <c r="B542" s="1" t="s">
        <v>88</v>
      </c>
      <c r="C542" s="1">
        <v>50</v>
      </c>
      <c r="D542" s="1" t="s">
        <v>89</v>
      </c>
      <c r="E542" s="1" t="s">
        <v>90</v>
      </c>
      <c r="F542" s="1"/>
      <c r="G542" s="1"/>
      <c r="H542" s="1" t="s">
        <v>91</v>
      </c>
      <c r="I542" s="1" t="s">
        <v>92</v>
      </c>
      <c r="J542" s="1" t="s">
        <v>93</v>
      </c>
      <c r="K542" s="1">
        <v>1</v>
      </c>
      <c r="L542" s="1">
        <v>120</v>
      </c>
      <c r="M542" s="1" t="s">
        <v>7</v>
      </c>
      <c r="N542" s="1" t="s">
        <v>7</v>
      </c>
      <c r="O542" s="1" t="s">
        <v>96</v>
      </c>
      <c r="P542" s="1" t="s">
        <v>96</v>
      </c>
      <c r="Q542" s="1" t="s">
        <v>9</v>
      </c>
      <c r="R542" s="1">
        <v>0</v>
      </c>
      <c r="S542" s="1" t="s">
        <v>97</v>
      </c>
      <c r="T542" s="1" t="s">
        <v>97</v>
      </c>
      <c r="U542" s="1" t="b">
        <v>1</v>
      </c>
      <c r="V542" s="1" t="b">
        <v>0</v>
      </c>
      <c r="W542" s="1" t="b">
        <v>0</v>
      </c>
      <c r="X542" s="1">
        <v>5</v>
      </c>
      <c r="Y542" s="1" t="b">
        <v>1</v>
      </c>
      <c r="Z542" s="1" t="b">
        <v>1</v>
      </c>
      <c r="AA542" s="1">
        <v>62.8</v>
      </c>
      <c r="AB542" s="1" t="b">
        <v>0</v>
      </c>
      <c r="AC542" s="1">
        <v>0</v>
      </c>
      <c r="AD542" s="1">
        <v>1943074</v>
      </c>
      <c r="AE542" s="1">
        <v>146954718</v>
      </c>
      <c r="AF542" s="1" t="s">
        <v>2286</v>
      </c>
      <c r="AG542" s="1" t="s">
        <v>2286</v>
      </c>
      <c r="AH542" s="1">
        <v>56.6</v>
      </c>
      <c r="AI542" s="1">
        <v>58.3</v>
      </c>
      <c r="AJ542" s="1" t="s">
        <v>2287</v>
      </c>
      <c r="AK542" s="1" t="s">
        <v>2288</v>
      </c>
      <c r="AL542" s="1" t="s">
        <v>2289</v>
      </c>
    </row>
    <row r="543" spans="1:38" x14ac:dyDescent="0.6">
      <c r="A543" s="1">
        <v>384</v>
      </c>
      <c r="B543" s="1" t="s">
        <v>103</v>
      </c>
      <c r="C543" s="1">
        <v>89</v>
      </c>
      <c r="D543" s="1" t="s">
        <v>153</v>
      </c>
      <c r="E543" s="1" t="s">
        <v>108</v>
      </c>
      <c r="F543" s="1"/>
      <c r="G543" s="1"/>
      <c r="H543" s="1" t="s">
        <v>91</v>
      </c>
      <c r="I543" s="1" t="s">
        <v>92</v>
      </c>
      <c r="J543" s="1" t="s">
        <v>93</v>
      </c>
      <c r="K543" s="1">
        <v>1</v>
      </c>
      <c r="L543" s="1">
        <v>120</v>
      </c>
      <c r="M543" s="1" t="s">
        <v>14</v>
      </c>
      <c r="N543" s="1" t="s">
        <v>95</v>
      </c>
      <c r="O543" s="1" t="s">
        <v>96</v>
      </c>
      <c r="P543" s="1"/>
      <c r="Q543" s="1" t="s">
        <v>9</v>
      </c>
      <c r="R543" s="1">
        <v>0</v>
      </c>
      <c r="S543" s="1" t="s">
        <v>97</v>
      </c>
      <c r="T543" s="1" t="s">
        <v>97</v>
      </c>
      <c r="U543" s="1" t="b">
        <v>1</v>
      </c>
      <c r="V543" s="1" t="b">
        <v>0</v>
      </c>
      <c r="W543" s="1" t="b">
        <v>0</v>
      </c>
      <c r="X543" s="1">
        <v>5</v>
      </c>
      <c r="Y543" s="1" t="b">
        <v>1</v>
      </c>
      <c r="Z543" s="1" t="b">
        <v>1</v>
      </c>
      <c r="AA543" s="1"/>
      <c r="AB543" s="1" t="b">
        <v>1</v>
      </c>
      <c r="AC543" s="1">
        <v>149221237</v>
      </c>
      <c r="AD543" s="1">
        <v>725131</v>
      </c>
      <c r="AE543" s="1">
        <v>0</v>
      </c>
      <c r="AF543" s="1" t="s">
        <v>2266</v>
      </c>
      <c r="AG543" s="1" t="s">
        <v>2267</v>
      </c>
      <c r="AH543" s="1">
        <v>50.7</v>
      </c>
      <c r="AI543" s="1">
        <v>45.3</v>
      </c>
      <c r="AJ543" s="1" t="s">
        <v>2290</v>
      </c>
      <c r="AK543" s="1" t="s">
        <v>2291</v>
      </c>
      <c r="AL543" s="1" t="s">
        <v>2292</v>
      </c>
    </row>
    <row r="544" spans="1:38" x14ac:dyDescent="0.6">
      <c r="A544" s="1">
        <v>385</v>
      </c>
      <c r="B544" s="1" t="s">
        <v>103</v>
      </c>
      <c r="C544" s="1">
        <v>64</v>
      </c>
      <c r="D544" s="1" t="s">
        <v>127</v>
      </c>
      <c r="E544" s="1" t="s">
        <v>108</v>
      </c>
      <c r="F544" s="1"/>
      <c r="G544" s="1"/>
      <c r="H544" s="1" t="s">
        <v>91</v>
      </c>
      <c r="I544" s="1" t="s">
        <v>92</v>
      </c>
      <c r="J544" s="1" t="s">
        <v>93</v>
      </c>
      <c r="K544" s="1">
        <v>1</v>
      </c>
      <c r="L544" s="1">
        <v>120</v>
      </c>
      <c r="M544" s="1" t="s">
        <v>7</v>
      </c>
      <c r="N544" s="1" t="s">
        <v>7</v>
      </c>
      <c r="O544" s="1" t="s">
        <v>96</v>
      </c>
      <c r="P544" s="1" t="s">
        <v>96</v>
      </c>
      <c r="Q544" s="1" t="s">
        <v>9</v>
      </c>
      <c r="R544" s="1">
        <v>0</v>
      </c>
      <c r="S544" s="1" t="s">
        <v>97</v>
      </c>
      <c r="T544" s="1" t="s">
        <v>97</v>
      </c>
      <c r="U544" s="1" t="b">
        <v>1</v>
      </c>
      <c r="V544" s="1" t="b">
        <v>0</v>
      </c>
      <c r="W544" s="1" t="b">
        <v>0</v>
      </c>
      <c r="X544" s="1">
        <v>5</v>
      </c>
      <c r="Y544" s="1" t="b">
        <v>1</v>
      </c>
      <c r="Z544" s="1" t="b">
        <v>1</v>
      </c>
      <c r="AA544" s="1">
        <v>79.5</v>
      </c>
      <c r="AB544" s="1" t="b">
        <v>0</v>
      </c>
      <c r="AC544" s="1">
        <v>0</v>
      </c>
      <c r="AD544" s="1">
        <v>3029855</v>
      </c>
      <c r="AE544" s="1">
        <v>128304289</v>
      </c>
      <c r="AF544" s="1" t="s">
        <v>2293</v>
      </c>
      <c r="AG544" s="1" t="s">
        <v>2293</v>
      </c>
      <c r="AH544" s="1">
        <v>75.599999999999994</v>
      </c>
      <c r="AI544" s="1">
        <v>77.3</v>
      </c>
      <c r="AJ544" s="1" t="s">
        <v>2294</v>
      </c>
      <c r="AK544" s="1" t="s">
        <v>2295</v>
      </c>
      <c r="AL544" s="1" t="s">
        <v>2296</v>
      </c>
    </row>
    <row r="545" spans="1:38" x14ac:dyDescent="0.6">
      <c r="A545" s="1">
        <v>386</v>
      </c>
      <c r="B545" s="1" t="s">
        <v>88</v>
      </c>
      <c r="C545" s="1">
        <v>56</v>
      </c>
      <c r="D545" s="1" t="s">
        <v>89</v>
      </c>
      <c r="E545" s="1" t="s">
        <v>90</v>
      </c>
      <c r="F545" s="1"/>
      <c r="G545" s="1"/>
      <c r="H545" s="1" t="s">
        <v>91</v>
      </c>
      <c r="I545" s="1" t="s">
        <v>92</v>
      </c>
      <c r="J545" s="1" t="s">
        <v>93</v>
      </c>
      <c r="K545" s="1">
        <v>1</v>
      </c>
      <c r="L545" s="1">
        <v>120</v>
      </c>
      <c r="M545" s="1" t="s">
        <v>94</v>
      </c>
      <c r="N545" s="1" t="s">
        <v>95</v>
      </c>
      <c r="O545" s="1"/>
      <c r="P545" s="1" t="s">
        <v>96</v>
      </c>
      <c r="Q545" s="1" t="s">
        <v>9</v>
      </c>
      <c r="R545" s="1">
        <v>0</v>
      </c>
      <c r="S545" s="1" t="s">
        <v>97</v>
      </c>
      <c r="T545" s="1" t="s">
        <v>97</v>
      </c>
      <c r="U545" s="1" t="b">
        <v>1</v>
      </c>
      <c r="V545" s="1" t="b">
        <v>0</v>
      </c>
      <c r="W545" s="1" t="b">
        <v>0</v>
      </c>
      <c r="X545" s="1">
        <v>0</v>
      </c>
      <c r="Y545" s="1" t="b">
        <v>1</v>
      </c>
      <c r="Z545" s="1" t="b">
        <v>1</v>
      </c>
      <c r="AA545" s="1">
        <v>69.8</v>
      </c>
      <c r="AB545" s="1" t="b">
        <v>1</v>
      </c>
      <c r="AC545" s="1">
        <v>131687290</v>
      </c>
      <c r="AD545" s="1">
        <v>1744006</v>
      </c>
      <c r="AE545" s="1">
        <v>0</v>
      </c>
      <c r="AF545" s="1" t="s">
        <v>2297</v>
      </c>
      <c r="AG545" s="1" t="s">
        <v>2298</v>
      </c>
      <c r="AH545" s="1">
        <v>64.099999999999994</v>
      </c>
      <c r="AI545" s="1">
        <v>64.7</v>
      </c>
      <c r="AJ545" s="1" t="s">
        <v>2299</v>
      </c>
      <c r="AK545" s="1" t="s">
        <v>2300</v>
      </c>
      <c r="AL545" s="1" t="s">
        <v>2301</v>
      </c>
    </row>
    <row r="546" spans="1:38" x14ac:dyDescent="0.6">
      <c r="A546" s="1">
        <v>393</v>
      </c>
      <c r="B546" s="1" t="s">
        <v>103</v>
      </c>
      <c r="C546" s="1">
        <v>62</v>
      </c>
      <c r="D546" s="1" t="s">
        <v>127</v>
      </c>
      <c r="E546" s="1" t="s">
        <v>90</v>
      </c>
      <c r="F546" s="1"/>
      <c r="G546" s="1"/>
      <c r="H546" s="1" t="s">
        <v>91</v>
      </c>
      <c r="I546" s="1" t="s">
        <v>92</v>
      </c>
      <c r="J546" s="1" t="s">
        <v>93</v>
      </c>
      <c r="K546" s="1">
        <v>1</v>
      </c>
      <c r="L546" s="1">
        <v>120</v>
      </c>
      <c r="M546" s="1" t="s">
        <v>14</v>
      </c>
      <c r="N546" s="1" t="s">
        <v>95</v>
      </c>
      <c r="O546" s="1" t="s">
        <v>96</v>
      </c>
      <c r="P546" s="1"/>
      <c r="Q546" s="1" t="s">
        <v>9</v>
      </c>
      <c r="R546" s="1">
        <v>0</v>
      </c>
      <c r="S546" s="1" t="s">
        <v>97</v>
      </c>
      <c r="T546" s="1" t="s">
        <v>97</v>
      </c>
      <c r="U546" s="1" t="b">
        <v>1</v>
      </c>
      <c r="V546" s="1" t="b">
        <v>0</v>
      </c>
      <c r="W546" s="1" t="b">
        <v>0</v>
      </c>
      <c r="X546" s="1">
        <v>5</v>
      </c>
      <c r="Y546" s="1" t="b">
        <v>1</v>
      </c>
      <c r="Z546" s="1" t="b">
        <v>1</v>
      </c>
      <c r="AA546" s="1"/>
      <c r="AB546" s="1" t="b">
        <v>1</v>
      </c>
      <c r="AC546" s="1">
        <v>130709943</v>
      </c>
      <c r="AD546" s="1">
        <v>624201</v>
      </c>
      <c r="AE546" s="1">
        <v>0</v>
      </c>
      <c r="AF546" s="1" t="s">
        <v>2302</v>
      </c>
      <c r="AG546" s="1" t="s">
        <v>2303</v>
      </c>
      <c r="AH546" s="1">
        <v>75.599999999999994</v>
      </c>
      <c r="AI546" s="1">
        <v>72.900000000000006</v>
      </c>
      <c r="AJ546" s="1" t="s">
        <v>2304</v>
      </c>
      <c r="AK546" s="1" t="s">
        <v>2305</v>
      </c>
      <c r="AL546" s="1" t="s">
        <v>2306</v>
      </c>
    </row>
    <row r="547" spans="1:38" x14ac:dyDescent="0.6">
      <c r="A547" s="1">
        <v>375</v>
      </c>
      <c r="B547" s="1" t="s">
        <v>103</v>
      </c>
      <c r="C547" s="1"/>
      <c r="D547" s="1"/>
      <c r="E547" s="1" t="s">
        <v>108</v>
      </c>
      <c r="F547" s="1"/>
      <c r="G547" s="1"/>
      <c r="H547" s="1" t="s">
        <v>91</v>
      </c>
      <c r="I547" s="1" t="s">
        <v>92</v>
      </c>
      <c r="J547" s="1" t="s">
        <v>109</v>
      </c>
      <c r="K547" s="1">
        <v>1</v>
      </c>
      <c r="L547" s="1">
        <v>120</v>
      </c>
      <c r="M547" s="1" t="s">
        <v>7</v>
      </c>
      <c r="N547" s="1" t="s">
        <v>7</v>
      </c>
      <c r="O547" s="1" t="s">
        <v>96</v>
      </c>
      <c r="P547" s="1" t="s">
        <v>96</v>
      </c>
      <c r="Q547" s="1" t="s">
        <v>9</v>
      </c>
      <c r="R547" s="1">
        <v>0</v>
      </c>
      <c r="S547" s="1" t="s">
        <v>97</v>
      </c>
      <c r="T547" s="1" t="s">
        <v>97</v>
      </c>
      <c r="U547" s="1" t="b">
        <v>1</v>
      </c>
      <c r="V547" s="1" t="b">
        <v>0</v>
      </c>
      <c r="W547" s="1" t="b">
        <v>0</v>
      </c>
      <c r="X547" s="1">
        <v>5</v>
      </c>
      <c r="Y547" s="1" t="b">
        <v>1</v>
      </c>
      <c r="Z547" s="1" t="b">
        <v>1</v>
      </c>
      <c r="AA547" s="1">
        <v>69.5</v>
      </c>
      <c r="AB547" s="1" t="b">
        <v>0</v>
      </c>
      <c r="AC547" s="1">
        <v>0</v>
      </c>
      <c r="AD547" s="1">
        <v>2442852</v>
      </c>
      <c r="AE547" s="1">
        <v>176339356</v>
      </c>
      <c r="AF547" s="1" t="s">
        <v>2307</v>
      </c>
      <c r="AG547" s="1" t="s">
        <v>2307</v>
      </c>
      <c r="AH547" s="1">
        <v>69.3</v>
      </c>
      <c r="AI547" s="1">
        <v>66</v>
      </c>
      <c r="AJ547" s="1" t="s">
        <v>2308</v>
      </c>
      <c r="AK547" s="1" t="s">
        <v>2309</v>
      </c>
      <c r="AL547" s="1" t="s">
        <v>2310</v>
      </c>
    </row>
    <row r="548" spans="1:38" x14ac:dyDescent="0.6">
      <c r="A548" s="1">
        <v>387</v>
      </c>
      <c r="B548" s="1" t="s">
        <v>88</v>
      </c>
      <c r="C548" s="1">
        <v>55</v>
      </c>
      <c r="D548" s="1" t="s">
        <v>89</v>
      </c>
      <c r="E548" s="1" t="s">
        <v>90</v>
      </c>
      <c r="F548" s="1"/>
      <c r="G548" s="1"/>
      <c r="H548" s="1" t="s">
        <v>91</v>
      </c>
      <c r="I548" s="1" t="s">
        <v>92</v>
      </c>
      <c r="J548" s="1" t="s">
        <v>93</v>
      </c>
      <c r="K548" s="1">
        <v>1</v>
      </c>
      <c r="L548" s="1">
        <v>120</v>
      </c>
      <c r="M548" s="1" t="s">
        <v>14</v>
      </c>
      <c r="N548" s="1" t="s">
        <v>14</v>
      </c>
      <c r="O548" s="1" t="s">
        <v>96</v>
      </c>
      <c r="P548" s="1"/>
      <c r="Q548" s="1" t="s">
        <v>9</v>
      </c>
      <c r="R548" s="1">
        <v>0</v>
      </c>
      <c r="S548" s="1"/>
      <c r="T548" s="1" t="s">
        <v>97</v>
      </c>
      <c r="U548" s="1"/>
      <c r="V548" s="1" t="b">
        <v>0</v>
      </c>
      <c r="W548" s="1" t="b">
        <v>0</v>
      </c>
      <c r="X548" s="1">
        <v>5</v>
      </c>
      <c r="Y548" s="1" t="b">
        <v>1</v>
      </c>
      <c r="Z548" s="1" t="b">
        <v>1</v>
      </c>
      <c r="AA548" s="1"/>
      <c r="AB548" s="1" t="b">
        <v>1</v>
      </c>
      <c r="AC548" s="1">
        <v>134728002</v>
      </c>
      <c r="AD548" s="1">
        <v>538302</v>
      </c>
      <c r="AE548" s="1">
        <v>0</v>
      </c>
      <c r="AF548" s="1" t="s">
        <v>2311</v>
      </c>
      <c r="AG548" s="1"/>
      <c r="AH548" s="1">
        <v>94.9</v>
      </c>
      <c r="AI548" s="1"/>
      <c r="AJ548" s="1" t="s">
        <v>2312</v>
      </c>
      <c r="AK548" s="1" t="s">
        <v>2313</v>
      </c>
      <c r="AL548" s="1" t="s">
        <v>2314</v>
      </c>
    </row>
    <row r="549" spans="1:38" x14ac:dyDescent="0.6">
      <c r="A549" s="1">
        <v>392</v>
      </c>
      <c r="B549" s="1" t="s">
        <v>88</v>
      </c>
      <c r="C549" s="1">
        <v>59</v>
      </c>
      <c r="D549" s="1" t="s">
        <v>89</v>
      </c>
      <c r="E549" s="1" t="s">
        <v>108</v>
      </c>
      <c r="F549" s="1"/>
      <c r="G549" s="1"/>
      <c r="H549" s="1" t="s">
        <v>91</v>
      </c>
      <c r="I549" s="1" t="s">
        <v>92</v>
      </c>
      <c r="J549" s="1" t="s">
        <v>93</v>
      </c>
      <c r="K549" s="1">
        <v>1</v>
      </c>
      <c r="L549" s="1">
        <v>120</v>
      </c>
      <c r="M549" s="1" t="s">
        <v>14</v>
      </c>
      <c r="N549" s="1" t="s">
        <v>95</v>
      </c>
      <c r="O549" s="1" t="s">
        <v>96</v>
      </c>
      <c r="P549" s="1"/>
      <c r="Q549" s="1" t="s">
        <v>9</v>
      </c>
      <c r="R549" s="1">
        <v>0</v>
      </c>
      <c r="S549" s="1" t="s">
        <v>97</v>
      </c>
      <c r="T549" s="1" t="s">
        <v>97</v>
      </c>
      <c r="U549" s="1" t="b">
        <v>1</v>
      </c>
      <c r="V549" s="1" t="b">
        <v>0</v>
      </c>
      <c r="W549" s="1" t="b">
        <v>0</v>
      </c>
      <c r="X549" s="1">
        <v>5</v>
      </c>
      <c r="Y549" s="1" t="b">
        <v>1</v>
      </c>
      <c r="Z549" s="1" t="b">
        <v>1</v>
      </c>
      <c r="AA549" s="1"/>
      <c r="AB549" s="1" t="b">
        <v>1</v>
      </c>
      <c r="AC549" s="1">
        <v>140488078</v>
      </c>
      <c r="AD549" s="1">
        <v>807538</v>
      </c>
      <c r="AE549" s="1">
        <v>0</v>
      </c>
      <c r="AF549" s="1" t="s">
        <v>2315</v>
      </c>
      <c r="AG549" s="1" t="s">
        <v>2316</v>
      </c>
      <c r="AH549" s="1">
        <v>48.2</v>
      </c>
      <c r="AI549" s="1">
        <v>46.3</v>
      </c>
      <c r="AJ549" s="1" t="s">
        <v>2317</v>
      </c>
      <c r="AK549" s="1" t="s">
        <v>2318</v>
      </c>
      <c r="AL549" s="1" t="s">
        <v>2319</v>
      </c>
    </row>
    <row r="550" spans="1:38" x14ac:dyDescent="0.6">
      <c r="A550" s="1">
        <v>386</v>
      </c>
      <c r="B550" s="1" t="s">
        <v>88</v>
      </c>
      <c r="C550" s="1">
        <v>56</v>
      </c>
      <c r="D550" s="1" t="s">
        <v>89</v>
      </c>
      <c r="E550" s="1" t="s">
        <v>90</v>
      </c>
      <c r="F550" s="1"/>
      <c r="G550" s="1"/>
      <c r="H550" s="1" t="s">
        <v>91</v>
      </c>
      <c r="I550" s="1" t="s">
        <v>92</v>
      </c>
      <c r="J550" s="1" t="s">
        <v>93</v>
      </c>
      <c r="K550" s="1">
        <v>1</v>
      </c>
      <c r="L550" s="1">
        <v>120</v>
      </c>
      <c r="M550" s="1" t="s">
        <v>14</v>
      </c>
      <c r="N550" s="1" t="s">
        <v>95</v>
      </c>
      <c r="O550" s="1" t="s">
        <v>96</v>
      </c>
      <c r="P550" s="1"/>
      <c r="Q550" s="1" t="s">
        <v>9</v>
      </c>
      <c r="R550" s="1">
        <v>0</v>
      </c>
      <c r="S550" s="1" t="s">
        <v>97</v>
      </c>
      <c r="T550" s="1" t="s">
        <v>97</v>
      </c>
      <c r="U550" s="1" t="b">
        <v>1</v>
      </c>
      <c r="V550" s="1" t="b">
        <v>0</v>
      </c>
      <c r="W550" s="1" t="b">
        <v>0</v>
      </c>
      <c r="X550" s="1">
        <v>5</v>
      </c>
      <c r="Y550" s="1" t="b">
        <v>1</v>
      </c>
      <c r="Z550" s="1" t="b">
        <v>1</v>
      </c>
      <c r="AA550" s="1"/>
      <c r="AB550" s="1" t="b">
        <v>1</v>
      </c>
      <c r="AC550" s="1">
        <v>145372961</v>
      </c>
      <c r="AD550" s="1">
        <v>641247</v>
      </c>
      <c r="AE550" s="1">
        <v>0</v>
      </c>
      <c r="AF550" s="1" t="s">
        <v>2297</v>
      </c>
      <c r="AG550" s="1" t="s">
        <v>2298</v>
      </c>
      <c r="AH550" s="1">
        <v>64.099999999999994</v>
      </c>
      <c r="AI550" s="1">
        <v>64.7</v>
      </c>
      <c r="AJ550" s="1" t="s">
        <v>2320</v>
      </c>
      <c r="AK550" s="1" t="s">
        <v>2321</v>
      </c>
      <c r="AL550" s="1" t="s">
        <v>2322</v>
      </c>
    </row>
    <row r="551" spans="1:38" x14ac:dyDescent="0.6">
      <c r="A551" s="1">
        <v>393</v>
      </c>
      <c r="B551" s="1" t="s">
        <v>103</v>
      </c>
      <c r="C551" s="1">
        <v>62</v>
      </c>
      <c r="D551" s="1" t="s">
        <v>127</v>
      </c>
      <c r="E551" s="1" t="s">
        <v>90</v>
      </c>
      <c r="F551" s="1"/>
      <c r="G551" s="1"/>
      <c r="H551" s="1" t="s">
        <v>91</v>
      </c>
      <c r="I551" s="1" t="s">
        <v>92</v>
      </c>
      <c r="J551" s="1" t="s">
        <v>93</v>
      </c>
      <c r="K551" s="1">
        <v>1</v>
      </c>
      <c r="L551" s="1">
        <v>120</v>
      </c>
      <c r="M551" s="1" t="s">
        <v>94</v>
      </c>
      <c r="N551" s="1" t="s">
        <v>95</v>
      </c>
      <c r="O551" s="1"/>
      <c r="P551" s="1" t="s">
        <v>96</v>
      </c>
      <c r="Q551" s="1" t="s">
        <v>9</v>
      </c>
      <c r="R551" s="1">
        <v>0</v>
      </c>
      <c r="S551" s="1" t="s">
        <v>97</v>
      </c>
      <c r="T551" s="1" t="s">
        <v>97</v>
      </c>
      <c r="U551" s="1" t="b">
        <v>1</v>
      </c>
      <c r="V551" s="1" t="b">
        <v>0</v>
      </c>
      <c r="W551" s="1" t="b">
        <v>0</v>
      </c>
      <c r="X551" s="1">
        <v>0</v>
      </c>
      <c r="Y551" s="1" t="b">
        <v>1</v>
      </c>
      <c r="Z551" s="1" t="b">
        <v>1</v>
      </c>
      <c r="AA551" s="1">
        <v>75.3</v>
      </c>
      <c r="AB551" s="1" t="b">
        <v>1</v>
      </c>
      <c r="AC551" s="1">
        <v>129755376</v>
      </c>
      <c r="AD551" s="1">
        <v>1578768</v>
      </c>
      <c r="AE551" s="1">
        <v>0</v>
      </c>
      <c r="AF551" s="1" t="s">
        <v>2302</v>
      </c>
      <c r="AG551" s="1" t="s">
        <v>2303</v>
      </c>
      <c r="AH551" s="1">
        <v>75.599999999999994</v>
      </c>
      <c r="AI551" s="1">
        <v>72.900000000000006</v>
      </c>
      <c r="AJ551" s="1" t="s">
        <v>2323</v>
      </c>
      <c r="AK551" s="1" t="s">
        <v>2324</v>
      </c>
      <c r="AL551" s="1" t="s">
        <v>2325</v>
      </c>
    </row>
    <row r="552" spans="1:38" x14ac:dyDescent="0.6">
      <c r="A552" s="1">
        <v>391</v>
      </c>
      <c r="B552" s="1" t="s">
        <v>88</v>
      </c>
      <c r="C552" s="1">
        <v>62</v>
      </c>
      <c r="D552" s="1" t="s">
        <v>127</v>
      </c>
      <c r="E552" s="1" t="s">
        <v>108</v>
      </c>
      <c r="F552" s="1"/>
      <c r="G552" s="1"/>
      <c r="H552" s="1" t="s">
        <v>91</v>
      </c>
      <c r="I552" s="1" t="s">
        <v>92</v>
      </c>
      <c r="J552" s="1" t="s">
        <v>93</v>
      </c>
      <c r="K552" s="1">
        <v>1</v>
      </c>
      <c r="L552" s="1">
        <v>120</v>
      </c>
      <c r="M552" s="1" t="s">
        <v>7</v>
      </c>
      <c r="N552" s="1" t="s">
        <v>7</v>
      </c>
      <c r="O552" s="1" t="s">
        <v>96</v>
      </c>
      <c r="P552" s="1" t="s">
        <v>96</v>
      </c>
      <c r="Q552" s="1" t="s">
        <v>9</v>
      </c>
      <c r="R552" s="1">
        <v>0</v>
      </c>
      <c r="S552" s="1" t="s">
        <v>97</v>
      </c>
      <c r="T552" s="1" t="s">
        <v>97</v>
      </c>
      <c r="U552" s="1" t="b">
        <v>1</v>
      </c>
      <c r="V552" s="1" t="b">
        <v>0</v>
      </c>
      <c r="W552" s="1" t="b">
        <v>0</v>
      </c>
      <c r="X552" s="1">
        <v>5</v>
      </c>
      <c r="Y552" s="1" t="b">
        <v>1</v>
      </c>
      <c r="Z552" s="1" t="b">
        <v>1</v>
      </c>
      <c r="AA552" s="1">
        <v>64.099999999999994</v>
      </c>
      <c r="AB552" s="1" t="b">
        <v>0</v>
      </c>
      <c r="AC552" s="1">
        <v>0</v>
      </c>
      <c r="AD552" s="1">
        <v>2650540</v>
      </c>
      <c r="AE552" s="1">
        <v>144674388</v>
      </c>
      <c r="AF552" s="1" t="s">
        <v>2326</v>
      </c>
      <c r="AG552" s="1" t="s">
        <v>2326</v>
      </c>
      <c r="AH552" s="1">
        <v>73.3</v>
      </c>
      <c r="AI552" s="1">
        <v>64.400000000000006</v>
      </c>
      <c r="AJ552" s="1" t="s">
        <v>2327</v>
      </c>
      <c r="AK552" s="1" t="s">
        <v>2328</v>
      </c>
      <c r="AL552" s="1" t="s">
        <v>2329</v>
      </c>
    </row>
    <row r="553" spans="1:38" x14ac:dyDescent="0.6">
      <c r="A553" s="1">
        <v>395</v>
      </c>
      <c r="B553" s="1" t="s">
        <v>88</v>
      </c>
      <c r="C553" s="1">
        <v>55</v>
      </c>
      <c r="D553" s="1" t="s">
        <v>89</v>
      </c>
      <c r="E553" s="1" t="s">
        <v>90</v>
      </c>
      <c r="F553" s="1"/>
      <c r="G553" s="1"/>
      <c r="H553" s="1" t="s">
        <v>220</v>
      </c>
      <c r="I553" s="1" t="s">
        <v>221</v>
      </c>
      <c r="J553" s="1" t="s">
        <v>222</v>
      </c>
      <c r="K553" s="1">
        <v>1.25</v>
      </c>
      <c r="L553" s="1">
        <v>120</v>
      </c>
      <c r="M553" s="1" t="s">
        <v>94</v>
      </c>
      <c r="N553" s="1" t="s">
        <v>95</v>
      </c>
      <c r="O553" s="1"/>
      <c r="P553" s="1" t="s">
        <v>96</v>
      </c>
      <c r="Q553" s="1" t="s">
        <v>9</v>
      </c>
      <c r="R553" s="1">
        <v>0</v>
      </c>
      <c r="S553" s="1" t="s">
        <v>97</v>
      </c>
      <c r="T553" s="1" t="s">
        <v>97</v>
      </c>
      <c r="U553" s="1" t="b">
        <v>1</v>
      </c>
      <c r="V553" s="1" t="b">
        <v>0</v>
      </c>
      <c r="W553" s="1" t="b">
        <v>0</v>
      </c>
      <c r="X553" s="1">
        <v>0</v>
      </c>
      <c r="Y553" s="1" t="b">
        <v>1</v>
      </c>
      <c r="Z553" s="1" t="b">
        <v>1</v>
      </c>
      <c r="AA553" s="1">
        <v>73.3</v>
      </c>
      <c r="AB553" s="1" t="b">
        <v>1</v>
      </c>
      <c r="AC553" s="1">
        <v>131976560</v>
      </c>
      <c r="AD553" s="1">
        <v>1454736</v>
      </c>
      <c r="AE553" s="1">
        <v>0</v>
      </c>
      <c r="AF553" s="1" t="s">
        <v>2330</v>
      </c>
      <c r="AG553" s="1" t="s">
        <v>2331</v>
      </c>
      <c r="AH553" s="1">
        <v>59.5</v>
      </c>
      <c r="AI553" s="1">
        <v>65.8</v>
      </c>
      <c r="AJ553" s="1" t="s">
        <v>2332</v>
      </c>
      <c r="AK553" s="1" t="s">
        <v>2333</v>
      </c>
      <c r="AL553" s="1" t="s">
        <v>2334</v>
      </c>
    </row>
    <row r="554" spans="1:38" x14ac:dyDescent="0.6">
      <c r="A554" s="1">
        <v>392</v>
      </c>
      <c r="B554" s="1" t="s">
        <v>88</v>
      </c>
      <c r="C554" s="1">
        <v>59</v>
      </c>
      <c r="D554" s="1" t="s">
        <v>89</v>
      </c>
      <c r="E554" s="1" t="s">
        <v>108</v>
      </c>
      <c r="F554" s="1"/>
      <c r="G554" s="1"/>
      <c r="H554" s="1" t="s">
        <v>91</v>
      </c>
      <c r="I554" s="1" t="s">
        <v>92</v>
      </c>
      <c r="J554" s="1" t="s">
        <v>93</v>
      </c>
      <c r="K554" s="1">
        <v>1</v>
      </c>
      <c r="L554" s="1">
        <v>120</v>
      </c>
      <c r="M554" s="1" t="s">
        <v>94</v>
      </c>
      <c r="N554" s="1" t="s">
        <v>95</v>
      </c>
      <c r="O554" s="1"/>
      <c r="P554" s="1" t="s">
        <v>96</v>
      </c>
      <c r="Q554" s="1" t="s">
        <v>9</v>
      </c>
      <c r="R554" s="1">
        <v>0</v>
      </c>
      <c r="S554" s="1" t="s">
        <v>97</v>
      </c>
      <c r="T554" s="1" t="s">
        <v>97</v>
      </c>
      <c r="U554" s="1" t="b">
        <v>1</v>
      </c>
      <c r="V554" s="1" t="b">
        <v>0</v>
      </c>
      <c r="W554" s="1" t="b">
        <v>0</v>
      </c>
      <c r="X554" s="1">
        <v>0</v>
      </c>
      <c r="Y554" s="1" t="b">
        <v>1</v>
      </c>
      <c r="Z554" s="1" t="b">
        <v>1</v>
      </c>
      <c r="AA554" s="1">
        <v>46.6</v>
      </c>
      <c r="AB554" s="1" t="b">
        <v>1</v>
      </c>
      <c r="AC554" s="1">
        <v>149728703</v>
      </c>
      <c r="AD554" s="1">
        <v>2052673</v>
      </c>
      <c r="AE554" s="1">
        <v>0</v>
      </c>
      <c r="AF554" s="1" t="s">
        <v>2315</v>
      </c>
      <c r="AG554" s="1" t="s">
        <v>2316</v>
      </c>
      <c r="AH554" s="1">
        <v>48.2</v>
      </c>
      <c r="AI554" s="1">
        <v>46.3</v>
      </c>
      <c r="AJ554" s="1" t="s">
        <v>2335</v>
      </c>
      <c r="AK554" s="1" t="s">
        <v>2336</v>
      </c>
      <c r="AL554" s="1" t="s">
        <v>2337</v>
      </c>
    </row>
    <row r="555" spans="1:38" x14ac:dyDescent="0.6">
      <c r="A555" s="1">
        <v>395</v>
      </c>
      <c r="B555" s="1" t="s">
        <v>88</v>
      </c>
      <c r="C555" s="1">
        <v>55</v>
      </c>
      <c r="D555" s="1" t="s">
        <v>89</v>
      </c>
      <c r="E555" s="1" t="s">
        <v>90</v>
      </c>
      <c r="F555" s="1"/>
      <c r="G555" s="1"/>
      <c r="H555" s="1" t="s">
        <v>220</v>
      </c>
      <c r="I555" s="1" t="s">
        <v>221</v>
      </c>
      <c r="J555" s="1" t="s">
        <v>222</v>
      </c>
      <c r="K555" s="1">
        <v>1.25</v>
      </c>
      <c r="L555" s="1">
        <v>120</v>
      </c>
      <c r="M555" s="1" t="s">
        <v>14</v>
      </c>
      <c r="N555" s="1" t="s">
        <v>95</v>
      </c>
      <c r="O555" s="1" t="s">
        <v>96</v>
      </c>
      <c r="P555" s="1"/>
      <c r="Q555" s="1" t="s">
        <v>9</v>
      </c>
      <c r="R555" s="1">
        <v>0</v>
      </c>
      <c r="S555" s="1" t="s">
        <v>97</v>
      </c>
      <c r="T555" s="1" t="s">
        <v>97</v>
      </c>
      <c r="U555" s="1" t="b">
        <v>1</v>
      </c>
      <c r="V555" s="1" t="b">
        <v>0</v>
      </c>
      <c r="W555" s="1" t="b">
        <v>0</v>
      </c>
      <c r="X555" s="1">
        <v>5</v>
      </c>
      <c r="Y555" s="1" t="b">
        <v>1</v>
      </c>
      <c r="Z555" s="1" t="b">
        <v>1</v>
      </c>
      <c r="AA555" s="1"/>
      <c r="AB555" s="1" t="b">
        <v>1</v>
      </c>
      <c r="AC555" s="1">
        <v>128689458</v>
      </c>
      <c r="AD555" s="1">
        <v>547534</v>
      </c>
      <c r="AE555" s="1">
        <v>0</v>
      </c>
      <c r="AF555" s="1" t="s">
        <v>2330</v>
      </c>
      <c r="AG555" s="1" t="s">
        <v>2331</v>
      </c>
      <c r="AH555" s="1">
        <v>59.5</v>
      </c>
      <c r="AI555" s="1">
        <v>65.8</v>
      </c>
      <c r="AJ555" s="1" t="s">
        <v>2338</v>
      </c>
      <c r="AK555" s="1" t="s">
        <v>2339</v>
      </c>
      <c r="AL555" s="1" t="s">
        <v>2340</v>
      </c>
    </row>
    <row r="556" spans="1:38" x14ac:dyDescent="0.6">
      <c r="A556" s="1">
        <v>379</v>
      </c>
      <c r="B556" s="1" t="s">
        <v>88</v>
      </c>
      <c r="C556" s="1">
        <v>57</v>
      </c>
      <c r="D556" s="1" t="s">
        <v>89</v>
      </c>
      <c r="E556" s="1" t="s">
        <v>90</v>
      </c>
      <c r="F556" s="1"/>
      <c r="G556" s="1"/>
      <c r="H556" s="1" t="s">
        <v>91</v>
      </c>
      <c r="I556" s="1" t="s">
        <v>92</v>
      </c>
      <c r="J556" s="1" t="s">
        <v>93</v>
      </c>
      <c r="K556" s="1">
        <v>1</v>
      </c>
      <c r="L556" s="1">
        <v>120</v>
      </c>
      <c r="M556" s="1" t="s">
        <v>7</v>
      </c>
      <c r="N556" s="1" t="s">
        <v>7</v>
      </c>
      <c r="O556" s="1" t="s">
        <v>96</v>
      </c>
      <c r="P556" s="1" t="s">
        <v>96</v>
      </c>
      <c r="Q556" s="1" t="s">
        <v>9</v>
      </c>
      <c r="R556" s="1">
        <v>0</v>
      </c>
      <c r="S556" s="1" t="s">
        <v>97</v>
      </c>
      <c r="T556" s="1" t="s">
        <v>97</v>
      </c>
      <c r="U556" s="1" t="b">
        <v>1</v>
      </c>
      <c r="V556" s="1" t="b">
        <v>0</v>
      </c>
      <c r="W556" s="1" t="b">
        <v>0</v>
      </c>
      <c r="X556" s="1">
        <v>5</v>
      </c>
      <c r="Y556" s="1" t="b">
        <v>1</v>
      </c>
      <c r="Z556" s="1" t="b">
        <v>1</v>
      </c>
      <c r="AA556" s="1">
        <v>67</v>
      </c>
      <c r="AB556" s="1" t="b">
        <v>0</v>
      </c>
      <c r="AC556" s="1">
        <v>0</v>
      </c>
      <c r="AD556" s="1">
        <v>2252766</v>
      </c>
      <c r="AE556" s="1">
        <v>146120738</v>
      </c>
      <c r="AF556" s="1" t="s">
        <v>2341</v>
      </c>
      <c r="AG556" s="1" t="s">
        <v>2341</v>
      </c>
      <c r="AH556" s="1">
        <v>59.5</v>
      </c>
      <c r="AI556" s="1">
        <v>62.6</v>
      </c>
      <c r="AJ556" s="1" t="s">
        <v>2342</v>
      </c>
      <c r="AK556" s="1" t="s">
        <v>2343</v>
      </c>
      <c r="AL556" s="1" t="s">
        <v>2344</v>
      </c>
    </row>
    <row r="557" spans="1:38" x14ac:dyDescent="0.6">
      <c r="A557" s="1">
        <v>397</v>
      </c>
      <c r="B557" s="1" t="s">
        <v>88</v>
      </c>
      <c r="C557" s="1">
        <v>52</v>
      </c>
      <c r="D557" s="1" t="s">
        <v>89</v>
      </c>
      <c r="E557" s="1" t="s">
        <v>90</v>
      </c>
      <c r="F557" s="1"/>
      <c r="G557" s="1"/>
      <c r="H557" s="1" t="s">
        <v>220</v>
      </c>
      <c r="I557" s="1" t="s">
        <v>221</v>
      </c>
      <c r="J557" s="1" t="s">
        <v>222</v>
      </c>
      <c r="K557" s="1">
        <v>1.25</v>
      </c>
      <c r="L557" s="1">
        <v>120</v>
      </c>
      <c r="M557" s="1" t="s">
        <v>7</v>
      </c>
      <c r="N557" s="1" t="s">
        <v>7</v>
      </c>
      <c r="O557" s="1" t="s">
        <v>96</v>
      </c>
      <c r="P557" s="1" t="s">
        <v>96</v>
      </c>
      <c r="Q557" s="1" t="s">
        <v>9</v>
      </c>
      <c r="R557" s="1">
        <v>0</v>
      </c>
      <c r="S557" s="1" t="s">
        <v>97</v>
      </c>
      <c r="T557" s="1" t="s">
        <v>97</v>
      </c>
      <c r="U557" s="1" t="b">
        <v>1</v>
      </c>
      <c r="V557" s="1" t="b">
        <v>0</v>
      </c>
      <c r="W557" s="1" t="b">
        <v>0</v>
      </c>
      <c r="X557" s="1">
        <v>5</v>
      </c>
      <c r="Y557" s="1" t="b">
        <v>1</v>
      </c>
      <c r="Z557" s="1" t="b">
        <v>1</v>
      </c>
      <c r="AA557" s="1">
        <v>66.400000000000006</v>
      </c>
      <c r="AB557" s="1" t="b">
        <v>0</v>
      </c>
      <c r="AC557" s="1">
        <v>0</v>
      </c>
      <c r="AD557" s="1">
        <v>2365284</v>
      </c>
      <c r="AE557" s="1">
        <v>128182428</v>
      </c>
      <c r="AF557" s="1" t="s">
        <v>2345</v>
      </c>
      <c r="AG557" s="1" t="s">
        <v>2345</v>
      </c>
      <c r="AH557" s="1">
        <v>60.6</v>
      </c>
      <c r="AI557" s="1">
        <v>61.9</v>
      </c>
      <c r="AJ557" s="1" t="s">
        <v>2346</v>
      </c>
      <c r="AK557" s="1" t="s">
        <v>2347</v>
      </c>
      <c r="AL557" s="1" t="s">
        <v>2348</v>
      </c>
    </row>
    <row r="558" spans="1:38" x14ac:dyDescent="0.6">
      <c r="A558" s="1">
        <v>398</v>
      </c>
      <c r="B558" s="1" t="s">
        <v>88</v>
      </c>
      <c r="C558" s="1">
        <v>66</v>
      </c>
      <c r="D558" s="1" t="s">
        <v>127</v>
      </c>
      <c r="E558" s="1" t="s">
        <v>90</v>
      </c>
      <c r="F558" s="1"/>
      <c r="G558" s="1"/>
      <c r="H558" s="1" t="s">
        <v>220</v>
      </c>
      <c r="I558" s="1" t="s">
        <v>221</v>
      </c>
      <c r="J558" s="1" t="s">
        <v>1176</v>
      </c>
      <c r="K558" s="1">
        <v>1.25</v>
      </c>
      <c r="L558" s="1">
        <v>120</v>
      </c>
      <c r="M558" s="1" t="s">
        <v>7</v>
      </c>
      <c r="N558" s="1" t="s">
        <v>7</v>
      </c>
      <c r="O558" s="1" t="s">
        <v>96</v>
      </c>
      <c r="P558" s="1" t="s">
        <v>96</v>
      </c>
      <c r="Q558" s="1" t="s">
        <v>9</v>
      </c>
      <c r="R558" s="1">
        <v>0</v>
      </c>
      <c r="S558" s="1" t="s">
        <v>97</v>
      </c>
      <c r="T558" s="1" t="s">
        <v>97</v>
      </c>
      <c r="U558" s="1" t="b">
        <v>1</v>
      </c>
      <c r="V558" s="1" t="b">
        <v>0</v>
      </c>
      <c r="W558" s="1" t="b">
        <v>0</v>
      </c>
      <c r="X558" s="1">
        <v>5</v>
      </c>
      <c r="Y558" s="1" t="b">
        <v>1</v>
      </c>
      <c r="Z558" s="1" t="b">
        <v>1</v>
      </c>
      <c r="AA558" s="1">
        <v>67.400000000000006</v>
      </c>
      <c r="AB558" s="1" t="b">
        <v>0</v>
      </c>
      <c r="AC558" s="1">
        <v>0</v>
      </c>
      <c r="AD558" s="1">
        <v>2450407</v>
      </c>
      <c r="AE558" s="1">
        <v>157457433</v>
      </c>
      <c r="AF558" s="1" t="s">
        <v>2349</v>
      </c>
      <c r="AG558" s="1" t="s">
        <v>2349</v>
      </c>
      <c r="AH558" s="1">
        <v>52.7</v>
      </c>
      <c r="AI558" s="1">
        <v>59</v>
      </c>
      <c r="AJ558" s="1" t="s">
        <v>2350</v>
      </c>
      <c r="AK558" s="1" t="s">
        <v>2351</v>
      </c>
      <c r="AL558" s="1" t="s">
        <v>2352</v>
      </c>
    </row>
    <row r="559" spans="1:38" x14ac:dyDescent="0.6">
      <c r="A559" s="1">
        <v>401</v>
      </c>
      <c r="B559" s="1" t="s">
        <v>88</v>
      </c>
      <c r="C559" s="1">
        <v>57</v>
      </c>
      <c r="D559" s="1" t="s">
        <v>89</v>
      </c>
      <c r="E559" s="1" t="s">
        <v>90</v>
      </c>
      <c r="F559" s="1"/>
      <c r="G559" s="1"/>
      <c r="H559" s="1" t="s">
        <v>91</v>
      </c>
      <c r="I559" s="1" t="s">
        <v>92</v>
      </c>
      <c r="J559" s="1" t="s">
        <v>93</v>
      </c>
      <c r="K559" s="1">
        <v>1</v>
      </c>
      <c r="L559" s="1">
        <v>120</v>
      </c>
      <c r="M559" s="1" t="s">
        <v>14</v>
      </c>
      <c r="N559" s="1" t="s">
        <v>95</v>
      </c>
      <c r="O559" s="1" t="s">
        <v>96</v>
      </c>
      <c r="P559" s="1"/>
      <c r="Q559" s="1" t="s">
        <v>200</v>
      </c>
      <c r="R559" s="1">
        <v>1</v>
      </c>
      <c r="S559" s="1" t="s">
        <v>97</v>
      </c>
      <c r="T559" s="1" t="s">
        <v>200</v>
      </c>
      <c r="U559" s="1" t="b">
        <v>0</v>
      </c>
      <c r="V559" s="1" t="b">
        <v>1</v>
      </c>
      <c r="W559" s="1" t="b">
        <v>1</v>
      </c>
      <c r="X559" s="1">
        <v>6</v>
      </c>
      <c r="Y559" s="1" t="b">
        <v>1</v>
      </c>
      <c r="Z559" s="1" t="b">
        <v>1</v>
      </c>
      <c r="AA559" s="1"/>
      <c r="AB559" s="1" t="b">
        <v>1</v>
      </c>
      <c r="AC559" s="1">
        <v>156444398</v>
      </c>
      <c r="AD559" s="1">
        <v>1104146</v>
      </c>
      <c r="AE559" s="1">
        <v>0</v>
      </c>
      <c r="AF559" s="1" t="s">
        <v>2353</v>
      </c>
      <c r="AG559" s="1" t="s">
        <v>2354</v>
      </c>
      <c r="AH559" s="1">
        <v>58.1</v>
      </c>
      <c r="AI559" s="1">
        <v>56.2</v>
      </c>
      <c r="AJ559" s="1" t="s">
        <v>2355</v>
      </c>
      <c r="AK559" s="1" t="s">
        <v>2356</v>
      </c>
      <c r="AL559" s="1" t="s">
        <v>2357</v>
      </c>
    </row>
    <row r="560" spans="1:38" x14ac:dyDescent="0.6">
      <c r="A560" s="1">
        <v>399</v>
      </c>
      <c r="B560" s="1" t="s">
        <v>88</v>
      </c>
      <c r="C560" s="1">
        <v>55</v>
      </c>
      <c r="D560" s="1" t="s">
        <v>89</v>
      </c>
      <c r="E560" s="1" t="s">
        <v>90</v>
      </c>
      <c r="F560" s="1"/>
      <c r="G560" s="1"/>
      <c r="H560" s="1" t="s">
        <v>91</v>
      </c>
      <c r="I560" s="1" t="s">
        <v>92</v>
      </c>
      <c r="J560" s="1" t="s">
        <v>109</v>
      </c>
      <c r="K560" s="1">
        <v>1</v>
      </c>
      <c r="L560" s="1">
        <v>120</v>
      </c>
      <c r="M560" s="1" t="s">
        <v>14</v>
      </c>
      <c r="N560" s="1" t="s">
        <v>95</v>
      </c>
      <c r="O560" s="1" t="s">
        <v>96</v>
      </c>
      <c r="P560" s="1"/>
      <c r="Q560" s="1" t="s">
        <v>9</v>
      </c>
      <c r="R560" s="1">
        <v>0</v>
      </c>
      <c r="S560" s="1" t="s">
        <v>97</v>
      </c>
      <c r="T560" s="1" t="s">
        <v>97</v>
      </c>
      <c r="U560" s="1" t="b">
        <v>1</v>
      </c>
      <c r="V560" s="1" t="b">
        <v>0</v>
      </c>
      <c r="W560" s="1" t="b">
        <v>0</v>
      </c>
      <c r="X560" s="1">
        <v>5</v>
      </c>
      <c r="Y560" s="1" t="b">
        <v>1</v>
      </c>
      <c r="Z560" s="1" t="b">
        <v>1</v>
      </c>
      <c r="AA560" s="1"/>
      <c r="AB560" s="1" t="b">
        <v>1</v>
      </c>
      <c r="AC560" s="1">
        <v>139881477</v>
      </c>
      <c r="AD560" s="1">
        <v>627707</v>
      </c>
      <c r="AE560" s="1">
        <v>0</v>
      </c>
      <c r="AF560" s="1" t="s">
        <v>2358</v>
      </c>
      <c r="AG560" s="1" t="s">
        <v>2359</v>
      </c>
      <c r="AH560" s="1">
        <v>72.7</v>
      </c>
      <c r="AI560" s="1">
        <v>69.400000000000006</v>
      </c>
      <c r="AJ560" s="1" t="s">
        <v>2360</v>
      </c>
      <c r="AK560" s="1" t="s">
        <v>2361</v>
      </c>
      <c r="AL560" s="1" t="s">
        <v>2362</v>
      </c>
    </row>
    <row r="561" spans="1:38" x14ac:dyDescent="0.6">
      <c r="A561" s="1">
        <v>394</v>
      </c>
      <c r="B561" s="1" t="s">
        <v>88</v>
      </c>
      <c r="C561" s="1">
        <v>55</v>
      </c>
      <c r="D561" s="1" t="s">
        <v>89</v>
      </c>
      <c r="E561" s="1" t="s">
        <v>108</v>
      </c>
      <c r="F561" s="1"/>
      <c r="G561" s="1"/>
      <c r="H561" s="1" t="s">
        <v>91</v>
      </c>
      <c r="I561" s="1" t="s">
        <v>92</v>
      </c>
      <c r="J561" s="1" t="s">
        <v>93</v>
      </c>
      <c r="K561" s="1">
        <v>1</v>
      </c>
      <c r="L561" s="1">
        <v>120</v>
      </c>
      <c r="M561" s="1" t="s">
        <v>7</v>
      </c>
      <c r="N561" s="1" t="s">
        <v>7</v>
      </c>
      <c r="O561" s="1" t="s">
        <v>96</v>
      </c>
      <c r="P561" s="1" t="s">
        <v>96</v>
      </c>
      <c r="Q561" s="1" t="s">
        <v>9</v>
      </c>
      <c r="R561" s="1">
        <v>0</v>
      </c>
      <c r="S561" s="1" t="s">
        <v>97</v>
      </c>
      <c r="T561" s="1" t="s">
        <v>97</v>
      </c>
      <c r="U561" s="1" t="b">
        <v>1</v>
      </c>
      <c r="V561" s="1" t="b">
        <v>0</v>
      </c>
      <c r="W561" s="1" t="b">
        <v>0</v>
      </c>
      <c r="X561" s="1">
        <v>5</v>
      </c>
      <c r="Y561" s="1" t="b">
        <v>1</v>
      </c>
      <c r="Z561" s="1" t="b">
        <v>1</v>
      </c>
      <c r="AA561" s="1">
        <v>75.599999999999994</v>
      </c>
      <c r="AB561" s="1" t="b">
        <v>0</v>
      </c>
      <c r="AC561" s="1">
        <v>0</v>
      </c>
      <c r="AD561" s="1">
        <v>2330272</v>
      </c>
      <c r="AE561" s="1">
        <v>144208224</v>
      </c>
      <c r="AF561" s="1" t="s">
        <v>2363</v>
      </c>
      <c r="AG561" s="1" t="s">
        <v>2363</v>
      </c>
      <c r="AH561" s="1">
        <v>71.900000000000006</v>
      </c>
      <c r="AI561" s="1">
        <v>73.400000000000006</v>
      </c>
      <c r="AJ561" s="1" t="s">
        <v>2364</v>
      </c>
      <c r="AK561" s="1" t="s">
        <v>2365</v>
      </c>
      <c r="AL561" s="1" t="s">
        <v>2366</v>
      </c>
    </row>
    <row r="562" spans="1:38" x14ac:dyDescent="0.6">
      <c r="A562" s="1">
        <v>399</v>
      </c>
      <c r="B562" s="1" t="s">
        <v>88</v>
      </c>
      <c r="C562" s="1">
        <v>55</v>
      </c>
      <c r="D562" s="1" t="s">
        <v>89</v>
      </c>
      <c r="E562" s="1" t="s">
        <v>90</v>
      </c>
      <c r="F562" s="1"/>
      <c r="G562" s="1"/>
      <c r="H562" s="1" t="s">
        <v>91</v>
      </c>
      <c r="I562" s="1" t="s">
        <v>92</v>
      </c>
      <c r="J562" s="1" t="s">
        <v>109</v>
      </c>
      <c r="K562" s="1">
        <v>1</v>
      </c>
      <c r="L562" s="1">
        <v>120</v>
      </c>
      <c r="M562" s="1" t="s">
        <v>94</v>
      </c>
      <c r="N562" s="1" t="s">
        <v>95</v>
      </c>
      <c r="O562" s="1"/>
      <c r="P562" s="1" t="s">
        <v>96</v>
      </c>
      <c r="Q562" s="1" t="s">
        <v>9</v>
      </c>
      <c r="R562" s="1">
        <v>0</v>
      </c>
      <c r="S562" s="1" t="s">
        <v>97</v>
      </c>
      <c r="T562" s="1" t="s">
        <v>97</v>
      </c>
      <c r="U562" s="1" t="b">
        <v>1</v>
      </c>
      <c r="V562" s="1" t="b">
        <v>0</v>
      </c>
      <c r="W562" s="1" t="b">
        <v>0</v>
      </c>
      <c r="X562" s="1">
        <v>0</v>
      </c>
      <c r="Y562" s="1" t="b">
        <v>1</v>
      </c>
      <c r="Z562" s="1" t="b">
        <v>1</v>
      </c>
      <c r="AA562" s="1">
        <v>74.400000000000006</v>
      </c>
      <c r="AB562" s="1" t="b">
        <v>1</v>
      </c>
      <c r="AC562" s="1">
        <v>142821093</v>
      </c>
      <c r="AD562" s="1">
        <v>1882395</v>
      </c>
      <c r="AE562" s="1">
        <v>0</v>
      </c>
      <c r="AF562" s="1" t="s">
        <v>2358</v>
      </c>
      <c r="AG562" s="1" t="s">
        <v>2359</v>
      </c>
      <c r="AH562" s="1">
        <v>72.7</v>
      </c>
      <c r="AI562" s="1">
        <v>69.400000000000006</v>
      </c>
      <c r="AJ562" s="1" t="s">
        <v>2367</v>
      </c>
      <c r="AK562" s="1" t="s">
        <v>2368</v>
      </c>
      <c r="AL562" s="1" t="s">
        <v>2369</v>
      </c>
    </row>
    <row r="563" spans="1:38" x14ac:dyDescent="0.6">
      <c r="A563" s="1">
        <v>396</v>
      </c>
      <c r="B563" s="1" t="s">
        <v>88</v>
      </c>
      <c r="C563" s="1">
        <v>59</v>
      </c>
      <c r="D563" s="1" t="s">
        <v>89</v>
      </c>
      <c r="E563" s="1" t="s">
        <v>108</v>
      </c>
      <c r="F563" s="1"/>
      <c r="G563" s="1"/>
      <c r="H563" s="1" t="s">
        <v>220</v>
      </c>
      <c r="I563" s="1" t="s">
        <v>221</v>
      </c>
      <c r="J563" s="1" t="s">
        <v>222</v>
      </c>
      <c r="K563" s="1">
        <v>1.25</v>
      </c>
      <c r="L563" s="1">
        <v>120</v>
      </c>
      <c r="M563" s="1" t="s">
        <v>7</v>
      </c>
      <c r="N563" s="1" t="s">
        <v>7</v>
      </c>
      <c r="O563" s="1" t="s">
        <v>96</v>
      </c>
      <c r="P563" s="1" t="s">
        <v>96</v>
      </c>
      <c r="Q563" s="1" t="s">
        <v>9</v>
      </c>
      <c r="R563" s="1">
        <v>0</v>
      </c>
      <c r="S563" s="1" t="s">
        <v>97</v>
      </c>
      <c r="T563" s="1" t="s">
        <v>97</v>
      </c>
      <c r="U563" s="1" t="b">
        <v>1</v>
      </c>
      <c r="V563" s="1" t="b">
        <v>0</v>
      </c>
      <c r="W563" s="1" t="b">
        <v>0</v>
      </c>
      <c r="X563" s="1">
        <v>5</v>
      </c>
      <c r="Y563" s="1" t="b">
        <v>1</v>
      </c>
      <c r="Z563" s="1" t="b">
        <v>1</v>
      </c>
      <c r="AA563" s="1">
        <v>68.099999999999994</v>
      </c>
      <c r="AB563" s="1" t="b">
        <v>0</v>
      </c>
      <c r="AC563" s="1">
        <v>0</v>
      </c>
      <c r="AD563" s="1">
        <v>2967883</v>
      </c>
      <c r="AE563" s="1">
        <v>159299253</v>
      </c>
      <c r="AF563" s="1" t="s">
        <v>2370</v>
      </c>
      <c r="AG563" s="1" t="s">
        <v>2370</v>
      </c>
      <c r="AH563" s="1">
        <v>71.599999999999994</v>
      </c>
      <c r="AI563" s="1">
        <v>65.5</v>
      </c>
      <c r="AJ563" s="1" t="s">
        <v>2371</v>
      </c>
      <c r="AK563" s="1" t="s">
        <v>2372</v>
      </c>
      <c r="AL563" s="1" t="s">
        <v>2373</v>
      </c>
    </row>
    <row r="564" spans="1:38" x14ac:dyDescent="0.6">
      <c r="A564" s="1">
        <v>400</v>
      </c>
      <c r="B564" s="1" t="s">
        <v>88</v>
      </c>
      <c r="C564" s="1">
        <v>60</v>
      </c>
      <c r="D564" s="1" t="s">
        <v>127</v>
      </c>
      <c r="E564" s="1" t="s">
        <v>90</v>
      </c>
      <c r="F564" s="1"/>
      <c r="G564" s="1"/>
      <c r="H564" s="1" t="s">
        <v>91</v>
      </c>
      <c r="I564" s="1" t="s">
        <v>92</v>
      </c>
      <c r="J564" s="1" t="s">
        <v>93</v>
      </c>
      <c r="K564" s="1">
        <v>1</v>
      </c>
      <c r="L564" s="1">
        <v>120</v>
      </c>
      <c r="M564" s="1" t="s">
        <v>7</v>
      </c>
      <c r="N564" s="1" t="s">
        <v>7</v>
      </c>
      <c r="O564" s="1" t="s">
        <v>96</v>
      </c>
      <c r="P564" s="1" t="s">
        <v>96</v>
      </c>
      <c r="Q564" s="1" t="s">
        <v>9</v>
      </c>
      <c r="R564" s="1">
        <v>0</v>
      </c>
      <c r="S564" s="1" t="s">
        <v>97</v>
      </c>
      <c r="T564" s="1" t="s">
        <v>97</v>
      </c>
      <c r="U564" s="1" t="b">
        <v>1</v>
      </c>
      <c r="V564" s="1" t="b">
        <v>0</v>
      </c>
      <c r="W564" s="1" t="b">
        <v>0</v>
      </c>
      <c r="X564" s="1">
        <v>5</v>
      </c>
      <c r="Y564" s="1" t="b">
        <v>1</v>
      </c>
      <c r="Z564" s="1" t="b">
        <v>1</v>
      </c>
      <c r="AA564" s="1">
        <v>82.9</v>
      </c>
      <c r="AB564" s="1" t="b">
        <v>0</v>
      </c>
      <c r="AC564" s="1">
        <v>0</v>
      </c>
      <c r="AD564" s="1">
        <v>1148985</v>
      </c>
      <c r="AE564" s="1">
        <v>148535239</v>
      </c>
      <c r="AF564" s="1" t="s">
        <v>2374</v>
      </c>
      <c r="AG564" s="1" t="s">
        <v>2374</v>
      </c>
      <c r="AH564" s="1">
        <v>80.599999999999994</v>
      </c>
      <c r="AI564" s="1">
        <v>79.5</v>
      </c>
      <c r="AJ564" s="1" t="s">
        <v>2375</v>
      </c>
      <c r="AK564" s="1" t="s">
        <v>2376</v>
      </c>
      <c r="AL564" s="1" t="s">
        <v>2377</v>
      </c>
    </row>
    <row r="565" spans="1:38" x14ac:dyDescent="0.6">
      <c r="A565" s="1">
        <v>402</v>
      </c>
      <c r="B565" s="1" t="s">
        <v>88</v>
      </c>
      <c r="C565" s="1">
        <v>60</v>
      </c>
      <c r="D565" s="1" t="s">
        <v>127</v>
      </c>
      <c r="E565" s="1" t="s">
        <v>90</v>
      </c>
      <c r="F565" s="1"/>
      <c r="G565" s="1"/>
      <c r="H565" s="1" t="s">
        <v>91</v>
      </c>
      <c r="I565" s="1" t="s">
        <v>92</v>
      </c>
      <c r="J565" s="1" t="s">
        <v>93</v>
      </c>
      <c r="K565" s="1">
        <v>1</v>
      </c>
      <c r="L565" s="1">
        <v>120</v>
      </c>
      <c r="M565" s="1" t="s">
        <v>7</v>
      </c>
      <c r="N565" s="1" t="s">
        <v>7</v>
      </c>
      <c r="O565" s="1" t="s">
        <v>96</v>
      </c>
      <c r="P565" s="1" t="s">
        <v>96</v>
      </c>
      <c r="Q565" s="1" t="s">
        <v>9</v>
      </c>
      <c r="R565" s="1">
        <v>0</v>
      </c>
      <c r="S565" s="1" t="s">
        <v>97</v>
      </c>
      <c r="T565" s="1" t="s">
        <v>97</v>
      </c>
      <c r="U565" s="1" t="b">
        <v>1</v>
      </c>
      <c r="V565" s="1" t="b">
        <v>0</v>
      </c>
      <c r="W565" s="1" t="b">
        <v>0</v>
      </c>
      <c r="X565" s="1">
        <v>5</v>
      </c>
      <c r="Y565" s="1" t="b">
        <v>1</v>
      </c>
      <c r="Z565" s="1" t="b">
        <v>1</v>
      </c>
      <c r="AA565" s="1">
        <v>74</v>
      </c>
      <c r="AB565" s="1" t="b">
        <v>0</v>
      </c>
      <c r="AC565" s="1">
        <v>0</v>
      </c>
      <c r="AD565" s="1">
        <v>1905739</v>
      </c>
      <c r="AE565" s="1">
        <v>146467765</v>
      </c>
      <c r="AF565" s="1" t="s">
        <v>2378</v>
      </c>
      <c r="AG565" s="1" t="s">
        <v>2378</v>
      </c>
      <c r="AH565" s="1">
        <v>70.900000000000006</v>
      </c>
      <c r="AI565" s="1">
        <v>68.5</v>
      </c>
      <c r="AJ565" s="1" t="s">
        <v>2379</v>
      </c>
      <c r="AK565" s="1" t="s">
        <v>2380</v>
      </c>
      <c r="AL565" s="1" t="s">
        <v>2381</v>
      </c>
    </row>
    <row r="566" spans="1:38" x14ac:dyDescent="0.6">
      <c r="A566" s="1">
        <v>403</v>
      </c>
      <c r="B566" s="1" t="s">
        <v>88</v>
      </c>
      <c r="C566" s="1"/>
      <c r="D566" s="1"/>
      <c r="E566" s="1" t="s">
        <v>90</v>
      </c>
      <c r="F566" s="1"/>
      <c r="G566" s="1"/>
      <c r="H566" s="1" t="s">
        <v>220</v>
      </c>
      <c r="I566" s="1" t="s">
        <v>221</v>
      </c>
      <c r="J566" s="1" t="s">
        <v>222</v>
      </c>
      <c r="K566" s="1">
        <v>1.25</v>
      </c>
      <c r="L566" s="1">
        <v>120</v>
      </c>
      <c r="M566" s="1" t="s">
        <v>7</v>
      </c>
      <c r="N566" s="1" t="s">
        <v>7</v>
      </c>
      <c r="O566" s="1" t="s">
        <v>96</v>
      </c>
      <c r="P566" s="1" t="s">
        <v>96</v>
      </c>
      <c r="Q566" s="1" t="s">
        <v>9</v>
      </c>
      <c r="R566" s="1">
        <v>0</v>
      </c>
      <c r="S566" s="1" t="s">
        <v>97</v>
      </c>
      <c r="T566" s="1" t="s">
        <v>97</v>
      </c>
      <c r="U566" s="1" t="b">
        <v>1</v>
      </c>
      <c r="V566" s="1" t="b">
        <v>0</v>
      </c>
      <c r="W566" s="1" t="b">
        <v>0</v>
      </c>
      <c r="X566" s="1">
        <v>5</v>
      </c>
      <c r="Y566" s="1" t="b">
        <v>1</v>
      </c>
      <c r="Z566" s="1" t="b">
        <v>1</v>
      </c>
      <c r="AA566" s="1">
        <v>83.8</v>
      </c>
      <c r="AB566" s="1" t="b">
        <v>0</v>
      </c>
      <c r="AC566" s="1">
        <v>0</v>
      </c>
      <c r="AD566" s="1">
        <v>1724439</v>
      </c>
      <c r="AE566" s="1">
        <v>124366825</v>
      </c>
      <c r="AF566" s="1" t="s">
        <v>2382</v>
      </c>
      <c r="AG566" s="1" t="s">
        <v>2382</v>
      </c>
      <c r="AH566" s="1">
        <v>79</v>
      </c>
      <c r="AI566" s="1">
        <v>77.8</v>
      </c>
      <c r="AJ566" s="1" t="s">
        <v>2383</v>
      </c>
      <c r="AK566" s="1" t="s">
        <v>2384</v>
      </c>
      <c r="AL566" s="1" t="s">
        <v>2385</v>
      </c>
    </row>
    <row r="567" spans="1:38" x14ac:dyDescent="0.6">
      <c r="A567" s="1">
        <v>401</v>
      </c>
      <c r="B567" s="1" t="s">
        <v>88</v>
      </c>
      <c r="C567" s="1">
        <v>57</v>
      </c>
      <c r="D567" s="1" t="s">
        <v>89</v>
      </c>
      <c r="E567" s="1" t="s">
        <v>90</v>
      </c>
      <c r="F567" s="1"/>
      <c r="G567" s="1"/>
      <c r="H567" s="1" t="s">
        <v>91</v>
      </c>
      <c r="I567" s="1" t="s">
        <v>92</v>
      </c>
      <c r="J567" s="1" t="s">
        <v>93</v>
      </c>
      <c r="K567" s="1">
        <v>1</v>
      </c>
      <c r="L567" s="1">
        <v>120</v>
      </c>
      <c r="M567" s="1" t="s">
        <v>94</v>
      </c>
      <c r="N567" s="1" t="s">
        <v>95</v>
      </c>
      <c r="O567" s="1"/>
      <c r="P567" s="1" t="s">
        <v>96</v>
      </c>
      <c r="Q567" s="1" t="s">
        <v>200</v>
      </c>
      <c r="R567" s="1">
        <v>1</v>
      </c>
      <c r="S567" s="1" t="s">
        <v>97</v>
      </c>
      <c r="T567" s="1" t="s">
        <v>200</v>
      </c>
      <c r="U567" s="1" t="b">
        <v>0</v>
      </c>
      <c r="V567" s="1" t="b">
        <v>1</v>
      </c>
      <c r="W567" s="1" t="b">
        <v>0</v>
      </c>
      <c r="X567" s="1">
        <v>0</v>
      </c>
      <c r="Y567" s="1" t="b">
        <v>1</v>
      </c>
      <c r="Z567" s="1" t="b">
        <v>1</v>
      </c>
      <c r="AA567" s="1">
        <v>58.4</v>
      </c>
      <c r="AB567" s="1" t="b">
        <v>1</v>
      </c>
      <c r="AC567" s="1">
        <v>145811794</v>
      </c>
      <c r="AD567" s="1">
        <v>2561710</v>
      </c>
      <c r="AE567" s="1">
        <v>0</v>
      </c>
      <c r="AF567" s="1" t="s">
        <v>2353</v>
      </c>
      <c r="AG567" s="1" t="s">
        <v>2354</v>
      </c>
      <c r="AH567" s="1">
        <v>58.1</v>
      </c>
      <c r="AI567" s="1">
        <v>56.2</v>
      </c>
      <c r="AJ567" s="1" t="s">
        <v>2386</v>
      </c>
      <c r="AK567" s="1" t="s">
        <v>2387</v>
      </c>
      <c r="AL567" s="1" t="s">
        <v>2388</v>
      </c>
    </row>
    <row r="568" spans="1:38" x14ac:dyDescent="0.6">
      <c r="A568" s="1">
        <v>388</v>
      </c>
      <c r="B568" s="1" t="s">
        <v>103</v>
      </c>
      <c r="C568" s="1">
        <v>50</v>
      </c>
      <c r="D568" s="1" t="s">
        <v>89</v>
      </c>
      <c r="E568" s="1" t="s">
        <v>108</v>
      </c>
      <c r="F568" s="1"/>
      <c r="G568" s="1"/>
      <c r="H568" s="1" t="s">
        <v>91</v>
      </c>
      <c r="I568" s="1" t="s">
        <v>92</v>
      </c>
      <c r="J568" s="1" t="s">
        <v>93</v>
      </c>
      <c r="K568" s="1">
        <v>1</v>
      </c>
      <c r="L568" s="1">
        <v>120</v>
      </c>
      <c r="M568" s="1" t="s">
        <v>7</v>
      </c>
      <c r="N568" s="1" t="s">
        <v>7</v>
      </c>
      <c r="O568" s="1" t="s">
        <v>96</v>
      </c>
      <c r="P568" s="1" t="s">
        <v>96</v>
      </c>
      <c r="Q568" s="1" t="s">
        <v>9</v>
      </c>
      <c r="R568" s="1">
        <v>0</v>
      </c>
      <c r="S568" s="1" t="s">
        <v>97</v>
      </c>
      <c r="T568" s="1" t="s">
        <v>97</v>
      </c>
      <c r="U568" s="1" t="b">
        <v>1</v>
      </c>
      <c r="V568" s="1" t="b">
        <v>0</v>
      </c>
      <c r="W568" s="1" t="b">
        <v>0</v>
      </c>
      <c r="X568" s="1">
        <v>5</v>
      </c>
      <c r="Y568" s="1" t="b">
        <v>1</v>
      </c>
      <c r="Z568" s="1" t="b">
        <v>1</v>
      </c>
      <c r="AA568" s="1">
        <v>70.400000000000006</v>
      </c>
      <c r="AB568" s="1" t="b">
        <v>0</v>
      </c>
      <c r="AC568" s="1">
        <v>0</v>
      </c>
      <c r="AD568" s="1">
        <v>2446530</v>
      </c>
      <c r="AE568" s="1">
        <v>147237694</v>
      </c>
      <c r="AF568" s="1" t="s">
        <v>2389</v>
      </c>
      <c r="AG568" s="1" t="s">
        <v>2389</v>
      </c>
      <c r="AH568" s="1">
        <v>67.900000000000006</v>
      </c>
      <c r="AI568" s="1">
        <v>67.3</v>
      </c>
      <c r="AJ568" s="1" t="s">
        <v>2390</v>
      </c>
      <c r="AK568" s="1" t="s">
        <v>2391</v>
      </c>
      <c r="AL568" s="1" t="s">
        <v>2392</v>
      </c>
    </row>
    <row r="569" spans="1:38" x14ac:dyDescent="0.6">
      <c r="A569" s="1">
        <v>405</v>
      </c>
      <c r="B569" s="1" t="s">
        <v>103</v>
      </c>
      <c r="C569" s="1">
        <v>60</v>
      </c>
      <c r="D569" s="1" t="s">
        <v>127</v>
      </c>
      <c r="E569" s="1" t="s">
        <v>108</v>
      </c>
      <c r="F569" s="1"/>
      <c r="G569" s="1"/>
      <c r="H569" s="1" t="s">
        <v>91</v>
      </c>
      <c r="I569" s="1" t="s">
        <v>92</v>
      </c>
      <c r="J569" s="1" t="s">
        <v>109</v>
      </c>
      <c r="K569" s="1">
        <v>1</v>
      </c>
      <c r="L569" s="1">
        <v>120</v>
      </c>
      <c r="M569" s="1" t="s">
        <v>94</v>
      </c>
      <c r="N569" s="1" t="s">
        <v>95</v>
      </c>
      <c r="O569" s="1"/>
      <c r="P569" s="1" t="s">
        <v>96</v>
      </c>
      <c r="Q569" s="1" t="s">
        <v>9</v>
      </c>
      <c r="R569" s="1">
        <v>0</v>
      </c>
      <c r="S569" s="1" t="s">
        <v>97</v>
      </c>
      <c r="T569" s="1" t="s">
        <v>97</v>
      </c>
      <c r="U569" s="1" t="b">
        <v>1</v>
      </c>
      <c r="V569" s="1" t="b">
        <v>0</v>
      </c>
      <c r="W569" s="1" t="b">
        <v>0</v>
      </c>
      <c r="X569" s="1">
        <v>0</v>
      </c>
      <c r="Y569" s="1" t="b">
        <v>1</v>
      </c>
      <c r="Z569" s="1" t="b">
        <v>1</v>
      </c>
      <c r="AA569" s="1">
        <v>72.099999999999994</v>
      </c>
      <c r="AB569" s="1" t="b">
        <v>1</v>
      </c>
      <c r="AC569" s="1">
        <v>151196350</v>
      </c>
      <c r="AD569" s="1">
        <v>1633602</v>
      </c>
      <c r="AE569" s="1">
        <v>0</v>
      </c>
      <c r="AF569" s="1" t="s">
        <v>2393</v>
      </c>
      <c r="AG569" s="1" t="s">
        <v>2394</v>
      </c>
      <c r="AH569" s="1">
        <v>77.099999999999994</v>
      </c>
      <c r="AI569" s="1">
        <v>71.099999999999994</v>
      </c>
      <c r="AJ569" s="1" t="s">
        <v>2395</v>
      </c>
      <c r="AK569" s="1" t="s">
        <v>2396</v>
      </c>
      <c r="AL569" s="1" t="s">
        <v>2397</v>
      </c>
    </row>
    <row r="570" spans="1:38" x14ac:dyDescent="0.6">
      <c r="A570" s="1">
        <v>411</v>
      </c>
      <c r="B570" s="1" t="s">
        <v>88</v>
      </c>
      <c r="C570" s="1"/>
      <c r="D570" s="1"/>
      <c r="E570" s="1" t="s">
        <v>90</v>
      </c>
      <c r="F570" s="1"/>
      <c r="G570" s="1"/>
      <c r="H570" s="1" t="s">
        <v>220</v>
      </c>
      <c r="I570" s="1" t="s">
        <v>221</v>
      </c>
      <c r="J570" s="1" t="s">
        <v>222</v>
      </c>
      <c r="K570" s="1">
        <v>1.25</v>
      </c>
      <c r="L570" s="1">
        <v>120</v>
      </c>
      <c r="M570" s="1" t="s">
        <v>14</v>
      </c>
      <c r="N570" s="1" t="s">
        <v>95</v>
      </c>
      <c r="O570" s="1" t="s">
        <v>96</v>
      </c>
      <c r="P570" s="1"/>
      <c r="Q570" s="1" t="s">
        <v>9</v>
      </c>
      <c r="R570" s="1">
        <v>0</v>
      </c>
      <c r="S570" s="1" t="s">
        <v>97</v>
      </c>
      <c r="T570" s="1" t="s">
        <v>97</v>
      </c>
      <c r="U570" s="1" t="b">
        <v>1</v>
      </c>
      <c r="V570" s="1" t="b">
        <v>0</v>
      </c>
      <c r="W570" s="1" t="b">
        <v>0</v>
      </c>
      <c r="X570" s="1">
        <v>5</v>
      </c>
      <c r="Y570" s="1" t="b">
        <v>1</v>
      </c>
      <c r="Z570" s="1" t="b">
        <v>1</v>
      </c>
      <c r="AA570" s="1"/>
      <c r="AB570" s="1" t="b">
        <v>1</v>
      </c>
      <c r="AC570" s="1">
        <v>112043572</v>
      </c>
      <c r="AD570" s="1">
        <v>678348</v>
      </c>
      <c r="AE570" s="1">
        <v>0</v>
      </c>
      <c r="AF570" s="1" t="s">
        <v>2398</v>
      </c>
      <c r="AG570" s="1" t="s">
        <v>2399</v>
      </c>
      <c r="AH570" s="1">
        <v>90.7</v>
      </c>
      <c r="AI570" s="1">
        <v>86.7</v>
      </c>
      <c r="AJ570" s="1" t="s">
        <v>2400</v>
      </c>
      <c r="AK570" s="1" t="s">
        <v>2401</v>
      </c>
      <c r="AL570" s="1" t="s">
        <v>2402</v>
      </c>
    </row>
    <row r="571" spans="1:38" x14ac:dyDescent="0.6">
      <c r="A571" s="1">
        <v>404</v>
      </c>
      <c r="B571" s="1" t="s">
        <v>103</v>
      </c>
      <c r="C571" s="1">
        <v>60</v>
      </c>
      <c r="D571" s="1" t="s">
        <v>127</v>
      </c>
      <c r="E571" s="1" t="s">
        <v>108</v>
      </c>
      <c r="F571" s="1"/>
      <c r="G571" s="1"/>
      <c r="H571" s="1" t="s">
        <v>220</v>
      </c>
      <c r="I571" s="1" t="s">
        <v>221</v>
      </c>
      <c r="J571" s="1" t="s">
        <v>222</v>
      </c>
      <c r="K571" s="1">
        <v>0.625</v>
      </c>
      <c r="L571" s="1">
        <v>120</v>
      </c>
      <c r="M571" s="1" t="s">
        <v>14</v>
      </c>
      <c r="N571" s="1" t="s">
        <v>95</v>
      </c>
      <c r="O571" s="1" t="s">
        <v>96</v>
      </c>
      <c r="P571" s="1"/>
      <c r="Q571" s="1" t="s">
        <v>9</v>
      </c>
      <c r="R571" s="1">
        <v>0</v>
      </c>
      <c r="S571" s="1" t="s">
        <v>97</v>
      </c>
      <c r="T571" s="1" t="s">
        <v>97</v>
      </c>
      <c r="U571" s="1" t="b">
        <v>1</v>
      </c>
      <c r="V571" s="1" t="b">
        <v>0</v>
      </c>
      <c r="W571" s="1" t="b">
        <v>0</v>
      </c>
      <c r="X571" s="1">
        <v>5</v>
      </c>
      <c r="Y571" s="1" t="b">
        <v>1</v>
      </c>
      <c r="Z571" s="1" t="b">
        <v>1</v>
      </c>
      <c r="AA571" s="1"/>
      <c r="AB571" s="1" t="b">
        <v>1</v>
      </c>
      <c r="AC571" s="1">
        <v>178588627</v>
      </c>
      <c r="AD571" s="1">
        <v>980013</v>
      </c>
      <c r="AE571" s="1">
        <v>0</v>
      </c>
      <c r="AF571" s="1" t="s">
        <v>2403</v>
      </c>
      <c r="AG571" s="1" t="s">
        <v>2404</v>
      </c>
      <c r="AH571" s="1">
        <v>73.099999999999994</v>
      </c>
      <c r="AI571" s="1">
        <v>62.2</v>
      </c>
      <c r="AJ571" s="1" t="s">
        <v>2405</v>
      </c>
      <c r="AK571" s="1" t="s">
        <v>2406</v>
      </c>
      <c r="AL571" s="1" t="s">
        <v>2407</v>
      </c>
    </row>
    <row r="572" spans="1:38" x14ac:dyDescent="0.6">
      <c r="A572" s="1">
        <v>412</v>
      </c>
      <c r="B572" s="1" t="s">
        <v>88</v>
      </c>
      <c r="C572" s="1"/>
      <c r="D572" s="1"/>
      <c r="E572" s="1" t="s">
        <v>108</v>
      </c>
      <c r="F572" s="1"/>
      <c r="G572" s="1"/>
      <c r="H572" s="1" t="s">
        <v>220</v>
      </c>
      <c r="I572" s="1" t="s">
        <v>221</v>
      </c>
      <c r="J572" s="1" t="s">
        <v>222</v>
      </c>
      <c r="K572" s="1">
        <v>1.25</v>
      </c>
      <c r="L572" s="1">
        <v>120</v>
      </c>
      <c r="M572" s="1" t="s">
        <v>14</v>
      </c>
      <c r="N572" s="1" t="s">
        <v>95</v>
      </c>
      <c r="O572" s="1" t="s">
        <v>96</v>
      </c>
      <c r="P572" s="1"/>
      <c r="Q572" s="1" t="s">
        <v>9</v>
      </c>
      <c r="R572" s="1">
        <v>0</v>
      </c>
      <c r="S572" s="1" t="s">
        <v>97</v>
      </c>
      <c r="T572" s="1" t="s">
        <v>97</v>
      </c>
      <c r="U572" s="1" t="b">
        <v>1</v>
      </c>
      <c r="V572" s="1" t="b">
        <v>0</v>
      </c>
      <c r="W572" s="1" t="b">
        <v>0</v>
      </c>
      <c r="X572" s="1">
        <v>5</v>
      </c>
      <c r="Y572" s="1" t="b">
        <v>1</v>
      </c>
      <c r="Z572" s="1" t="b">
        <v>1</v>
      </c>
      <c r="AA572" s="1"/>
      <c r="AB572" s="1" t="b">
        <v>1</v>
      </c>
      <c r="AC572" s="1">
        <v>141025342</v>
      </c>
      <c r="AD572" s="1">
        <v>794562</v>
      </c>
      <c r="AE572" s="1">
        <v>0</v>
      </c>
      <c r="AF572" s="1" t="s">
        <v>2408</v>
      </c>
      <c r="AG572" s="1" t="s">
        <v>2409</v>
      </c>
      <c r="AH572" s="1">
        <v>69.5</v>
      </c>
      <c r="AI572" s="1">
        <v>64.3</v>
      </c>
      <c r="AJ572" s="1" t="s">
        <v>2410</v>
      </c>
      <c r="AK572" s="1" t="s">
        <v>2411</v>
      </c>
      <c r="AL572" s="1" t="s">
        <v>2412</v>
      </c>
    </row>
    <row r="573" spans="1:38" x14ac:dyDescent="0.6">
      <c r="A573" s="1">
        <v>408</v>
      </c>
      <c r="B573" s="1" t="s">
        <v>103</v>
      </c>
      <c r="C573" s="1">
        <v>60</v>
      </c>
      <c r="D573" s="1" t="s">
        <v>127</v>
      </c>
      <c r="E573" s="1" t="s">
        <v>90</v>
      </c>
      <c r="F573" s="1"/>
      <c r="G573" s="1"/>
      <c r="H573" s="1" t="s">
        <v>91</v>
      </c>
      <c r="I573" s="1" t="s">
        <v>92</v>
      </c>
      <c r="J573" s="1" t="s">
        <v>93</v>
      </c>
      <c r="K573" s="1">
        <v>1</v>
      </c>
      <c r="L573" s="1">
        <v>120</v>
      </c>
      <c r="M573" s="1" t="s">
        <v>94</v>
      </c>
      <c r="N573" s="1" t="s">
        <v>95</v>
      </c>
      <c r="O573" s="1"/>
      <c r="P573" s="1" t="s">
        <v>96</v>
      </c>
      <c r="Q573" s="1" t="s">
        <v>9</v>
      </c>
      <c r="R573" s="1">
        <v>0</v>
      </c>
      <c r="S573" s="1" t="s">
        <v>97</v>
      </c>
      <c r="T573" s="1" t="s">
        <v>97</v>
      </c>
      <c r="U573" s="1" t="b">
        <v>1</v>
      </c>
      <c r="V573" s="1" t="b">
        <v>0</v>
      </c>
      <c r="W573" s="1" t="b">
        <v>0</v>
      </c>
      <c r="X573" s="1">
        <v>0</v>
      </c>
      <c r="Y573" s="1" t="b">
        <v>1</v>
      </c>
      <c r="Z573" s="1" t="b">
        <v>1</v>
      </c>
      <c r="AA573" s="1">
        <v>68.599999999999994</v>
      </c>
      <c r="AB573" s="1" t="b">
        <v>1</v>
      </c>
      <c r="AC573" s="1">
        <v>129877757</v>
      </c>
      <c r="AD573" s="1">
        <v>1456387</v>
      </c>
      <c r="AE573" s="1">
        <v>0</v>
      </c>
      <c r="AF573" s="1" t="s">
        <v>2413</v>
      </c>
      <c r="AG573" s="1" t="s">
        <v>2414</v>
      </c>
      <c r="AH573" s="1">
        <v>62</v>
      </c>
      <c r="AI573" s="1">
        <v>63.8</v>
      </c>
      <c r="AJ573" s="1" t="s">
        <v>2415</v>
      </c>
      <c r="AK573" s="1" t="s">
        <v>2416</v>
      </c>
      <c r="AL573" s="1" t="s">
        <v>2417</v>
      </c>
    </row>
    <row r="574" spans="1:38" x14ac:dyDescent="0.6">
      <c r="A574" s="1">
        <v>409</v>
      </c>
      <c r="B574" s="1" t="s">
        <v>103</v>
      </c>
      <c r="C574" s="1">
        <v>50</v>
      </c>
      <c r="D574" s="1" t="s">
        <v>89</v>
      </c>
      <c r="E574" s="1" t="s">
        <v>90</v>
      </c>
      <c r="F574" s="1"/>
      <c r="G574" s="1"/>
      <c r="H574" s="1" t="s">
        <v>91</v>
      </c>
      <c r="I574" s="1" t="s">
        <v>92</v>
      </c>
      <c r="J574" s="1" t="s">
        <v>93</v>
      </c>
      <c r="K574" s="1">
        <v>1</v>
      </c>
      <c r="L574" s="1">
        <v>120</v>
      </c>
      <c r="M574" s="1" t="s">
        <v>7</v>
      </c>
      <c r="N574" s="1" t="s">
        <v>7</v>
      </c>
      <c r="O574" s="1" t="s">
        <v>96</v>
      </c>
      <c r="P574" s="1" t="s">
        <v>96</v>
      </c>
      <c r="Q574" s="1" t="s">
        <v>9</v>
      </c>
      <c r="R574" s="1">
        <v>0</v>
      </c>
      <c r="S574" s="1" t="s">
        <v>97</v>
      </c>
      <c r="T574" s="1" t="s">
        <v>97</v>
      </c>
      <c r="U574" s="1" t="b">
        <v>1</v>
      </c>
      <c r="V574" s="1" t="b">
        <v>0</v>
      </c>
      <c r="W574" s="1" t="b">
        <v>0</v>
      </c>
      <c r="X574" s="1">
        <v>5</v>
      </c>
      <c r="Y574" s="1" t="b">
        <v>1</v>
      </c>
      <c r="Z574" s="1" t="b">
        <v>1</v>
      </c>
      <c r="AA574" s="1">
        <v>86.1</v>
      </c>
      <c r="AB574" s="1" t="b">
        <v>0</v>
      </c>
      <c r="AC574" s="1">
        <v>0</v>
      </c>
      <c r="AD574" s="1">
        <v>1907070</v>
      </c>
      <c r="AE574" s="1">
        <v>142534274</v>
      </c>
      <c r="AF574" s="1" t="s">
        <v>2418</v>
      </c>
      <c r="AG574" s="1" t="s">
        <v>2418</v>
      </c>
      <c r="AH574" s="1">
        <v>80.599999999999994</v>
      </c>
      <c r="AI574" s="1">
        <v>81.099999999999994</v>
      </c>
      <c r="AJ574" s="1" t="s">
        <v>2419</v>
      </c>
      <c r="AK574" s="1" t="s">
        <v>2420</v>
      </c>
      <c r="AL574" s="1" t="s">
        <v>2421</v>
      </c>
    </row>
    <row r="575" spans="1:38" x14ac:dyDescent="0.6">
      <c r="A575" s="1">
        <v>414</v>
      </c>
      <c r="B575" s="1" t="s">
        <v>103</v>
      </c>
      <c r="C575" s="1"/>
      <c r="D575" s="1"/>
      <c r="E575" s="1" t="s">
        <v>90</v>
      </c>
      <c r="F575" s="1"/>
      <c r="G575" s="1"/>
      <c r="H575" s="1" t="s">
        <v>220</v>
      </c>
      <c r="I575" s="1" t="s">
        <v>221</v>
      </c>
      <c r="J575" s="1" t="s">
        <v>222</v>
      </c>
      <c r="K575" s="1">
        <v>1.25</v>
      </c>
      <c r="L575" s="1">
        <v>120</v>
      </c>
      <c r="M575" s="1" t="s">
        <v>14</v>
      </c>
      <c r="N575" s="1" t="s">
        <v>95</v>
      </c>
      <c r="O575" s="1" t="s">
        <v>96</v>
      </c>
      <c r="P575" s="1"/>
      <c r="Q575" s="1" t="s">
        <v>9</v>
      </c>
      <c r="R575" s="1">
        <v>0</v>
      </c>
      <c r="S575" s="1" t="s">
        <v>97</v>
      </c>
      <c r="T575" s="1" t="s">
        <v>97</v>
      </c>
      <c r="U575" s="1" t="b">
        <v>1</v>
      </c>
      <c r="V575" s="1" t="b">
        <v>0</v>
      </c>
      <c r="W575" s="1" t="b">
        <v>0</v>
      </c>
      <c r="X575" s="1">
        <v>5</v>
      </c>
      <c r="Y575" s="1" t="b">
        <v>1</v>
      </c>
      <c r="Z575" s="1" t="b">
        <v>1</v>
      </c>
      <c r="AA575" s="1"/>
      <c r="AB575" s="1" t="b">
        <v>1</v>
      </c>
      <c r="AC575" s="1">
        <v>128520467</v>
      </c>
      <c r="AD575" s="1">
        <v>716525</v>
      </c>
      <c r="AE575" s="1">
        <v>0</v>
      </c>
      <c r="AF575" s="1" t="s">
        <v>2422</v>
      </c>
      <c r="AG575" s="1" t="s">
        <v>2423</v>
      </c>
      <c r="AH575" s="1">
        <v>67.3</v>
      </c>
      <c r="AI575" s="1">
        <v>64.3</v>
      </c>
      <c r="AJ575" s="1" t="s">
        <v>2424</v>
      </c>
      <c r="AK575" s="1" t="s">
        <v>2425</v>
      </c>
      <c r="AL575" s="1" t="s">
        <v>2426</v>
      </c>
    </row>
    <row r="576" spans="1:38" x14ac:dyDescent="0.6">
      <c r="A576" s="1">
        <v>405</v>
      </c>
      <c r="B576" s="1" t="s">
        <v>103</v>
      </c>
      <c r="C576" s="1">
        <v>60</v>
      </c>
      <c r="D576" s="1" t="s">
        <v>127</v>
      </c>
      <c r="E576" s="1" t="s">
        <v>108</v>
      </c>
      <c r="F576" s="1"/>
      <c r="G576" s="1"/>
      <c r="H576" s="1" t="s">
        <v>91</v>
      </c>
      <c r="I576" s="1" t="s">
        <v>92</v>
      </c>
      <c r="J576" s="1" t="s">
        <v>109</v>
      </c>
      <c r="K576" s="1">
        <v>1</v>
      </c>
      <c r="L576" s="1">
        <v>120</v>
      </c>
      <c r="M576" s="1" t="s">
        <v>14</v>
      </c>
      <c r="N576" s="1" t="s">
        <v>95</v>
      </c>
      <c r="O576" s="1" t="s">
        <v>96</v>
      </c>
      <c r="P576" s="1"/>
      <c r="Q576" s="1" t="s">
        <v>9</v>
      </c>
      <c r="R576" s="1">
        <v>0</v>
      </c>
      <c r="S576" s="1" t="s">
        <v>97</v>
      </c>
      <c r="T576" s="1" t="s">
        <v>97</v>
      </c>
      <c r="U576" s="1" t="b">
        <v>1</v>
      </c>
      <c r="V576" s="1" t="b">
        <v>0</v>
      </c>
      <c r="W576" s="1" t="b">
        <v>0</v>
      </c>
      <c r="X576" s="1">
        <v>5</v>
      </c>
      <c r="Y576" s="1" t="b">
        <v>1</v>
      </c>
      <c r="Z576" s="1" t="b">
        <v>1</v>
      </c>
      <c r="AA576" s="1"/>
      <c r="AB576" s="1" t="b">
        <v>1</v>
      </c>
      <c r="AC576" s="1">
        <v>151637201</v>
      </c>
      <c r="AD576" s="1">
        <v>668463</v>
      </c>
      <c r="AE576" s="1">
        <v>0</v>
      </c>
      <c r="AF576" s="1" t="s">
        <v>2393</v>
      </c>
      <c r="AG576" s="1" t="s">
        <v>2394</v>
      </c>
      <c r="AH576" s="1">
        <v>77.099999999999994</v>
      </c>
      <c r="AI576" s="1">
        <v>71.099999999999994</v>
      </c>
      <c r="AJ576" s="1" t="s">
        <v>2427</v>
      </c>
      <c r="AK576" s="1" t="s">
        <v>2428</v>
      </c>
      <c r="AL576" s="1" t="s">
        <v>2429</v>
      </c>
    </row>
    <row r="577" spans="1:38" x14ac:dyDescent="0.6">
      <c r="A577" s="1">
        <v>413</v>
      </c>
      <c r="B577" s="1" t="s">
        <v>88</v>
      </c>
      <c r="C577" s="1"/>
      <c r="D577" s="1"/>
      <c r="E577" s="1" t="s">
        <v>90</v>
      </c>
      <c r="F577" s="1"/>
      <c r="G577" s="1"/>
      <c r="H577" s="1" t="s">
        <v>220</v>
      </c>
      <c r="I577" s="1" t="s">
        <v>221</v>
      </c>
      <c r="J577" s="1" t="s">
        <v>222</v>
      </c>
      <c r="K577" s="1">
        <v>1.25</v>
      </c>
      <c r="L577" s="1">
        <v>120</v>
      </c>
      <c r="M577" s="1" t="s">
        <v>7</v>
      </c>
      <c r="N577" s="1" t="s">
        <v>7</v>
      </c>
      <c r="O577" s="1" t="s">
        <v>96</v>
      </c>
      <c r="P577" s="1" t="s">
        <v>96</v>
      </c>
      <c r="Q577" s="1" t="s">
        <v>9</v>
      </c>
      <c r="R577" s="1">
        <v>0</v>
      </c>
      <c r="S577" s="1" t="s">
        <v>97</v>
      </c>
      <c r="T577" s="1" t="s">
        <v>97</v>
      </c>
      <c r="U577" s="1" t="b">
        <v>1</v>
      </c>
      <c r="V577" s="1" t="b">
        <v>0</v>
      </c>
      <c r="W577" s="1" t="b">
        <v>0</v>
      </c>
      <c r="X577" s="1">
        <v>5</v>
      </c>
      <c r="Y577" s="1" t="b">
        <v>1</v>
      </c>
      <c r="Z577" s="1" t="b">
        <v>1</v>
      </c>
      <c r="AA577" s="1">
        <v>81.2</v>
      </c>
      <c r="AB577" s="1" t="b">
        <v>0</v>
      </c>
      <c r="AC577" s="1">
        <v>0</v>
      </c>
      <c r="AD577" s="1">
        <v>2209770</v>
      </c>
      <c r="AE577" s="1">
        <v>137250838</v>
      </c>
      <c r="AF577" s="1" t="s">
        <v>2430</v>
      </c>
      <c r="AG577" s="1" t="s">
        <v>2430</v>
      </c>
      <c r="AH577" s="1">
        <v>77.099999999999994</v>
      </c>
      <c r="AI577" s="1">
        <v>78.2</v>
      </c>
      <c r="AJ577" s="1" t="s">
        <v>2431</v>
      </c>
      <c r="AK577" s="1" t="s">
        <v>2432</v>
      </c>
      <c r="AL577" s="1" t="s">
        <v>2433</v>
      </c>
    </row>
    <row r="578" spans="1:38" x14ac:dyDescent="0.6">
      <c r="A578" s="1">
        <v>411</v>
      </c>
      <c r="B578" s="1" t="s">
        <v>88</v>
      </c>
      <c r="C578" s="1"/>
      <c r="D578" s="1"/>
      <c r="E578" s="1" t="s">
        <v>90</v>
      </c>
      <c r="F578" s="1"/>
      <c r="G578" s="1"/>
      <c r="H578" s="1" t="s">
        <v>220</v>
      </c>
      <c r="I578" s="1" t="s">
        <v>221</v>
      </c>
      <c r="J578" s="1" t="s">
        <v>222</v>
      </c>
      <c r="K578" s="1">
        <v>1.25</v>
      </c>
      <c r="L578" s="1">
        <v>120</v>
      </c>
      <c r="M578" s="1" t="s">
        <v>94</v>
      </c>
      <c r="N578" s="1" t="s">
        <v>95</v>
      </c>
      <c r="O578" s="1"/>
      <c r="P578" s="1" t="s">
        <v>96</v>
      </c>
      <c r="Q578" s="1" t="s">
        <v>9</v>
      </c>
      <c r="R578" s="1">
        <v>0</v>
      </c>
      <c r="S578" s="1" t="s">
        <v>97</v>
      </c>
      <c r="T578" s="1" t="s">
        <v>97</v>
      </c>
      <c r="U578" s="1" t="b">
        <v>1</v>
      </c>
      <c r="V578" s="1" t="b">
        <v>0</v>
      </c>
      <c r="W578" s="1" t="b">
        <v>0</v>
      </c>
      <c r="X578" s="1">
        <v>0</v>
      </c>
      <c r="Y578" s="1" t="b">
        <v>1</v>
      </c>
      <c r="Z578" s="1" t="b">
        <v>1</v>
      </c>
      <c r="AA578" s="1">
        <v>90.2</v>
      </c>
      <c r="AB578" s="1" t="b">
        <v>1</v>
      </c>
      <c r="AC578" s="1">
        <v>118334732</v>
      </c>
      <c r="AD578" s="1">
        <v>1989364</v>
      </c>
      <c r="AE578" s="1">
        <v>0</v>
      </c>
      <c r="AF578" s="1" t="s">
        <v>2398</v>
      </c>
      <c r="AG578" s="1" t="s">
        <v>2399</v>
      </c>
      <c r="AH578" s="1">
        <v>90.7</v>
      </c>
      <c r="AI578" s="1">
        <v>86.7</v>
      </c>
      <c r="AJ578" s="1" t="s">
        <v>2434</v>
      </c>
      <c r="AK578" s="1" t="s">
        <v>2435</v>
      </c>
      <c r="AL578" s="1" t="s">
        <v>2436</v>
      </c>
    </row>
    <row r="579" spans="1:38" x14ac:dyDescent="0.6">
      <c r="A579" s="1">
        <v>414</v>
      </c>
      <c r="B579" s="1" t="s">
        <v>103</v>
      </c>
      <c r="C579" s="1"/>
      <c r="D579" s="1"/>
      <c r="E579" s="1" t="s">
        <v>90</v>
      </c>
      <c r="F579" s="1"/>
      <c r="G579" s="1"/>
      <c r="H579" s="1" t="s">
        <v>220</v>
      </c>
      <c r="I579" s="1" t="s">
        <v>221</v>
      </c>
      <c r="J579" s="1" t="s">
        <v>222</v>
      </c>
      <c r="K579" s="1">
        <v>1.25</v>
      </c>
      <c r="L579" s="1">
        <v>120</v>
      </c>
      <c r="M579" s="1" t="s">
        <v>94</v>
      </c>
      <c r="N579" s="1" t="s">
        <v>95</v>
      </c>
      <c r="O579" s="1"/>
      <c r="P579" s="1" t="s">
        <v>96</v>
      </c>
      <c r="Q579" s="1" t="s">
        <v>9</v>
      </c>
      <c r="R579" s="1">
        <v>0</v>
      </c>
      <c r="S579" s="1" t="s">
        <v>97</v>
      </c>
      <c r="T579" s="1" t="s">
        <v>97</v>
      </c>
      <c r="U579" s="1" t="b">
        <v>1</v>
      </c>
      <c r="V579" s="1" t="b">
        <v>0</v>
      </c>
      <c r="W579" s="1" t="b">
        <v>0</v>
      </c>
      <c r="X579" s="1">
        <v>0</v>
      </c>
      <c r="Y579" s="1" t="b">
        <v>1</v>
      </c>
      <c r="Z579" s="1" t="b">
        <v>1</v>
      </c>
      <c r="AA579" s="1">
        <v>67.3</v>
      </c>
      <c r="AB579" s="1" t="b">
        <v>1</v>
      </c>
      <c r="AC579" s="1">
        <v>145222124</v>
      </c>
      <c r="AD579" s="1">
        <v>2102804</v>
      </c>
      <c r="AE579" s="1">
        <v>0</v>
      </c>
      <c r="AF579" s="1" t="s">
        <v>2422</v>
      </c>
      <c r="AG579" s="1" t="s">
        <v>2423</v>
      </c>
      <c r="AH579" s="1">
        <v>67.3</v>
      </c>
      <c r="AI579" s="1">
        <v>64.3</v>
      </c>
      <c r="AJ579" s="1" t="s">
        <v>2437</v>
      </c>
      <c r="AK579" s="1" t="s">
        <v>2438</v>
      </c>
      <c r="AL579" s="1" t="s">
        <v>2439</v>
      </c>
    </row>
    <row r="580" spans="1:38" x14ac:dyDescent="0.6">
      <c r="A580" s="1">
        <v>408</v>
      </c>
      <c r="B580" s="1" t="s">
        <v>103</v>
      </c>
      <c r="C580" s="1">
        <v>60</v>
      </c>
      <c r="D580" s="1" t="s">
        <v>127</v>
      </c>
      <c r="E580" s="1" t="s">
        <v>90</v>
      </c>
      <c r="F580" s="1"/>
      <c r="G580" s="1"/>
      <c r="H580" s="1" t="s">
        <v>91</v>
      </c>
      <c r="I580" s="1" t="s">
        <v>92</v>
      </c>
      <c r="J580" s="1" t="s">
        <v>93</v>
      </c>
      <c r="K580" s="1">
        <v>1</v>
      </c>
      <c r="L580" s="1">
        <v>120</v>
      </c>
      <c r="M580" s="1" t="s">
        <v>14</v>
      </c>
      <c r="N580" s="1" t="s">
        <v>95</v>
      </c>
      <c r="O580" s="1" t="s">
        <v>96</v>
      </c>
      <c r="P580" s="1"/>
      <c r="Q580" s="1" t="s">
        <v>9</v>
      </c>
      <c r="R580" s="1">
        <v>0</v>
      </c>
      <c r="S580" s="1" t="s">
        <v>97</v>
      </c>
      <c r="T580" s="1" t="s">
        <v>97</v>
      </c>
      <c r="U580" s="1" t="b">
        <v>1</v>
      </c>
      <c r="V580" s="1" t="b">
        <v>0</v>
      </c>
      <c r="W580" s="1" t="b">
        <v>0</v>
      </c>
      <c r="X580" s="1">
        <v>5</v>
      </c>
      <c r="Y580" s="1" t="b">
        <v>1</v>
      </c>
      <c r="Z580" s="1" t="b">
        <v>1</v>
      </c>
      <c r="AA580" s="1"/>
      <c r="AB580" s="1" t="b">
        <v>1</v>
      </c>
      <c r="AC580" s="1">
        <v>130803338</v>
      </c>
      <c r="AD580" s="1">
        <v>530806</v>
      </c>
      <c r="AE580" s="1">
        <v>0</v>
      </c>
      <c r="AF580" s="1" t="s">
        <v>2413</v>
      </c>
      <c r="AG580" s="1" t="s">
        <v>2414</v>
      </c>
      <c r="AH580" s="1">
        <v>62</v>
      </c>
      <c r="AI580" s="1">
        <v>63.8</v>
      </c>
      <c r="AJ580" s="1" t="s">
        <v>2440</v>
      </c>
      <c r="AK580" s="1" t="s">
        <v>2441</v>
      </c>
      <c r="AL580" s="1" t="s">
        <v>2442</v>
      </c>
    </row>
    <row r="581" spans="1:38" x14ac:dyDescent="0.6">
      <c r="A581" s="1">
        <v>416</v>
      </c>
      <c r="B581" s="1" t="s">
        <v>88</v>
      </c>
      <c r="C581" s="1">
        <v>50</v>
      </c>
      <c r="D581" s="1" t="s">
        <v>89</v>
      </c>
      <c r="E581" s="1" t="s">
        <v>108</v>
      </c>
      <c r="F581" s="1"/>
      <c r="G581" s="1"/>
      <c r="H581" s="1" t="s">
        <v>220</v>
      </c>
      <c r="I581" s="1" t="s">
        <v>221</v>
      </c>
      <c r="J581" s="1" t="s">
        <v>222</v>
      </c>
      <c r="K581" s="1">
        <v>1.25</v>
      </c>
      <c r="L581" s="1">
        <v>120</v>
      </c>
      <c r="M581" s="1" t="s">
        <v>7</v>
      </c>
      <c r="N581" s="1" t="s">
        <v>7</v>
      </c>
      <c r="O581" s="1" t="s">
        <v>96</v>
      </c>
      <c r="P581" s="1" t="s">
        <v>96</v>
      </c>
      <c r="Q581" s="1" t="s">
        <v>9</v>
      </c>
      <c r="R581" s="1">
        <v>0</v>
      </c>
      <c r="S581" s="1" t="s">
        <v>97</v>
      </c>
      <c r="T581" s="1" t="s">
        <v>97</v>
      </c>
      <c r="U581" s="1" t="b">
        <v>1</v>
      </c>
      <c r="V581" s="1" t="b">
        <v>0</v>
      </c>
      <c r="W581" s="1" t="b">
        <v>0</v>
      </c>
      <c r="X581" s="1">
        <v>5</v>
      </c>
      <c r="Y581" s="1" t="b">
        <v>1</v>
      </c>
      <c r="Z581" s="1" t="b">
        <v>1</v>
      </c>
      <c r="AA581" s="1">
        <v>65.7</v>
      </c>
      <c r="AB581" s="1" t="b">
        <v>0</v>
      </c>
      <c r="AC581" s="1">
        <v>0</v>
      </c>
      <c r="AD581" s="1">
        <v>3410852</v>
      </c>
      <c r="AE581" s="1">
        <v>153875548</v>
      </c>
      <c r="AF581" s="1" t="s">
        <v>2443</v>
      </c>
      <c r="AG581" s="1" t="s">
        <v>2443</v>
      </c>
      <c r="AH581" s="1">
        <v>70.400000000000006</v>
      </c>
      <c r="AI581" s="1">
        <v>64.900000000000006</v>
      </c>
      <c r="AJ581" s="1" t="s">
        <v>2444</v>
      </c>
      <c r="AK581" s="1" t="s">
        <v>2445</v>
      </c>
      <c r="AL581" s="1" t="s">
        <v>2446</v>
      </c>
    </row>
    <row r="582" spans="1:38" x14ac:dyDescent="0.6">
      <c r="A582" s="1">
        <v>412</v>
      </c>
      <c r="B582" s="1" t="s">
        <v>88</v>
      </c>
      <c r="C582" s="1"/>
      <c r="D582" s="1"/>
      <c r="E582" s="1" t="s">
        <v>108</v>
      </c>
      <c r="F582" s="1"/>
      <c r="G582" s="1"/>
      <c r="H582" s="1" t="s">
        <v>220</v>
      </c>
      <c r="I582" s="1" t="s">
        <v>221</v>
      </c>
      <c r="J582" s="1" t="s">
        <v>222</v>
      </c>
      <c r="K582" s="1">
        <v>1.25</v>
      </c>
      <c r="L582" s="1">
        <v>120</v>
      </c>
      <c r="M582" s="1" t="s">
        <v>94</v>
      </c>
      <c r="N582" s="1" t="s">
        <v>95</v>
      </c>
      <c r="O582" s="1"/>
      <c r="P582" s="1" t="s">
        <v>96</v>
      </c>
      <c r="Q582" s="1" t="s">
        <v>9</v>
      </c>
      <c r="R582" s="1">
        <v>0</v>
      </c>
      <c r="S582" s="1" t="s">
        <v>97</v>
      </c>
      <c r="T582" s="1" t="s">
        <v>97</v>
      </c>
      <c r="U582" s="1" t="b">
        <v>1</v>
      </c>
      <c r="V582" s="1" t="b">
        <v>0</v>
      </c>
      <c r="W582" s="1" t="b">
        <v>0</v>
      </c>
      <c r="X582" s="1">
        <v>0</v>
      </c>
      <c r="Y582" s="1" t="b">
        <v>1</v>
      </c>
      <c r="Z582" s="1" t="b">
        <v>1</v>
      </c>
      <c r="AA582" s="1">
        <v>67.3</v>
      </c>
      <c r="AB582" s="1" t="b">
        <v>1</v>
      </c>
      <c r="AC582" s="1">
        <v>141123272</v>
      </c>
      <c r="AD582" s="1">
        <v>2007352</v>
      </c>
      <c r="AE582" s="1">
        <v>0</v>
      </c>
      <c r="AF582" s="1" t="s">
        <v>2408</v>
      </c>
      <c r="AG582" s="1" t="s">
        <v>2409</v>
      </c>
      <c r="AH582" s="1">
        <v>69.5</v>
      </c>
      <c r="AI582" s="1">
        <v>64.3</v>
      </c>
      <c r="AJ582" s="1" t="s">
        <v>2447</v>
      </c>
      <c r="AK582" s="1" t="s">
        <v>2448</v>
      </c>
      <c r="AL582" s="1" t="s">
        <v>2449</v>
      </c>
    </row>
    <row r="583" spans="1:38" x14ac:dyDescent="0.6">
      <c r="A583" s="1">
        <v>417</v>
      </c>
      <c r="B583" s="1" t="s">
        <v>88</v>
      </c>
      <c r="C583" s="1">
        <v>60</v>
      </c>
      <c r="D583" s="1" t="s">
        <v>127</v>
      </c>
      <c r="E583" s="1" t="s">
        <v>108</v>
      </c>
      <c r="F583" s="1"/>
      <c r="G583" s="1"/>
      <c r="H583" s="1" t="s">
        <v>220</v>
      </c>
      <c r="I583" s="1" t="s">
        <v>221</v>
      </c>
      <c r="J583" s="1" t="s">
        <v>222</v>
      </c>
      <c r="K583" s="1">
        <v>1.25</v>
      </c>
      <c r="L583" s="1">
        <v>120</v>
      </c>
      <c r="M583" s="1" t="s">
        <v>7</v>
      </c>
      <c r="N583" s="1" t="s">
        <v>7</v>
      </c>
      <c r="O583" s="1" t="s">
        <v>96</v>
      </c>
      <c r="P583" s="1" t="s">
        <v>96</v>
      </c>
      <c r="Q583" s="1" t="s">
        <v>9</v>
      </c>
      <c r="R583" s="1">
        <v>0</v>
      </c>
      <c r="S583" s="1" t="s">
        <v>97</v>
      </c>
      <c r="T583" s="1" t="s">
        <v>97</v>
      </c>
      <c r="U583" s="1" t="b">
        <v>1</v>
      </c>
      <c r="V583" s="1" t="b">
        <v>0</v>
      </c>
      <c r="W583" s="1" t="b">
        <v>0</v>
      </c>
      <c r="X583" s="1">
        <v>5</v>
      </c>
      <c r="Y583" s="1" t="b">
        <v>1</v>
      </c>
      <c r="Z583" s="1" t="b">
        <v>1</v>
      </c>
      <c r="AA583" s="1">
        <v>60.7</v>
      </c>
      <c r="AB583" s="1" t="b">
        <v>0</v>
      </c>
      <c r="AC583" s="1">
        <v>0</v>
      </c>
      <c r="AD583" s="1">
        <v>2053605</v>
      </c>
      <c r="AE583" s="1">
        <v>147368475</v>
      </c>
      <c r="AF583" s="1" t="s">
        <v>2450</v>
      </c>
      <c r="AG583" s="1" t="s">
        <v>2450</v>
      </c>
      <c r="AH583" s="1">
        <v>58.1</v>
      </c>
      <c r="AI583" s="1">
        <v>57.3</v>
      </c>
      <c r="AJ583" s="1" t="s">
        <v>2451</v>
      </c>
      <c r="AK583" s="1" t="s">
        <v>2452</v>
      </c>
      <c r="AL583" s="1" t="s">
        <v>2453</v>
      </c>
    </row>
    <row r="584" spans="1:38" x14ac:dyDescent="0.6">
      <c r="A584" s="1">
        <v>419</v>
      </c>
      <c r="B584" s="1" t="s">
        <v>88</v>
      </c>
      <c r="C584" s="1">
        <v>50</v>
      </c>
      <c r="D584" s="1" t="s">
        <v>89</v>
      </c>
      <c r="E584" s="1" t="s">
        <v>108</v>
      </c>
      <c r="F584" s="1"/>
      <c r="G584" s="1"/>
      <c r="H584" s="1" t="s">
        <v>220</v>
      </c>
      <c r="I584" s="1" t="s">
        <v>221</v>
      </c>
      <c r="J584" s="1" t="s">
        <v>222</v>
      </c>
      <c r="K584" s="1">
        <v>1.25</v>
      </c>
      <c r="L584" s="1">
        <v>120</v>
      </c>
      <c r="M584" s="1" t="s">
        <v>7</v>
      </c>
      <c r="N584" s="1" t="s">
        <v>7</v>
      </c>
      <c r="O584" s="1" t="s">
        <v>96</v>
      </c>
      <c r="P584" s="1" t="s">
        <v>96</v>
      </c>
      <c r="Q584" s="1" t="s">
        <v>9</v>
      </c>
      <c r="R584" s="1">
        <v>0</v>
      </c>
      <c r="S584" s="1" t="s">
        <v>97</v>
      </c>
      <c r="T584" s="1" t="s">
        <v>97</v>
      </c>
      <c r="U584" s="1" t="b">
        <v>1</v>
      </c>
      <c r="V584" s="1" t="b">
        <v>0</v>
      </c>
      <c r="W584" s="1" t="b">
        <v>0</v>
      </c>
      <c r="X584" s="1">
        <v>5</v>
      </c>
      <c r="Y584" s="1" t="b">
        <v>1</v>
      </c>
      <c r="Z584" s="1" t="b">
        <v>1</v>
      </c>
      <c r="AA584" s="1">
        <v>68.7</v>
      </c>
      <c r="AB584" s="1" t="b">
        <v>0</v>
      </c>
      <c r="AC584" s="1">
        <v>0</v>
      </c>
      <c r="AD584" s="1">
        <v>3767372</v>
      </c>
      <c r="AE584" s="1">
        <v>144868276</v>
      </c>
      <c r="AF584" s="1" t="s">
        <v>2454</v>
      </c>
      <c r="AG584" s="1" t="s">
        <v>2454</v>
      </c>
      <c r="AH584" s="1">
        <v>78.400000000000006</v>
      </c>
      <c r="AI584" s="1">
        <v>68.5</v>
      </c>
      <c r="AJ584" s="1" t="s">
        <v>2455</v>
      </c>
      <c r="AK584" s="1" t="s">
        <v>2456</v>
      </c>
      <c r="AL584" s="1" t="s">
        <v>2457</v>
      </c>
    </row>
    <row r="585" spans="1:38" x14ac:dyDescent="0.6">
      <c r="A585" s="1">
        <v>422</v>
      </c>
      <c r="B585" s="1" t="s">
        <v>103</v>
      </c>
      <c r="C585" s="1">
        <v>60</v>
      </c>
      <c r="D585" s="1" t="s">
        <v>127</v>
      </c>
      <c r="E585" s="1" t="s">
        <v>90</v>
      </c>
      <c r="F585" s="1"/>
      <c r="G585" s="1"/>
      <c r="H585" s="1" t="s">
        <v>220</v>
      </c>
      <c r="I585" s="1" t="s">
        <v>221</v>
      </c>
      <c r="J585" s="1" t="s">
        <v>1176</v>
      </c>
      <c r="K585" s="1">
        <v>1.25</v>
      </c>
      <c r="L585" s="1">
        <v>120</v>
      </c>
      <c r="M585" s="1" t="s">
        <v>94</v>
      </c>
      <c r="N585" s="1" t="s">
        <v>95</v>
      </c>
      <c r="O585" s="1"/>
      <c r="P585" s="1" t="s">
        <v>96</v>
      </c>
      <c r="Q585" s="1" t="s">
        <v>9</v>
      </c>
      <c r="R585" s="1">
        <v>0</v>
      </c>
      <c r="S585" s="1" t="s">
        <v>97</v>
      </c>
      <c r="T585" s="1" t="s">
        <v>97</v>
      </c>
      <c r="U585" s="1" t="b">
        <v>1</v>
      </c>
      <c r="V585" s="1" t="b">
        <v>0</v>
      </c>
      <c r="W585" s="1" t="b">
        <v>0</v>
      </c>
      <c r="X585" s="1">
        <v>0</v>
      </c>
      <c r="Y585" s="1" t="b">
        <v>1</v>
      </c>
      <c r="Z585" s="1" t="b">
        <v>1</v>
      </c>
      <c r="AA585" s="1">
        <v>57.5</v>
      </c>
      <c r="AB585" s="1" t="b">
        <v>1</v>
      </c>
      <c r="AC585" s="1">
        <v>137186166</v>
      </c>
      <c r="AD585" s="1">
        <v>1750154</v>
      </c>
      <c r="AE585" s="1">
        <v>0</v>
      </c>
      <c r="AF585" s="1" t="s">
        <v>2458</v>
      </c>
      <c r="AG585" s="1" t="s">
        <v>2459</v>
      </c>
      <c r="AH585" s="1">
        <v>64.7</v>
      </c>
      <c r="AI585" s="1">
        <v>56.9</v>
      </c>
      <c r="AJ585" s="1" t="s">
        <v>2460</v>
      </c>
      <c r="AK585" s="1" t="s">
        <v>2461</v>
      </c>
      <c r="AL585" s="1" t="s">
        <v>2462</v>
      </c>
    </row>
    <row r="586" spans="1:38" x14ac:dyDescent="0.6">
      <c r="A586" s="1">
        <v>410</v>
      </c>
      <c r="B586" s="1" t="s">
        <v>88</v>
      </c>
      <c r="C586" s="1"/>
      <c r="D586" s="1"/>
      <c r="E586" s="1" t="s">
        <v>108</v>
      </c>
      <c r="F586" s="1"/>
      <c r="G586" s="1"/>
      <c r="H586" s="1" t="s">
        <v>220</v>
      </c>
      <c r="I586" s="1" t="s">
        <v>221</v>
      </c>
      <c r="J586" s="1" t="s">
        <v>222</v>
      </c>
      <c r="K586" s="1">
        <v>1.25</v>
      </c>
      <c r="L586" s="1">
        <v>120</v>
      </c>
      <c r="M586" s="1" t="s">
        <v>7</v>
      </c>
      <c r="N586" s="1" t="s">
        <v>7</v>
      </c>
      <c r="O586" s="1" t="s">
        <v>96</v>
      </c>
      <c r="P586" s="1" t="s">
        <v>96</v>
      </c>
      <c r="Q586" s="1" t="s">
        <v>9</v>
      </c>
      <c r="R586" s="1">
        <v>0</v>
      </c>
      <c r="S586" s="1" t="s">
        <v>97</v>
      </c>
      <c r="T586" s="1" t="s">
        <v>97</v>
      </c>
      <c r="U586" s="1" t="b">
        <v>1</v>
      </c>
      <c r="V586" s="1" t="b">
        <v>0</v>
      </c>
      <c r="W586" s="1" t="b">
        <v>0</v>
      </c>
      <c r="X586" s="1">
        <v>5</v>
      </c>
      <c r="Y586" s="1" t="b">
        <v>1</v>
      </c>
      <c r="Z586" s="1" t="b">
        <v>1</v>
      </c>
      <c r="AA586" s="1">
        <v>80.900000000000006</v>
      </c>
      <c r="AB586" s="1" t="b">
        <v>0</v>
      </c>
      <c r="AC586" s="1">
        <v>0</v>
      </c>
      <c r="AD586" s="1">
        <v>3917930</v>
      </c>
      <c r="AE586" s="1">
        <v>133969814</v>
      </c>
      <c r="AF586" s="1" t="s">
        <v>2463</v>
      </c>
      <c r="AG586" s="1" t="s">
        <v>2463</v>
      </c>
      <c r="AH586" s="1">
        <v>90</v>
      </c>
      <c r="AI586" s="1">
        <v>80.400000000000006</v>
      </c>
      <c r="AJ586" s="1" t="s">
        <v>2464</v>
      </c>
      <c r="AK586" s="1" t="s">
        <v>2465</v>
      </c>
      <c r="AL586" s="1" t="s">
        <v>2466</v>
      </c>
    </row>
    <row r="587" spans="1:38" x14ac:dyDescent="0.6">
      <c r="A587" s="1">
        <v>406</v>
      </c>
      <c r="B587" s="1" t="s">
        <v>88</v>
      </c>
      <c r="C587" s="1"/>
      <c r="D587" s="1"/>
      <c r="E587" s="1" t="s">
        <v>108</v>
      </c>
      <c r="F587" s="1"/>
      <c r="G587" s="1"/>
      <c r="H587" s="1" t="s">
        <v>91</v>
      </c>
      <c r="I587" s="1" t="s">
        <v>92</v>
      </c>
      <c r="J587" s="1" t="s">
        <v>109</v>
      </c>
      <c r="K587" s="1">
        <v>1</v>
      </c>
      <c r="L587" s="1">
        <v>120</v>
      </c>
      <c r="M587" s="1" t="s">
        <v>7</v>
      </c>
      <c r="N587" s="1" t="s">
        <v>7</v>
      </c>
      <c r="O587" s="1" t="s">
        <v>96</v>
      </c>
      <c r="P587" s="1" t="s">
        <v>96</v>
      </c>
      <c r="Q587" s="1" t="s">
        <v>9</v>
      </c>
      <c r="R587" s="1">
        <v>0</v>
      </c>
      <c r="S587" s="1" t="s">
        <v>97</v>
      </c>
      <c r="T587" s="1" t="s">
        <v>97</v>
      </c>
      <c r="U587" s="1" t="b">
        <v>1</v>
      </c>
      <c r="V587" s="1" t="b">
        <v>0</v>
      </c>
      <c r="W587" s="1" t="b">
        <v>0</v>
      </c>
      <c r="X587" s="1">
        <v>5</v>
      </c>
      <c r="Y587" s="1" t="b">
        <v>1</v>
      </c>
      <c r="Z587" s="1" t="b">
        <v>1</v>
      </c>
      <c r="AA587" s="1">
        <v>79</v>
      </c>
      <c r="AB587" s="1" t="b">
        <v>0</v>
      </c>
      <c r="AC587" s="1">
        <v>0</v>
      </c>
      <c r="AD587" s="1">
        <v>1976335</v>
      </c>
      <c r="AE587" s="1">
        <v>152688625</v>
      </c>
      <c r="AF587" s="1" t="s">
        <v>2467</v>
      </c>
      <c r="AG587" s="1" t="s">
        <v>2467</v>
      </c>
      <c r="AH587" s="1">
        <v>80</v>
      </c>
      <c r="AI587" s="1">
        <v>77.2</v>
      </c>
      <c r="AJ587" s="1" t="s">
        <v>2468</v>
      </c>
      <c r="AK587" s="1" t="s">
        <v>2469</v>
      </c>
      <c r="AL587" s="1" t="s">
        <v>2470</v>
      </c>
    </row>
    <row r="588" spans="1:38" x14ac:dyDescent="0.6">
      <c r="A588" s="1">
        <v>424</v>
      </c>
      <c r="B588" s="1" t="s">
        <v>88</v>
      </c>
      <c r="C588" s="1">
        <v>50</v>
      </c>
      <c r="D588" s="1" t="s">
        <v>89</v>
      </c>
      <c r="E588" s="1" t="s">
        <v>90</v>
      </c>
      <c r="F588" s="1"/>
      <c r="G588" s="1"/>
      <c r="H588" s="1" t="s">
        <v>91</v>
      </c>
      <c r="I588" s="1" t="s">
        <v>92</v>
      </c>
      <c r="J588" s="1" t="s">
        <v>109</v>
      </c>
      <c r="K588" s="1">
        <v>1</v>
      </c>
      <c r="L588" s="1">
        <v>120</v>
      </c>
      <c r="M588" s="1" t="s">
        <v>94</v>
      </c>
      <c r="N588" s="1" t="s">
        <v>95</v>
      </c>
      <c r="O588" s="1"/>
      <c r="P588" s="1" t="s">
        <v>96</v>
      </c>
      <c r="Q588" s="1" t="s">
        <v>9</v>
      </c>
      <c r="R588" s="1">
        <v>0</v>
      </c>
      <c r="S588" s="1" t="s">
        <v>97</v>
      </c>
      <c r="T588" s="1" t="s">
        <v>97</v>
      </c>
      <c r="U588" s="1" t="b">
        <v>1</v>
      </c>
      <c r="V588" s="1" t="b">
        <v>0</v>
      </c>
      <c r="W588" s="1" t="b">
        <v>0</v>
      </c>
      <c r="X588" s="1">
        <v>0</v>
      </c>
      <c r="Y588" s="1" t="b">
        <v>1</v>
      </c>
      <c r="Z588" s="1" t="b">
        <v>1</v>
      </c>
      <c r="AA588" s="1">
        <v>76.7</v>
      </c>
      <c r="AB588" s="1" t="b">
        <v>1</v>
      </c>
      <c r="AC588" s="1">
        <v>139054093</v>
      </c>
      <c r="AD588" s="1">
        <v>1717235</v>
      </c>
      <c r="AE588" s="1">
        <v>0</v>
      </c>
      <c r="AF588" s="1" t="s">
        <v>2471</v>
      </c>
      <c r="AG588" s="1" t="s">
        <v>2472</v>
      </c>
      <c r="AH588" s="1">
        <v>79.2</v>
      </c>
      <c r="AI588" s="1">
        <v>73.099999999999994</v>
      </c>
      <c r="AJ588" s="1" t="s">
        <v>2473</v>
      </c>
      <c r="AK588" s="1" t="s">
        <v>2474</v>
      </c>
      <c r="AL588" s="1" t="s">
        <v>2475</v>
      </c>
    </row>
    <row r="589" spans="1:38" x14ac:dyDescent="0.6">
      <c r="A589" s="1">
        <v>420</v>
      </c>
      <c r="B589" s="1" t="s">
        <v>103</v>
      </c>
      <c r="C589" s="1">
        <v>50</v>
      </c>
      <c r="D589" s="1" t="s">
        <v>89</v>
      </c>
      <c r="E589" s="1" t="s">
        <v>90</v>
      </c>
      <c r="F589" s="1"/>
      <c r="G589" s="1"/>
      <c r="H589" s="1" t="s">
        <v>220</v>
      </c>
      <c r="I589" s="1" t="s">
        <v>221</v>
      </c>
      <c r="J589" s="1" t="s">
        <v>222</v>
      </c>
      <c r="K589" s="1">
        <v>1.25</v>
      </c>
      <c r="L589" s="1">
        <v>120</v>
      </c>
      <c r="M589" s="1" t="s">
        <v>7</v>
      </c>
      <c r="N589" s="1" t="s">
        <v>7</v>
      </c>
      <c r="O589" s="1" t="s">
        <v>96</v>
      </c>
      <c r="P589" s="1" t="s">
        <v>96</v>
      </c>
      <c r="Q589" s="1" t="s">
        <v>9</v>
      </c>
      <c r="R589" s="1">
        <v>0</v>
      </c>
      <c r="S589" s="1" t="s">
        <v>97</v>
      </c>
      <c r="T589" s="1" t="s">
        <v>97</v>
      </c>
      <c r="U589" s="1" t="b">
        <v>1</v>
      </c>
      <c r="V589" s="1" t="b">
        <v>0</v>
      </c>
      <c r="W589" s="1" t="b">
        <v>0</v>
      </c>
      <c r="X589" s="1">
        <v>5</v>
      </c>
      <c r="Y589" s="1" t="b">
        <v>1</v>
      </c>
      <c r="Z589" s="1" t="b">
        <v>1</v>
      </c>
      <c r="AA589" s="1">
        <v>74.5</v>
      </c>
      <c r="AB589" s="1" t="b">
        <v>0</v>
      </c>
      <c r="AC589" s="1">
        <v>0</v>
      </c>
      <c r="AD589" s="1">
        <v>1908468</v>
      </c>
      <c r="AE589" s="1">
        <v>150397196</v>
      </c>
      <c r="AF589" s="1" t="s">
        <v>2476</v>
      </c>
      <c r="AG589" s="1" t="s">
        <v>2476</v>
      </c>
      <c r="AH589" s="1">
        <v>79.3</v>
      </c>
      <c r="AI589" s="1">
        <v>71.5</v>
      </c>
      <c r="AJ589" s="1" t="s">
        <v>2477</v>
      </c>
      <c r="AK589" s="1" t="s">
        <v>2478</v>
      </c>
      <c r="AL589" s="1" t="s">
        <v>2479</v>
      </c>
    </row>
    <row r="590" spans="1:38" x14ac:dyDescent="0.6">
      <c r="A590" s="1">
        <v>404</v>
      </c>
      <c r="B590" s="1" t="s">
        <v>103</v>
      </c>
      <c r="C590" s="1">
        <v>60</v>
      </c>
      <c r="D590" s="1" t="s">
        <v>127</v>
      </c>
      <c r="E590" s="1" t="s">
        <v>108</v>
      </c>
      <c r="F590" s="1"/>
      <c r="G590" s="1"/>
      <c r="H590" s="1" t="s">
        <v>220</v>
      </c>
      <c r="I590" s="1" t="s">
        <v>221</v>
      </c>
      <c r="J590" s="1" t="s">
        <v>222</v>
      </c>
      <c r="K590" s="1">
        <v>0.625</v>
      </c>
      <c r="L590" s="1">
        <v>120</v>
      </c>
      <c r="M590" s="1" t="s">
        <v>94</v>
      </c>
      <c r="N590" s="1" t="s">
        <v>95</v>
      </c>
      <c r="O590" s="1"/>
      <c r="P590" s="1" t="s">
        <v>96</v>
      </c>
      <c r="Q590" s="1" t="s">
        <v>9</v>
      </c>
      <c r="R590" s="1">
        <v>0</v>
      </c>
      <c r="S590" s="1" t="s">
        <v>97</v>
      </c>
      <c r="T590" s="1" t="s">
        <v>97</v>
      </c>
      <c r="U590" s="1" t="b">
        <v>1</v>
      </c>
      <c r="V590" s="1" t="b">
        <v>0</v>
      </c>
      <c r="W590" s="1" t="b">
        <v>0</v>
      </c>
      <c r="X590" s="1">
        <v>0</v>
      </c>
      <c r="Y590" s="1" t="b">
        <v>1</v>
      </c>
      <c r="Z590" s="1" t="b">
        <v>1</v>
      </c>
      <c r="AA590" s="1">
        <v>63</v>
      </c>
      <c r="AB590" s="1" t="b">
        <v>1</v>
      </c>
      <c r="AC590" s="1">
        <v>189955322</v>
      </c>
      <c r="AD590" s="1">
        <v>2196230</v>
      </c>
      <c r="AE590" s="1">
        <v>0</v>
      </c>
      <c r="AF590" s="1" t="s">
        <v>2403</v>
      </c>
      <c r="AG590" s="1" t="s">
        <v>2404</v>
      </c>
      <c r="AH590" s="1">
        <v>73.099999999999994</v>
      </c>
      <c r="AI590" s="1">
        <v>62.2</v>
      </c>
      <c r="AJ590" s="1" t="s">
        <v>2480</v>
      </c>
      <c r="AK590" s="1" t="s">
        <v>2481</v>
      </c>
      <c r="AL590" s="1" t="s">
        <v>2482</v>
      </c>
    </row>
    <row r="591" spans="1:38" x14ac:dyDescent="0.6">
      <c r="A591" s="1">
        <v>422</v>
      </c>
      <c r="B591" s="1" t="s">
        <v>103</v>
      </c>
      <c r="C591" s="1">
        <v>60</v>
      </c>
      <c r="D591" s="1" t="s">
        <v>127</v>
      </c>
      <c r="E591" s="1" t="s">
        <v>90</v>
      </c>
      <c r="F591" s="1"/>
      <c r="G591" s="1"/>
      <c r="H591" s="1" t="s">
        <v>220</v>
      </c>
      <c r="I591" s="1" t="s">
        <v>221</v>
      </c>
      <c r="J591" s="1" t="s">
        <v>1176</v>
      </c>
      <c r="K591" s="1">
        <v>1.25</v>
      </c>
      <c r="L591" s="1">
        <v>120</v>
      </c>
      <c r="M591" s="1" t="s">
        <v>14</v>
      </c>
      <c r="N591" s="1" t="s">
        <v>95</v>
      </c>
      <c r="O591" s="1" t="s">
        <v>96</v>
      </c>
      <c r="P591" s="1"/>
      <c r="Q591" s="1" t="s">
        <v>9</v>
      </c>
      <c r="R591" s="1">
        <v>0</v>
      </c>
      <c r="S591" s="1" t="s">
        <v>97</v>
      </c>
      <c r="T591" s="1" t="s">
        <v>97</v>
      </c>
      <c r="U591" s="1" t="b">
        <v>1</v>
      </c>
      <c r="V591" s="1" t="b">
        <v>0</v>
      </c>
      <c r="W591" s="1" t="b">
        <v>0</v>
      </c>
      <c r="X591" s="1">
        <v>5</v>
      </c>
      <c r="Y591" s="1" t="b">
        <v>1</v>
      </c>
      <c r="Z591" s="1" t="b">
        <v>1</v>
      </c>
      <c r="AA591" s="1"/>
      <c r="AB591" s="1" t="b">
        <v>1</v>
      </c>
      <c r="AC591" s="1">
        <v>135682684</v>
      </c>
      <c r="AD591" s="1">
        <v>632196</v>
      </c>
      <c r="AE591" s="1">
        <v>0</v>
      </c>
      <c r="AF591" s="1" t="s">
        <v>2458</v>
      </c>
      <c r="AG591" s="1" t="s">
        <v>2459</v>
      </c>
      <c r="AH591" s="1">
        <v>64.7</v>
      </c>
      <c r="AI591" s="1">
        <v>56.9</v>
      </c>
      <c r="AJ591" s="1" t="s">
        <v>2483</v>
      </c>
      <c r="AK591" s="1" t="s">
        <v>2484</v>
      </c>
      <c r="AL591" s="1" t="s">
        <v>2485</v>
      </c>
    </row>
    <row r="592" spans="1:38" x14ac:dyDescent="0.6">
      <c r="A592" s="1">
        <v>424</v>
      </c>
      <c r="B592" s="1" t="s">
        <v>88</v>
      </c>
      <c r="C592" s="1">
        <v>50</v>
      </c>
      <c r="D592" s="1" t="s">
        <v>89</v>
      </c>
      <c r="E592" s="1" t="s">
        <v>90</v>
      </c>
      <c r="F592" s="1"/>
      <c r="G592" s="1"/>
      <c r="H592" s="1" t="s">
        <v>91</v>
      </c>
      <c r="I592" s="1" t="s">
        <v>92</v>
      </c>
      <c r="J592" s="1" t="s">
        <v>109</v>
      </c>
      <c r="K592" s="1">
        <v>1</v>
      </c>
      <c r="L592" s="1">
        <v>120</v>
      </c>
      <c r="M592" s="1" t="s">
        <v>14</v>
      </c>
      <c r="N592" s="1" t="s">
        <v>95</v>
      </c>
      <c r="O592" s="1" t="s">
        <v>96</v>
      </c>
      <c r="P592" s="1"/>
      <c r="Q592" s="1" t="s">
        <v>9</v>
      </c>
      <c r="R592" s="1">
        <v>0</v>
      </c>
      <c r="S592" s="1" t="s">
        <v>97</v>
      </c>
      <c r="T592" s="1" t="s">
        <v>97</v>
      </c>
      <c r="U592" s="1" t="b">
        <v>1</v>
      </c>
      <c r="V592" s="1" t="b">
        <v>0</v>
      </c>
      <c r="W592" s="1" t="b">
        <v>0</v>
      </c>
      <c r="X592" s="1">
        <v>5</v>
      </c>
      <c r="Y592" s="1" t="b">
        <v>1</v>
      </c>
      <c r="Z592" s="1" t="b">
        <v>1</v>
      </c>
      <c r="AA592" s="1"/>
      <c r="AB592" s="1" t="b">
        <v>1</v>
      </c>
      <c r="AC592" s="1">
        <v>139134808</v>
      </c>
      <c r="AD592" s="1">
        <v>587944</v>
      </c>
      <c r="AE592" s="1">
        <v>0</v>
      </c>
      <c r="AF592" s="1" t="s">
        <v>2471</v>
      </c>
      <c r="AG592" s="1" t="s">
        <v>2472</v>
      </c>
      <c r="AH592" s="1">
        <v>79.2</v>
      </c>
      <c r="AI592" s="1">
        <v>73.099999999999994</v>
      </c>
      <c r="AJ592" s="1" t="s">
        <v>2486</v>
      </c>
      <c r="AK592" s="1" t="s">
        <v>2487</v>
      </c>
      <c r="AL592" s="1" t="s">
        <v>2488</v>
      </c>
    </row>
    <row r="593" spans="1:38" x14ac:dyDescent="0.6">
      <c r="A593" s="1">
        <v>426</v>
      </c>
      <c r="B593" s="1" t="s">
        <v>103</v>
      </c>
      <c r="C593" s="1">
        <v>70</v>
      </c>
      <c r="D593" s="1" t="s">
        <v>119</v>
      </c>
      <c r="E593" s="1" t="s">
        <v>90</v>
      </c>
      <c r="F593" s="1"/>
      <c r="G593" s="1"/>
      <c r="H593" s="1" t="s">
        <v>91</v>
      </c>
      <c r="I593" s="1" t="s">
        <v>92</v>
      </c>
      <c r="J593" s="1" t="s">
        <v>109</v>
      </c>
      <c r="K593" s="1">
        <v>1</v>
      </c>
      <c r="L593" s="1">
        <v>120</v>
      </c>
      <c r="M593" s="1" t="s">
        <v>14</v>
      </c>
      <c r="N593" s="1" t="s">
        <v>95</v>
      </c>
      <c r="O593" s="1" t="s">
        <v>96</v>
      </c>
      <c r="P593" s="1"/>
      <c r="Q593" s="1" t="s">
        <v>9</v>
      </c>
      <c r="R593" s="1">
        <v>0</v>
      </c>
      <c r="S593" s="1" t="s">
        <v>97</v>
      </c>
      <c r="T593" s="1" t="s">
        <v>97</v>
      </c>
      <c r="U593" s="1" t="b">
        <v>1</v>
      </c>
      <c r="V593" s="1" t="b">
        <v>0</v>
      </c>
      <c r="W593" s="1" t="b">
        <v>0</v>
      </c>
      <c r="X593" s="1">
        <v>5</v>
      </c>
      <c r="Y593" s="1" t="b">
        <v>1</v>
      </c>
      <c r="Z593" s="1" t="b">
        <v>1</v>
      </c>
      <c r="AA593" s="1"/>
      <c r="AB593" s="1" t="b">
        <v>1</v>
      </c>
      <c r="AC593" s="1">
        <v>135212168</v>
      </c>
      <c r="AD593" s="1">
        <v>578424</v>
      </c>
      <c r="AE593" s="1">
        <v>0</v>
      </c>
      <c r="AF593" s="1" t="s">
        <v>2489</v>
      </c>
      <c r="AG593" s="1" t="s">
        <v>2490</v>
      </c>
      <c r="AH593" s="1">
        <v>62.9</v>
      </c>
      <c r="AI593" s="1">
        <v>59.3</v>
      </c>
      <c r="AJ593" s="1" t="s">
        <v>2491</v>
      </c>
      <c r="AK593" s="1" t="s">
        <v>2492</v>
      </c>
      <c r="AL593" s="1" t="s">
        <v>2493</v>
      </c>
    </row>
    <row r="594" spans="1:38" x14ac:dyDescent="0.6">
      <c r="A594" s="1">
        <v>421</v>
      </c>
      <c r="B594" s="1" t="s">
        <v>103</v>
      </c>
      <c r="C594" s="1">
        <v>50</v>
      </c>
      <c r="D594" s="1" t="s">
        <v>89</v>
      </c>
      <c r="E594" s="1" t="s">
        <v>90</v>
      </c>
      <c r="F594" s="1"/>
      <c r="G594" s="1"/>
      <c r="H594" s="1" t="s">
        <v>220</v>
      </c>
      <c r="I594" s="1" t="s">
        <v>221</v>
      </c>
      <c r="J594" s="1" t="s">
        <v>1176</v>
      </c>
      <c r="K594" s="1">
        <v>1.25</v>
      </c>
      <c r="L594" s="1">
        <v>120</v>
      </c>
      <c r="M594" s="1" t="s">
        <v>94</v>
      </c>
      <c r="N594" s="1" t="s">
        <v>95</v>
      </c>
      <c r="O594" s="1"/>
      <c r="P594" s="1" t="s">
        <v>96</v>
      </c>
      <c r="Q594" s="1" t="s">
        <v>9</v>
      </c>
      <c r="R594" s="1">
        <v>0</v>
      </c>
      <c r="S594" s="1" t="s">
        <v>97</v>
      </c>
      <c r="T594" s="1" t="s">
        <v>97</v>
      </c>
      <c r="U594" s="1" t="b">
        <v>1</v>
      </c>
      <c r="V594" s="1" t="b">
        <v>0</v>
      </c>
      <c r="W594" s="1" t="b">
        <v>0</v>
      </c>
      <c r="X594" s="1">
        <v>0</v>
      </c>
      <c r="Y594" s="1" t="b">
        <v>1</v>
      </c>
      <c r="Z594" s="1" t="b">
        <v>1</v>
      </c>
      <c r="AA594" s="1">
        <v>72.3</v>
      </c>
      <c r="AB594" s="1" t="b">
        <v>1</v>
      </c>
      <c r="AC594" s="1">
        <v>133272398</v>
      </c>
      <c r="AD594" s="1">
        <v>2256050</v>
      </c>
      <c r="AE594" s="1">
        <v>0</v>
      </c>
      <c r="AF594" s="1" t="s">
        <v>2494</v>
      </c>
      <c r="AG594" s="1" t="s">
        <v>2495</v>
      </c>
      <c r="AH594" s="1">
        <v>77.8</v>
      </c>
      <c r="AI594" s="1">
        <v>69.3</v>
      </c>
      <c r="AJ594" s="1" t="s">
        <v>2496</v>
      </c>
      <c r="AK594" s="1" t="s">
        <v>2497</v>
      </c>
      <c r="AL594" s="1" t="s">
        <v>2498</v>
      </c>
    </row>
    <row r="595" spans="1:38" x14ac:dyDescent="0.6">
      <c r="A595" s="1">
        <v>423</v>
      </c>
      <c r="B595" s="1" t="s">
        <v>103</v>
      </c>
      <c r="C595" s="1">
        <v>50</v>
      </c>
      <c r="D595" s="1" t="s">
        <v>89</v>
      </c>
      <c r="E595" s="1" t="s">
        <v>108</v>
      </c>
      <c r="F595" s="1">
        <v>10.5</v>
      </c>
      <c r="G595" s="1"/>
      <c r="H595" s="1" t="s">
        <v>120</v>
      </c>
      <c r="I595" s="1" t="s">
        <v>121</v>
      </c>
      <c r="J595" s="1" t="s">
        <v>122</v>
      </c>
      <c r="K595" s="1">
        <v>1</v>
      </c>
      <c r="L595" s="1">
        <v>120</v>
      </c>
      <c r="M595" s="1" t="s">
        <v>7</v>
      </c>
      <c r="N595" s="1" t="s">
        <v>7</v>
      </c>
      <c r="O595" s="1" t="s">
        <v>96</v>
      </c>
      <c r="P595" s="1" t="s">
        <v>96</v>
      </c>
      <c r="Q595" s="1" t="s">
        <v>9</v>
      </c>
      <c r="R595" s="1">
        <v>0</v>
      </c>
      <c r="S595" s="1" t="s">
        <v>97</v>
      </c>
      <c r="T595" s="1" t="s">
        <v>97</v>
      </c>
      <c r="U595" s="1" t="b">
        <v>1</v>
      </c>
      <c r="V595" s="1" t="b">
        <v>0</v>
      </c>
      <c r="W595" s="1" t="b">
        <v>0</v>
      </c>
      <c r="X595" s="1">
        <v>5</v>
      </c>
      <c r="Y595" s="1" t="b">
        <v>1</v>
      </c>
      <c r="Z595" s="1" t="b">
        <v>1</v>
      </c>
      <c r="AA595" s="1">
        <v>82.7</v>
      </c>
      <c r="AB595" s="1" t="b">
        <v>0</v>
      </c>
      <c r="AC595" s="1">
        <v>0</v>
      </c>
      <c r="AD595" s="1">
        <v>2872015</v>
      </c>
      <c r="AE595" s="1">
        <v>156511537</v>
      </c>
      <c r="AF595" s="1" t="s">
        <v>2499</v>
      </c>
      <c r="AG595" s="1" t="s">
        <v>2499</v>
      </c>
      <c r="AH595" s="1">
        <v>80.7</v>
      </c>
      <c r="AI595" s="1">
        <v>79.3</v>
      </c>
      <c r="AJ595" s="1" t="s">
        <v>2500</v>
      </c>
      <c r="AK595" s="1" t="s">
        <v>2501</v>
      </c>
      <c r="AL595" s="1" t="s">
        <v>2502</v>
      </c>
    </row>
    <row r="596" spans="1:38" x14ac:dyDescent="0.6">
      <c r="A596" s="1">
        <v>426</v>
      </c>
      <c r="B596" s="1" t="s">
        <v>103</v>
      </c>
      <c r="C596" s="1">
        <v>70</v>
      </c>
      <c r="D596" s="1" t="s">
        <v>119</v>
      </c>
      <c r="E596" s="1" t="s">
        <v>90</v>
      </c>
      <c r="F596" s="1"/>
      <c r="G596" s="1"/>
      <c r="H596" s="1" t="s">
        <v>91</v>
      </c>
      <c r="I596" s="1" t="s">
        <v>92</v>
      </c>
      <c r="J596" s="1" t="s">
        <v>109</v>
      </c>
      <c r="K596" s="1">
        <v>1</v>
      </c>
      <c r="L596" s="1">
        <v>120</v>
      </c>
      <c r="M596" s="1" t="s">
        <v>94</v>
      </c>
      <c r="N596" s="1" t="s">
        <v>95</v>
      </c>
      <c r="O596" s="1"/>
      <c r="P596" s="1" t="s">
        <v>96</v>
      </c>
      <c r="Q596" s="1" t="s">
        <v>9</v>
      </c>
      <c r="R596" s="1">
        <v>0</v>
      </c>
      <c r="S596" s="1" t="s">
        <v>97</v>
      </c>
      <c r="T596" s="1" t="s">
        <v>97</v>
      </c>
      <c r="U596" s="1" t="b">
        <v>1</v>
      </c>
      <c r="V596" s="1" t="b">
        <v>0</v>
      </c>
      <c r="W596" s="1" t="b">
        <v>0</v>
      </c>
      <c r="X596" s="1">
        <v>0</v>
      </c>
      <c r="Y596" s="1" t="b">
        <v>1</v>
      </c>
      <c r="Z596" s="1" t="b">
        <v>1</v>
      </c>
      <c r="AA596" s="1">
        <v>63.4</v>
      </c>
      <c r="AB596" s="1" t="b">
        <v>1</v>
      </c>
      <c r="AC596" s="1">
        <v>153039578</v>
      </c>
      <c r="AD596" s="1">
        <v>1625382</v>
      </c>
      <c r="AE596" s="1">
        <v>0</v>
      </c>
      <c r="AF596" s="1" t="s">
        <v>2489</v>
      </c>
      <c r="AG596" s="1" t="s">
        <v>2490</v>
      </c>
      <c r="AH596" s="1">
        <v>62.9</v>
      </c>
      <c r="AI596" s="1">
        <v>59.3</v>
      </c>
      <c r="AJ596" s="1" t="s">
        <v>2503</v>
      </c>
      <c r="AK596" s="1" t="s">
        <v>2504</v>
      </c>
      <c r="AL596" s="1" t="s">
        <v>2505</v>
      </c>
    </row>
    <row r="597" spans="1:38" x14ac:dyDescent="0.6">
      <c r="A597" s="1">
        <v>407</v>
      </c>
      <c r="B597" s="1" t="s">
        <v>88</v>
      </c>
      <c r="C597" s="1">
        <v>60</v>
      </c>
      <c r="D597" s="1" t="s">
        <v>127</v>
      </c>
      <c r="E597" s="1" t="s">
        <v>108</v>
      </c>
      <c r="F597" s="1"/>
      <c r="G597" s="1"/>
      <c r="H597" s="1" t="s">
        <v>91</v>
      </c>
      <c r="I597" s="1" t="s">
        <v>92</v>
      </c>
      <c r="J597" s="1" t="s">
        <v>93</v>
      </c>
      <c r="K597" s="1">
        <v>1</v>
      </c>
      <c r="L597" s="1">
        <v>120</v>
      </c>
      <c r="M597" s="1" t="s">
        <v>7</v>
      </c>
      <c r="N597" s="1" t="s">
        <v>7</v>
      </c>
      <c r="O597" s="1" t="s">
        <v>96</v>
      </c>
      <c r="P597" s="1" t="s">
        <v>96</v>
      </c>
      <c r="Q597" s="1" t="s">
        <v>9</v>
      </c>
      <c r="R597" s="1">
        <v>0</v>
      </c>
      <c r="S597" s="1" t="s">
        <v>97</v>
      </c>
      <c r="T597" s="1" t="s">
        <v>97</v>
      </c>
      <c r="U597" s="1" t="b">
        <v>1</v>
      </c>
      <c r="V597" s="1" t="b">
        <v>0</v>
      </c>
      <c r="W597" s="1" t="b">
        <v>0</v>
      </c>
      <c r="X597" s="1">
        <v>5</v>
      </c>
      <c r="Y597" s="1" t="b">
        <v>1</v>
      </c>
      <c r="Z597" s="1" t="b">
        <v>1</v>
      </c>
      <c r="AA597" s="1">
        <v>68.7</v>
      </c>
      <c r="AB597" s="1" t="b">
        <v>0</v>
      </c>
      <c r="AC597" s="1">
        <v>0</v>
      </c>
      <c r="AD597" s="1">
        <v>2785925</v>
      </c>
      <c r="AE597" s="1">
        <v>168131963</v>
      </c>
      <c r="AF597" s="1" t="s">
        <v>2506</v>
      </c>
      <c r="AG597" s="1" t="s">
        <v>2506</v>
      </c>
      <c r="AH597" s="1">
        <v>72.5</v>
      </c>
      <c r="AI597" s="1">
        <v>67.5</v>
      </c>
      <c r="AJ597" s="1" t="s">
        <v>2507</v>
      </c>
      <c r="AK597" s="1" t="s">
        <v>2508</v>
      </c>
      <c r="AL597" s="1" t="s">
        <v>2509</v>
      </c>
    </row>
    <row r="598" spans="1:38" x14ac:dyDescent="0.6">
      <c r="A598" s="1">
        <v>425</v>
      </c>
      <c r="B598" s="1" t="s">
        <v>88</v>
      </c>
      <c r="C598" s="1">
        <v>60</v>
      </c>
      <c r="D598" s="1" t="s">
        <v>127</v>
      </c>
      <c r="E598" s="1" t="s">
        <v>90</v>
      </c>
      <c r="F598" s="1"/>
      <c r="G598" s="1"/>
      <c r="H598" s="1" t="s">
        <v>91</v>
      </c>
      <c r="I598" s="1" t="s">
        <v>92</v>
      </c>
      <c r="J598" s="1" t="s">
        <v>109</v>
      </c>
      <c r="K598" s="1">
        <v>1</v>
      </c>
      <c r="L598" s="1">
        <v>120</v>
      </c>
      <c r="M598" s="1" t="s">
        <v>7</v>
      </c>
      <c r="N598" s="1" t="s">
        <v>7</v>
      </c>
      <c r="O598" s="1" t="s">
        <v>96</v>
      </c>
      <c r="P598" s="1" t="s">
        <v>96</v>
      </c>
      <c r="Q598" s="1" t="s">
        <v>9</v>
      </c>
      <c r="R598" s="1">
        <v>0</v>
      </c>
      <c r="S598" s="1" t="s">
        <v>97</v>
      </c>
      <c r="T598" s="1" t="s">
        <v>97</v>
      </c>
      <c r="U598" s="1" t="b">
        <v>1</v>
      </c>
      <c r="V598" s="1" t="b">
        <v>0</v>
      </c>
      <c r="W598" s="1" t="b">
        <v>0</v>
      </c>
      <c r="X598" s="1">
        <v>5</v>
      </c>
      <c r="Y598" s="1" t="b">
        <v>1</v>
      </c>
      <c r="Z598" s="1" t="b">
        <v>1</v>
      </c>
      <c r="AA598" s="1">
        <v>44.2</v>
      </c>
      <c r="AB598" s="1" t="b">
        <v>0</v>
      </c>
      <c r="AC598" s="1">
        <v>0</v>
      </c>
      <c r="AD598" s="1">
        <v>3298329</v>
      </c>
      <c r="AE598" s="1">
        <v>134589415</v>
      </c>
      <c r="AF598" s="1" t="s">
        <v>2510</v>
      </c>
      <c r="AG598" s="1" t="s">
        <v>2510</v>
      </c>
      <c r="AH598" s="1">
        <v>48.4</v>
      </c>
      <c r="AI598" s="1">
        <v>44.1</v>
      </c>
      <c r="AJ598" s="1" t="s">
        <v>2511</v>
      </c>
      <c r="AK598" s="1" t="s">
        <v>2512</v>
      </c>
      <c r="AL598" s="1" t="s">
        <v>2513</v>
      </c>
    </row>
    <row r="599" spans="1:38" x14ac:dyDescent="0.6">
      <c r="A599" s="1">
        <v>421</v>
      </c>
      <c r="B599" s="1" t="s">
        <v>103</v>
      </c>
      <c r="C599" s="1">
        <v>50</v>
      </c>
      <c r="D599" s="1" t="s">
        <v>89</v>
      </c>
      <c r="E599" s="1" t="s">
        <v>90</v>
      </c>
      <c r="F599" s="1"/>
      <c r="G599" s="1"/>
      <c r="H599" s="1" t="s">
        <v>220</v>
      </c>
      <c r="I599" s="1" t="s">
        <v>221</v>
      </c>
      <c r="J599" s="1" t="s">
        <v>1176</v>
      </c>
      <c r="K599" s="1">
        <v>1.25</v>
      </c>
      <c r="L599" s="1">
        <v>120</v>
      </c>
      <c r="M599" s="1" t="s">
        <v>14</v>
      </c>
      <c r="N599" s="1" t="s">
        <v>95</v>
      </c>
      <c r="O599" s="1" t="s">
        <v>96</v>
      </c>
      <c r="P599" s="1"/>
      <c r="Q599" s="1" t="s">
        <v>9</v>
      </c>
      <c r="R599" s="1">
        <v>0</v>
      </c>
      <c r="S599" s="1" t="s">
        <v>97</v>
      </c>
      <c r="T599" s="1" t="s">
        <v>97</v>
      </c>
      <c r="U599" s="1" t="b">
        <v>1</v>
      </c>
      <c r="V599" s="1" t="b">
        <v>0</v>
      </c>
      <c r="W599" s="1" t="b">
        <v>0</v>
      </c>
      <c r="X599" s="1">
        <v>5</v>
      </c>
      <c r="Y599" s="1" t="b">
        <v>1</v>
      </c>
      <c r="Z599" s="1" t="b">
        <v>1</v>
      </c>
      <c r="AA599" s="1"/>
      <c r="AB599" s="1" t="b">
        <v>1</v>
      </c>
      <c r="AC599" s="1">
        <v>127946004</v>
      </c>
      <c r="AD599" s="1">
        <v>766700</v>
      </c>
      <c r="AE599" s="1">
        <v>0</v>
      </c>
      <c r="AF599" s="1" t="s">
        <v>2494</v>
      </c>
      <c r="AG599" s="1" t="s">
        <v>2495</v>
      </c>
      <c r="AH599" s="1">
        <v>77.8</v>
      </c>
      <c r="AI599" s="1">
        <v>69.3</v>
      </c>
      <c r="AJ599" s="1" t="s">
        <v>2514</v>
      </c>
      <c r="AK599" s="1" t="s">
        <v>2515</v>
      </c>
      <c r="AL599" s="1" t="s">
        <v>2516</v>
      </c>
    </row>
    <row r="600" spans="1:38" x14ac:dyDescent="0.6">
      <c r="A600" s="1">
        <v>418</v>
      </c>
      <c r="B600" s="1" t="s">
        <v>88</v>
      </c>
      <c r="C600" s="1">
        <v>50</v>
      </c>
      <c r="D600" s="1" t="s">
        <v>89</v>
      </c>
      <c r="E600" s="1" t="s">
        <v>90</v>
      </c>
      <c r="F600" s="1"/>
      <c r="G600" s="1"/>
      <c r="H600" s="1" t="s">
        <v>220</v>
      </c>
      <c r="I600" s="1" t="s">
        <v>221</v>
      </c>
      <c r="J600" s="1" t="s">
        <v>222</v>
      </c>
      <c r="K600" s="1">
        <v>1.25</v>
      </c>
      <c r="L600" s="1">
        <v>120</v>
      </c>
      <c r="M600" s="1" t="s">
        <v>7</v>
      </c>
      <c r="N600" s="1" t="s">
        <v>7</v>
      </c>
      <c r="O600" s="1" t="s">
        <v>96</v>
      </c>
      <c r="P600" s="1" t="s">
        <v>96</v>
      </c>
      <c r="Q600" s="1" t="s">
        <v>9</v>
      </c>
      <c r="R600" s="1">
        <v>0</v>
      </c>
      <c r="S600" s="1" t="s">
        <v>97</v>
      </c>
      <c r="T600" s="1" t="s">
        <v>97</v>
      </c>
      <c r="U600" s="1" t="b">
        <v>1</v>
      </c>
      <c r="V600" s="1" t="b">
        <v>0</v>
      </c>
      <c r="W600" s="1" t="b">
        <v>0</v>
      </c>
      <c r="X600" s="1">
        <v>5</v>
      </c>
      <c r="Y600" s="1" t="b">
        <v>1</v>
      </c>
      <c r="Z600" s="1" t="b">
        <v>1</v>
      </c>
      <c r="AA600" s="1">
        <v>88.5</v>
      </c>
      <c r="AB600" s="1" t="b">
        <v>0</v>
      </c>
      <c r="AC600" s="1">
        <v>0</v>
      </c>
      <c r="AD600" s="1">
        <v>2238086</v>
      </c>
      <c r="AE600" s="1">
        <v>136436090</v>
      </c>
      <c r="AF600" s="1" t="s">
        <v>2517</v>
      </c>
      <c r="AG600" s="1" t="s">
        <v>2517</v>
      </c>
      <c r="AH600" s="1">
        <v>81.599999999999994</v>
      </c>
      <c r="AI600" s="1">
        <v>84.6</v>
      </c>
      <c r="AJ600" s="1" t="s">
        <v>2518</v>
      </c>
      <c r="AK600" s="1" t="s">
        <v>2519</v>
      </c>
      <c r="AL600" s="1" t="s">
        <v>2520</v>
      </c>
    </row>
    <row r="601" spans="1:38" x14ac:dyDescent="0.6">
      <c r="A601" s="1">
        <v>429</v>
      </c>
      <c r="B601" s="1" t="s">
        <v>103</v>
      </c>
      <c r="C601" s="1">
        <v>70</v>
      </c>
      <c r="D601" s="1" t="s">
        <v>119</v>
      </c>
      <c r="E601" s="1" t="s">
        <v>90</v>
      </c>
      <c r="F601" s="1"/>
      <c r="G601" s="1"/>
      <c r="H601" s="1" t="s">
        <v>91</v>
      </c>
      <c r="I601" s="1" t="s">
        <v>92</v>
      </c>
      <c r="J601" s="1" t="s">
        <v>93</v>
      </c>
      <c r="K601" s="1">
        <v>1</v>
      </c>
      <c r="L601" s="1">
        <v>120</v>
      </c>
      <c r="M601" s="1" t="s">
        <v>94</v>
      </c>
      <c r="N601" s="1" t="s">
        <v>95</v>
      </c>
      <c r="O601" s="1"/>
      <c r="P601" s="1" t="s">
        <v>96</v>
      </c>
      <c r="Q601" s="1" t="s">
        <v>9</v>
      </c>
      <c r="R601" s="1">
        <v>0</v>
      </c>
      <c r="S601" s="1" t="s">
        <v>97</v>
      </c>
      <c r="T601" s="1" t="s">
        <v>97</v>
      </c>
      <c r="U601" s="1" t="b">
        <v>1</v>
      </c>
      <c r="V601" s="1" t="b">
        <v>0</v>
      </c>
      <c r="W601" s="1" t="b">
        <v>0</v>
      </c>
      <c r="X601" s="1">
        <v>0</v>
      </c>
      <c r="Y601" s="1" t="b">
        <v>1</v>
      </c>
      <c r="Z601" s="1" t="b">
        <v>1</v>
      </c>
      <c r="AA601" s="1">
        <v>55.8</v>
      </c>
      <c r="AB601" s="1" t="b">
        <v>1</v>
      </c>
      <c r="AC601" s="1">
        <v>134305355</v>
      </c>
      <c r="AD601" s="1">
        <v>1485237</v>
      </c>
      <c r="AE601" s="1">
        <v>0</v>
      </c>
      <c r="AF601" s="1" t="s">
        <v>2521</v>
      </c>
      <c r="AG601" s="1" t="s">
        <v>2522</v>
      </c>
      <c r="AH601" s="1">
        <v>52.9</v>
      </c>
      <c r="AI601" s="1">
        <v>51.6</v>
      </c>
      <c r="AJ601" s="1" t="s">
        <v>2523</v>
      </c>
      <c r="AK601" s="1" t="s">
        <v>2524</v>
      </c>
      <c r="AL601" s="1" t="s">
        <v>2525</v>
      </c>
    </row>
    <row r="602" spans="1:38" x14ac:dyDescent="0.6">
      <c r="A602" s="1">
        <v>430</v>
      </c>
      <c r="B602" s="1" t="s">
        <v>103</v>
      </c>
      <c r="C602" s="1">
        <v>89</v>
      </c>
      <c r="D602" s="1" t="s">
        <v>153</v>
      </c>
      <c r="E602" s="1" t="s">
        <v>154</v>
      </c>
      <c r="F602" s="1"/>
      <c r="G602" s="1"/>
      <c r="H602" s="1" t="s">
        <v>91</v>
      </c>
      <c r="I602" s="1" t="s">
        <v>92</v>
      </c>
      <c r="J602" s="1" t="s">
        <v>93</v>
      </c>
      <c r="K602" s="1">
        <v>1</v>
      </c>
      <c r="L602" s="1">
        <v>120</v>
      </c>
      <c r="M602" s="1" t="s">
        <v>14</v>
      </c>
      <c r="N602" s="1" t="s">
        <v>95</v>
      </c>
      <c r="O602" s="1" t="s">
        <v>96</v>
      </c>
      <c r="P602" s="1"/>
      <c r="Q602" s="1" t="s">
        <v>9</v>
      </c>
      <c r="R602" s="1">
        <v>0</v>
      </c>
      <c r="S602" s="1" t="s">
        <v>97</v>
      </c>
      <c r="T602" s="1" t="s">
        <v>97</v>
      </c>
      <c r="U602" s="1" t="b">
        <v>1</v>
      </c>
      <c r="V602" s="1" t="b">
        <v>0</v>
      </c>
      <c r="W602" s="1" t="b">
        <v>0</v>
      </c>
      <c r="X602" s="1">
        <v>5</v>
      </c>
      <c r="Y602" s="1" t="b">
        <v>1</v>
      </c>
      <c r="Z602" s="1" t="b">
        <v>1</v>
      </c>
      <c r="AA602" s="1"/>
      <c r="AB602" s="1" t="b">
        <v>1</v>
      </c>
      <c r="AC602" s="1">
        <v>131981763</v>
      </c>
      <c r="AD602" s="1">
        <v>663101</v>
      </c>
      <c r="AE602" s="1">
        <v>0</v>
      </c>
      <c r="AF602" s="1" t="s">
        <v>2526</v>
      </c>
      <c r="AG602" s="1" t="s">
        <v>2527</v>
      </c>
      <c r="AH602" s="1">
        <v>45.9</v>
      </c>
      <c r="AI602" s="1">
        <v>44.8</v>
      </c>
      <c r="AJ602" s="1" t="s">
        <v>2528</v>
      </c>
      <c r="AK602" s="1" t="s">
        <v>2529</v>
      </c>
      <c r="AL602" s="1" t="s">
        <v>2530</v>
      </c>
    </row>
    <row r="603" spans="1:38" x14ac:dyDescent="0.6">
      <c r="A603" s="1">
        <v>427</v>
      </c>
      <c r="B603" s="1" t="s">
        <v>2531</v>
      </c>
      <c r="C603" s="1">
        <v>60</v>
      </c>
      <c r="D603" s="1" t="s">
        <v>127</v>
      </c>
      <c r="E603" s="1" t="s">
        <v>90</v>
      </c>
      <c r="F603" s="1"/>
      <c r="G603" s="1"/>
      <c r="H603" s="1" t="s">
        <v>91</v>
      </c>
      <c r="I603" s="1" t="s">
        <v>92</v>
      </c>
      <c r="J603" s="1" t="s">
        <v>109</v>
      </c>
      <c r="K603" s="1">
        <v>1</v>
      </c>
      <c r="L603" s="1">
        <v>120</v>
      </c>
      <c r="M603" s="1" t="s">
        <v>14</v>
      </c>
      <c r="N603" s="1" t="s">
        <v>95</v>
      </c>
      <c r="O603" s="1" t="s">
        <v>96</v>
      </c>
      <c r="P603" s="1"/>
      <c r="Q603" s="1" t="s">
        <v>9</v>
      </c>
      <c r="R603" s="1">
        <v>0</v>
      </c>
      <c r="S603" s="1" t="s">
        <v>97</v>
      </c>
      <c r="T603" s="1" t="s">
        <v>97</v>
      </c>
      <c r="U603" s="1" t="b">
        <v>1</v>
      </c>
      <c r="V603" s="1" t="b">
        <v>0</v>
      </c>
      <c r="W603" s="1" t="b">
        <v>0</v>
      </c>
      <c r="X603" s="1">
        <v>5</v>
      </c>
      <c r="Y603" s="1" t="b">
        <v>1</v>
      </c>
      <c r="Z603" s="1" t="b">
        <v>1</v>
      </c>
      <c r="AA603" s="1"/>
      <c r="AB603" s="1" t="b">
        <v>1</v>
      </c>
      <c r="AC603" s="1">
        <v>145351372</v>
      </c>
      <c r="AD603" s="1">
        <v>662836</v>
      </c>
      <c r="AE603" s="1">
        <v>0</v>
      </c>
      <c r="AF603" s="1" t="s">
        <v>2532</v>
      </c>
      <c r="AG603" s="1" t="s">
        <v>2533</v>
      </c>
      <c r="AH603" s="1">
        <v>75.8</v>
      </c>
      <c r="AI603" s="1">
        <v>73</v>
      </c>
      <c r="AJ603" s="1" t="s">
        <v>2534</v>
      </c>
      <c r="AK603" s="1" t="s">
        <v>2535</v>
      </c>
      <c r="AL603" s="1" t="s">
        <v>2536</v>
      </c>
    </row>
    <row r="604" spans="1:38" x14ac:dyDescent="0.6">
      <c r="A604" s="1">
        <v>430</v>
      </c>
      <c r="B604" s="1" t="s">
        <v>103</v>
      </c>
      <c r="C604" s="1">
        <v>89</v>
      </c>
      <c r="D604" s="1" t="s">
        <v>153</v>
      </c>
      <c r="E604" s="1" t="s">
        <v>154</v>
      </c>
      <c r="F604" s="1"/>
      <c r="G604" s="1"/>
      <c r="H604" s="1" t="s">
        <v>91</v>
      </c>
      <c r="I604" s="1" t="s">
        <v>92</v>
      </c>
      <c r="J604" s="1" t="s">
        <v>93</v>
      </c>
      <c r="K604" s="1">
        <v>1</v>
      </c>
      <c r="L604" s="1">
        <v>120</v>
      </c>
      <c r="M604" s="1" t="s">
        <v>94</v>
      </c>
      <c r="N604" s="1" t="s">
        <v>95</v>
      </c>
      <c r="O604" s="1"/>
      <c r="P604" s="1" t="s">
        <v>96</v>
      </c>
      <c r="Q604" s="1" t="s">
        <v>9</v>
      </c>
      <c r="R604" s="1">
        <v>0</v>
      </c>
      <c r="S604" s="1" t="s">
        <v>97</v>
      </c>
      <c r="T604" s="1" t="s">
        <v>97</v>
      </c>
      <c r="U604" s="1" t="b">
        <v>1</v>
      </c>
      <c r="V604" s="1" t="b">
        <v>0</v>
      </c>
      <c r="W604" s="1" t="b">
        <v>0</v>
      </c>
      <c r="X604" s="1">
        <v>0</v>
      </c>
      <c r="Y604" s="1" t="b">
        <v>1</v>
      </c>
      <c r="Z604" s="1" t="b">
        <v>1</v>
      </c>
      <c r="AA604" s="1">
        <v>47.6</v>
      </c>
      <c r="AB604" s="1" t="b">
        <v>1</v>
      </c>
      <c r="AC604" s="1">
        <v>137033516</v>
      </c>
      <c r="AD604" s="1">
        <v>1902804</v>
      </c>
      <c r="AE604" s="1">
        <v>0</v>
      </c>
      <c r="AF604" s="1" t="s">
        <v>2526</v>
      </c>
      <c r="AG604" s="1" t="s">
        <v>2527</v>
      </c>
      <c r="AH604" s="1">
        <v>45.9</v>
      </c>
      <c r="AI604" s="1">
        <v>44.8</v>
      </c>
      <c r="AJ604" s="1" t="s">
        <v>2537</v>
      </c>
      <c r="AK604" s="1" t="s">
        <v>2538</v>
      </c>
      <c r="AL604" s="1" t="s">
        <v>2539</v>
      </c>
    </row>
    <row r="605" spans="1:38" x14ac:dyDescent="0.6">
      <c r="A605" s="1">
        <v>432</v>
      </c>
      <c r="B605" s="1" t="s">
        <v>103</v>
      </c>
      <c r="C605" s="1">
        <v>60</v>
      </c>
      <c r="D605" s="1" t="s">
        <v>127</v>
      </c>
      <c r="E605" s="1" t="s">
        <v>108</v>
      </c>
      <c r="F605" s="1"/>
      <c r="G605" s="1"/>
      <c r="H605" s="1" t="s">
        <v>91</v>
      </c>
      <c r="I605" s="1" t="s">
        <v>92</v>
      </c>
      <c r="J605" s="1" t="s">
        <v>93</v>
      </c>
      <c r="K605" s="1">
        <v>1</v>
      </c>
      <c r="L605" s="1">
        <v>120</v>
      </c>
      <c r="M605" s="1" t="s">
        <v>14</v>
      </c>
      <c r="N605" s="1" t="s">
        <v>95</v>
      </c>
      <c r="O605" s="1" t="s">
        <v>96</v>
      </c>
      <c r="P605" s="1"/>
      <c r="Q605" s="1" t="s">
        <v>9</v>
      </c>
      <c r="R605" s="1">
        <v>0</v>
      </c>
      <c r="S605" s="1" t="s">
        <v>97</v>
      </c>
      <c r="T605" s="1" t="s">
        <v>97</v>
      </c>
      <c r="U605" s="1" t="b">
        <v>1</v>
      </c>
      <c r="V605" s="1" t="b">
        <v>0</v>
      </c>
      <c r="W605" s="1" t="b">
        <v>0</v>
      </c>
      <c r="X605" s="1">
        <v>5</v>
      </c>
      <c r="Y605" s="1" t="b">
        <v>1</v>
      </c>
      <c r="Z605" s="1" t="b">
        <v>1</v>
      </c>
      <c r="AA605" s="1"/>
      <c r="AB605" s="1" t="b">
        <v>1</v>
      </c>
      <c r="AC605" s="1">
        <v>154560257</v>
      </c>
      <c r="AD605" s="1">
        <v>628991</v>
      </c>
      <c r="AE605" s="1">
        <v>0</v>
      </c>
      <c r="AF605" s="1" t="s">
        <v>2540</v>
      </c>
      <c r="AG605" s="1" t="s">
        <v>2541</v>
      </c>
      <c r="AH605" s="1">
        <v>59.7</v>
      </c>
      <c r="AI605" s="1">
        <v>53.4</v>
      </c>
      <c r="AJ605" s="1" t="s">
        <v>2542</v>
      </c>
      <c r="AK605" s="1" t="s">
        <v>2543</v>
      </c>
      <c r="AL605" s="1" t="s">
        <v>2544</v>
      </c>
    </row>
    <row r="606" spans="1:38" x14ac:dyDescent="0.6">
      <c r="A606" s="1">
        <v>431</v>
      </c>
      <c r="B606" s="1" t="s">
        <v>103</v>
      </c>
      <c r="C606" s="1">
        <v>70</v>
      </c>
      <c r="D606" s="1" t="s">
        <v>119</v>
      </c>
      <c r="E606" s="1" t="s">
        <v>90</v>
      </c>
      <c r="F606" s="1"/>
      <c r="G606" s="1"/>
      <c r="H606" s="1" t="s">
        <v>91</v>
      </c>
      <c r="I606" s="1" t="s">
        <v>92</v>
      </c>
      <c r="J606" s="1" t="s">
        <v>93</v>
      </c>
      <c r="K606" s="1">
        <v>1</v>
      </c>
      <c r="L606" s="1">
        <v>120</v>
      </c>
      <c r="M606" s="1" t="s">
        <v>7</v>
      </c>
      <c r="N606" s="1" t="s">
        <v>7</v>
      </c>
      <c r="O606" s="1" t="s">
        <v>96</v>
      </c>
      <c r="P606" s="1" t="s">
        <v>96</v>
      </c>
      <c r="Q606" s="1" t="s">
        <v>9</v>
      </c>
      <c r="R606" s="1">
        <v>0</v>
      </c>
      <c r="S606" s="1" t="s">
        <v>97</v>
      </c>
      <c r="T606" s="1" t="s">
        <v>97</v>
      </c>
      <c r="U606" s="1" t="b">
        <v>1</v>
      </c>
      <c r="V606" s="1" t="b">
        <v>0</v>
      </c>
      <c r="W606" s="1" t="b">
        <v>0</v>
      </c>
      <c r="X606" s="1">
        <v>5</v>
      </c>
      <c r="Y606" s="1" t="b">
        <v>1</v>
      </c>
      <c r="Z606" s="1" t="b">
        <v>1</v>
      </c>
      <c r="AA606" s="1">
        <v>63.3</v>
      </c>
      <c r="AB606" s="1" t="b">
        <v>0</v>
      </c>
      <c r="AC606" s="1">
        <v>0</v>
      </c>
      <c r="AD606" s="1">
        <v>2140193</v>
      </c>
      <c r="AE606" s="1">
        <v>155670495</v>
      </c>
      <c r="AF606" s="1" t="s">
        <v>2545</v>
      </c>
      <c r="AG606" s="1" t="s">
        <v>2545</v>
      </c>
      <c r="AH606" s="1">
        <v>62.2</v>
      </c>
      <c r="AI606" s="1">
        <v>61.3</v>
      </c>
      <c r="AJ606" s="1" t="s">
        <v>2546</v>
      </c>
      <c r="AK606" s="1" t="s">
        <v>2547</v>
      </c>
      <c r="AL606" s="1" t="s">
        <v>2548</v>
      </c>
    </row>
    <row r="607" spans="1:38" x14ac:dyDescent="0.6">
      <c r="A607" s="1">
        <v>437</v>
      </c>
      <c r="B607" s="1" t="s">
        <v>88</v>
      </c>
      <c r="C607" s="1">
        <v>60</v>
      </c>
      <c r="D607" s="1" t="s">
        <v>127</v>
      </c>
      <c r="E607" s="1" t="s">
        <v>90</v>
      </c>
      <c r="F607" s="1"/>
      <c r="G607" s="1"/>
      <c r="H607" s="1" t="s">
        <v>189</v>
      </c>
      <c r="I607" s="1" t="s">
        <v>190</v>
      </c>
      <c r="J607" s="1" t="s">
        <v>191</v>
      </c>
      <c r="K607" s="1">
        <v>1</v>
      </c>
      <c r="L607" s="1">
        <v>120</v>
      </c>
      <c r="M607" s="1" t="s">
        <v>14</v>
      </c>
      <c r="N607" s="1" t="s">
        <v>95</v>
      </c>
      <c r="O607" s="1" t="s">
        <v>96</v>
      </c>
      <c r="P607" s="1"/>
      <c r="Q607" s="1" t="s">
        <v>9</v>
      </c>
      <c r="R607" s="1">
        <v>0</v>
      </c>
      <c r="S607" s="1" t="s">
        <v>97</v>
      </c>
      <c r="T607" s="1" t="s">
        <v>97</v>
      </c>
      <c r="U607" s="1" t="b">
        <v>1</v>
      </c>
      <c r="V607" s="1" t="b">
        <v>0</v>
      </c>
      <c r="W607" s="1" t="b">
        <v>0</v>
      </c>
      <c r="X607" s="1">
        <v>5</v>
      </c>
      <c r="Y607" s="1" t="b">
        <v>1</v>
      </c>
      <c r="Z607" s="1" t="b">
        <v>1</v>
      </c>
      <c r="AA607" s="1"/>
      <c r="AB607" s="1" t="b">
        <v>1</v>
      </c>
      <c r="AC607" s="1">
        <v>131983148</v>
      </c>
      <c r="AD607" s="1">
        <v>923860</v>
      </c>
      <c r="AE607" s="1">
        <v>0</v>
      </c>
      <c r="AF607" s="1" t="s">
        <v>2549</v>
      </c>
      <c r="AG607" s="1" t="s">
        <v>2550</v>
      </c>
      <c r="AH607" s="1">
        <v>62</v>
      </c>
      <c r="AI607" s="1">
        <v>58.8</v>
      </c>
      <c r="AJ607" s="1" t="s">
        <v>2551</v>
      </c>
      <c r="AK607" s="1" t="s">
        <v>2552</v>
      </c>
      <c r="AL607" s="1" t="s">
        <v>2553</v>
      </c>
    </row>
    <row r="608" spans="1:38" x14ac:dyDescent="0.6">
      <c r="A608" s="1">
        <v>433</v>
      </c>
      <c r="B608" s="1" t="s">
        <v>88</v>
      </c>
      <c r="C608" s="1">
        <v>60</v>
      </c>
      <c r="D608" s="1" t="s">
        <v>127</v>
      </c>
      <c r="E608" s="1" t="s">
        <v>90</v>
      </c>
      <c r="F608" s="1"/>
      <c r="G608" s="1"/>
      <c r="H608" s="1" t="s">
        <v>91</v>
      </c>
      <c r="I608" s="1" t="s">
        <v>92</v>
      </c>
      <c r="J608" s="1" t="s">
        <v>93</v>
      </c>
      <c r="K608" s="1">
        <v>1</v>
      </c>
      <c r="L608" s="1">
        <v>120</v>
      </c>
      <c r="M608" s="1" t="s">
        <v>94</v>
      </c>
      <c r="N608" s="1" t="s">
        <v>95</v>
      </c>
      <c r="O608" s="1"/>
      <c r="P608" s="1" t="s">
        <v>96</v>
      </c>
      <c r="Q608" s="1" t="s">
        <v>9</v>
      </c>
      <c r="R608" s="1">
        <v>0</v>
      </c>
      <c r="S608" s="1" t="s">
        <v>97</v>
      </c>
      <c r="T608" s="1" t="s">
        <v>97</v>
      </c>
      <c r="U608" s="1" t="b">
        <v>1</v>
      </c>
      <c r="V608" s="1" t="b">
        <v>0</v>
      </c>
      <c r="W608" s="1" t="b">
        <v>0</v>
      </c>
      <c r="X608" s="1">
        <v>0</v>
      </c>
      <c r="Y608" s="1" t="b">
        <v>1</v>
      </c>
      <c r="Z608" s="1" t="b">
        <v>1</v>
      </c>
      <c r="AA608" s="1">
        <v>59.7</v>
      </c>
      <c r="AB608" s="1" t="b">
        <v>1</v>
      </c>
      <c r="AC608" s="1">
        <v>132421305</v>
      </c>
      <c r="AD608" s="1">
        <v>2320711</v>
      </c>
      <c r="AE608" s="1">
        <v>0</v>
      </c>
      <c r="AF608" s="1" t="s">
        <v>2554</v>
      </c>
      <c r="AG608" s="1" t="s">
        <v>2555</v>
      </c>
      <c r="AH608" s="1">
        <v>57.5</v>
      </c>
      <c r="AI608" s="1">
        <v>56.6</v>
      </c>
      <c r="AJ608" s="1" t="s">
        <v>2556</v>
      </c>
      <c r="AK608" s="1" t="s">
        <v>2557</v>
      </c>
      <c r="AL608" s="1" t="s">
        <v>2558</v>
      </c>
    </row>
    <row r="609" spans="1:38" x14ac:dyDescent="0.6">
      <c r="A609" s="1">
        <v>434</v>
      </c>
      <c r="B609" s="1" t="s">
        <v>88</v>
      </c>
      <c r="C609" s="1">
        <v>50</v>
      </c>
      <c r="D609" s="1" t="s">
        <v>89</v>
      </c>
      <c r="E609" s="1" t="s">
        <v>108</v>
      </c>
      <c r="F609" s="1"/>
      <c r="G609" s="1"/>
      <c r="H609" s="1" t="s">
        <v>91</v>
      </c>
      <c r="I609" s="1" t="s">
        <v>92</v>
      </c>
      <c r="J609" s="1" t="s">
        <v>93</v>
      </c>
      <c r="K609" s="1">
        <v>1</v>
      </c>
      <c r="L609" s="1">
        <v>120</v>
      </c>
      <c r="M609" s="1" t="s">
        <v>7</v>
      </c>
      <c r="N609" s="1" t="s">
        <v>7</v>
      </c>
      <c r="O609" s="1" t="s">
        <v>96</v>
      </c>
      <c r="P609" s="1" t="s">
        <v>96</v>
      </c>
      <c r="Q609" s="1" t="s">
        <v>9</v>
      </c>
      <c r="R609" s="1">
        <v>0</v>
      </c>
      <c r="S609" s="1" t="s">
        <v>97</v>
      </c>
      <c r="T609" s="1" t="s">
        <v>97</v>
      </c>
      <c r="U609" s="1" t="b">
        <v>1</v>
      </c>
      <c r="V609" s="1" t="b">
        <v>0</v>
      </c>
      <c r="W609" s="1" t="b">
        <v>0</v>
      </c>
      <c r="X609" s="1">
        <v>5</v>
      </c>
      <c r="Y609" s="1" t="b">
        <v>1</v>
      </c>
      <c r="Z609" s="1" t="b">
        <v>1</v>
      </c>
      <c r="AA609" s="1">
        <v>72.900000000000006</v>
      </c>
      <c r="AB609" s="1" t="b">
        <v>0</v>
      </c>
      <c r="AC609" s="1">
        <v>0</v>
      </c>
      <c r="AD609" s="1">
        <v>2783451</v>
      </c>
      <c r="AE609" s="1">
        <v>140609317</v>
      </c>
      <c r="AF609" s="1" t="s">
        <v>2559</v>
      </c>
      <c r="AG609" s="1" t="s">
        <v>2559</v>
      </c>
      <c r="AH609" s="1">
        <v>75.5</v>
      </c>
      <c r="AI609" s="1">
        <v>69.900000000000006</v>
      </c>
      <c r="AJ609" s="1" t="s">
        <v>2560</v>
      </c>
      <c r="AK609" s="1" t="s">
        <v>2561</v>
      </c>
      <c r="AL609" s="1" t="s">
        <v>2562</v>
      </c>
    </row>
    <row r="610" spans="1:38" x14ac:dyDescent="0.6">
      <c r="A610" s="1">
        <v>428</v>
      </c>
      <c r="B610" s="1" t="s">
        <v>103</v>
      </c>
      <c r="C610" s="1">
        <v>50</v>
      </c>
      <c r="D610" s="1" t="s">
        <v>89</v>
      </c>
      <c r="E610" s="1" t="s">
        <v>108</v>
      </c>
      <c r="F610" s="1"/>
      <c r="G610" s="1"/>
      <c r="H610" s="1" t="s">
        <v>91</v>
      </c>
      <c r="I610" s="1" t="s">
        <v>92</v>
      </c>
      <c r="J610" s="1" t="s">
        <v>109</v>
      </c>
      <c r="K610" s="1">
        <v>1</v>
      </c>
      <c r="L610" s="1">
        <v>120</v>
      </c>
      <c r="M610" s="1" t="s">
        <v>7</v>
      </c>
      <c r="N610" s="1" t="s">
        <v>7</v>
      </c>
      <c r="O610" s="1" t="s">
        <v>96</v>
      </c>
      <c r="P610" s="1" t="s">
        <v>96</v>
      </c>
      <c r="Q610" s="1" t="s">
        <v>9</v>
      </c>
      <c r="R610" s="1">
        <v>0</v>
      </c>
      <c r="S610" s="1" t="s">
        <v>97</v>
      </c>
      <c r="T610" s="1" t="s">
        <v>97</v>
      </c>
      <c r="U610" s="1" t="b">
        <v>1</v>
      </c>
      <c r="V610" s="1" t="b">
        <v>0</v>
      </c>
      <c r="W610" s="1" t="b">
        <v>0</v>
      </c>
      <c r="X610" s="1">
        <v>5</v>
      </c>
      <c r="Y610" s="1" t="b">
        <v>1</v>
      </c>
      <c r="Z610" s="1" t="b">
        <v>1</v>
      </c>
      <c r="AA610" s="1">
        <v>78.5</v>
      </c>
      <c r="AB610" s="1" t="b">
        <v>0</v>
      </c>
      <c r="AC610" s="1">
        <v>0</v>
      </c>
      <c r="AD610" s="1">
        <v>3167314</v>
      </c>
      <c r="AE610" s="1">
        <v>149924782</v>
      </c>
      <c r="AF610" s="1" t="s">
        <v>2563</v>
      </c>
      <c r="AG610" s="1" t="s">
        <v>2563</v>
      </c>
      <c r="AH610" s="1">
        <v>73.599999999999994</v>
      </c>
      <c r="AI610" s="1">
        <v>73.900000000000006</v>
      </c>
      <c r="AJ610" s="1" t="s">
        <v>2564</v>
      </c>
      <c r="AK610" s="1" t="s">
        <v>2565</v>
      </c>
      <c r="AL610" s="1" t="s">
        <v>2566</v>
      </c>
    </row>
    <row r="611" spans="1:38" x14ac:dyDescent="0.6">
      <c r="A611" s="1">
        <v>429</v>
      </c>
      <c r="B611" s="1" t="s">
        <v>103</v>
      </c>
      <c r="C611" s="1">
        <v>70</v>
      </c>
      <c r="D611" s="1" t="s">
        <v>119</v>
      </c>
      <c r="E611" s="1" t="s">
        <v>90</v>
      </c>
      <c r="F611" s="1"/>
      <c r="G611" s="1"/>
      <c r="H611" s="1" t="s">
        <v>91</v>
      </c>
      <c r="I611" s="1" t="s">
        <v>92</v>
      </c>
      <c r="J611" s="1" t="s">
        <v>93</v>
      </c>
      <c r="K611" s="1">
        <v>1</v>
      </c>
      <c r="L611" s="1">
        <v>120</v>
      </c>
      <c r="M611" s="1" t="s">
        <v>14</v>
      </c>
      <c r="N611" s="1" t="s">
        <v>95</v>
      </c>
      <c r="O611" s="1" t="s">
        <v>96</v>
      </c>
      <c r="P611" s="1"/>
      <c r="Q611" s="1" t="s">
        <v>9</v>
      </c>
      <c r="R611" s="1">
        <v>0</v>
      </c>
      <c r="S611" s="1" t="s">
        <v>97</v>
      </c>
      <c r="T611" s="1" t="s">
        <v>97</v>
      </c>
      <c r="U611" s="1" t="b">
        <v>1</v>
      </c>
      <c r="V611" s="1" t="b">
        <v>0</v>
      </c>
      <c r="W611" s="1" t="b">
        <v>0</v>
      </c>
      <c r="X611" s="1">
        <v>5</v>
      </c>
      <c r="Y611" s="1" t="b">
        <v>1</v>
      </c>
      <c r="Z611" s="1" t="b">
        <v>1</v>
      </c>
      <c r="AA611" s="1"/>
      <c r="AB611" s="1" t="b">
        <v>1</v>
      </c>
      <c r="AC611" s="1">
        <v>128247884</v>
      </c>
      <c r="AD611" s="1">
        <v>464820</v>
      </c>
      <c r="AE611" s="1">
        <v>0</v>
      </c>
      <c r="AF611" s="1" t="s">
        <v>2521</v>
      </c>
      <c r="AG611" s="1" t="s">
        <v>2522</v>
      </c>
      <c r="AH611" s="1">
        <v>52.9</v>
      </c>
      <c r="AI611" s="1">
        <v>51.6</v>
      </c>
      <c r="AJ611" s="1" t="s">
        <v>2567</v>
      </c>
      <c r="AK611" s="1" t="s">
        <v>2568</v>
      </c>
      <c r="AL611" s="1" t="s">
        <v>2569</v>
      </c>
    </row>
    <row r="612" spans="1:38" x14ac:dyDescent="0.6">
      <c r="A612" s="1">
        <v>432</v>
      </c>
      <c r="B612" s="1" t="s">
        <v>103</v>
      </c>
      <c r="C612" s="1">
        <v>60</v>
      </c>
      <c r="D612" s="1" t="s">
        <v>127</v>
      </c>
      <c r="E612" s="1" t="s">
        <v>108</v>
      </c>
      <c r="F612" s="1"/>
      <c r="G612" s="1"/>
      <c r="H612" s="1" t="s">
        <v>91</v>
      </c>
      <c r="I612" s="1" t="s">
        <v>92</v>
      </c>
      <c r="J612" s="1" t="s">
        <v>93</v>
      </c>
      <c r="K612" s="1">
        <v>1</v>
      </c>
      <c r="L612" s="1">
        <v>120</v>
      </c>
      <c r="M612" s="1" t="s">
        <v>94</v>
      </c>
      <c r="N612" s="1" t="s">
        <v>95</v>
      </c>
      <c r="O612" s="1"/>
      <c r="P612" s="1" t="s">
        <v>96</v>
      </c>
      <c r="Q612" s="1" t="s">
        <v>9</v>
      </c>
      <c r="R612" s="1">
        <v>0</v>
      </c>
      <c r="S612" s="1" t="s">
        <v>97</v>
      </c>
      <c r="T612" s="1" t="s">
        <v>97</v>
      </c>
      <c r="U612" s="1" t="b">
        <v>1</v>
      </c>
      <c r="V612" s="1" t="b">
        <v>0</v>
      </c>
      <c r="W612" s="1" t="b">
        <v>0</v>
      </c>
      <c r="X612" s="1">
        <v>0</v>
      </c>
      <c r="Y612" s="1" t="b">
        <v>1</v>
      </c>
      <c r="Z612" s="1" t="b">
        <v>1</v>
      </c>
      <c r="AA612" s="1">
        <v>55.2</v>
      </c>
      <c r="AB612" s="1" t="b">
        <v>1</v>
      </c>
      <c r="AC612" s="1">
        <v>155137425</v>
      </c>
      <c r="AD612" s="1">
        <v>1886831</v>
      </c>
      <c r="AE612" s="1">
        <v>0</v>
      </c>
      <c r="AF612" s="1" t="s">
        <v>2540</v>
      </c>
      <c r="AG612" s="1" t="s">
        <v>2541</v>
      </c>
      <c r="AH612" s="1">
        <v>59.7</v>
      </c>
      <c r="AI612" s="1">
        <v>53.4</v>
      </c>
      <c r="AJ612" s="1" t="s">
        <v>2570</v>
      </c>
      <c r="AK612" s="1" t="s">
        <v>2571</v>
      </c>
      <c r="AL612" s="1" t="s">
        <v>2572</v>
      </c>
    </row>
    <row r="613" spans="1:38" x14ac:dyDescent="0.6">
      <c r="A613" s="1">
        <v>438</v>
      </c>
      <c r="B613" s="1" t="s">
        <v>88</v>
      </c>
      <c r="C613" s="1">
        <v>60</v>
      </c>
      <c r="D613" s="1" t="s">
        <v>127</v>
      </c>
      <c r="E613" s="1" t="s">
        <v>90</v>
      </c>
      <c r="F613" s="1"/>
      <c r="G613" s="1"/>
      <c r="H613" s="1" t="s">
        <v>220</v>
      </c>
      <c r="I613" s="1" t="s">
        <v>221</v>
      </c>
      <c r="J613" s="1" t="s">
        <v>222</v>
      </c>
      <c r="K613" s="1">
        <v>1.25</v>
      </c>
      <c r="L613" s="1">
        <v>120</v>
      </c>
      <c r="M613" s="1" t="s">
        <v>14</v>
      </c>
      <c r="N613" s="1" t="s">
        <v>95</v>
      </c>
      <c r="O613" s="1" t="s">
        <v>96</v>
      </c>
      <c r="P613" s="1"/>
      <c r="Q613" s="1" t="s">
        <v>9</v>
      </c>
      <c r="R613" s="1">
        <v>0</v>
      </c>
      <c r="S613" s="1" t="s">
        <v>97</v>
      </c>
      <c r="T613" s="1" t="s">
        <v>97</v>
      </c>
      <c r="U613" s="1" t="b">
        <v>1</v>
      </c>
      <c r="V613" s="1" t="b">
        <v>0</v>
      </c>
      <c r="W613" s="1" t="b">
        <v>0</v>
      </c>
      <c r="X613" s="1">
        <v>5</v>
      </c>
      <c r="Y613" s="1" t="b">
        <v>1</v>
      </c>
      <c r="Z613" s="1" t="b">
        <v>1</v>
      </c>
      <c r="AA613" s="1"/>
      <c r="AB613" s="1" t="b">
        <v>1</v>
      </c>
      <c r="AC613" s="1">
        <v>136396003</v>
      </c>
      <c r="AD613" s="1">
        <v>705309</v>
      </c>
      <c r="AE613" s="1">
        <v>0</v>
      </c>
      <c r="AF613" s="1" t="s">
        <v>2573</v>
      </c>
      <c r="AG613" s="1" t="s">
        <v>2574</v>
      </c>
      <c r="AH613" s="1">
        <v>74.8</v>
      </c>
      <c r="AI613" s="1">
        <v>72.7</v>
      </c>
      <c r="AJ613" s="1" t="s">
        <v>2575</v>
      </c>
      <c r="AK613" s="1" t="s">
        <v>2576</v>
      </c>
      <c r="AL613" s="1" t="s">
        <v>2577</v>
      </c>
    </row>
    <row r="614" spans="1:38" x14ac:dyDescent="0.6">
      <c r="A614" s="1">
        <v>427</v>
      </c>
      <c r="B614" s="1" t="s">
        <v>2531</v>
      </c>
      <c r="C614" s="1">
        <v>60</v>
      </c>
      <c r="D614" s="1" t="s">
        <v>127</v>
      </c>
      <c r="E614" s="1" t="s">
        <v>90</v>
      </c>
      <c r="F614" s="1"/>
      <c r="G614" s="1"/>
      <c r="H614" s="1" t="s">
        <v>91</v>
      </c>
      <c r="I614" s="1" t="s">
        <v>92</v>
      </c>
      <c r="J614" s="1" t="s">
        <v>109</v>
      </c>
      <c r="K614" s="1">
        <v>1</v>
      </c>
      <c r="L614" s="1">
        <v>120</v>
      </c>
      <c r="M614" s="1" t="s">
        <v>94</v>
      </c>
      <c r="N614" s="1" t="s">
        <v>95</v>
      </c>
      <c r="O614" s="1"/>
      <c r="P614" s="1" t="s">
        <v>96</v>
      </c>
      <c r="Q614" s="1" t="s">
        <v>9</v>
      </c>
      <c r="R614" s="1">
        <v>0</v>
      </c>
      <c r="S614" s="1" t="s">
        <v>97</v>
      </c>
      <c r="T614" s="1" t="s">
        <v>97</v>
      </c>
      <c r="U614" s="1" t="b">
        <v>1</v>
      </c>
      <c r="V614" s="1" t="b">
        <v>0</v>
      </c>
      <c r="W614" s="1" t="b">
        <v>0</v>
      </c>
      <c r="X614" s="1">
        <v>0</v>
      </c>
      <c r="Y614" s="1" t="b">
        <v>1</v>
      </c>
      <c r="Z614" s="1" t="b">
        <v>1</v>
      </c>
      <c r="AA614" s="1">
        <v>75.400000000000006</v>
      </c>
      <c r="AB614" s="1" t="b">
        <v>1</v>
      </c>
      <c r="AC614" s="1">
        <v>148832846</v>
      </c>
      <c r="AD614" s="1">
        <v>1637810</v>
      </c>
      <c r="AE614" s="1">
        <v>0</v>
      </c>
      <c r="AF614" s="1" t="s">
        <v>2532</v>
      </c>
      <c r="AG614" s="1" t="s">
        <v>2533</v>
      </c>
      <c r="AH614" s="1">
        <v>75.8</v>
      </c>
      <c r="AI614" s="1">
        <v>73</v>
      </c>
      <c r="AJ614" s="1" t="s">
        <v>2578</v>
      </c>
      <c r="AK614" s="1" t="s">
        <v>2579</v>
      </c>
      <c r="AL614" s="1" t="s">
        <v>2580</v>
      </c>
    </row>
    <row r="615" spans="1:38" x14ac:dyDescent="0.6">
      <c r="A615" s="1">
        <v>438</v>
      </c>
      <c r="B615" s="1" t="s">
        <v>88</v>
      </c>
      <c r="C615" s="1">
        <v>60</v>
      </c>
      <c r="D615" s="1" t="s">
        <v>127</v>
      </c>
      <c r="E615" s="1" t="s">
        <v>90</v>
      </c>
      <c r="F615" s="1"/>
      <c r="G615" s="1"/>
      <c r="H615" s="1" t="s">
        <v>220</v>
      </c>
      <c r="I615" s="1" t="s">
        <v>221</v>
      </c>
      <c r="J615" s="1" t="s">
        <v>222</v>
      </c>
      <c r="K615" s="1">
        <v>1.25</v>
      </c>
      <c r="L615" s="1">
        <v>120</v>
      </c>
      <c r="M615" s="1" t="s">
        <v>94</v>
      </c>
      <c r="N615" s="1" t="s">
        <v>95</v>
      </c>
      <c r="O615" s="1"/>
      <c r="P615" s="1" t="s">
        <v>96</v>
      </c>
      <c r="Q615" s="1" t="s">
        <v>9</v>
      </c>
      <c r="R615" s="1">
        <v>0</v>
      </c>
      <c r="S615" s="1" t="s">
        <v>97</v>
      </c>
      <c r="T615" s="1" t="s">
        <v>97</v>
      </c>
      <c r="U615" s="1" t="b">
        <v>1</v>
      </c>
      <c r="V615" s="1" t="b">
        <v>0</v>
      </c>
      <c r="W615" s="1" t="b">
        <v>0</v>
      </c>
      <c r="X615" s="1">
        <v>0</v>
      </c>
      <c r="Y615" s="1" t="b">
        <v>1</v>
      </c>
      <c r="Z615" s="1" t="b">
        <v>1</v>
      </c>
      <c r="AA615" s="1">
        <v>76.3</v>
      </c>
      <c r="AB615" s="1" t="b">
        <v>1</v>
      </c>
      <c r="AC615" s="1">
        <v>135100995</v>
      </c>
      <c r="AD615" s="1">
        <v>2000317</v>
      </c>
      <c r="AE615" s="1">
        <v>0</v>
      </c>
      <c r="AF615" s="1" t="s">
        <v>2573</v>
      </c>
      <c r="AG615" s="1" t="s">
        <v>2574</v>
      </c>
      <c r="AH615" s="1">
        <v>74.8</v>
      </c>
      <c r="AI615" s="1">
        <v>72.7</v>
      </c>
      <c r="AJ615" s="1" t="s">
        <v>2581</v>
      </c>
      <c r="AK615" s="1" t="s">
        <v>2582</v>
      </c>
      <c r="AL615" s="1" t="s">
        <v>2583</v>
      </c>
    </row>
    <row r="616" spans="1:38" x14ac:dyDescent="0.6">
      <c r="A616" s="1">
        <v>436</v>
      </c>
      <c r="B616" s="1" t="s">
        <v>103</v>
      </c>
      <c r="C616" s="1">
        <v>60</v>
      </c>
      <c r="D616" s="1" t="s">
        <v>127</v>
      </c>
      <c r="E616" s="1" t="s">
        <v>90</v>
      </c>
      <c r="F616" s="1"/>
      <c r="G616" s="1"/>
      <c r="H616" s="1" t="s">
        <v>189</v>
      </c>
      <c r="I616" s="1" t="s">
        <v>190</v>
      </c>
      <c r="J616" s="1" t="s">
        <v>191</v>
      </c>
      <c r="K616" s="1">
        <v>1</v>
      </c>
      <c r="L616" s="1">
        <v>120</v>
      </c>
      <c r="M616" s="1" t="s">
        <v>94</v>
      </c>
      <c r="N616" s="1" t="s">
        <v>95</v>
      </c>
      <c r="O616" s="1"/>
      <c r="P616" s="1" t="s">
        <v>96</v>
      </c>
      <c r="Q616" s="1" t="s">
        <v>9</v>
      </c>
      <c r="R616" s="1">
        <v>0</v>
      </c>
      <c r="S616" s="1" t="s">
        <v>97</v>
      </c>
      <c r="T616" s="1" t="s">
        <v>97</v>
      </c>
      <c r="U616" s="1" t="b">
        <v>1</v>
      </c>
      <c r="V616" s="1" t="b">
        <v>0</v>
      </c>
      <c r="W616" s="1" t="b">
        <v>0</v>
      </c>
      <c r="X616" s="1">
        <v>0</v>
      </c>
      <c r="Y616" s="1" t="b">
        <v>1</v>
      </c>
      <c r="Z616" s="1" t="b">
        <v>1</v>
      </c>
      <c r="AA616" s="1">
        <v>75.599999999999994</v>
      </c>
      <c r="AB616" s="1" t="b">
        <v>1</v>
      </c>
      <c r="AC616" s="1">
        <v>176847904</v>
      </c>
      <c r="AD616" s="1">
        <v>1934304</v>
      </c>
      <c r="AE616" s="1">
        <v>0</v>
      </c>
      <c r="AF616" s="1" t="s">
        <v>2584</v>
      </c>
      <c r="AG616" s="1" t="s">
        <v>2585</v>
      </c>
      <c r="AH616" s="1">
        <v>69.7</v>
      </c>
      <c r="AI616" s="1">
        <v>70.3</v>
      </c>
      <c r="AJ616" s="1" t="s">
        <v>2586</v>
      </c>
      <c r="AK616" s="1" t="s">
        <v>2587</v>
      </c>
      <c r="AL616" s="1" t="s">
        <v>2588</v>
      </c>
    </row>
    <row r="617" spans="1:38" x14ac:dyDescent="0.6">
      <c r="A617" s="1">
        <v>439</v>
      </c>
      <c r="B617" s="1" t="s">
        <v>88</v>
      </c>
      <c r="C617" s="1">
        <v>60</v>
      </c>
      <c r="D617" s="1" t="s">
        <v>127</v>
      </c>
      <c r="E617" s="1" t="s">
        <v>90</v>
      </c>
      <c r="F617" s="1"/>
      <c r="G617" s="1"/>
      <c r="H617" s="1" t="s">
        <v>220</v>
      </c>
      <c r="I617" s="1" t="s">
        <v>221</v>
      </c>
      <c r="J617" s="1" t="s">
        <v>222</v>
      </c>
      <c r="K617" s="1">
        <v>1.25</v>
      </c>
      <c r="L617" s="1">
        <v>120</v>
      </c>
      <c r="M617" s="1" t="s">
        <v>94</v>
      </c>
      <c r="N617" s="1" t="s">
        <v>95</v>
      </c>
      <c r="O617" s="1"/>
      <c r="P617" s="1" t="s">
        <v>96</v>
      </c>
      <c r="Q617" s="1" t="s">
        <v>9</v>
      </c>
      <c r="R617" s="1">
        <v>0</v>
      </c>
      <c r="S617" s="1" t="s">
        <v>97</v>
      </c>
      <c r="T617" s="1" t="s">
        <v>97</v>
      </c>
      <c r="U617" s="1" t="b">
        <v>1</v>
      </c>
      <c r="V617" s="1" t="b">
        <v>0</v>
      </c>
      <c r="W617" s="1" t="b">
        <v>0</v>
      </c>
      <c r="X617" s="1">
        <v>0</v>
      </c>
      <c r="Y617" s="1" t="b">
        <v>1</v>
      </c>
      <c r="Z617" s="1" t="b">
        <v>1</v>
      </c>
      <c r="AA617" s="1">
        <v>77.400000000000006</v>
      </c>
      <c r="AB617" s="1" t="b">
        <v>1</v>
      </c>
      <c r="AC617" s="1">
        <v>139408681</v>
      </c>
      <c r="AD617" s="1">
        <v>1886935</v>
      </c>
      <c r="AE617" s="1">
        <v>0</v>
      </c>
      <c r="AF617" s="1" t="s">
        <v>2589</v>
      </c>
      <c r="AG617" s="1" t="s">
        <v>2590</v>
      </c>
      <c r="AH617" s="1">
        <v>75.599999999999994</v>
      </c>
      <c r="AI617" s="1">
        <v>72.5</v>
      </c>
      <c r="AJ617" s="1" t="s">
        <v>2591</v>
      </c>
      <c r="AK617" s="1" t="s">
        <v>2592</v>
      </c>
      <c r="AL617" s="1" t="s">
        <v>2593</v>
      </c>
    </row>
    <row r="618" spans="1:38" x14ac:dyDescent="0.6">
      <c r="A618" s="1">
        <v>436</v>
      </c>
      <c r="B618" s="1" t="s">
        <v>103</v>
      </c>
      <c r="C618" s="1">
        <v>60</v>
      </c>
      <c r="D618" s="1" t="s">
        <v>127</v>
      </c>
      <c r="E618" s="1" t="s">
        <v>90</v>
      </c>
      <c r="F618" s="1"/>
      <c r="G618" s="1"/>
      <c r="H618" s="1" t="s">
        <v>189</v>
      </c>
      <c r="I618" s="1" t="s">
        <v>190</v>
      </c>
      <c r="J618" s="1" t="s">
        <v>191</v>
      </c>
      <c r="K618" s="1">
        <v>1</v>
      </c>
      <c r="L618" s="1">
        <v>120</v>
      </c>
      <c r="M618" s="1" t="s">
        <v>14</v>
      </c>
      <c r="N618" s="1" t="s">
        <v>95</v>
      </c>
      <c r="O618" s="1" t="s">
        <v>96</v>
      </c>
      <c r="P618" s="1"/>
      <c r="Q618" s="1" t="s">
        <v>9</v>
      </c>
      <c r="R618" s="1">
        <v>0</v>
      </c>
      <c r="S618" s="1" t="s">
        <v>97</v>
      </c>
      <c r="T618" s="1" t="s">
        <v>97</v>
      </c>
      <c r="U618" s="1" t="b">
        <v>1</v>
      </c>
      <c r="V618" s="1" t="b">
        <v>0</v>
      </c>
      <c r="W618" s="1" t="b">
        <v>0</v>
      </c>
      <c r="X618" s="1">
        <v>5</v>
      </c>
      <c r="Y618" s="1" t="b">
        <v>1</v>
      </c>
      <c r="Z618" s="1" t="b">
        <v>1</v>
      </c>
      <c r="AA618" s="1"/>
      <c r="AB618" s="1" t="b">
        <v>1</v>
      </c>
      <c r="AC618" s="1">
        <v>163388721</v>
      </c>
      <c r="AD618" s="1">
        <v>713423</v>
      </c>
      <c r="AE618" s="1">
        <v>0</v>
      </c>
      <c r="AF618" s="1" t="s">
        <v>2584</v>
      </c>
      <c r="AG618" s="1" t="s">
        <v>2585</v>
      </c>
      <c r="AH618" s="1">
        <v>69.7</v>
      </c>
      <c r="AI618" s="1">
        <v>70.3</v>
      </c>
      <c r="AJ618" s="1" t="s">
        <v>2594</v>
      </c>
      <c r="AK618" s="1" t="s">
        <v>2595</v>
      </c>
      <c r="AL618" s="1" t="s">
        <v>2596</v>
      </c>
    </row>
    <row r="619" spans="1:38" x14ac:dyDescent="0.6">
      <c r="A619" s="1">
        <v>442</v>
      </c>
      <c r="B619" s="1" t="s">
        <v>103</v>
      </c>
      <c r="C619" s="1">
        <v>50</v>
      </c>
      <c r="D619" s="1" t="s">
        <v>89</v>
      </c>
      <c r="E619" s="1" t="s">
        <v>90</v>
      </c>
      <c r="F619" s="1"/>
      <c r="G619" s="1"/>
      <c r="H619" s="1" t="s">
        <v>220</v>
      </c>
      <c r="I619" s="1" t="s">
        <v>221</v>
      </c>
      <c r="J619" s="1" t="s">
        <v>222</v>
      </c>
      <c r="K619" s="1">
        <v>1.25</v>
      </c>
      <c r="L619" s="1">
        <v>120</v>
      </c>
      <c r="M619" s="1" t="s">
        <v>14</v>
      </c>
      <c r="N619" s="1" t="s">
        <v>95</v>
      </c>
      <c r="O619" s="1" t="s">
        <v>96</v>
      </c>
      <c r="P619" s="1"/>
      <c r="Q619" s="1" t="s">
        <v>9</v>
      </c>
      <c r="R619" s="1">
        <v>0</v>
      </c>
      <c r="S619" s="1" t="s">
        <v>97</v>
      </c>
      <c r="T619" s="1" t="s">
        <v>97</v>
      </c>
      <c r="U619" s="1" t="b">
        <v>1</v>
      </c>
      <c r="V619" s="1" t="b">
        <v>0</v>
      </c>
      <c r="W619" s="1" t="b">
        <v>0</v>
      </c>
      <c r="X619" s="1">
        <v>5</v>
      </c>
      <c r="Y619" s="1" t="b">
        <v>1</v>
      </c>
      <c r="Z619" s="1" t="b">
        <v>1</v>
      </c>
      <c r="AA619" s="1"/>
      <c r="AB619" s="1" t="b">
        <v>1</v>
      </c>
      <c r="AC619" s="1">
        <v>134736021</v>
      </c>
      <c r="AD619" s="1">
        <v>792427</v>
      </c>
      <c r="AE619" s="1">
        <v>0</v>
      </c>
      <c r="AF619" s="1" t="s">
        <v>2597</v>
      </c>
      <c r="AG619" s="1" t="s">
        <v>2598</v>
      </c>
      <c r="AH619" s="1">
        <v>58.3</v>
      </c>
      <c r="AI619" s="1">
        <v>58.5</v>
      </c>
      <c r="AJ619" s="1" t="s">
        <v>2599</v>
      </c>
      <c r="AK619" s="1" t="s">
        <v>2600</v>
      </c>
      <c r="AL619" s="1" t="s">
        <v>2601</v>
      </c>
    </row>
    <row r="620" spans="1:38" x14ac:dyDescent="0.6">
      <c r="A620" s="1">
        <v>433</v>
      </c>
      <c r="B620" s="1" t="s">
        <v>88</v>
      </c>
      <c r="C620" s="1">
        <v>60</v>
      </c>
      <c r="D620" s="1" t="s">
        <v>127</v>
      </c>
      <c r="E620" s="1" t="s">
        <v>90</v>
      </c>
      <c r="F620" s="1"/>
      <c r="G620" s="1"/>
      <c r="H620" s="1" t="s">
        <v>91</v>
      </c>
      <c r="I620" s="1" t="s">
        <v>92</v>
      </c>
      <c r="J620" s="1" t="s">
        <v>93</v>
      </c>
      <c r="K620" s="1">
        <v>1</v>
      </c>
      <c r="L620" s="1">
        <v>120</v>
      </c>
      <c r="M620" s="1" t="s">
        <v>14</v>
      </c>
      <c r="N620" s="1" t="s">
        <v>95</v>
      </c>
      <c r="O620" s="1" t="s">
        <v>96</v>
      </c>
      <c r="P620" s="1"/>
      <c r="Q620" s="1" t="s">
        <v>9</v>
      </c>
      <c r="R620" s="1">
        <v>0</v>
      </c>
      <c r="S620" s="1" t="s">
        <v>97</v>
      </c>
      <c r="T620" s="1" t="s">
        <v>97</v>
      </c>
      <c r="U620" s="1" t="b">
        <v>1</v>
      </c>
      <c r="V620" s="1" t="b">
        <v>0</v>
      </c>
      <c r="W620" s="1" t="b">
        <v>0</v>
      </c>
      <c r="X620" s="1">
        <v>5</v>
      </c>
      <c r="Y620" s="1" t="b">
        <v>1</v>
      </c>
      <c r="Z620" s="1" t="b">
        <v>1</v>
      </c>
      <c r="AA620" s="1"/>
      <c r="AB620" s="1" t="b">
        <v>1</v>
      </c>
      <c r="AC620" s="1">
        <v>130568284</v>
      </c>
      <c r="AD620" s="1">
        <v>765860</v>
      </c>
      <c r="AE620" s="1">
        <v>0</v>
      </c>
      <c r="AF620" s="1" t="s">
        <v>2554</v>
      </c>
      <c r="AG620" s="1" t="s">
        <v>2555</v>
      </c>
      <c r="AH620" s="1">
        <v>57.5</v>
      </c>
      <c r="AI620" s="1">
        <v>56.6</v>
      </c>
      <c r="AJ620" s="1" t="s">
        <v>2602</v>
      </c>
      <c r="AK620" s="1" t="s">
        <v>2603</v>
      </c>
      <c r="AL620" s="1" t="s">
        <v>2604</v>
      </c>
    </row>
    <row r="621" spans="1:38" x14ac:dyDescent="0.6">
      <c r="A621" s="1">
        <v>441</v>
      </c>
      <c r="B621" s="1" t="s">
        <v>88</v>
      </c>
      <c r="C621" s="1">
        <v>70</v>
      </c>
      <c r="D621" s="1" t="s">
        <v>119</v>
      </c>
      <c r="E621" s="1" t="s">
        <v>108</v>
      </c>
      <c r="F621" s="1"/>
      <c r="G621" s="1"/>
      <c r="H621" s="1" t="s">
        <v>220</v>
      </c>
      <c r="I621" s="1" t="s">
        <v>221</v>
      </c>
      <c r="J621" s="1" t="s">
        <v>222</v>
      </c>
      <c r="K621" s="1">
        <v>1.25</v>
      </c>
      <c r="L621" s="1">
        <v>120</v>
      </c>
      <c r="M621" s="1" t="s">
        <v>14</v>
      </c>
      <c r="N621" s="1" t="s">
        <v>95</v>
      </c>
      <c r="O621" s="1" t="s">
        <v>96</v>
      </c>
      <c r="P621" s="1"/>
      <c r="Q621" s="1" t="s">
        <v>9</v>
      </c>
      <c r="R621" s="1">
        <v>0</v>
      </c>
      <c r="S621" s="1" t="s">
        <v>97</v>
      </c>
      <c r="T621" s="1" t="s">
        <v>97</v>
      </c>
      <c r="U621" s="1" t="b">
        <v>1</v>
      </c>
      <c r="V621" s="1" t="b">
        <v>0</v>
      </c>
      <c r="W621" s="1" t="b">
        <v>0</v>
      </c>
      <c r="X621" s="1">
        <v>5</v>
      </c>
      <c r="Y621" s="1" t="b">
        <v>1</v>
      </c>
      <c r="Z621" s="1" t="b">
        <v>1</v>
      </c>
      <c r="AA621" s="1"/>
      <c r="AB621" s="1" t="b">
        <v>1</v>
      </c>
      <c r="AC621" s="1">
        <v>92057768</v>
      </c>
      <c r="AD621" s="1">
        <v>479064</v>
      </c>
      <c r="AE621" s="1">
        <v>0</v>
      </c>
      <c r="AF621" s="1" t="s">
        <v>2605</v>
      </c>
      <c r="AG621" s="1" t="s">
        <v>2606</v>
      </c>
      <c r="AH621" s="1">
        <v>59.4</v>
      </c>
      <c r="AI621" s="1">
        <v>54</v>
      </c>
      <c r="AJ621" s="1" t="s">
        <v>2607</v>
      </c>
      <c r="AK621" s="1" t="s">
        <v>2608</v>
      </c>
      <c r="AL621" s="1" t="s">
        <v>2609</v>
      </c>
    </row>
    <row r="622" spans="1:38" x14ac:dyDescent="0.6">
      <c r="A622" s="1">
        <v>442</v>
      </c>
      <c r="B622" s="1" t="s">
        <v>103</v>
      </c>
      <c r="C622" s="1">
        <v>50</v>
      </c>
      <c r="D622" s="1" t="s">
        <v>89</v>
      </c>
      <c r="E622" s="1" t="s">
        <v>90</v>
      </c>
      <c r="F622" s="1"/>
      <c r="G622" s="1"/>
      <c r="H622" s="1" t="s">
        <v>220</v>
      </c>
      <c r="I622" s="1" t="s">
        <v>221</v>
      </c>
      <c r="J622" s="1" t="s">
        <v>222</v>
      </c>
      <c r="K622" s="1">
        <v>1.25</v>
      </c>
      <c r="L622" s="1">
        <v>120</v>
      </c>
      <c r="M622" s="1" t="s">
        <v>94</v>
      </c>
      <c r="N622" s="1" t="s">
        <v>95</v>
      </c>
      <c r="O622" s="1"/>
      <c r="P622" s="1" t="s">
        <v>96</v>
      </c>
      <c r="Q622" s="1" t="s">
        <v>9</v>
      </c>
      <c r="R622" s="1">
        <v>0</v>
      </c>
      <c r="S622" s="1" t="s">
        <v>97</v>
      </c>
      <c r="T622" s="1" t="s">
        <v>97</v>
      </c>
      <c r="U622" s="1" t="b">
        <v>1</v>
      </c>
      <c r="V622" s="1" t="b">
        <v>0</v>
      </c>
      <c r="W622" s="1" t="b">
        <v>0</v>
      </c>
      <c r="X622" s="1">
        <v>0</v>
      </c>
      <c r="Y622" s="1" t="b">
        <v>1</v>
      </c>
      <c r="Z622" s="1" t="b">
        <v>1</v>
      </c>
      <c r="AA622" s="1">
        <v>62.8</v>
      </c>
      <c r="AB622" s="1" t="b">
        <v>1</v>
      </c>
      <c r="AC622" s="1">
        <v>137425594</v>
      </c>
      <c r="AD622" s="1">
        <v>2297158</v>
      </c>
      <c r="AE622" s="1">
        <v>0</v>
      </c>
      <c r="AF622" s="1" t="s">
        <v>2597</v>
      </c>
      <c r="AG622" s="1" t="s">
        <v>2598</v>
      </c>
      <c r="AH622" s="1">
        <v>58.3</v>
      </c>
      <c r="AI622" s="1">
        <v>58.5</v>
      </c>
      <c r="AJ622" s="1" t="s">
        <v>2610</v>
      </c>
      <c r="AK622" s="1" t="s">
        <v>2611</v>
      </c>
      <c r="AL622" s="1" t="s">
        <v>2612</v>
      </c>
    </row>
    <row r="623" spans="1:38" x14ac:dyDescent="0.6">
      <c r="A623" s="1">
        <v>441</v>
      </c>
      <c r="B623" s="1" t="s">
        <v>88</v>
      </c>
      <c r="C623" s="1">
        <v>70</v>
      </c>
      <c r="D623" s="1" t="s">
        <v>119</v>
      </c>
      <c r="E623" s="1" t="s">
        <v>108</v>
      </c>
      <c r="F623" s="1"/>
      <c r="G623" s="1"/>
      <c r="H623" s="1" t="s">
        <v>220</v>
      </c>
      <c r="I623" s="1" t="s">
        <v>221</v>
      </c>
      <c r="J623" s="1" t="s">
        <v>222</v>
      </c>
      <c r="K623" s="1">
        <v>1.25</v>
      </c>
      <c r="L623" s="1">
        <v>120</v>
      </c>
      <c r="M623" s="1" t="s">
        <v>94</v>
      </c>
      <c r="N623" s="1" t="s">
        <v>95</v>
      </c>
      <c r="O623" s="1"/>
      <c r="P623" s="1" t="s">
        <v>96</v>
      </c>
      <c r="Q623" s="1" t="s">
        <v>9</v>
      </c>
      <c r="R623" s="1">
        <v>0</v>
      </c>
      <c r="S623" s="1" t="s">
        <v>97</v>
      </c>
      <c r="T623" s="1" t="s">
        <v>97</v>
      </c>
      <c r="U623" s="1" t="b">
        <v>1</v>
      </c>
      <c r="V623" s="1" t="b">
        <v>0</v>
      </c>
      <c r="W623" s="1" t="b">
        <v>0</v>
      </c>
      <c r="X623" s="1">
        <v>0</v>
      </c>
      <c r="Y623" s="1" t="b">
        <v>1</v>
      </c>
      <c r="Z623" s="1" t="b">
        <v>1</v>
      </c>
      <c r="AA623" s="1">
        <v>56.7</v>
      </c>
      <c r="AB623" s="1" t="b">
        <v>1</v>
      </c>
      <c r="AC623" s="1">
        <v>182763213</v>
      </c>
      <c r="AD623" s="1">
        <v>2572595</v>
      </c>
      <c r="AE623" s="1">
        <v>0</v>
      </c>
      <c r="AF623" s="1" t="s">
        <v>2605</v>
      </c>
      <c r="AG623" s="1" t="s">
        <v>2606</v>
      </c>
      <c r="AH623" s="1">
        <v>59.4</v>
      </c>
      <c r="AI623" s="1">
        <v>54</v>
      </c>
      <c r="AJ623" s="1" t="s">
        <v>2613</v>
      </c>
      <c r="AK623" s="1" t="s">
        <v>2614</v>
      </c>
      <c r="AL623" s="1" t="s">
        <v>2615</v>
      </c>
    </row>
    <row r="624" spans="1:38" x14ac:dyDescent="0.6">
      <c r="A624" s="1">
        <v>435</v>
      </c>
      <c r="B624" s="1" t="s">
        <v>103</v>
      </c>
      <c r="C624" s="1">
        <v>50</v>
      </c>
      <c r="D624" s="1" t="s">
        <v>89</v>
      </c>
      <c r="E624" s="1" t="s">
        <v>90</v>
      </c>
      <c r="F624" s="1"/>
      <c r="G624" s="1"/>
      <c r="H624" s="1" t="s">
        <v>189</v>
      </c>
      <c r="I624" s="1" t="s">
        <v>190</v>
      </c>
      <c r="J624" s="1" t="s">
        <v>191</v>
      </c>
      <c r="K624" s="1">
        <v>1</v>
      </c>
      <c r="L624" s="1">
        <v>120</v>
      </c>
      <c r="M624" s="1" t="s">
        <v>7</v>
      </c>
      <c r="N624" s="1" t="s">
        <v>7</v>
      </c>
      <c r="O624" s="1" t="s">
        <v>96</v>
      </c>
      <c r="P624" s="1" t="s">
        <v>96</v>
      </c>
      <c r="Q624" s="1" t="s">
        <v>9</v>
      </c>
      <c r="R624" s="1">
        <v>0</v>
      </c>
      <c r="S624" s="1" t="s">
        <v>97</v>
      </c>
      <c r="T624" s="1" t="s">
        <v>97</v>
      </c>
      <c r="U624" s="1" t="b">
        <v>1</v>
      </c>
      <c r="V624" s="1" t="b">
        <v>0</v>
      </c>
      <c r="W624" s="1" t="b">
        <v>0</v>
      </c>
      <c r="X624" s="1">
        <v>5</v>
      </c>
      <c r="Y624" s="1" t="b">
        <v>1</v>
      </c>
      <c r="Z624" s="1" t="b">
        <v>1</v>
      </c>
      <c r="AA624" s="1">
        <v>88.7</v>
      </c>
      <c r="AB624" s="1" t="b">
        <v>0</v>
      </c>
      <c r="AC624" s="1">
        <v>0</v>
      </c>
      <c r="AD624" s="1">
        <v>2953579</v>
      </c>
      <c r="AE624" s="1">
        <v>116846229</v>
      </c>
      <c r="AF624" s="1" t="s">
        <v>2616</v>
      </c>
      <c r="AG624" s="1" t="s">
        <v>2616</v>
      </c>
      <c r="AH624" s="1">
        <v>87.4</v>
      </c>
      <c r="AI624" s="1">
        <v>81.099999999999994</v>
      </c>
      <c r="AJ624" s="1" t="s">
        <v>2617</v>
      </c>
      <c r="AK624" s="1" t="s">
        <v>2618</v>
      </c>
      <c r="AL624" s="1" t="s">
        <v>2619</v>
      </c>
    </row>
    <row r="625" spans="1:38" x14ac:dyDescent="0.6">
      <c r="A625" s="1">
        <v>444</v>
      </c>
      <c r="B625" s="1" t="s">
        <v>103</v>
      </c>
      <c r="C625" s="1">
        <v>50</v>
      </c>
      <c r="D625" s="1" t="s">
        <v>89</v>
      </c>
      <c r="E625" s="1" t="s">
        <v>90</v>
      </c>
      <c r="F625" s="1"/>
      <c r="G625" s="1"/>
      <c r="H625" s="1" t="s">
        <v>220</v>
      </c>
      <c r="I625" s="1" t="s">
        <v>221</v>
      </c>
      <c r="J625" s="1" t="s">
        <v>222</v>
      </c>
      <c r="K625" s="1">
        <v>1.25</v>
      </c>
      <c r="L625" s="1">
        <v>120</v>
      </c>
      <c r="M625" s="1" t="s">
        <v>14</v>
      </c>
      <c r="N625" s="1" t="s">
        <v>95</v>
      </c>
      <c r="O625" s="1" t="s">
        <v>96</v>
      </c>
      <c r="P625" s="1"/>
      <c r="Q625" s="1" t="s">
        <v>9</v>
      </c>
      <c r="R625" s="1">
        <v>0</v>
      </c>
      <c r="S625" s="1" t="s">
        <v>97</v>
      </c>
      <c r="T625" s="1" t="s">
        <v>97</v>
      </c>
      <c r="U625" s="1" t="b">
        <v>1</v>
      </c>
      <c r="V625" s="1" t="b">
        <v>0</v>
      </c>
      <c r="W625" s="1" t="b">
        <v>0</v>
      </c>
      <c r="X625" s="1">
        <v>5</v>
      </c>
      <c r="Y625" s="1" t="b">
        <v>1</v>
      </c>
      <c r="Z625" s="1" t="b">
        <v>1</v>
      </c>
      <c r="AA625" s="1"/>
      <c r="AB625" s="1" t="b">
        <v>1</v>
      </c>
      <c r="AC625" s="1">
        <v>122012643</v>
      </c>
      <c r="AD625" s="1">
        <v>670749</v>
      </c>
      <c r="AE625" s="1">
        <v>0</v>
      </c>
      <c r="AF625" s="1" t="s">
        <v>2620</v>
      </c>
      <c r="AG625" s="1" t="s">
        <v>2621</v>
      </c>
      <c r="AH625" s="1">
        <v>62.9</v>
      </c>
      <c r="AI625" s="1">
        <v>64.8</v>
      </c>
      <c r="AJ625" s="1" t="s">
        <v>2622</v>
      </c>
      <c r="AK625" s="1" t="s">
        <v>2623</v>
      </c>
      <c r="AL625" s="1" t="s">
        <v>2624</v>
      </c>
    </row>
    <row r="626" spans="1:38" x14ac:dyDescent="0.6">
      <c r="A626" s="1">
        <v>443</v>
      </c>
      <c r="B626" s="1" t="s">
        <v>88</v>
      </c>
      <c r="C626" s="1">
        <v>50</v>
      </c>
      <c r="D626" s="1" t="s">
        <v>89</v>
      </c>
      <c r="E626" s="1" t="s">
        <v>90</v>
      </c>
      <c r="F626" s="1"/>
      <c r="G626" s="1"/>
      <c r="H626" s="1" t="s">
        <v>220</v>
      </c>
      <c r="I626" s="1" t="s">
        <v>221</v>
      </c>
      <c r="J626" s="1" t="s">
        <v>222</v>
      </c>
      <c r="K626" s="1">
        <v>1.25</v>
      </c>
      <c r="L626" s="1">
        <v>120</v>
      </c>
      <c r="M626" s="1" t="s">
        <v>7</v>
      </c>
      <c r="N626" s="1" t="s">
        <v>7</v>
      </c>
      <c r="O626" s="1" t="s">
        <v>96</v>
      </c>
      <c r="P626" s="1" t="s">
        <v>96</v>
      </c>
      <c r="Q626" s="1" t="s">
        <v>9</v>
      </c>
      <c r="R626" s="1">
        <v>0</v>
      </c>
      <c r="S626" s="1" t="s">
        <v>97</v>
      </c>
      <c r="T626" s="1" t="s">
        <v>97</v>
      </c>
      <c r="U626" s="1" t="b">
        <v>1</v>
      </c>
      <c r="V626" s="1" t="b">
        <v>0</v>
      </c>
      <c r="W626" s="1" t="b">
        <v>0</v>
      </c>
      <c r="X626" s="1">
        <v>5</v>
      </c>
      <c r="Y626" s="1" t="b">
        <v>1</v>
      </c>
      <c r="Z626" s="1" t="b">
        <v>1</v>
      </c>
      <c r="AA626" s="1">
        <v>79.8</v>
      </c>
      <c r="AB626" s="1" t="b">
        <v>0</v>
      </c>
      <c r="AC626" s="1">
        <v>0</v>
      </c>
      <c r="AD626" s="1">
        <v>2672670</v>
      </c>
      <c r="AE626" s="1">
        <v>132331490</v>
      </c>
      <c r="AF626" s="1" t="s">
        <v>2625</v>
      </c>
      <c r="AG626" s="1" t="s">
        <v>2625</v>
      </c>
      <c r="AH626" s="1">
        <v>78.8</v>
      </c>
      <c r="AI626" s="1">
        <v>74.900000000000006</v>
      </c>
      <c r="AJ626" s="1" t="s">
        <v>2626</v>
      </c>
      <c r="AK626" s="1" t="s">
        <v>2627</v>
      </c>
      <c r="AL626" s="1" t="s">
        <v>2628</v>
      </c>
    </row>
    <row r="627" spans="1:38" x14ac:dyDescent="0.6">
      <c r="A627" s="1">
        <v>447</v>
      </c>
      <c r="B627" s="1" t="s">
        <v>88</v>
      </c>
      <c r="C627" s="1">
        <v>60</v>
      </c>
      <c r="D627" s="1" t="s">
        <v>127</v>
      </c>
      <c r="E627" s="1" t="s">
        <v>90</v>
      </c>
      <c r="F627" s="1"/>
      <c r="G627" s="1"/>
      <c r="H627" s="1" t="s">
        <v>220</v>
      </c>
      <c r="I627" s="1" t="s">
        <v>221</v>
      </c>
      <c r="J627" s="1" t="s">
        <v>1176</v>
      </c>
      <c r="K627" s="1">
        <v>1.25</v>
      </c>
      <c r="L627" s="1">
        <v>120</v>
      </c>
      <c r="M627" s="1" t="s">
        <v>14</v>
      </c>
      <c r="N627" s="1" t="s">
        <v>95</v>
      </c>
      <c r="O627" s="1" t="s">
        <v>96</v>
      </c>
      <c r="P627" s="1"/>
      <c r="Q627" s="1" t="s">
        <v>9</v>
      </c>
      <c r="R627" s="1">
        <v>0</v>
      </c>
      <c r="S627" s="1" t="s">
        <v>97</v>
      </c>
      <c r="T627" s="1" t="s">
        <v>97</v>
      </c>
      <c r="U627" s="1" t="b">
        <v>1</v>
      </c>
      <c r="V627" s="1" t="b">
        <v>0</v>
      </c>
      <c r="W627" s="1" t="b">
        <v>0</v>
      </c>
      <c r="X627" s="1">
        <v>5</v>
      </c>
      <c r="Y627" s="1" t="b">
        <v>1</v>
      </c>
      <c r="Z627" s="1" t="b">
        <v>1</v>
      </c>
      <c r="AA627" s="1"/>
      <c r="AB627" s="1" t="b">
        <v>1</v>
      </c>
      <c r="AC627" s="1">
        <v>119903357</v>
      </c>
      <c r="AD627" s="1">
        <v>945027</v>
      </c>
      <c r="AE627" s="1">
        <v>0</v>
      </c>
      <c r="AF627" s="1" t="s">
        <v>2629</v>
      </c>
      <c r="AG627" s="1" t="s">
        <v>2630</v>
      </c>
      <c r="AH627" s="1">
        <v>72.7</v>
      </c>
      <c r="AI627" s="1">
        <v>66.8</v>
      </c>
      <c r="AJ627" s="1" t="s">
        <v>2631</v>
      </c>
      <c r="AK627" s="1" t="s">
        <v>2632</v>
      </c>
      <c r="AL627" s="1" t="s">
        <v>2633</v>
      </c>
    </row>
    <row r="628" spans="1:38" x14ac:dyDescent="0.6">
      <c r="A628" s="1">
        <v>444</v>
      </c>
      <c r="B628" s="1" t="s">
        <v>103</v>
      </c>
      <c r="C628" s="1">
        <v>50</v>
      </c>
      <c r="D628" s="1" t="s">
        <v>89</v>
      </c>
      <c r="E628" s="1" t="s">
        <v>90</v>
      </c>
      <c r="F628" s="1"/>
      <c r="G628" s="1"/>
      <c r="H628" s="1" t="s">
        <v>220</v>
      </c>
      <c r="I628" s="1" t="s">
        <v>221</v>
      </c>
      <c r="J628" s="1" t="s">
        <v>222</v>
      </c>
      <c r="K628" s="1">
        <v>1.25</v>
      </c>
      <c r="L628" s="1">
        <v>120</v>
      </c>
      <c r="M628" s="1" t="s">
        <v>94</v>
      </c>
      <c r="N628" s="1" t="s">
        <v>95</v>
      </c>
      <c r="O628" s="1"/>
      <c r="P628" s="1" t="s">
        <v>96</v>
      </c>
      <c r="Q628" s="1" t="s">
        <v>9</v>
      </c>
      <c r="R628" s="1">
        <v>0</v>
      </c>
      <c r="S628" s="1" t="s">
        <v>97</v>
      </c>
      <c r="T628" s="1" t="s">
        <v>97</v>
      </c>
      <c r="U628" s="1" t="b">
        <v>1</v>
      </c>
      <c r="V628" s="1" t="b">
        <v>0</v>
      </c>
      <c r="W628" s="1" t="b">
        <v>0</v>
      </c>
      <c r="X628" s="1">
        <v>0</v>
      </c>
      <c r="Y628" s="1" t="b">
        <v>1</v>
      </c>
      <c r="Z628" s="1" t="b">
        <v>1</v>
      </c>
      <c r="AA628" s="1">
        <v>68.900000000000006</v>
      </c>
      <c r="AB628" s="1" t="b">
        <v>1</v>
      </c>
      <c r="AC628" s="1">
        <v>130038929</v>
      </c>
      <c r="AD628" s="1">
        <v>1819503</v>
      </c>
      <c r="AE628" s="1">
        <v>0</v>
      </c>
      <c r="AF628" s="1" t="s">
        <v>2620</v>
      </c>
      <c r="AG628" s="1" t="s">
        <v>2621</v>
      </c>
      <c r="AH628" s="1">
        <v>62.9</v>
      </c>
      <c r="AI628" s="1">
        <v>64.8</v>
      </c>
      <c r="AJ628" s="1" t="s">
        <v>2634</v>
      </c>
      <c r="AK628" s="1" t="s">
        <v>2635</v>
      </c>
      <c r="AL628" s="1" t="s">
        <v>2636</v>
      </c>
    </row>
    <row r="629" spans="1:38" x14ac:dyDescent="0.6">
      <c r="A629" s="1">
        <v>437</v>
      </c>
      <c r="B629" s="1" t="s">
        <v>88</v>
      </c>
      <c r="C629" s="1">
        <v>60</v>
      </c>
      <c r="D629" s="1" t="s">
        <v>127</v>
      </c>
      <c r="E629" s="1" t="s">
        <v>90</v>
      </c>
      <c r="F629" s="1"/>
      <c r="G629" s="1"/>
      <c r="H629" s="1" t="s">
        <v>189</v>
      </c>
      <c r="I629" s="1" t="s">
        <v>190</v>
      </c>
      <c r="J629" s="1" t="s">
        <v>191</v>
      </c>
      <c r="K629" s="1">
        <v>1</v>
      </c>
      <c r="L629" s="1">
        <v>120</v>
      </c>
      <c r="M629" s="1" t="s">
        <v>94</v>
      </c>
      <c r="N629" s="1" t="s">
        <v>95</v>
      </c>
      <c r="O629" s="1"/>
      <c r="P629" s="1" t="s">
        <v>96</v>
      </c>
      <c r="Q629" s="1" t="s">
        <v>9</v>
      </c>
      <c r="R629" s="1">
        <v>0</v>
      </c>
      <c r="S629" s="1" t="s">
        <v>97</v>
      </c>
      <c r="T629" s="1" t="s">
        <v>97</v>
      </c>
      <c r="U629" s="1" t="b">
        <v>1</v>
      </c>
      <c r="V629" s="1" t="b">
        <v>0</v>
      </c>
      <c r="W629" s="1" t="b">
        <v>0</v>
      </c>
      <c r="X629" s="1">
        <v>0</v>
      </c>
      <c r="Y629" s="1" t="b">
        <v>1</v>
      </c>
      <c r="Z629" s="1" t="b">
        <v>1</v>
      </c>
      <c r="AA629" s="1">
        <v>65.900000000000006</v>
      </c>
      <c r="AB629" s="1" t="b">
        <v>1</v>
      </c>
      <c r="AC629" s="1">
        <v>133664234</v>
      </c>
      <c r="AD629" s="1">
        <v>2388502</v>
      </c>
      <c r="AE629" s="1">
        <v>0</v>
      </c>
      <c r="AF629" s="1" t="s">
        <v>2549</v>
      </c>
      <c r="AG629" s="1" t="s">
        <v>2550</v>
      </c>
      <c r="AH629" s="1">
        <v>62</v>
      </c>
      <c r="AI629" s="1">
        <v>58.8</v>
      </c>
      <c r="AJ629" s="1" t="s">
        <v>2637</v>
      </c>
      <c r="AK629" s="1" t="s">
        <v>2638</v>
      </c>
      <c r="AL629" s="1" t="s">
        <v>2639</v>
      </c>
    </row>
    <row r="630" spans="1:38" x14ac:dyDescent="0.6">
      <c r="A630" s="1">
        <v>445</v>
      </c>
      <c r="B630" s="1" t="s">
        <v>103</v>
      </c>
      <c r="C630" s="1">
        <v>50</v>
      </c>
      <c r="D630" s="1" t="s">
        <v>89</v>
      </c>
      <c r="E630" s="1" t="s">
        <v>90</v>
      </c>
      <c r="F630" s="1"/>
      <c r="G630" s="1"/>
      <c r="H630" s="1" t="s">
        <v>220</v>
      </c>
      <c r="I630" s="1" t="s">
        <v>221</v>
      </c>
      <c r="J630" s="1" t="s">
        <v>222</v>
      </c>
      <c r="K630" s="1">
        <v>1.25</v>
      </c>
      <c r="L630" s="1">
        <v>120</v>
      </c>
      <c r="M630" s="1" t="s">
        <v>94</v>
      </c>
      <c r="N630" s="1" t="s">
        <v>95</v>
      </c>
      <c r="O630" s="1"/>
      <c r="P630" s="1" t="s">
        <v>96</v>
      </c>
      <c r="Q630" s="1" t="s">
        <v>9</v>
      </c>
      <c r="R630" s="1">
        <v>0</v>
      </c>
      <c r="S630" s="1" t="s">
        <v>97</v>
      </c>
      <c r="T630" s="1" t="s">
        <v>97</v>
      </c>
      <c r="U630" s="1" t="b">
        <v>1</v>
      </c>
      <c r="V630" s="1" t="b">
        <v>0</v>
      </c>
      <c r="W630" s="1" t="b">
        <v>0</v>
      </c>
      <c r="X630" s="1">
        <v>0</v>
      </c>
      <c r="Y630" s="1" t="b">
        <v>1</v>
      </c>
      <c r="Z630" s="1" t="b">
        <v>1</v>
      </c>
      <c r="AA630" s="1">
        <v>92.5</v>
      </c>
      <c r="AB630" s="1" t="b">
        <v>1</v>
      </c>
      <c r="AC630" s="1">
        <v>130458089</v>
      </c>
      <c r="AD630" s="1">
        <v>876055</v>
      </c>
      <c r="AE630" s="1">
        <v>0</v>
      </c>
      <c r="AF630" s="1" t="s">
        <v>2640</v>
      </c>
      <c r="AG630" s="1" t="s">
        <v>2641</v>
      </c>
      <c r="AH630" s="1">
        <v>88.6</v>
      </c>
      <c r="AI630" s="1">
        <v>88.3</v>
      </c>
      <c r="AJ630" s="1" t="s">
        <v>2642</v>
      </c>
      <c r="AK630" s="1" t="s">
        <v>2643</v>
      </c>
      <c r="AL630" s="1" t="s">
        <v>2644</v>
      </c>
    </row>
    <row r="631" spans="1:38" x14ac:dyDescent="0.6">
      <c r="A631" s="1">
        <v>439</v>
      </c>
      <c r="B631" s="1" t="s">
        <v>88</v>
      </c>
      <c r="C631" s="1">
        <v>60</v>
      </c>
      <c r="D631" s="1" t="s">
        <v>127</v>
      </c>
      <c r="E631" s="1" t="s">
        <v>90</v>
      </c>
      <c r="F631" s="1"/>
      <c r="G631" s="1"/>
      <c r="H631" s="1" t="s">
        <v>220</v>
      </c>
      <c r="I631" s="1" t="s">
        <v>221</v>
      </c>
      <c r="J631" s="1" t="s">
        <v>222</v>
      </c>
      <c r="K631" s="1">
        <v>1.25</v>
      </c>
      <c r="L631" s="1">
        <v>120</v>
      </c>
      <c r="M631" s="1" t="s">
        <v>14</v>
      </c>
      <c r="N631" s="1" t="s">
        <v>95</v>
      </c>
      <c r="O631" s="1" t="s">
        <v>96</v>
      </c>
      <c r="P631" s="1"/>
      <c r="Q631" s="1" t="s">
        <v>9</v>
      </c>
      <c r="R631" s="1">
        <v>0</v>
      </c>
      <c r="S631" s="1" t="s">
        <v>97</v>
      </c>
      <c r="T631" s="1" t="s">
        <v>97</v>
      </c>
      <c r="U631" s="1" t="b">
        <v>1</v>
      </c>
      <c r="V631" s="1" t="b">
        <v>0</v>
      </c>
      <c r="W631" s="1" t="b">
        <v>0</v>
      </c>
      <c r="X631" s="1">
        <v>5</v>
      </c>
      <c r="Y631" s="1" t="b">
        <v>1</v>
      </c>
      <c r="Z631" s="1" t="b">
        <v>1</v>
      </c>
      <c r="AA631" s="1"/>
      <c r="AB631" s="1" t="b">
        <v>1</v>
      </c>
      <c r="AC631" s="1">
        <v>131210367</v>
      </c>
      <c r="AD631" s="1">
        <v>648065</v>
      </c>
      <c r="AE631" s="1">
        <v>0</v>
      </c>
      <c r="AF631" s="1" t="s">
        <v>2589</v>
      </c>
      <c r="AG631" s="1" t="s">
        <v>2590</v>
      </c>
      <c r="AH631" s="1">
        <v>75.599999999999994</v>
      </c>
      <c r="AI631" s="1">
        <v>72.5</v>
      </c>
      <c r="AJ631" s="1" t="s">
        <v>2645</v>
      </c>
      <c r="AK631" s="1" t="s">
        <v>2646</v>
      </c>
      <c r="AL631" s="1" t="s">
        <v>2647</v>
      </c>
    </row>
    <row r="632" spans="1:38" x14ac:dyDescent="0.6">
      <c r="A632" s="1">
        <v>452</v>
      </c>
      <c r="B632" s="1" t="s">
        <v>88</v>
      </c>
      <c r="C632" s="1">
        <v>60</v>
      </c>
      <c r="D632" s="1" t="s">
        <v>127</v>
      </c>
      <c r="E632" s="1" t="s">
        <v>90</v>
      </c>
      <c r="F632" s="1">
        <v>10.5</v>
      </c>
      <c r="G632" s="1"/>
      <c r="H632" s="1" t="s">
        <v>120</v>
      </c>
      <c r="I632" s="1" t="s">
        <v>121</v>
      </c>
      <c r="J632" s="1" t="s">
        <v>122</v>
      </c>
      <c r="K632" s="1">
        <v>1</v>
      </c>
      <c r="L632" s="1">
        <v>120</v>
      </c>
      <c r="M632" s="1" t="s">
        <v>14</v>
      </c>
      <c r="N632" s="1" t="s">
        <v>95</v>
      </c>
      <c r="O632" s="1" t="s">
        <v>96</v>
      </c>
      <c r="P632" s="1"/>
      <c r="Q632" s="1" t="s">
        <v>9</v>
      </c>
      <c r="R632" s="1">
        <v>0</v>
      </c>
      <c r="S632" s="1" t="s">
        <v>97</v>
      </c>
      <c r="T632" s="1" t="s">
        <v>97</v>
      </c>
      <c r="U632" s="1" t="b">
        <v>1</v>
      </c>
      <c r="V632" s="1" t="b">
        <v>0</v>
      </c>
      <c r="W632" s="1" t="b">
        <v>0</v>
      </c>
      <c r="X632" s="1">
        <v>5</v>
      </c>
      <c r="Y632" s="1" t="b">
        <v>1</v>
      </c>
      <c r="Z632" s="1" t="b">
        <v>1</v>
      </c>
      <c r="AA632" s="1"/>
      <c r="AB632" s="1" t="b">
        <v>1</v>
      </c>
      <c r="AC632" s="1">
        <v>141663355</v>
      </c>
      <c r="AD632" s="1">
        <v>680837</v>
      </c>
      <c r="AE632" s="1">
        <v>0</v>
      </c>
      <c r="AF632" s="1" t="s">
        <v>2648</v>
      </c>
      <c r="AG632" s="1" t="s">
        <v>2649</v>
      </c>
      <c r="AH632" s="1">
        <v>63.3</v>
      </c>
      <c r="AI632" s="1">
        <v>65.2</v>
      </c>
      <c r="AJ632" s="1" t="s">
        <v>2650</v>
      </c>
      <c r="AK632" s="1" t="s">
        <v>2651</v>
      </c>
      <c r="AL632" s="1" t="s">
        <v>2652</v>
      </c>
    </row>
    <row r="633" spans="1:38" x14ac:dyDescent="0.6">
      <c r="A633" s="1">
        <v>452</v>
      </c>
      <c r="B633" s="1" t="s">
        <v>88</v>
      </c>
      <c r="C633" s="1">
        <v>60</v>
      </c>
      <c r="D633" s="1" t="s">
        <v>127</v>
      </c>
      <c r="E633" s="1" t="s">
        <v>90</v>
      </c>
      <c r="F633" s="1">
        <v>10.5</v>
      </c>
      <c r="G633" s="1"/>
      <c r="H633" s="1" t="s">
        <v>120</v>
      </c>
      <c r="I633" s="1" t="s">
        <v>121</v>
      </c>
      <c r="J633" s="1" t="s">
        <v>122</v>
      </c>
      <c r="K633" s="1">
        <v>1</v>
      </c>
      <c r="L633" s="1">
        <v>120</v>
      </c>
      <c r="M633" s="1" t="s">
        <v>94</v>
      </c>
      <c r="N633" s="1" t="s">
        <v>95</v>
      </c>
      <c r="O633" s="1"/>
      <c r="P633" s="1" t="s">
        <v>96</v>
      </c>
      <c r="Q633" s="1" t="s">
        <v>9</v>
      </c>
      <c r="R633" s="1">
        <v>0</v>
      </c>
      <c r="S633" s="1" t="s">
        <v>97</v>
      </c>
      <c r="T633" s="1" t="s">
        <v>97</v>
      </c>
      <c r="U633" s="1" t="b">
        <v>1</v>
      </c>
      <c r="V633" s="1" t="b">
        <v>0</v>
      </c>
      <c r="W633" s="1" t="b">
        <v>0</v>
      </c>
      <c r="X633" s="1">
        <v>0</v>
      </c>
      <c r="Y633" s="1" t="b">
        <v>1</v>
      </c>
      <c r="Z633" s="1" t="b">
        <v>1</v>
      </c>
      <c r="AA633" s="1">
        <v>71</v>
      </c>
      <c r="AB633" s="1" t="b">
        <v>1</v>
      </c>
      <c r="AC633" s="1">
        <v>141312664</v>
      </c>
      <c r="AD633" s="1">
        <v>2604392</v>
      </c>
      <c r="AE633" s="1">
        <v>0</v>
      </c>
      <c r="AF633" s="1" t="s">
        <v>2648</v>
      </c>
      <c r="AG633" s="1" t="s">
        <v>2649</v>
      </c>
      <c r="AH633" s="1">
        <v>63.3</v>
      </c>
      <c r="AI633" s="1">
        <v>65.2</v>
      </c>
      <c r="AJ633" s="1" t="s">
        <v>2653</v>
      </c>
      <c r="AK633" s="1" t="s">
        <v>2654</v>
      </c>
      <c r="AL633" s="1" t="s">
        <v>2655</v>
      </c>
    </row>
    <row r="634" spans="1:38" x14ac:dyDescent="0.6">
      <c r="A634" s="1">
        <v>454</v>
      </c>
      <c r="B634" s="1" t="s">
        <v>88</v>
      </c>
      <c r="C634" s="1">
        <v>60</v>
      </c>
      <c r="D634" s="1" t="s">
        <v>127</v>
      </c>
      <c r="E634" s="1" t="s">
        <v>90</v>
      </c>
      <c r="F634" s="1"/>
      <c r="G634" s="1"/>
      <c r="H634" s="1" t="s">
        <v>91</v>
      </c>
      <c r="I634" s="1" t="s">
        <v>92</v>
      </c>
      <c r="J634" s="1" t="s">
        <v>109</v>
      </c>
      <c r="K634" s="1">
        <v>1</v>
      </c>
      <c r="L634" s="1">
        <v>120</v>
      </c>
      <c r="M634" s="1" t="s">
        <v>14</v>
      </c>
      <c r="N634" s="1" t="s">
        <v>95</v>
      </c>
      <c r="O634" s="1" t="s">
        <v>96</v>
      </c>
      <c r="P634" s="1"/>
      <c r="Q634" s="1" t="s">
        <v>9</v>
      </c>
      <c r="R634" s="1">
        <v>0</v>
      </c>
      <c r="S634" s="1" t="s">
        <v>97</v>
      </c>
      <c r="T634" s="1" t="s">
        <v>97</v>
      </c>
      <c r="U634" s="1" t="b">
        <v>1</v>
      </c>
      <c r="V634" s="1" t="b">
        <v>0</v>
      </c>
      <c r="W634" s="1" t="b">
        <v>0</v>
      </c>
      <c r="X634" s="1">
        <v>5</v>
      </c>
      <c r="Y634" s="1" t="b">
        <v>1</v>
      </c>
      <c r="Z634" s="1" t="b">
        <v>1</v>
      </c>
      <c r="AA634" s="1"/>
      <c r="AB634" s="1" t="b">
        <v>1</v>
      </c>
      <c r="AC634" s="1">
        <v>136062995</v>
      </c>
      <c r="AD634" s="1">
        <v>514029</v>
      </c>
      <c r="AE634" s="1">
        <v>0</v>
      </c>
      <c r="AF634" s="1" t="s">
        <v>2656</v>
      </c>
      <c r="AG634" s="1" t="s">
        <v>2657</v>
      </c>
      <c r="AH634" s="1">
        <v>76.7</v>
      </c>
      <c r="AI634" s="1">
        <v>76.5</v>
      </c>
      <c r="AJ634" s="1" t="s">
        <v>2658</v>
      </c>
      <c r="AK634" s="1" t="s">
        <v>2659</v>
      </c>
      <c r="AL634" s="1" t="s">
        <v>2660</v>
      </c>
    </row>
    <row r="635" spans="1:38" x14ac:dyDescent="0.6">
      <c r="A635" s="1">
        <v>440</v>
      </c>
      <c r="B635" s="1" t="s">
        <v>103</v>
      </c>
      <c r="C635" s="1">
        <v>70</v>
      </c>
      <c r="D635" s="1" t="s">
        <v>119</v>
      </c>
      <c r="E635" s="1" t="s">
        <v>108</v>
      </c>
      <c r="F635" s="1"/>
      <c r="G635" s="1"/>
      <c r="H635" s="1" t="s">
        <v>220</v>
      </c>
      <c r="I635" s="1" t="s">
        <v>221</v>
      </c>
      <c r="J635" s="1" t="s">
        <v>222</v>
      </c>
      <c r="K635" s="1">
        <v>1.25</v>
      </c>
      <c r="L635" s="1">
        <v>120</v>
      </c>
      <c r="M635" s="1" t="s">
        <v>14</v>
      </c>
      <c r="N635" s="1" t="s">
        <v>14</v>
      </c>
      <c r="O635" s="1" t="s">
        <v>96</v>
      </c>
      <c r="P635" s="1"/>
      <c r="Q635" s="1" t="s">
        <v>9</v>
      </c>
      <c r="R635" s="1">
        <v>0</v>
      </c>
      <c r="S635" s="1"/>
      <c r="T635" s="1" t="s">
        <v>97</v>
      </c>
      <c r="U635" s="1"/>
      <c r="V635" s="1" t="b">
        <v>0</v>
      </c>
      <c r="W635" s="1" t="b">
        <v>0</v>
      </c>
      <c r="X635" s="1">
        <v>5</v>
      </c>
      <c r="Y635" s="1" t="b">
        <v>1</v>
      </c>
      <c r="Z635" s="1" t="b">
        <v>1</v>
      </c>
      <c r="AA635" s="1"/>
      <c r="AB635" s="1" t="b">
        <v>1</v>
      </c>
      <c r="AC635" s="1">
        <v>145493825</v>
      </c>
      <c r="AD635" s="1">
        <v>782527</v>
      </c>
      <c r="AE635" s="1">
        <v>0</v>
      </c>
      <c r="AF635" s="1" t="s">
        <v>2661</v>
      </c>
      <c r="AG635" s="1"/>
      <c r="AH635" s="1">
        <v>72.3</v>
      </c>
      <c r="AI635" s="1"/>
      <c r="AJ635" s="1" t="s">
        <v>2662</v>
      </c>
      <c r="AK635" s="1" t="s">
        <v>2663</v>
      </c>
      <c r="AL635" s="1" t="s">
        <v>2664</v>
      </c>
    </row>
    <row r="636" spans="1:38" x14ac:dyDescent="0.6">
      <c r="A636" s="1">
        <v>454</v>
      </c>
      <c r="B636" s="1" t="s">
        <v>88</v>
      </c>
      <c r="C636" s="1">
        <v>60</v>
      </c>
      <c r="D636" s="1" t="s">
        <v>127</v>
      </c>
      <c r="E636" s="1" t="s">
        <v>90</v>
      </c>
      <c r="F636" s="1"/>
      <c r="G636" s="1"/>
      <c r="H636" s="1" t="s">
        <v>91</v>
      </c>
      <c r="I636" s="1" t="s">
        <v>92</v>
      </c>
      <c r="J636" s="1" t="s">
        <v>109</v>
      </c>
      <c r="K636" s="1">
        <v>1</v>
      </c>
      <c r="L636" s="1">
        <v>120</v>
      </c>
      <c r="M636" s="1" t="s">
        <v>94</v>
      </c>
      <c r="N636" s="1" t="s">
        <v>95</v>
      </c>
      <c r="O636" s="1"/>
      <c r="P636" s="1" t="s">
        <v>96</v>
      </c>
      <c r="Q636" s="1" t="s">
        <v>9</v>
      </c>
      <c r="R636" s="1">
        <v>0</v>
      </c>
      <c r="S636" s="1" t="s">
        <v>97</v>
      </c>
      <c r="T636" s="1" t="s">
        <v>97</v>
      </c>
      <c r="U636" s="1" t="b">
        <v>1</v>
      </c>
      <c r="V636" s="1" t="b">
        <v>0</v>
      </c>
      <c r="W636" s="1" t="b">
        <v>0</v>
      </c>
      <c r="X636" s="1">
        <v>0</v>
      </c>
      <c r="Y636" s="1" t="b">
        <v>1</v>
      </c>
      <c r="Z636" s="1" t="b">
        <v>1</v>
      </c>
      <c r="AA636" s="1">
        <v>79</v>
      </c>
      <c r="AB636" s="1" t="b">
        <v>1</v>
      </c>
      <c r="AC636" s="1">
        <v>136844792</v>
      </c>
      <c r="AD636" s="1">
        <v>1305096</v>
      </c>
      <c r="AE636" s="1">
        <v>0</v>
      </c>
      <c r="AF636" s="1" t="s">
        <v>2656</v>
      </c>
      <c r="AG636" s="1" t="s">
        <v>2657</v>
      </c>
      <c r="AH636" s="1">
        <v>76.7</v>
      </c>
      <c r="AI636" s="1">
        <v>76.5</v>
      </c>
      <c r="AJ636" s="1" t="s">
        <v>2665</v>
      </c>
      <c r="AK636" s="1" t="s">
        <v>2666</v>
      </c>
      <c r="AL636" s="1" t="s">
        <v>2667</v>
      </c>
    </row>
    <row r="637" spans="1:38" x14ac:dyDescent="0.6">
      <c r="A637" s="1">
        <v>450</v>
      </c>
      <c r="B637" s="1" t="s">
        <v>103</v>
      </c>
      <c r="C637" s="1">
        <v>60</v>
      </c>
      <c r="D637" s="1" t="s">
        <v>127</v>
      </c>
      <c r="E637" s="1" t="s">
        <v>108</v>
      </c>
      <c r="F637" s="1">
        <v>0</v>
      </c>
      <c r="G637" s="1"/>
      <c r="H637" s="1" t="s">
        <v>120</v>
      </c>
      <c r="I637" s="1" t="s">
        <v>121</v>
      </c>
      <c r="J637" s="1" t="s">
        <v>1192</v>
      </c>
      <c r="K637" s="1">
        <v>1</v>
      </c>
      <c r="L637" s="1">
        <v>120</v>
      </c>
      <c r="M637" s="1" t="s">
        <v>7</v>
      </c>
      <c r="N637" s="1" t="s">
        <v>7</v>
      </c>
      <c r="O637" s="1" t="s">
        <v>96</v>
      </c>
      <c r="P637" s="1" t="s">
        <v>96</v>
      </c>
      <c r="Q637" s="1" t="s">
        <v>9</v>
      </c>
      <c r="R637" s="1">
        <v>0</v>
      </c>
      <c r="S637" s="1" t="s">
        <v>97</v>
      </c>
      <c r="T637" s="1" t="s">
        <v>97</v>
      </c>
      <c r="U637" s="1" t="b">
        <v>1</v>
      </c>
      <c r="V637" s="1" t="b">
        <v>0</v>
      </c>
      <c r="W637" s="1" t="b">
        <v>0</v>
      </c>
      <c r="X637" s="1">
        <v>5</v>
      </c>
      <c r="Y637" s="1" t="b">
        <v>1</v>
      </c>
      <c r="Z637" s="1" t="b">
        <v>1</v>
      </c>
      <c r="AA637" s="1">
        <v>70</v>
      </c>
      <c r="AB637" s="1" t="b">
        <v>0</v>
      </c>
      <c r="AC637" s="1">
        <v>0</v>
      </c>
      <c r="AD637" s="1">
        <v>2609998</v>
      </c>
      <c r="AE637" s="1">
        <v>146812082</v>
      </c>
      <c r="AF637" s="1" t="s">
        <v>2668</v>
      </c>
      <c r="AG637" s="1" t="s">
        <v>2668</v>
      </c>
      <c r="AH637" s="1">
        <v>65.2</v>
      </c>
      <c r="AI637" s="1">
        <v>64.8</v>
      </c>
      <c r="AJ637" s="1" t="s">
        <v>2669</v>
      </c>
      <c r="AK637" s="1" t="s">
        <v>2670</v>
      </c>
      <c r="AL637" s="1" t="s">
        <v>2671</v>
      </c>
    </row>
    <row r="638" spans="1:38" x14ac:dyDescent="0.6">
      <c r="A638" s="1">
        <v>449</v>
      </c>
      <c r="B638" s="1" t="s">
        <v>103</v>
      </c>
      <c r="C638" s="1">
        <v>70</v>
      </c>
      <c r="D638" s="1" t="s">
        <v>119</v>
      </c>
      <c r="E638" s="1" t="s">
        <v>108</v>
      </c>
      <c r="F638" s="1">
        <v>0</v>
      </c>
      <c r="G638" s="1"/>
      <c r="H638" s="1" t="s">
        <v>120</v>
      </c>
      <c r="I638" s="1" t="s">
        <v>121</v>
      </c>
      <c r="J638" s="1" t="s">
        <v>1192</v>
      </c>
      <c r="K638" s="1">
        <v>1</v>
      </c>
      <c r="L638" s="1">
        <v>120</v>
      </c>
      <c r="M638" s="1" t="s">
        <v>7</v>
      </c>
      <c r="N638" s="1" t="s">
        <v>7</v>
      </c>
      <c r="O638" s="1" t="s">
        <v>96</v>
      </c>
      <c r="P638" s="1" t="s">
        <v>96</v>
      </c>
      <c r="Q638" s="1" t="s">
        <v>9</v>
      </c>
      <c r="R638" s="1">
        <v>0</v>
      </c>
      <c r="S638" s="1" t="s">
        <v>97</v>
      </c>
      <c r="T638" s="1" t="s">
        <v>97</v>
      </c>
      <c r="U638" s="1" t="b">
        <v>1</v>
      </c>
      <c r="V638" s="1" t="b">
        <v>0</v>
      </c>
      <c r="W638" s="1" t="b">
        <v>0</v>
      </c>
      <c r="X638" s="1">
        <v>5</v>
      </c>
      <c r="Y638" s="1" t="b">
        <v>1</v>
      </c>
      <c r="Z638" s="1" t="b">
        <v>1</v>
      </c>
      <c r="AA638" s="1">
        <v>59</v>
      </c>
      <c r="AB638" s="1" t="b">
        <v>0</v>
      </c>
      <c r="AC638" s="1">
        <v>0</v>
      </c>
      <c r="AD638" s="1">
        <v>2944967</v>
      </c>
      <c r="AE638" s="1">
        <v>138088505</v>
      </c>
      <c r="AF638" s="1" t="s">
        <v>2672</v>
      </c>
      <c r="AG638" s="1" t="s">
        <v>2672</v>
      </c>
      <c r="AH638" s="1">
        <v>57.5</v>
      </c>
      <c r="AI638" s="1">
        <v>58.1</v>
      </c>
      <c r="AJ638" s="1" t="s">
        <v>2673</v>
      </c>
      <c r="AK638" s="1" t="s">
        <v>2674</v>
      </c>
      <c r="AL638" s="1" t="s">
        <v>2675</v>
      </c>
    </row>
    <row r="639" spans="1:38" x14ac:dyDescent="0.6">
      <c r="A639" s="1">
        <v>445</v>
      </c>
      <c r="B639" s="1" t="s">
        <v>103</v>
      </c>
      <c r="C639" s="1">
        <v>50</v>
      </c>
      <c r="D639" s="1" t="s">
        <v>89</v>
      </c>
      <c r="E639" s="1" t="s">
        <v>90</v>
      </c>
      <c r="F639" s="1"/>
      <c r="G639" s="1"/>
      <c r="H639" s="1" t="s">
        <v>220</v>
      </c>
      <c r="I639" s="1" t="s">
        <v>221</v>
      </c>
      <c r="J639" s="1" t="s">
        <v>222</v>
      </c>
      <c r="K639" s="1">
        <v>1.25</v>
      </c>
      <c r="L639" s="1">
        <v>120</v>
      </c>
      <c r="M639" s="1" t="s">
        <v>14</v>
      </c>
      <c r="N639" s="1" t="s">
        <v>95</v>
      </c>
      <c r="O639" s="1" t="s">
        <v>96</v>
      </c>
      <c r="P639" s="1"/>
      <c r="Q639" s="1" t="s">
        <v>9</v>
      </c>
      <c r="R639" s="1">
        <v>0</v>
      </c>
      <c r="S639" s="1" t="s">
        <v>97</v>
      </c>
      <c r="T639" s="1" t="s">
        <v>97</v>
      </c>
      <c r="U639" s="1" t="b">
        <v>1</v>
      </c>
      <c r="V639" s="1" t="b">
        <v>0</v>
      </c>
      <c r="W639" s="1" t="b">
        <v>0</v>
      </c>
      <c r="X639" s="1">
        <v>5</v>
      </c>
      <c r="Y639" s="1" t="b">
        <v>1</v>
      </c>
      <c r="Z639" s="1" t="b">
        <v>1</v>
      </c>
      <c r="AA639" s="1"/>
      <c r="AB639" s="1" t="b">
        <v>1</v>
      </c>
      <c r="AC639" s="1">
        <v>120341956</v>
      </c>
      <c r="AD639" s="1">
        <v>244284</v>
      </c>
      <c r="AE639" s="1">
        <v>0</v>
      </c>
      <c r="AF639" s="1" t="s">
        <v>2640</v>
      </c>
      <c r="AG639" s="1" t="s">
        <v>2641</v>
      </c>
      <c r="AH639" s="1">
        <v>88.6</v>
      </c>
      <c r="AI639" s="1">
        <v>88.3</v>
      </c>
      <c r="AJ639" s="1" t="s">
        <v>2676</v>
      </c>
      <c r="AK639" s="1" t="s">
        <v>2677</v>
      </c>
      <c r="AL639" s="1" t="s">
        <v>2678</v>
      </c>
    </row>
    <row r="640" spans="1:38" x14ac:dyDescent="0.6">
      <c r="A640" s="1">
        <v>453</v>
      </c>
      <c r="B640" s="1" t="s">
        <v>103</v>
      </c>
      <c r="C640" s="1">
        <v>50</v>
      </c>
      <c r="D640" s="1" t="s">
        <v>89</v>
      </c>
      <c r="E640" s="1" t="s">
        <v>90</v>
      </c>
      <c r="F640" s="1"/>
      <c r="G640" s="1"/>
      <c r="H640" s="1" t="s">
        <v>91</v>
      </c>
      <c r="I640" s="1" t="s">
        <v>92</v>
      </c>
      <c r="J640" s="1" t="s">
        <v>109</v>
      </c>
      <c r="K640" s="1">
        <v>1</v>
      </c>
      <c r="L640" s="1">
        <v>120</v>
      </c>
      <c r="M640" s="1" t="s">
        <v>7</v>
      </c>
      <c r="N640" s="1" t="s">
        <v>7</v>
      </c>
      <c r="O640" s="1" t="s">
        <v>96</v>
      </c>
      <c r="P640" s="1" t="s">
        <v>96</v>
      </c>
      <c r="Q640" s="1" t="s">
        <v>9</v>
      </c>
      <c r="R640" s="1">
        <v>0</v>
      </c>
      <c r="S640" s="1" t="s">
        <v>97</v>
      </c>
      <c r="T640" s="1" t="s">
        <v>97</v>
      </c>
      <c r="U640" s="1" t="b">
        <v>1</v>
      </c>
      <c r="V640" s="1" t="b">
        <v>0</v>
      </c>
      <c r="W640" s="1" t="b">
        <v>0</v>
      </c>
      <c r="X640" s="1">
        <v>5</v>
      </c>
      <c r="Y640" s="1" t="b">
        <v>1</v>
      </c>
      <c r="Z640" s="1" t="b">
        <v>1</v>
      </c>
      <c r="AA640" s="1">
        <v>59.9</v>
      </c>
      <c r="AB640" s="1" t="b">
        <v>0</v>
      </c>
      <c r="AC640" s="1">
        <v>0</v>
      </c>
      <c r="AD640" s="1">
        <v>2516152</v>
      </c>
      <c r="AE640" s="1">
        <v>144022344</v>
      </c>
      <c r="AF640" s="1" t="s">
        <v>2679</v>
      </c>
      <c r="AG640" s="1" t="s">
        <v>2679</v>
      </c>
      <c r="AH640" s="1">
        <v>53.7</v>
      </c>
      <c r="AI640" s="1">
        <v>55.6</v>
      </c>
      <c r="AJ640" s="1" t="s">
        <v>2680</v>
      </c>
      <c r="AK640" s="1" t="s">
        <v>2681</v>
      </c>
      <c r="AL640" s="1" t="s">
        <v>2682</v>
      </c>
    </row>
    <row r="641" spans="1:38" x14ac:dyDescent="0.6">
      <c r="A641" s="1">
        <v>457</v>
      </c>
      <c r="B641" s="1" t="s">
        <v>88</v>
      </c>
      <c r="C641" s="1">
        <v>50</v>
      </c>
      <c r="D641" s="1" t="s">
        <v>89</v>
      </c>
      <c r="E641" s="1" t="s">
        <v>108</v>
      </c>
      <c r="F641" s="1"/>
      <c r="G641" s="1"/>
      <c r="H641" s="1" t="s">
        <v>91</v>
      </c>
      <c r="I641" s="1" t="s">
        <v>92</v>
      </c>
      <c r="J641" s="1" t="s">
        <v>109</v>
      </c>
      <c r="K641" s="1">
        <v>1</v>
      </c>
      <c r="L641" s="1">
        <v>120</v>
      </c>
      <c r="M641" s="1" t="s">
        <v>14</v>
      </c>
      <c r="N641" s="1" t="s">
        <v>95</v>
      </c>
      <c r="O641" s="1" t="s">
        <v>96</v>
      </c>
      <c r="P641" s="1"/>
      <c r="Q641" s="1" t="s">
        <v>9</v>
      </c>
      <c r="R641" s="1">
        <v>0</v>
      </c>
      <c r="S641" s="1" t="s">
        <v>97</v>
      </c>
      <c r="T641" s="1" t="s">
        <v>97</v>
      </c>
      <c r="U641" s="1" t="b">
        <v>1</v>
      </c>
      <c r="V641" s="1" t="b">
        <v>0</v>
      </c>
      <c r="W641" s="1" t="b">
        <v>0</v>
      </c>
      <c r="X641" s="1">
        <v>5</v>
      </c>
      <c r="Y641" s="1" t="b">
        <v>1</v>
      </c>
      <c r="Z641" s="1" t="b">
        <v>1</v>
      </c>
      <c r="AA641" s="1"/>
      <c r="AB641" s="1" t="b">
        <v>1</v>
      </c>
      <c r="AC641" s="1">
        <v>130707027</v>
      </c>
      <c r="AD641" s="1">
        <v>627117</v>
      </c>
      <c r="AE641" s="1">
        <v>0</v>
      </c>
      <c r="AF641" s="1" t="s">
        <v>2683</v>
      </c>
      <c r="AG641" s="1" t="s">
        <v>2684</v>
      </c>
      <c r="AH641" s="1">
        <v>62.1</v>
      </c>
      <c r="AI641" s="1">
        <v>55.1</v>
      </c>
      <c r="AJ641" s="1" t="s">
        <v>2685</v>
      </c>
      <c r="AK641" s="1" t="s">
        <v>2686</v>
      </c>
      <c r="AL641" s="1" t="s">
        <v>2687</v>
      </c>
    </row>
    <row r="642" spans="1:38" x14ac:dyDescent="0.6">
      <c r="A642" s="1">
        <v>447</v>
      </c>
      <c r="B642" s="1" t="s">
        <v>88</v>
      </c>
      <c r="C642" s="1">
        <v>60</v>
      </c>
      <c r="D642" s="1" t="s">
        <v>127</v>
      </c>
      <c r="E642" s="1" t="s">
        <v>90</v>
      </c>
      <c r="F642" s="1"/>
      <c r="G642" s="1"/>
      <c r="H642" s="1" t="s">
        <v>220</v>
      </c>
      <c r="I642" s="1" t="s">
        <v>221</v>
      </c>
      <c r="J642" s="1" t="s">
        <v>1176</v>
      </c>
      <c r="K642" s="1">
        <v>1.25</v>
      </c>
      <c r="L642" s="1">
        <v>120</v>
      </c>
      <c r="M642" s="1" t="s">
        <v>94</v>
      </c>
      <c r="N642" s="1" t="s">
        <v>95</v>
      </c>
      <c r="O642" s="1"/>
      <c r="P642" s="1" t="s">
        <v>96</v>
      </c>
      <c r="Q642" s="1" t="s">
        <v>9</v>
      </c>
      <c r="R642" s="1">
        <v>0</v>
      </c>
      <c r="S642" s="1" t="s">
        <v>97</v>
      </c>
      <c r="T642" s="1" t="s">
        <v>97</v>
      </c>
      <c r="U642" s="1" t="b">
        <v>1</v>
      </c>
      <c r="V642" s="1" t="b">
        <v>0</v>
      </c>
      <c r="W642" s="1" t="b">
        <v>0</v>
      </c>
      <c r="X642" s="1">
        <v>0</v>
      </c>
      <c r="Y642" s="1" t="b">
        <v>1</v>
      </c>
      <c r="Z642" s="1" t="b">
        <v>1</v>
      </c>
      <c r="AA642" s="1">
        <v>72.099999999999994</v>
      </c>
      <c r="AB642" s="1" t="b">
        <v>1</v>
      </c>
      <c r="AC642" s="1">
        <v>132501282</v>
      </c>
      <c r="AD642" s="1">
        <v>2502878</v>
      </c>
      <c r="AE642" s="1">
        <v>0</v>
      </c>
      <c r="AF642" s="1" t="s">
        <v>2629</v>
      </c>
      <c r="AG642" s="1" t="s">
        <v>2630</v>
      </c>
      <c r="AH642" s="1">
        <v>72.7</v>
      </c>
      <c r="AI642" s="1">
        <v>66.8</v>
      </c>
      <c r="AJ642" s="1" t="s">
        <v>2688</v>
      </c>
      <c r="AK642" s="1" t="s">
        <v>2689</v>
      </c>
      <c r="AL642" s="1" t="s">
        <v>2690</v>
      </c>
    </row>
    <row r="643" spans="1:38" x14ac:dyDescent="0.6">
      <c r="A643" s="1">
        <v>457</v>
      </c>
      <c r="B643" s="1" t="s">
        <v>88</v>
      </c>
      <c r="C643" s="1">
        <v>50</v>
      </c>
      <c r="D643" s="1" t="s">
        <v>89</v>
      </c>
      <c r="E643" s="1" t="s">
        <v>108</v>
      </c>
      <c r="F643" s="1"/>
      <c r="G643" s="1"/>
      <c r="H643" s="1" t="s">
        <v>91</v>
      </c>
      <c r="I643" s="1" t="s">
        <v>92</v>
      </c>
      <c r="J643" s="1" t="s">
        <v>109</v>
      </c>
      <c r="K643" s="1">
        <v>1</v>
      </c>
      <c r="L643" s="1">
        <v>120</v>
      </c>
      <c r="M643" s="1" t="s">
        <v>94</v>
      </c>
      <c r="N643" s="1" t="s">
        <v>95</v>
      </c>
      <c r="O643" s="1"/>
      <c r="P643" s="1" t="s">
        <v>96</v>
      </c>
      <c r="Q643" s="1" t="s">
        <v>9</v>
      </c>
      <c r="R643" s="1">
        <v>0</v>
      </c>
      <c r="S643" s="1" t="s">
        <v>97</v>
      </c>
      <c r="T643" s="1" t="s">
        <v>97</v>
      </c>
      <c r="U643" s="1" t="b">
        <v>1</v>
      </c>
      <c r="V643" s="1" t="b">
        <v>0</v>
      </c>
      <c r="W643" s="1" t="b">
        <v>0</v>
      </c>
      <c r="X643" s="1">
        <v>0</v>
      </c>
      <c r="Y643" s="1" t="b">
        <v>1</v>
      </c>
      <c r="Z643" s="1" t="b">
        <v>1</v>
      </c>
      <c r="AA643" s="1">
        <v>51.7</v>
      </c>
      <c r="AB643" s="1" t="b">
        <v>1</v>
      </c>
      <c r="AC643" s="1">
        <v>129659619</v>
      </c>
      <c r="AD643" s="1">
        <v>1674525</v>
      </c>
      <c r="AE643" s="1">
        <v>0</v>
      </c>
      <c r="AF643" s="1" t="s">
        <v>2683</v>
      </c>
      <c r="AG643" s="1" t="s">
        <v>2684</v>
      </c>
      <c r="AH643" s="1">
        <v>62.1</v>
      </c>
      <c r="AI643" s="1">
        <v>55.1</v>
      </c>
      <c r="AJ643" s="1" t="s">
        <v>2691</v>
      </c>
      <c r="AK643" s="1" t="s">
        <v>2692</v>
      </c>
      <c r="AL643" s="1" t="s">
        <v>2693</v>
      </c>
    </row>
    <row r="644" spans="1:38" x14ac:dyDescent="0.6">
      <c r="A644" s="1">
        <v>459</v>
      </c>
      <c r="B644" s="1" t="s">
        <v>103</v>
      </c>
      <c r="C644" s="1">
        <v>50</v>
      </c>
      <c r="D644" s="1" t="s">
        <v>89</v>
      </c>
      <c r="E644" s="1" t="s">
        <v>108</v>
      </c>
      <c r="F644" s="1"/>
      <c r="G644" s="1"/>
      <c r="H644" s="1" t="s">
        <v>91</v>
      </c>
      <c r="I644" s="1" t="s">
        <v>92</v>
      </c>
      <c r="J644" s="1" t="s">
        <v>109</v>
      </c>
      <c r="K644" s="1">
        <v>1</v>
      </c>
      <c r="L644" s="1">
        <v>120</v>
      </c>
      <c r="M644" s="1" t="s">
        <v>14</v>
      </c>
      <c r="N644" s="1" t="s">
        <v>95</v>
      </c>
      <c r="O644" s="1" t="s">
        <v>96</v>
      </c>
      <c r="P644" s="1"/>
      <c r="Q644" s="1" t="s">
        <v>9</v>
      </c>
      <c r="R644" s="1">
        <v>0</v>
      </c>
      <c r="S644" s="1" t="s">
        <v>97</v>
      </c>
      <c r="T644" s="1" t="s">
        <v>97</v>
      </c>
      <c r="U644" s="1" t="b">
        <v>1</v>
      </c>
      <c r="V644" s="1" t="b">
        <v>0</v>
      </c>
      <c r="W644" s="1" t="b">
        <v>0</v>
      </c>
      <c r="X644" s="1">
        <v>5</v>
      </c>
      <c r="Y644" s="1" t="b">
        <v>1</v>
      </c>
      <c r="Z644" s="1" t="b">
        <v>1</v>
      </c>
      <c r="AA644" s="1"/>
      <c r="AB644" s="1" t="b">
        <v>1</v>
      </c>
      <c r="AC644" s="1">
        <v>171881518</v>
      </c>
      <c r="AD644" s="1">
        <v>871378</v>
      </c>
      <c r="AE644" s="1">
        <v>0</v>
      </c>
      <c r="AF644" s="1" t="s">
        <v>2694</v>
      </c>
      <c r="AG644" s="1" t="s">
        <v>2695</v>
      </c>
      <c r="AH644" s="1">
        <v>67.5</v>
      </c>
      <c r="AI644" s="1">
        <v>73.400000000000006</v>
      </c>
      <c r="AJ644" s="1" t="s">
        <v>2696</v>
      </c>
      <c r="AK644" s="1" t="s">
        <v>2697</v>
      </c>
      <c r="AL644" s="1" t="s">
        <v>2698</v>
      </c>
    </row>
    <row r="645" spans="1:38" x14ac:dyDescent="0.6">
      <c r="A645" s="1">
        <v>451</v>
      </c>
      <c r="B645" s="1" t="s">
        <v>103</v>
      </c>
      <c r="C645" s="1">
        <v>60</v>
      </c>
      <c r="D645" s="1" t="s">
        <v>127</v>
      </c>
      <c r="E645" s="1" t="s">
        <v>108</v>
      </c>
      <c r="F645" s="1">
        <v>10.5</v>
      </c>
      <c r="G645" s="1"/>
      <c r="H645" s="1" t="s">
        <v>120</v>
      </c>
      <c r="I645" s="1" t="s">
        <v>121</v>
      </c>
      <c r="J645" s="1" t="s">
        <v>122</v>
      </c>
      <c r="K645" s="1">
        <v>1</v>
      </c>
      <c r="L645" s="1">
        <v>120</v>
      </c>
      <c r="M645" s="1" t="s">
        <v>7</v>
      </c>
      <c r="N645" s="1" t="s">
        <v>7</v>
      </c>
      <c r="O645" s="1" t="s">
        <v>96</v>
      </c>
      <c r="P645" s="1" t="s">
        <v>96</v>
      </c>
      <c r="Q645" s="1" t="s">
        <v>9</v>
      </c>
      <c r="R645" s="1">
        <v>0</v>
      </c>
      <c r="S645" s="1" t="s">
        <v>97</v>
      </c>
      <c r="T645" s="1" t="s">
        <v>97</v>
      </c>
      <c r="U645" s="1" t="b">
        <v>1</v>
      </c>
      <c r="V645" s="1" t="b">
        <v>0</v>
      </c>
      <c r="W645" s="1" t="b">
        <v>0</v>
      </c>
      <c r="X645" s="1">
        <v>5</v>
      </c>
      <c r="Y645" s="1" t="b">
        <v>1</v>
      </c>
      <c r="Z645" s="1" t="b">
        <v>1</v>
      </c>
      <c r="AA645" s="1">
        <v>76.7</v>
      </c>
      <c r="AB645" s="1" t="b">
        <v>0</v>
      </c>
      <c r="AC645" s="1">
        <v>0</v>
      </c>
      <c r="AD645" s="1">
        <v>2745185</v>
      </c>
      <c r="AE645" s="1">
        <v>160308383</v>
      </c>
      <c r="AF645" s="1" t="s">
        <v>2699</v>
      </c>
      <c r="AG645" s="1" t="s">
        <v>2699</v>
      </c>
      <c r="AH645" s="1">
        <v>73.7</v>
      </c>
      <c r="AI645" s="1">
        <v>72.8</v>
      </c>
      <c r="AJ645" s="1" t="s">
        <v>2700</v>
      </c>
      <c r="AK645" s="1" t="s">
        <v>2701</v>
      </c>
      <c r="AL645" s="1" t="s">
        <v>2702</v>
      </c>
    </row>
    <row r="646" spans="1:38" x14ac:dyDescent="0.6">
      <c r="A646" s="1">
        <v>461</v>
      </c>
      <c r="B646" s="1" t="s">
        <v>88</v>
      </c>
      <c r="C646" s="1">
        <v>60</v>
      </c>
      <c r="D646" s="1" t="s">
        <v>127</v>
      </c>
      <c r="E646" s="1" t="s">
        <v>90</v>
      </c>
      <c r="F646" s="1"/>
      <c r="G646" s="1"/>
      <c r="H646" s="1" t="s">
        <v>91</v>
      </c>
      <c r="I646" s="1" t="s">
        <v>92</v>
      </c>
      <c r="J646" s="1" t="s">
        <v>109</v>
      </c>
      <c r="K646" s="1">
        <v>1</v>
      </c>
      <c r="L646" s="1">
        <v>120</v>
      </c>
      <c r="M646" s="1" t="s">
        <v>14</v>
      </c>
      <c r="N646" s="1" t="s">
        <v>95</v>
      </c>
      <c r="O646" s="1" t="s">
        <v>96</v>
      </c>
      <c r="P646" s="1"/>
      <c r="Q646" s="1" t="s">
        <v>9</v>
      </c>
      <c r="R646" s="1">
        <v>0</v>
      </c>
      <c r="S646" s="1" t="s">
        <v>97</v>
      </c>
      <c r="T646" s="1" t="s">
        <v>97</v>
      </c>
      <c r="U646" s="1" t="b">
        <v>1</v>
      </c>
      <c r="V646" s="1" t="b">
        <v>0</v>
      </c>
      <c r="W646" s="1" t="b">
        <v>0</v>
      </c>
      <c r="X646" s="1">
        <v>5</v>
      </c>
      <c r="Y646" s="1" t="b">
        <v>1</v>
      </c>
      <c r="Z646" s="1" t="b">
        <v>1</v>
      </c>
      <c r="AA646" s="1"/>
      <c r="AB646" s="1" t="b">
        <v>1</v>
      </c>
      <c r="AC646" s="1">
        <v>146170518</v>
      </c>
      <c r="AD646" s="1">
        <v>630122</v>
      </c>
      <c r="AE646" s="1">
        <v>0</v>
      </c>
      <c r="AF646" s="1" t="s">
        <v>2703</v>
      </c>
      <c r="AG646" s="1" t="s">
        <v>2704</v>
      </c>
      <c r="AH646" s="1">
        <v>86.8</v>
      </c>
      <c r="AI646" s="1">
        <v>82.1</v>
      </c>
      <c r="AJ646" s="1" t="s">
        <v>2705</v>
      </c>
      <c r="AK646" s="1" t="s">
        <v>2706</v>
      </c>
      <c r="AL646" s="1" t="s">
        <v>2707</v>
      </c>
    </row>
    <row r="647" spans="1:38" x14ac:dyDescent="0.6">
      <c r="A647" s="1">
        <v>462</v>
      </c>
      <c r="B647" s="1" t="s">
        <v>88</v>
      </c>
      <c r="C647" s="1">
        <v>60</v>
      </c>
      <c r="D647" s="1" t="s">
        <v>127</v>
      </c>
      <c r="E647" s="1" t="s">
        <v>90</v>
      </c>
      <c r="F647" s="1"/>
      <c r="G647" s="1"/>
      <c r="H647" s="1" t="s">
        <v>91</v>
      </c>
      <c r="I647" s="1" t="s">
        <v>92</v>
      </c>
      <c r="J647" s="1" t="s">
        <v>109</v>
      </c>
      <c r="K647" s="1">
        <v>1</v>
      </c>
      <c r="L647" s="1">
        <v>120</v>
      </c>
      <c r="M647" s="1" t="s">
        <v>7</v>
      </c>
      <c r="N647" s="1" t="s">
        <v>7</v>
      </c>
      <c r="O647" s="1" t="s">
        <v>96</v>
      </c>
      <c r="P647" s="1" t="s">
        <v>96</v>
      </c>
      <c r="Q647" s="1" t="s">
        <v>9</v>
      </c>
      <c r="R647" s="1">
        <v>0</v>
      </c>
      <c r="S647" s="1" t="s">
        <v>97</v>
      </c>
      <c r="T647" s="1" t="s">
        <v>97</v>
      </c>
      <c r="U647" s="1" t="b">
        <v>1</v>
      </c>
      <c r="V647" s="1" t="b">
        <v>0</v>
      </c>
      <c r="W647" s="1" t="b">
        <v>0</v>
      </c>
      <c r="X647" s="1">
        <v>5</v>
      </c>
      <c r="Y647" s="1" t="b">
        <v>1</v>
      </c>
      <c r="Z647" s="1" t="b">
        <v>1</v>
      </c>
      <c r="AA647" s="1">
        <v>92.7</v>
      </c>
      <c r="AB647" s="1" t="b">
        <v>0</v>
      </c>
      <c r="AC647" s="1">
        <v>0</v>
      </c>
      <c r="AD647" s="1">
        <v>1779915</v>
      </c>
      <c r="AE647" s="1">
        <v>136107829</v>
      </c>
      <c r="AF647" s="1" t="s">
        <v>2708</v>
      </c>
      <c r="AG647" s="1" t="s">
        <v>2708</v>
      </c>
      <c r="AH647" s="1">
        <v>87.7</v>
      </c>
      <c r="AI647" s="1">
        <v>88.5</v>
      </c>
      <c r="AJ647" s="1" t="s">
        <v>2709</v>
      </c>
      <c r="AK647" s="1" t="s">
        <v>2710</v>
      </c>
      <c r="AL647" s="1" t="s">
        <v>2711</v>
      </c>
    </row>
    <row r="648" spans="1:38" x14ac:dyDescent="0.6">
      <c r="A648" s="1">
        <v>464</v>
      </c>
      <c r="B648" s="1" t="s">
        <v>103</v>
      </c>
      <c r="C648" s="1">
        <v>70</v>
      </c>
      <c r="D648" s="1" t="s">
        <v>119</v>
      </c>
      <c r="E648" s="1" t="s">
        <v>90</v>
      </c>
      <c r="F648" s="1"/>
      <c r="G648" s="1"/>
      <c r="H648" s="1" t="s">
        <v>91</v>
      </c>
      <c r="I648" s="1" t="s">
        <v>92</v>
      </c>
      <c r="J648" s="1" t="s">
        <v>109</v>
      </c>
      <c r="K648" s="1">
        <v>1</v>
      </c>
      <c r="L648" s="1">
        <v>120</v>
      </c>
      <c r="M648" s="1" t="s">
        <v>14</v>
      </c>
      <c r="N648" s="1" t="s">
        <v>95</v>
      </c>
      <c r="O648" s="1" t="s">
        <v>96</v>
      </c>
      <c r="P648" s="1"/>
      <c r="Q648" s="1" t="s">
        <v>9</v>
      </c>
      <c r="R648" s="1">
        <v>0</v>
      </c>
      <c r="S648" s="1" t="s">
        <v>97</v>
      </c>
      <c r="T648" s="1" t="s">
        <v>97</v>
      </c>
      <c r="U648" s="1" t="b">
        <v>1</v>
      </c>
      <c r="V648" s="1" t="b">
        <v>0</v>
      </c>
      <c r="W648" s="1" t="b">
        <v>0</v>
      </c>
      <c r="X648" s="1">
        <v>5</v>
      </c>
      <c r="Y648" s="1" t="b">
        <v>1</v>
      </c>
      <c r="Z648" s="1" t="b">
        <v>1</v>
      </c>
      <c r="AA648" s="1"/>
      <c r="AB648" s="1" t="b">
        <v>1</v>
      </c>
      <c r="AC648" s="1">
        <v>123224978</v>
      </c>
      <c r="AD648" s="1">
        <v>769134</v>
      </c>
      <c r="AE648" s="1">
        <v>0</v>
      </c>
      <c r="AF648" s="1" t="s">
        <v>2712</v>
      </c>
      <c r="AG648" s="1" t="s">
        <v>2713</v>
      </c>
      <c r="AH648" s="1">
        <v>67.400000000000006</v>
      </c>
      <c r="AI648" s="1">
        <v>68.2</v>
      </c>
      <c r="AJ648" s="1" t="s">
        <v>2714</v>
      </c>
      <c r="AK648" s="1" t="s">
        <v>2715</v>
      </c>
      <c r="AL648" s="1" t="s">
        <v>2716</v>
      </c>
    </row>
    <row r="649" spans="1:38" x14ac:dyDescent="0.6">
      <c r="A649" s="1">
        <v>474</v>
      </c>
      <c r="B649" s="1" t="s">
        <v>103</v>
      </c>
      <c r="C649" s="1">
        <v>50</v>
      </c>
      <c r="D649" s="1" t="s">
        <v>89</v>
      </c>
      <c r="E649" s="1" t="s">
        <v>108</v>
      </c>
      <c r="F649" s="1"/>
      <c r="G649" s="1"/>
      <c r="H649" s="1" t="s">
        <v>91</v>
      </c>
      <c r="I649" s="1" t="s">
        <v>92</v>
      </c>
      <c r="J649" s="1" t="s">
        <v>93</v>
      </c>
      <c r="K649" s="1">
        <v>5</v>
      </c>
      <c r="L649" s="1">
        <v>120</v>
      </c>
      <c r="M649" s="1" t="s">
        <v>14</v>
      </c>
      <c r="N649" s="1" t="s">
        <v>95</v>
      </c>
      <c r="O649" s="1" t="s">
        <v>96</v>
      </c>
      <c r="P649" s="1"/>
      <c r="Q649" s="1" t="s">
        <v>9</v>
      </c>
      <c r="R649" s="1">
        <v>0</v>
      </c>
      <c r="S649" s="1" t="s">
        <v>97</v>
      </c>
      <c r="T649" s="1" t="s">
        <v>97</v>
      </c>
      <c r="U649" s="1" t="b">
        <v>1</v>
      </c>
      <c r="V649" s="1" t="b">
        <v>0</v>
      </c>
      <c r="W649" s="1" t="b">
        <v>0</v>
      </c>
      <c r="X649" s="1">
        <v>5</v>
      </c>
      <c r="Y649" s="1" t="b">
        <v>1</v>
      </c>
      <c r="Z649" s="1" t="b">
        <v>1</v>
      </c>
      <c r="AA649" s="1"/>
      <c r="AB649" s="1" t="b">
        <v>1</v>
      </c>
      <c r="AC649" s="1">
        <v>22170484</v>
      </c>
      <c r="AD649" s="1">
        <v>111756</v>
      </c>
      <c r="AE649" s="1">
        <v>0</v>
      </c>
      <c r="AF649" s="1" t="s">
        <v>2717</v>
      </c>
      <c r="AG649" s="1" t="s">
        <v>2718</v>
      </c>
      <c r="AH649" s="1">
        <v>84.1</v>
      </c>
      <c r="AI649" s="1">
        <v>76.3</v>
      </c>
      <c r="AJ649" s="1" t="s">
        <v>2719</v>
      </c>
      <c r="AK649" s="1" t="s">
        <v>2720</v>
      </c>
      <c r="AL649" s="1" t="s">
        <v>2721</v>
      </c>
    </row>
    <row r="650" spans="1:38" x14ac:dyDescent="0.6">
      <c r="A650" s="1">
        <v>467</v>
      </c>
      <c r="B650" s="1" t="s">
        <v>103</v>
      </c>
      <c r="C650" s="1">
        <v>60</v>
      </c>
      <c r="D650" s="1" t="s">
        <v>127</v>
      </c>
      <c r="E650" s="1" t="s">
        <v>90</v>
      </c>
      <c r="F650" s="1"/>
      <c r="G650" s="1"/>
      <c r="H650" s="1" t="s">
        <v>91</v>
      </c>
      <c r="I650" s="1" t="s">
        <v>92</v>
      </c>
      <c r="J650" s="1" t="s">
        <v>93</v>
      </c>
      <c r="K650" s="1">
        <v>1</v>
      </c>
      <c r="L650" s="1">
        <v>120</v>
      </c>
      <c r="M650" s="1" t="s">
        <v>14</v>
      </c>
      <c r="N650" s="1" t="s">
        <v>95</v>
      </c>
      <c r="O650" s="1" t="s">
        <v>96</v>
      </c>
      <c r="P650" s="1"/>
      <c r="Q650" s="1" t="s">
        <v>9</v>
      </c>
      <c r="R650" s="1">
        <v>0</v>
      </c>
      <c r="S650" s="1" t="s">
        <v>97</v>
      </c>
      <c r="T650" s="1" t="s">
        <v>97</v>
      </c>
      <c r="U650" s="1" t="b">
        <v>1</v>
      </c>
      <c r="V650" s="1" t="b">
        <v>0</v>
      </c>
      <c r="W650" s="1" t="b">
        <v>0</v>
      </c>
      <c r="X650" s="1">
        <v>5</v>
      </c>
      <c r="Y650" s="1" t="b">
        <v>1</v>
      </c>
      <c r="Z650" s="1" t="b">
        <v>1</v>
      </c>
      <c r="AA650" s="1"/>
      <c r="AB650" s="1" t="b">
        <v>1</v>
      </c>
      <c r="AC650" s="1">
        <v>118060449</v>
      </c>
      <c r="AD650" s="1">
        <v>428639</v>
      </c>
      <c r="AE650" s="1">
        <v>0</v>
      </c>
      <c r="AF650" s="1" t="s">
        <v>2722</v>
      </c>
      <c r="AG650" s="1" t="s">
        <v>2723</v>
      </c>
      <c r="AH650" s="1">
        <v>59.1</v>
      </c>
      <c r="AI650" s="1">
        <v>61.4</v>
      </c>
      <c r="AJ650" s="1" t="s">
        <v>2724</v>
      </c>
      <c r="AK650" s="1" t="s">
        <v>2725</v>
      </c>
      <c r="AL650" s="1" t="s">
        <v>2726</v>
      </c>
    </row>
    <row r="651" spans="1:38" x14ac:dyDescent="0.6">
      <c r="A651" s="1">
        <v>460</v>
      </c>
      <c r="B651" s="1" t="s">
        <v>103</v>
      </c>
      <c r="C651" s="1">
        <v>70</v>
      </c>
      <c r="D651" s="1" t="s">
        <v>119</v>
      </c>
      <c r="E651" s="1" t="s">
        <v>90</v>
      </c>
      <c r="F651" s="1"/>
      <c r="G651" s="1"/>
      <c r="H651" s="1" t="s">
        <v>91</v>
      </c>
      <c r="I651" s="1" t="s">
        <v>92</v>
      </c>
      <c r="J651" s="1" t="s">
        <v>109</v>
      </c>
      <c r="K651" s="1">
        <v>1</v>
      </c>
      <c r="L651" s="1">
        <v>120</v>
      </c>
      <c r="M651" s="1" t="s">
        <v>7</v>
      </c>
      <c r="N651" s="1" t="s">
        <v>7</v>
      </c>
      <c r="O651" s="1" t="s">
        <v>96</v>
      </c>
      <c r="P651" s="1" t="s">
        <v>96</v>
      </c>
      <c r="Q651" s="1" t="s">
        <v>9</v>
      </c>
      <c r="R651" s="1">
        <v>0</v>
      </c>
      <c r="S651" s="1" t="s">
        <v>97</v>
      </c>
      <c r="T651" s="1" t="s">
        <v>97</v>
      </c>
      <c r="U651" s="1" t="b">
        <v>1</v>
      </c>
      <c r="V651" s="1" t="b">
        <v>0</v>
      </c>
      <c r="W651" s="1" t="b">
        <v>0</v>
      </c>
      <c r="X651" s="1">
        <v>5</v>
      </c>
      <c r="Y651" s="1" t="b">
        <v>1</v>
      </c>
      <c r="Z651" s="1" t="b">
        <v>1</v>
      </c>
      <c r="AA651" s="1">
        <v>69.5</v>
      </c>
      <c r="AB651" s="1" t="b">
        <v>0</v>
      </c>
      <c r="AC651" s="1">
        <v>0</v>
      </c>
      <c r="AD651" s="1">
        <v>2201597</v>
      </c>
      <c r="AE651" s="1">
        <v>156657667</v>
      </c>
      <c r="AF651" s="1" t="s">
        <v>2727</v>
      </c>
      <c r="AG651" s="1" t="s">
        <v>2727</v>
      </c>
      <c r="AH651" s="1">
        <v>58.6</v>
      </c>
      <c r="AI651" s="1">
        <v>65.400000000000006</v>
      </c>
      <c r="AJ651" s="1" t="s">
        <v>2728</v>
      </c>
      <c r="AK651" s="1" t="s">
        <v>2729</v>
      </c>
      <c r="AL651" s="1" t="s">
        <v>2730</v>
      </c>
    </row>
    <row r="652" spans="1:38" x14ac:dyDescent="0.6">
      <c r="A652" s="1">
        <v>459</v>
      </c>
      <c r="B652" s="1" t="s">
        <v>103</v>
      </c>
      <c r="C652" s="1">
        <v>50</v>
      </c>
      <c r="D652" s="1" t="s">
        <v>89</v>
      </c>
      <c r="E652" s="1" t="s">
        <v>108</v>
      </c>
      <c r="F652" s="1"/>
      <c r="G652" s="1"/>
      <c r="H652" s="1" t="s">
        <v>91</v>
      </c>
      <c r="I652" s="1" t="s">
        <v>92</v>
      </c>
      <c r="J652" s="1" t="s">
        <v>109</v>
      </c>
      <c r="K652" s="1">
        <v>1</v>
      </c>
      <c r="L652" s="1">
        <v>120</v>
      </c>
      <c r="M652" s="1" t="s">
        <v>94</v>
      </c>
      <c r="N652" s="1" t="s">
        <v>95</v>
      </c>
      <c r="O652" s="1"/>
      <c r="P652" s="1" t="s">
        <v>96</v>
      </c>
      <c r="Q652" s="1" t="s">
        <v>9</v>
      </c>
      <c r="R652" s="1">
        <v>0</v>
      </c>
      <c r="S652" s="1" t="s">
        <v>97</v>
      </c>
      <c r="T652" s="1" t="s">
        <v>97</v>
      </c>
      <c r="U652" s="1" t="b">
        <v>1</v>
      </c>
      <c r="V652" s="1" t="b">
        <v>0</v>
      </c>
      <c r="W652" s="1" t="b">
        <v>0</v>
      </c>
      <c r="X652" s="1">
        <v>0</v>
      </c>
      <c r="Y652" s="1" t="b">
        <v>1</v>
      </c>
      <c r="Z652" s="1" t="b">
        <v>1</v>
      </c>
      <c r="AA652" s="1">
        <v>80.2</v>
      </c>
      <c r="AB652" s="1" t="b">
        <v>1</v>
      </c>
      <c r="AC652" s="1">
        <v>187702830</v>
      </c>
      <c r="AD652" s="1">
        <v>2089426</v>
      </c>
      <c r="AE652" s="1">
        <v>0</v>
      </c>
      <c r="AF652" s="1" t="s">
        <v>2694</v>
      </c>
      <c r="AG652" s="1" t="s">
        <v>2695</v>
      </c>
      <c r="AH652" s="1">
        <v>67.5</v>
      </c>
      <c r="AI652" s="1">
        <v>73.400000000000006</v>
      </c>
      <c r="AJ652" s="1" t="s">
        <v>2731</v>
      </c>
      <c r="AK652" s="1" t="s">
        <v>2732</v>
      </c>
      <c r="AL652" s="1" t="s">
        <v>2733</v>
      </c>
    </row>
    <row r="653" spans="1:38" x14ac:dyDescent="0.6">
      <c r="A653" s="1">
        <v>464</v>
      </c>
      <c r="B653" s="1" t="s">
        <v>103</v>
      </c>
      <c r="C653" s="1">
        <v>70</v>
      </c>
      <c r="D653" s="1" t="s">
        <v>119</v>
      </c>
      <c r="E653" s="1" t="s">
        <v>90</v>
      </c>
      <c r="F653" s="1"/>
      <c r="G653" s="1"/>
      <c r="H653" s="1" t="s">
        <v>91</v>
      </c>
      <c r="I653" s="1" t="s">
        <v>92</v>
      </c>
      <c r="J653" s="1" t="s">
        <v>109</v>
      </c>
      <c r="K653" s="1">
        <v>1</v>
      </c>
      <c r="L653" s="1">
        <v>120</v>
      </c>
      <c r="M653" s="1" t="s">
        <v>94</v>
      </c>
      <c r="N653" s="1" t="s">
        <v>95</v>
      </c>
      <c r="O653" s="1"/>
      <c r="P653" s="1" t="s">
        <v>96</v>
      </c>
      <c r="Q653" s="1" t="s">
        <v>9</v>
      </c>
      <c r="R653" s="1">
        <v>0</v>
      </c>
      <c r="S653" s="1" t="s">
        <v>97</v>
      </c>
      <c r="T653" s="1" t="s">
        <v>97</v>
      </c>
      <c r="U653" s="1" t="b">
        <v>1</v>
      </c>
      <c r="V653" s="1" t="b">
        <v>0</v>
      </c>
      <c r="W653" s="1" t="b">
        <v>0</v>
      </c>
      <c r="X653" s="1">
        <v>0</v>
      </c>
      <c r="Y653" s="1" t="b">
        <v>1</v>
      </c>
      <c r="Z653" s="1" t="b">
        <v>1</v>
      </c>
      <c r="AA653" s="1">
        <v>74</v>
      </c>
      <c r="AB653" s="1" t="b">
        <v>1</v>
      </c>
      <c r="AC653" s="1">
        <v>132091611</v>
      </c>
      <c r="AD653" s="1">
        <v>2126117</v>
      </c>
      <c r="AE653" s="1">
        <v>0</v>
      </c>
      <c r="AF653" s="1" t="s">
        <v>2712</v>
      </c>
      <c r="AG653" s="1" t="s">
        <v>2713</v>
      </c>
      <c r="AH653" s="1">
        <v>67.400000000000006</v>
      </c>
      <c r="AI653" s="1">
        <v>68.2</v>
      </c>
      <c r="AJ653" s="1" t="s">
        <v>2734</v>
      </c>
      <c r="AK653" s="1" t="s">
        <v>2735</v>
      </c>
      <c r="AL653" s="1" t="s">
        <v>2736</v>
      </c>
    </row>
    <row r="654" spans="1:38" x14ac:dyDescent="0.6">
      <c r="A654" s="1">
        <v>477</v>
      </c>
      <c r="B654" s="1" t="s">
        <v>103</v>
      </c>
      <c r="C654" s="1">
        <v>60</v>
      </c>
      <c r="D654" s="1" t="s">
        <v>127</v>
      </c>
      <c r="E654" s="1" t="s">
        <v>108</v>
      </c>
      <c r="F654" s="1"/>
      <c r="G654" s="1"/>
      <c r="H654" s="1" t="s">
        <v>91</v>
      </c>
      <c r="I654" s="1" t="s">
        <v>92</v>
      </c>
      <c r="J654" s="1" t="s">
        <v>93</v>
      </c>
      <c r="K654" s="1">
        <v>5</v>
      </c>
      <c r="L654" s="1">
        <v>120</v>
      </c>
      <c r="M654" s="1" t="s">
        <v>14</v>
      </c>
      <c r="N654" s="1" t="s">
        <v>95</v>
      </c>
      <c r="O654" s="1" t="s">
        <v>96</v>
      </c>
      <c r="P654" s="1"/>
      <c r="Q654" s="1" t="s">
        <v>9</v>
      </c>
      <c r="R654" s="1">
        <v>0</v>
      </c>
      <c r="S654" s="1" t="s">
        <v>97</v>
      </c>
      <c r="T654" s="1" t="s">
        <v>97</v>
      </c>
      <c r="U654" s="1" t="b">
        <v>1</v>
      </c>
      <c r="V654" s="1" t="b">
        <v>0</v>
      </c>
      <c r="W654" s="1" t="b">
        <v>0</v>
      </c>
      <c r="X654" s="1">
        <v>5</v>
      </c>
      <c r="Y654" s="1" t="b">
        <v>1</v>
      </c>
      <c r="Z654" s="1" t="b">
        <v>1</v>
      </c>
      <c r="AA654" s="1"/>
      <c r="AB654" s="1" t="b">
        <v>1</v>
      </c>
      <c r="AC654" s="1">
        <v>22103837</v>
      </c>
      <c r="AD654" s="1">
        <v>178403</v>
      </c>
      <c r="AE654" s="1">
        <v>0</v>
      </c>
      <c r="AF654" s="1" t="s">
        <v>2737</v>
      </c>
      <c r="AG654" s="1" t="s">
        <v>2738</v>
      </c>
      <c r="AH654" s="1">
        <v>49.3</v>
      </c>
      <c r="AI654" s="1">
        <v>52.7</v>
      </c>
      <c r="AJ654" s="1" t="s">
        <v>2739</v>
      </c>
      <c r="AK654" s="1" t="s">
        <v>2740</v>
      </c>
      <c r="AL654" s="1" t="s">
        <v>2741</v>
      </c>
    </row>
    <row r="655" spans="1:38" x14ac:dyDescent="0.6">
      <c r="A655" s="1">
        <v>467</v>
      </c>
      <c r="B655" s="1" t="s">
        <v>103</v>
      </c>
      <c r="C655" s="1">
        <v>60</v>
      </c>
      <c r="D655" s="1" t="s">
        <v>127</v>
      </c>
      <c r="E655" s="1" t="s">
        <v>90</v>
      </c>
      <c r="F655" s="1"/>
      <c r="G655" s="1"/>
      <c r="H655" s="1" t="s">
        <v>91</v>
      </c>
      <c r="I655" s="1" t="s">
        <v>92</v>
      </c>
      <c r="J655" s="1" t="s">
        <v>93</v>
      </c>
      <c r="K655" s="1">
        <v>1</v>
      </c>
      <c r="L655" s="1">
        <v>120</v>
      </c>
      <c r="M655" s="1" t="s">
        <v>94</v>
      </c>
      <c r="N655" s="1" t="s">
        <v>95</v>
      </c>
      <c r="O655" s="1"/>
      <c r="P655" s="1" t="s">
        <v>96</v>
      </c>
      <c r="Q655" s="1" t="s">
        <v>9</v>
      </c>
      <c r="R655" s="1">
        <v>0</v>
      </c>
      <c r="S655" s="1" t="s">
        <v>97</v>
      </c>
      <c r="T655" s="1" t="s">
        <v>97</v>
      </c>
      <c r="U655" s="1" t="b">
        <v>1</v>
      </c>
      <c r="V655" s="1" t="b">
        <v>0</v>
      </c>
      <c r="W655" s="1" t="b">
        <v>0</v>
      </c>
      <c r="X655" s="1">
        <v>0</v>
      </c>
      <c r="Y655" s="1" t="b">
        <v>1</v>
      </c>
      <c r="Z655" s="1" t="b">
        <v>1</v>
      </c>
      <c r="AA655" s="1">
        <v>64.599999999999994</v>
      </c>
      <c r="AB655" s="1" t="b">
        <v>1</v>
      </c>
      <c r="AC655" s="1">
        <v>126418489</v>
      </c>
      <c r="AD655" s="1">
        <v>1245639</v>
      </c>
      <c r="AE655" s="1">
        <v>0</v>
      </c>
      <c r="AF655" s="1" t="s">
        <v>2722</v>
      </c>
      <c r="AG655" s="1" t="s">
        <v>2723</v>
      </c>
      <c r="AH655" s="1">
        <v>59.1</v>
      </c>
      <c r="AI655" s="1">
        <v>61.4</v>
      </c>
      <c r="AJ655" s="1" t="s">
        <v>2742</v>
      </c>
      <c r="AK655" s="1" t="s">
        <v>2743</v>
      </c>
      <c r="AL655" s="1" t="s">
        <v>2744</v>
      </c>
    </row>
    <row r="656" spans="1:38" x14ac:dyDescent="0.6">
      <c r="A656" s="1">
        <v>465</v>
      </c>
      <c r="B656" s="1" t="s">
        <v>103</v>
      </c>
      <c r="C656" s="1">
        <v>70</v>
      </c>
      <c r="D656" s="1" t="s">
        <v>119</v>
      </c>
      <c r="E656" s="1" t="s">
        <v>90</v>
      </c>
      <c r="F656" s="1"/>
      <c r="G656" s="1"/>
      <c r="H656" s="1" t="s">
        <v>91</v>
      </c>
      <c r="I656" s="1" t="s">
        <v>92</v>
      </c>
      <c r="J656" s="1" t="s">
        <v>109</v>
      </c>
      <c r="K656" s="1">
        <v>1</v>
      </c>
      <c r="L656" s="1">
        <v>120</v>
      </c>
      <c r="M656" s="1" t="s">
        <v>14</v>
      </c>
      <c r="N656" s="1" t="s">
        <v>95</v>
      </c>
      <c r="O656" s="1" t="s">
        <v>96</v>
      </c>
      <c r="P656" s="1"/>
      <c r="Q656" s="1" t="s">
        <v>9</v>
      </c>
      <c r="R656" s="1">
        <v>0</v>
      </c>
      <c r="S656" s="1" t="s">
        <v>97</v>
      </c>
      <c r="T656" s="1" t="s">
        <v>97</v>
      </c>
      <c r="U656" s="1" t="b">
        <v>1</v>
      </c>
      <c r="V656" s="1" t="b">
        <v>0</v>
      </c>
      <c r="W656" s="1" t="b">
        <v>0</v>
      </c>
      <c r="X656" s="1">
        <v>5</v>
      </c>
      <c r="Y656" s="1" t="b">
        <v>1</v>
      </c>
      <c r="Z656" s="1" t="b">
        <v>1</v>
      </c>
      <c r="AA656" s="1"/>
      <c r="AB656" s="1" t="b">
        <v>1</v>
      </c>
      <c r="AC656" s="1">
        <v>142070287</v>
      </c>
      <c r="AD656" s="1">
        <v>798193</v>
      </c>
      <c r="AE656" s="1">
        <v>0</v>
      </c>
      <c r="AF656" s="1" t="s">
        <v>2745</v>
      </c>
      <c r="AG656" s="1" t="s">
        <v>2746</v>
      </c>
      <c r="AH656" s="1">
        <v>83.2</v>
      </c>
      <c r="AI656" s="1">
        <v>66.599999999999994</v>
      </c>
      <c r="AJ656" s="1" t="s">
        <v>2747</v>
      </c>
      <c r="AK656" s="1" t="s">
        <v>2748</v>
      </c>
      <c r="AL656" s="1" t="s">
        <v>2749</v>
      </c>
    </row>
    <row r="657" spans="1:38" x14ac:dyDescent="0.6">
      <c r="A657" s="1">
        <v>455</v>
      </c>
      <c r="B657" s="1" t="s">
        <v>103</v>
      </c>
      <c r="C657" s="1">
        <v>50</v>
      </c>
      <c r="D657" s="1" t="s">
        <v>89</v>
      </c>
      <c r="E657" s="1" t="s">
        <v>108</v>
      </c>
      <c r="F657" s="1"/>
      <c r="G657" s="1"/>
      <c r="H657" s="1" t="s">
        <v>91</v>
      </c>
      <c r="I657" s="1" t="s">
        <v>92</v>
      </c>
      <c r="J657" s="1" t="s">
        <v>109</v>
      </c>
      <c r="K657" s="1">
        <v>1</v>
      </c>
      <c r="L657" s="1">
        <v>120</v>
      </c>
      <c r="M657" s="1" t="s">
        <v>94</v>
      </c>
      <c r="N657" s="1" t="s">
        <v>95</v>
      </c>
      <c r="O657" s="1"/>
      <c r="P657" s="1" t="s">
        <v>96</v>
      </c>
      <c r="Q657" s="1" t="s">
        <v>9</v>
      </c>
      <c r="R657" s="1">
        <v>0</v>
      </c>
      <c r="S657" s="1" t="s">
        <v>97</v>
      </c>
      <c r="T657" s="1" t="s">
        <v>97</v>
      </c>
      <c r="U657" s="1" t="b">
        <v>1</v>
      </c>
      <c r="V657" s="1" t="b">
        <v>0</v>
      </c>
      <c r="W657" s="1" t="b">
        <v>0</v>
      </c>
      <c r="X657" s="1">
        <v>0</v>
      </c>
      <c r="Y657" s="1" t="b">
        <v>1</v>
      </c>
      <c r="Z657" s="1" t="b">
        <v>1</v>
      </c>
      <c r="AA657" s="1">
        <v>57.4</v>
      </c>
      <c r="AB657" s="1" t="b">
        <v>1</v>
      </c>
      <c r="AC657" s="1">
        <v>155261292</v>
      </c>
      <c r="AD657" s="1">
        <v>2287252</v>
      </c>
      <c r="AE657" s="1">
        <v>0</v>
      </c>
      <c r="AF657" s="1" t="s">
        <v>2750</v>
      </c>
      <c r="AG657" s="1" t="s">
        <v>2751</v>
      </c>
      <c r="AH657" s="1">
        <v>60.5</v>
      </c>
      <c r="AI657" s="1">
        <v>55.4</v>
      </c>
      <c r="AJ657" s="1" t="s">
        <v>2752</v>
      </c>
      <c r="AK657" s="1" t="s">
        <v>2753</v>
      </c>
      <c r="AL657" s="1" t="s">
        <v>2754</v>
      </c>
    </row>
    <row r="658" spans="1:38" x14ac:dyDescent="0.6">
      <c r="A658" s="1">
        <v>448</v>
      </c>
      <c r="B658" s="1" t="s">
        <v>103</v>
      </c>
      <c r="C658" s="1">
        <v>50</v>
      </c>
      <c r="D658" s="1" t="s">
        <v>89</v>
      </c>
      <c r="E658" s="1" t="s">
        <v>90</v>
      </c>
      <c r="F658" s="1"/>
      <c r="G658" s="1"/>
      <c r="H658" s="1" t="s">
        <v>220</v>
      </c>
      <c r="I658" s="1" t="s">
        <v>221</v>
      </c>
      <c r="J658" s="1" t="s">
        <v>1176</v>
      </c>
      <c r="K658" s="1">
        <v>1.25</v>
      </c>
      <c r="L658" s="1">
        <v>120</v>
      </c>
      <c r="M658" s="1" t="s">
        <v>7</v>
      </c>
      <c r="N658" s="1" t="s">
        <v>7</v>
      </c>
      <c r="O658" s="1" t="s">
        <v>96</v>
      </c>
      <c r="P658" s="1" t="s">
        <v>96</v>
      </c>
      <c r="Q658" s="1" t="s">
        <v>9</v>
      </c>
      <c r="R658" s="1">
        <v>0</v>
      </c>
      <c r="S658" s="1" t="s">
        <v>97</v>
      </c>
      <c r="T658" s="1" t="s">
        <v>97</v>
      </c>
      <c r="U658" s="1" t="b">
        <v>1</v>
      </c>
      <c r="V658" s="1" t="b">
        <v>0</v>
      </c>
      <c r="W658" s="1" t="b">
        <v>0</v>
      </c>
      <c r="X658" s="1">
        <v>5</v>
      </c>
      <c r="Y658" s="1" t="b">
        <v>1</v>
      </c>
      <c r="Z658" s="1" t="b">
        <v>1</v>
      </c>
      <c r="AA658" s="1">
        <v>80.900000000000006</v>
      </c>
      <c r="AB658" s="1" t="b">
        <v>0</v>
      </c>
      <c r="AC658" s="1">
        <v>0</v>
      </c>
      <c r="AD658" s="1">
        <v>2126514</v>
      </c>
      <c r="AE658" s="1">
        <v>137071950</v>
      </c>
      <c r="AF658" s="1" t="s">
        <v>2755</v>
      </c>
      <c r="AG658" s="1" t="s">
        <v>2755</v>
      </c>
      <c r="AH658" s="1">
        <v>81</v>
      </c>
      <c r="AI658" s="1">
        <v>77</v>
      </c>
      <c r="AJ658" s="1" t="s">
        <v>2756</v>
      </c>
      <c r="AK658" s="1" t="s">
        <v>2757</v>
      </c>
      <c r="AL658" s="1" t="s">
        <v>2758</v>
      </c>
    </row>
    <row r="659" spans="1:38" x14ac:dyDescent="0.6">
      <c r="A659" s="1">
        <v>472</v>
      </c>
      <c r="B659" s="1" t="s">
        <v>88</v>
      </c>
      <c r="C659" s="1">
        <v>50</v>
      </c>
      <c r="D659" s="1" t="s">
        <v>89</v>
      </c>
      <c r="E659" s="1" t="s">
        <v>90</v>
      </c>
      <c r="F659" s="1"/>
      <c r="G659" s="1"/>
      <c r="H659" s="1" t="s">
        <v>91</v>
      </c>
      <c r="I659" s="1" t="s">
        <v>92</v>
      </c>
      <c r="J659" s="1" t="s">
        <v>93</v>
      </c>
      <c r="K659" s="1">
        <v>1</v>
      </c>
      <c r="L659" s="1">
        <v>120</v>
      </c>
      <c r="M659" s="1" t="s">
        <v>14</v>
      </c>
      <c r="N659" s="1" t="s">
        <v>14</v>
      </c>
      <c r="O659" s="1" t="s">
        <v>96</v>
      </c>
      <c r="P659" s="1"/>
      <c r="Q659" s="1" t="s">
        <v>9</v>
      </c>
      <c r="R659" s="1">
        <v>0</v>
      </c>
      <c r="S659" s="1"/>
      <c r="T659" s="1" t="s">
        <v>97</v>
      </c>
      <c r="U659" s="1"/>
      <c r="V659" s="1" t="b">
        <v>0</v>
      </c>
      <c r="W659" s="1" t="b">
        <v>0</v>
      </c>
      <c r="X659" s="1">
        <v>5</v>
      </c>
      <c r="Y659" s="1" t="b">
        <v>1</v>
      </c>
      <c r="Z659" s="1" t="b">
        <v>1</v>
      </c>
      <c r="AA659" s="1"/>
      <c r="AB659" s="1" t="b">
        <v>1</v>
      </c>
      <c r="AC659" s="1">
        <v>120322859</v>
      </c>
      <c r="AD659" s="1">
        <v>787669</v>
      </c>
      <c r="AE659" s="1">
        <v>0</v>
      </c>
      <c r="AF659" s="1" t="s">
        <v>2759</v>
      </c>
      <c r="AG659" s="1"/>
      <c r="AH659" s="1">
        <v>63.1</v>
      </c>
      <c r="AI659" s="1"/>
      <c r="AJ659" s="1" t="s">
        <v>2760</v>
      </c>
      <c r="AK659" s="1" t="s">
        <v>2761</v>
      </c>
      <c r="AL659" s="1" t="s">
        <v>2762</v>
      </c>
    </row>
    <row r="660" spans="1:38" x14ac:dyDescent="0.6">
      <c r="A660" s="1">
        <v>455</v>
      </c>
      <c r="B660" s="1" t="s">
        <v>103</v>
      </c>
      <c r="C660" s="1">
        <v>50</v>
      </c>
      <c r="D660" s="1" t="s">
        <v>89</v>
      </c>
      <c r="E660" s="1" t="s">
        <v>108</v>
      </c>
      <c r="F660" s="1"/>
      <c r="G660" s="1"/>
      <c r="H660" s="1" t="s">
        <v>91</v>
      </c>
      <c r="I660" s="1" t="s">
        <v>92</v>
      </c>
      <c r="J660" s="1" t="s">
        <v>109</v>
      </c>
      <c r="K660" s="1">
        <v>1</v>
      </c>
      <c r="L660" s="1">
        <v>120</v>
      </c>
      <c r="M660" s="1" t="s">
        <v>14</v>
      </c>
      <c r="N660" s="1" t="s">
        <v>95</v>
      </c>
      <c r="O660" s="1" t="s">
        <v>96</v>
      </c>
      <c r="P660" s="1"/>
      <c r="Q660" s="1" t="s">
        <v>9</v>
      </c>
      <c r="R660" s="1">
        <v>0</v>
      </c>
      <c r="S660" s="1" t="s">
        <v>97</v>
      </c>
      <c r="T660" s="1" t="s">
        <v>97</v>
      </c>
      <c r="U660" s="1" t="b">
        <v>1</v>
      </c>
      <c r="V660" s="1" t="b">
        <v>0</v>
      </c>
      <c r="W660" s="1" t="b">
        <v>0</v>
      </c>
      <c r="X660" s="1">
        <v>5</v>
      </c>
      <c r="Y660" s="1" t="b">
        <v>1</v>
      </c>
      <c r="Z660" s="1" t="b">
        <v>1</v>
      </c>
      <c r="AA660" s="1"/>
      <c r="AB660" s="1" t="b">
        <v>1</v>
      </c>
      <c r="AC660" s="1">
        <v>145431394</v>
      </c>
      <c r="AD660" s="1">
        <v>844958</v>
      </c>
      <c r="AE660" s="1">
        <v>0</v>
      </c>
      <c r="AF660" s="1" t="s">
        <v>2750</v>
      </c>
      <c r="AG660" s="1" t="s">
        <v>2751</v>
      </c>
      <c r="AH660" s="1">
        <v>60.5</v>
      </c>
      <c r="AI660" s="1">
        <v>55.4</v>
      </c>
      <c r="AJ660" s="1" t="s">
        <v>2763</v>
      </c>
      <c r="AK660" s="1" t="s">
        <v>2764</v>
      </c>
      <c r="AL660" s="1" t="s">
        <v>2765</v>
      </c>
    </row>
    <row r="661" spans="1:38" x14ac:dyDescent="0.6">
      <c r="A661" s="1">
        <v>466</v>
      </c>
      <c r="B661" s="1" t="s">
        <v>103</v>
      </c>
      <c r="C661" s="1">
        <v>60</v>
      </c>
      <c r="D661" s="1" t="s">
        <v>127</v>
      </c>
      <c r="E661" s="1" t="s">
        <v>108</v>
      </c>
      <c r="F661" s="1"/>
      <c r="G661" s="1"/>
      <c r="H661" s="1" t="s">
        <v>91</v>
      </c>
      <c r="I661" s="1" t="s">
        <v>92</v>
      </c>
      <c r="J661" s="1" t="s">
        <v>109</v>
      </c>
      <c r="K661" s="1">
        <v>1</v>
      </c>
      <c r="L661" s="1">
        <v>120</v>
      </c>
      <c r="M661" s="1" t="s">
        <v>7</v>
      </c>
      <c r="N661" s="1" t="s">
        <v>7</v>
      </c>
      <c r="O661" s="1" t="s">
        <v>96</v>
      </c>
      <c r="P661" s="1" t="s">
        <v>96</v>
      </c>
      <c r="Q661" s="1" t="s">
        <v>9</v>
      </c>
      <c r="R661" s="1">
        <v>0</v>
      </c>
      <c r="S661" s="1" t="s">
        <v>97</v>
      </c>
      <c r="T661" s="1" t="s">
        <v>97</v>
      </c>
      <c r="U661" s="1" t="b">
        <v>1</v>
      </c>
      <c r="V661" s="1" t="b">
        <v>0</v>
      </c>
      <c r="W661" s="1" t="b">
        <v>0</v>
      </c>
      <c r="X661" s="1">
        <v>5</v>
      </c>
      <c r="Y661" s="1" t="b">
        <v>1</v>
      </c>
      <c r="Z661" s="1" t="b">
        <v>1</v>
      </c>
      <c r="AA661" s="1">
        <v>63.1</v>
      </c>
      <c r="AB661" s="1" t="b">
        <v>0</v>
      </c>
      <c r="AC661" s="1">
        <v>0</v>
      </c>
      <c r="AD661" s="1">
        <v>2263653</v>
      </c>
      <c r="AE661" s="1">
        <v>147420571</v>
      </c>
      <c r="AF661" s="1" t="s">
        <v>2766</v>
      </c>
      <c r="AG661" s="1" t="s">
        <v>2766</v>
      </c>
      <c r="AH661" s="1">
        <v>62</v>
      </c>
      <c r="AI661" s="1">
        <v>61.4</v>
      </c>
      <c r="AJ661" s="1" t="s">
        <v>2767</v>
      </c>
      <c r="AK661" s="1" t="s">
        <v>2768</v>
      </c>
      <c r="AL661" s="1" t="s">
        <v>2769</v>
      </c>
    </row>
    <row r="662" spans="1:38" x14ac:dyDescent="0.6">
      <c r="A662" s="1">
        <v>469</v>
      </c>
      <c r="B662" s="1" t="s">
        <v>88</v>
      </c>
      <c r="C662" s="1">
        <v>70</v>
      </c>
      <c r="D662" s="1" t="s">
        <v>119</v>
      </c>
      <c r="E662" s="1" t="s">
        <v>90</v>
      </c>
      <c r="F662" s="1"/>
      <c r="G662" s="1"/>
      <c r="H662" s="1" t="s">
        <v>91</v>
      </c>
      <c r="I662" s="1" t="s">
        <v>92</v>
      </c>
      <c r="J662" s="1" t="s">
        <v>93</v>
      </c>
      <c r="K662" s="1">
        <v>1</v>
      </c>
      <c r="L662" s="1">
        <v>120</v>
      </c>
      <c r="M662" s="1" t="s">
        <v>7</v>
      </c>
      <c r="N662" s="1" t="s">
        <v>7</v>
      </c>
      <c r="O662" s="1" t="s">
        <v>96</v>
      </c>
      <c r="P662" s="1" t="s">
        <v>96</v>
      </c>
      <c r="Q662" s="1" t="s">
        <v>9</v>
      </c>
      <c r="R662" s="1">
        <v>0</v>
      </c>
      <c r="S662" s="1" t="s">
        <v>97</v>
      </c>
      <c r="T662" s="1" t="s">
        <v>97</v>
      </c>
      <c r="U662" s="1" t="b">
        <v>1</v>
      </c>
      <c r="V662" s="1" t="b">
        <v>0</v>
      </c>
      <c r="W662" s="1" t="b">
        <v>0</v>
      </c>
      <c r="X662" s="1">
        <v>5</v>
      </c>
      <c r="Y662" s="1" t="b">
        <v>1</v>
      </c>
      <c r="Z662" s="1" t="b">
        <v>1</v>
      </c>
      <c r="AA662" s="1">
        <v>69.599999999999994</v>
      </c>
      <c r="AB662" s="1" t="b">
        <v>0</v>
      </c>
      <c r="AC662" s="1">
        <v>0</v>
      </c>
      <c r="AD662" s="1">
        <v>1571159</v>
      </c>
      <c r="AE662" s="1">
        <v>149948073</v>
      </c>
      <c r="AF662" s="1" t="s">
        <v>2770</v>
      </c>
      <c r="AG662" s="1" t="s">
        <v>2770</v>
      </c>
      <c r="AH662" s="1">
        <v>58.2</v>
      </c>
      <c r="AI662" s="1">
        <v>64.2</v>
      </c>
      <c r="AJ662" s="1" t="s">
        <v>2771</v>
      </c>
      <c r="AK662" s="1" t="s">
        <v>2772</v>
      </c>
      <c r="AL662" s="1" t="s">
        <v>2773</v>
      </c>
    </row>
    <row r="663" spans="1:38" x14ac:dyDescent="0.6">
      <c r="A663" s="1">
        <v>461</v>
      </c>
      <c r="B663" s="1" t="s">
        <v>88</v>
      </c>
      <c r="C663" s="1">
        <v>60</v>
      </c>
      <c r="D663" s="1" t="s">
        <v>127</v>
      </c>
      <c r="E663" s="1" t="s">
        <v>90</v>
      </c>
      <c r="F663" s="1"/>
      <c r="G663" s="1"/>
      <c r="H663" s="1" t="s">
        <v>91</v>
      </c>
      <c r="I663" s="1" t="s">
        <v>92</v>
      </c>
      <c r="J663" s="1" t="s">
        <v>109</v>
      </c>
      <c r="K663" s="1">
        <v>1</v>
      </c>
      <c r="L663" s="1">
        <v>120</v>
      </c>
      <c r="M663" s="1" t="s">
        <v>94</v>
      </c>
      <c r="N663" s="1" t="s">
        <v>95</v>
      </c>
      <c r="O663" s="1"/>
      <c r="P663" s="1" t="s">
        <v>96</v>
      </c>
      <c r="Q663" s="1" t="s">
        <v>9</v>
      </c>
      <c r="R663" s="1">
        <v>0</v>
      </c>
      <c r="S663" s="1" t="s">
        <v>97</v>
      </c>
      <c r="T663" s="1" t="s">
        <v>97</v>
      </c>
      <c r="U663" s="1" t="b">
        <v>1</v>
      </c>
      <c r="V663" s="1" t="b">
        <v>0</v>
      </c>
      <c r="W663" s="1" t="b">
        <v>0</v>
      </c>
      <c r="X663" s="1">
        <v>0</v>
      </c>
      <c r="Y663" s="1" t="b">
        <v>1</v>
      </c>
      <c r="Z663" s="1" t="b">
        <v>1</v>
      </c>
      <c r="AA663" s="1">
        <v>85.7</v>
      </c>
      <c r="AB663" s="1" t="b">
        <v>1</v>
      </c>
      <c r="AC663" s="1">
        <v>149509006</v>
      </c>
      <c r="AD663" s="1">
        <v>2010226</v>
      </c>
      <c r="AE663" s="1">
        <v>0</v>
      </c>
      <c r="AF663" s="1" t="s">
        <v>2703</v>
      </c>
      <c r="AG663" s="1" t="s">
        <v>2704</v>
      </c>
      <c r="AH663" s="1">
        <v>86.8</v>
      </c>
      <c r="AI663" s="1">
        <v>82.1</v>
      </c>
      <c r="AJ663" s="1" t="s">
        <v>2774</v>
      </c>
      <c r="AK663" s="1" t="s">
        <v>2775</v>
      </c>
      <c r="AL663" s="1" t="s">
        <v>2776</v>
      </c>
    </row>
    <row r="664" spans="1:38" x14ac:dyDescent="0.6">
      <c r="A664" s="1">
        <v>474</v>
      </c>
      <c r="B664" s="1" t="s">
        <v>103</v>
      </c>
      <c r="C664" s="1">
        <v>50</v>
      </c>
      <c r="D664" s="1" t="s">
        <v>89</v>
      </c>
      <c r="E664" s="1" t="s">
        <v>108</v>
      </c>
      <c r="F664" s="1"/>
      <c r="G664" s="1"/>
      <c r="H664" s="1" t="s">
        <v>91</v>
      </c>
      <c r="I664" s="1" t="s">
        <v>92</v>
      </c>
      <c r="J664" s="1" t="s">
        <v>93</v>
      </c>
      <c r="K664" s="1">
        <v>5</v>
      </c>
      <c r="L664" s="1">
        <v>120</v>
      </c>
      <c r="M664" s="1" t="s">
        <v>94</v>
      </c>
      <c r="N664" s="1" t="s">
        <v>95</v>
      </c>
      <c r="O664" s="1"/>
      <c r="P664" s="1" t="s">
        <v>96</v>
      </c>
      <c r="Q664" s="1" t="s">
        <v>9</v>
      </c>
      <c r="R664" s="1">
        <v>0</v>
      </c>
      <c r="S664" s="1" t="s">
        <v>97</v>
      </c>
      <c r="T664" s="1" t="s">
        <v>97</v>
      </c>
      <c r="U664" s="1" t="b">
        <v>1</v>
      </c>
      <c r="V664" s="1" t="b">
        <v>0</v>
      </c>
      <c r="W664" s="1" t="b">
        <v>0</v>
      </c>
      <c r="X664" s="1">
        <v>0</v>
      </c>
      <c r="Y664" s="1" t="b">
        <v>1</v>
      </c>
      <c r="Z664" s="1" t="b">
        <v>1</v>
      </c>
      <c r="AA664" s="1">
        <v>76</v>
      </c>
      <c r="AB664" s="1" t="b">
        <v>1</v>
      </c>
      <c r="AC664" s="1">
        <v>145280852</v>
      </c>
      <c r="AD664" s="1">
        <v>1781932</v>
      </c>
      <c r="AE664" s="1">
        <v>0</v>
      </c>
      <c r="AF664" s="1" t="s">
        <v>2717</v>
      </c>
      <c r="AG664" s="1" t="s">
        <v>2718</v>
      </c>
      <c r="AH664" s="1">
        <v>84.1</v>
      </c>
      <c r="AI664" s="1">
        <v>76.3</v>
      </c>
      <c r="AJ664" s="1" t="s">
        <v>2777</v>
      </c>
      <c r="AK664" s="1" t="s">
        <v>2778</v>
      </c>
      <c r="AL664" s="1" t="s">
        <v>2779</v>
      </c>
    </row>
    <row r="665" spans="1:38" x14ac:dyDescent="0.6">
      <c r="A665" s="1">
        <v>475</v>
      </c>
      <c r="B665" s="1" t="s">
        <v>88</v>
      </c>
      <c r="C665" s="1">
        <v>60</v>
      </c>
      <c r="D665" s="1" t="s">
        <v>127</v>
      </c>
      <c r="E665" s="1" t="s">
        <v>108</v>
      </c>
      <c r="F665" s="1"/>
      <c r="G665" s="1"/>
      <c r="H665" s="1" t="s">
        <v>91</v>
      </c>
      <c r="I665" s="1" t="s">
        <v>92</v>
      </c>
      <c r="J665" s="1" t="s">
        <v>93</v>
      </c>
      <c r="K665" s="1">
        <v>1</v>
      </c>
      <c r="L665" s="1">
        <v>120</v>
      </c>
      <c r="M665" s="1" t="s">
        <v>14</v>
      </c>
      <c r="N665" s="1" t="s">
        <v>14</v>
      </c>
      <c r="O665" s="1" t="s">
        <v>96</v>
      </c>
      <c r="P665" s="1"/>
      <c r="Q665" s="1" t="s">
        <v>9</v>
      </c>
      <c r="R665" s="1">
        <v>0</v>
      </c>
      <c r="S665" s="1"/>
      <c r="T665" s="1" t="s">
        <v>97</v>
      </c>
      <c r="U665" s="1"/>
      <c r="V665" s="1" t="b">
        <v>0</v>
      </c>
      <c r="W665" s="1" t="b">
        <v>0</v>
      </c>
      <c r="X665" s="1">
        <v>5</v>
      </c>
      <c r="Y665" s="1" t="b">
        <v>1</v>
      </c>
      <c r="Z665" s="1" t="b">
        <v>1</v>
      </c>
      <c r="AA665" s="1"/>
      <c r="AB665" s="1" t="b">
        <v>1</v>
      </c>
      <c r="AC665" s="1">
        <v>152072066</v>
      </c>
      <c r="AD665" s="1">
        <v>757886</v>
      </c>
      <c r="AE665" s="1">
        <v>0</v>
      </c>
      <c r="AF665" s="1" t="s">
        <v>2780</v>
      </c>
      <c r="AG665" s="1"/>
      <c r="AH665" s="1">
        <v>70.2</v>
      </c>
      <c r="AI665" s="1"/>
      <c r="AJ665" s="1" t="s">
        <v>2781</v>
      </c>
      <c r="AK665" s="1" t="s">
        <v>2782</v>
      </c>
      <c r="AL665" s="1" t="s">
        <v>2783</v>
      </c>
    </row>
    <row r="666" spans="1:38" x14ac:dyDescent="0.6">
      <c r="A666" s="1">
        <v>458</v>
      </c>
      <c r="B666" s="1" t="s">
        <v>103</v>
      </c>
      <c r="C666" s="1">
        <v>50</v>
      </c>
      <c r="D666" s="1" t="s">
        <v>89</v>
      </c>
      <c r="E666" s="1" t="s">
        <v>108</v>
      </c>
      <c r="F666" s="1"/>
      <c r="G666" s="1"/>
      <c r="H666" s="1" t="s">
        <v>91</v>
      </c>
      <c r="I666" s="1" t="s">
        <v>92</v>
      </c>
      <c r="J666" s="1" t="s">
        <v>109</v>
      </c>
      <c r="K666" s="1">
        <v>1</v>
      </c>
      <c r="L666" s="1">
        <v>120</v>
      </c>
      <c r="M666" s="1" t="s">
        <v>7</v>
      </c>
      <c r="N666" s="1" t="s">
        <v>7</v>
      </c>
      <c r="O666" s="1" t="s">
        <v>96</v>
      </c>
      <c r="P666" s="1" t="s">
        <v>96</v>
      </c>
      <c r="Q666" s="1" t="s">
        <v>9</v>
      </c>
      <c r="R666" s="1">
        <v>0</v>
      </c>
      <c r="S666" s="1" t="s">
        <v>97</v>
      </c>
      <c r="T666" s="1" t="s">
        <v>97</v>
      </c>
      <c r="U666" s="1" t="b">
        <v>1</v>
      </c>
      <c r="V666" s="1" t="b">
        <v>0</v>
      </c>
      <c r="W666" s="1" t="b">
        <v>0</v>
      </c>
      <c r="X666" s="1">
        <v>5</v>
      </c>
      <c r="Y666" s="1" t="b">
        <v>1</v>
      </c>
      <c r="Z666" s="1" t="b">
        <v>1</v>
      </c>
      <c r="AA666" s="1">
        <v>77.7</v>
      </c>
      <c r="AB666" s="1" t="b">
        <v>0</v>
      </c>
      <c r="AC666" s="1">
        <v>0</v>
      </c>
      <c r="AD666" s="1">
        <v>2508085</v>
      </c>
      <c r="AE666" s="1">
        <v>146913995</v>
      </c>
      <c r="AF666" s="1" t="s">
        <v>2784</v>
      </c>
      <c r="AG666" s="1" t="s">
        <v>2784</v>
      </c>
      <c r="AH666" s="1">
        <v>72.5</v>
      </c>
      <c r="AI666" s="1">
        <v>74.3</v>
      </c>
      <c r="AJ666" s="1" t="s">
        <v>2785</v>
      </c>
      <c r="AK666" s="1" t="s">
        <v>2786</v>
      </c>
      <c r="AL666" s="1" t="s">
        <v>2787</v>
      </c>
    </row>
    <row r="667" spans="1:38" x14ac:dyDescent="0.6">
      <c r="A667" s="1">
        <v>473</v>
      </c>
      <c r="B667" s="1" t="s">
        <v>103</v>
      </c>
      <c r="C667" s="1">
        <v>60</v>
      </c>
      <c r="D667" s="1" t="s">
        <v>127</v>
      </c>
      <c r="E667" s="1" t="s">
        <v>90</v>
      </c>
      <c r="F667" s="1"/>
      <c r="G667" s="1"/>
      <c r="H667" s="1" t="s">
        <v>91</v>
      </c>
      <c r="I667" s="1" t="s">
        <v>92</v>
      </c>
      <c r="J667" s="1" t="s">
        <v>93</v>
      </c>
      <c r="K667" s="1">
        <v>1</v>
      </c>
      <c r="L667" s="1">
        <v>120</v>
      </c>
      <c r="M667" s="1" t="s">
        <v>14</v>
      </c>
      <c r="N667" s="1" t="s">
        <v>14</v>
      </c>
      <c r="O667" s="1" t="s">
        <v>96</v>
      </c>
      <c r="P667" s="1"/>
      <c r="Q667" s="1" t="s">
        <v>9</v>
      </c>
      <c r="R667" s="1">
        <v>0</v>
      </c>
      <c r="S667" s="1"/>
      <c r="T667" s="1" t="s">
        <v>97</v>
      </c>
      <c r="U667" s="1"/>
      <c r="V667" s="1" t="b">
        <v>0</v>
      </c>
      <c r="W667" s="1" t="b">
        <v>0</v>
      </c>
      <c r="X667" s="1">
        <v>5</v>
      </c>
      <c r="Y667" s="1" t="b">
        <v>1</v>
      </c>
      <c r="Z667" s="1" t="b">
        <v>1</v>
      </c>
      <c r="AA667" s="1"/>
      <c r="AB667" s="1" t="b">
        <v>1</v>
      </c>
      <c r="AC667" s="1">
        <v>146485022</v>
      </c>
      <c r="AD667" s="1">
        <v>577762</v>
      </c>
      <c r="AE667" s="1">
        <v>0</v>
      </c>
      <c r="AF667" s="1" t="s">
        <v>2788</v>
      </c>
      <c r="AG667" s="1"/>
      <c r="AH667" s="1">
        <v>53.5</v>
      </c>
      <c r="AI667" s="1"/>
      <c r="AJ667" s="1" t="s">
        <v>2789</v>
      </c>
      <c r="AK667" s="1" t="s">
        <v>2790</v>
      </c>
      <c r="AL667" s="1" t="s">
        <v>2791</v>
      </c>
    </row>
    <row r="668" spans="1:38" x14ac:dyDescent="0.6">
      <c r="A668" s="1">
        <v>477</v>
      </c>
      <c r="B668" s="1" t="s">
        <v>103</v>
      </c>
      <c r="C668" s="1">
        <v>60</v>
      </c>
      <c r="D668" s="1" t="s">
        <v>127</v>
      </c>
      <c r="E668" s="1" t="s">
        <v>108</v>
      </c>
      <c r="F668" s="1"/>
      <c r="G668" s="1"/>
      <c r="H668" s="1" t="s">
        <v>91</v>
      </c>
      <c r="I668" s="1" t="s">
        <v>92</v>
      </c>
      <c r="J668" s="1" t="s">
        <v>93</v>
      </c>
      <c r="K668" s="1">
        <v>5</v>
      </c>
      <c r="L668" s="1">
        <v>120</v>
      </c>
      <c r="M668" s="1" t="s">
        <v>94</v>
      </c>
      <c r="N668" s="1" t="s">
        <v>95</v>
      </c>
      <c r="O668" s="1"/>
      <c r="P668" s="1" t="s">
        <v>96</v>
      </c>
      <c r="Q668" s="1" t="s">
        <v>9</v>
      </c>
      <c r="R668" s="1">
        <v>0</v>
      </c>
      <c r="S668" s="1" t="s">
        <v>97</v>
      </c>
      <c r="T668" s="1" t="s">
        <v>97</v>
      </c>
      <c r="U668" s="1" t="b">
        <v>1</v>
      </c>
      <c r="V668" s="1" t="b">
        <v>0</v>
      </c>
      <c r="W668" s="1" t="b">
        <v>0</v>
      </c>
      <c r="X668" s="1">
        <v>0</v>
      </c>
      <c r="Y668" s="1" t="b">
        <v>1</v>
      </c>
      <c r="Z668" s="1" t="b">
        <v>1</v>
      </c>
      <c r="AA668" s="1">
        <v>55.7</v>
      </c>
      <c r="AB668" s="1" t="b">
        <v>1</v>
      </c>
      <c r="AC668" s="1">
        <v>135427570</v>
      </c>
      <c r="AD668" s="1">
        <v>2460174</v>
      </c>
      <c r="AE668" s="1">
        <v>0</v>
      </c>
      <c r="AF668" s="1" t="s">
        <v>2737</v>
      </c>
      <c r="AG668" s="1" t="s">
        <v>2738</v>
      </c>
      <c r="AH668" s="1">
        <v>49.3</v>
      </c>
      <c r="AI668" s="1">
        <v>52.7</v>
      </c>
      <c r="AJ668" s="1" t="s">
        <v>2792</v>
      </c>
      <c r="AK668" s="1" t="s">
        <v>2793</v>
      </c>
      <c r="AL668" s="1" t="s">
        <v>2794</v>
      </c>
    </row>
    <row r="669" spans="1:38" x14ac:dyDescent="0.6">
      <c r="A669" s="1">
        <v>480</v>
      </c>
      <c r="B669" s="1" t="s">
        <v>103</v>
      </c>
      <c r="C669" s="1">
        <v>60</v>
      </c>
      <c r="D669" s="1" t="s">
        <v>127</v>
      </c>
      <c r="E669" s="1" t="s">
        <v>108</v>
      </c>
      <c r="F669" s="1"/>
      <c r="G669" s="1"/>
      <c r="H669" s="1" t="s">
        <v>220</v>
      </c>
      <c r="I669" s="1" t="s">
        <v>221</v>
      </c>
      <c r="J669" s="1" t="s">
        <v>222</v>
      </c>
      <c r="K669" s="1">
        <v>1.25</v>
      </c>
      <c r="L669" s="1">
        <v>120</v>
      </c>
      <c r="M669" s="1" t="s">
        <v>7</v>
      </c>
      <c r="N669" s="1" t="s">
        <v>7</v>
      </c>
      <c r="O669" s="1" t="s">
        <v>96</v>
      </c>
      <c r="P669" s="1" t="s">
        <v>96</v>
      </c>
      <c r="Q669" s="1" t="s">
        <v>9</v>
      </c>
      <c r="R669" s="1">
        <v>0</v>
      </c>
      <c r="S669" s="1" t="s">
        <v>97</v>
      </c>
      <c r="T669" s="1" t="s">
        <v>97</v>
      </c>
      <c r="U669" s="1" t="b">
        <v>1</v>
      </c>
      <c r="V669" s="1" t="b">
        <v>0</v>
      </c>
      <c r="W669" s="1" t="b">
        <v>0</v>
      </c>
      <c r="X669" s="1">
        <v>5</v>
      </c>
      <c r="Y669" s="1" t="b">
        <v>1</v>
      </c>
      <c r="Z669" s="1" t="b">
        <v>1</v>
      </c>
      <c r="AA669" s="1">
        <v>75.400000000000006</v>
      </c>
      <c r="AB669" s="1" t="b">
        <v>0</v>
      </c>
      <c r="AC669" s="1">
        <v>0</v>
      </c>
      <c r="AD669" s="1">
        <v>2832706</v>
      </c>
      <c r="AE669" s="1">
        <v>144754366</v>
      </c>
      <c r="AF669" s="1" t="s">
        <v>2795</v>
      </c>
      <c r="AG669" s="1" t="s">
        <v>2795</v>
      </c>
      <c r="AH669" s="1">
        <v>81.8</v>
      </c>
      <c r="AI669" s="1">
        <v>74.5</v>
      </c>
      <c r="AJ669" s="1" t="s">
        <v>2796</v>
      </c>
      <c r="AK669" s="1" t="s">
        <v>2797</v>
      </c>
      <c r="AL669" s="1" t="s">
        <v>2798</v>
      </c>
    </row>
    <row r="670" spans="1:38" x14ac:dyDescent="0.6">
      <c r="A670" s="1">
        <v>481</v>
      </c>
      <c r="B670" s="1" t="s">
        <v>88</v>
      </c>
      <c r="C670" s="1">
        <v>50</v>
      </c>
      <c r="D670" s="1" t="s">
        <v>89</v>
      </c>
      <c r="E670" s="1" t="s">
        <v>90</v>
      </c>
      <c r="F670" s="1"/>
      <c r="G670" s="1"/>
      <c r="H670" s="1" t="s">
        <v>91</v>
      </c>
      <c r="I670" s="1" t="s">
        <v>92</v>
      </c>
      <c r="J670" s="1" t="s">
        <v>109</v>
      </c>
      <c r="K670" s="1">
        <v>1</v>
      </c>
      <c r="L670" s="1">
        <v>120</v>
      </c>
      <c r="M670" s="1" t="s">
        <v>7</v>
      </c>
      <c r="N670" s="1" t="s">
        <v>7</v>
      </c>
      <c r="O670" s="1" t="s">
        <v>96</v>
      </c>
      <c r="P670" s="1" t="s">
        <v>96</v>
      </c>
      <c r="Q670" s="1" t="s">
        <v>9</v>
      </c>
      <c r="R670" s="1">
        <v>0</v>
      </c>
      <c r="S670" s="1" t="s">
        <v>97</v>
      </c>
      <c r="T670" s="1" t="s">
        <v>97</v>
      </c>
      <c r="U670" s="1" t="b">
        <v>1</v>
      </c>
      <c r="V670" s="1" t="b">
        <v>0</v>
      </c>
      <c r="W670" s="1" t="b">
        <v>0</v>
      </c>
      <c r="X670" s="1">
        <v>5</v>
      </c>
      <c r="Y670" s="1" t="b">
        <v>1</v>
      </c>
      <c r="Z670" s="1" t="b">
        <v>1</v>
      </c>
      <c r="AA670" s="1">
        <v>73.900000000000006</v>
      </c>
      <c r="AB670" s="1" t="b">
        <v>0</v>
      </c>
      <c r="AC670" s="1">
        <v>0</v>
      </c>
      <c r="AD670" s="1">
        <v>2515851</v>
      </c>
      <c r="AE670" s="1">
        <v>99196021</v>
      </c>
      <c r="AF670" s="1" t="s">
        <v>2799</v>
      </c>
      <c r="AG670" s="1" t="s">
        <v>2799</v>
      </c>
      <c r="AH670" s="1">
        <v>69.900000000000006</v>
      </c>
      <c r="AI670" s="1">
        <v>69.2</v>
      </c>
      <c r="AJ670" s="1" t="s">
        <v>2800</v>
      </c>
      <c r="AK670" s="1" t="s">
        <v>2801</v>
      </c>
      <c r="AL670" s="1" t="s">
        <v>2802</v>
      </c>
    </row>
    <row r="671" spans="1:38" x14ac:dyDescent="0.6">
      <c r="A671" s="1">
        <v>476</v>
      </c>
      <c r="B671" s="1" t="s">
        <v>88</v>
      </c>
      <c r="C671" s="1">
        <v>50</v>
      </c>
      <c r="D671" s="1" t="s">
        <v>89</v>
      </c>
      <c r="E671" s="1" t="s">
        <v>108</v>
      </c>
      <c r="F671" s="1"/>
      <c r="G671" s="1"/>
      <c r="H671" s="1" t="s">
        <v>91</v>
      </c>
      <c r="I671" s="1" t="s">
        <v>92</v>
      </c>
      <c r="J671" s="1" t="s">
        <v>93</v>
      </c>
      <c r="K671" s="1">
        <v>1</v>
      </c>
      <c r="L671" s="1">
        <v>120</v>
      </c>
      <c r="M671" s="1" t="s">
        <v>94</v>
      </c>
      <c r="N671" s="1" t="s">
        <v>95</v>
      </c>
      <c r="O671" s="1"/>
      <c r="P671" s="1" t="s">
        <v>96</v>
      </c>
      <c r="Q671" s="1" t="s">
        <v>9</v>
      </c>
      <c r="R671" s="1">
        <v>0</v>
      </c>
      <c r="S671" s="1" t="s">
        <v>97</v>
      </c>
      <c r="T671" s="1" t="s">
        <v>97</v>
      </c>
      <c r="U671" s="1" t="b">
        <v>1</v>
      </c>
      <c r="V671" s="1" t="b">
        <v>0</v>
      </c>
      <c r="W671" s="1" t="b">
        <v>0</v>
      </c>
      <c r="X671" s="1">
        <v>0</v>
      </c>
      <c r="Y671" s="1" t="b">
        <v>1</v>
      </c>
      <c r="Z671" s="1" t="b">
        <v>1</v>
      </c>
      <c r="AA671" s="1">
        <v>76.900000000000006</v>
      </c>
      <c r="AB671" s="1" t="b">
        <v>1</v>
      </c>
      <c r="AC671" s="1">
        <v>149184938</v>
      </c>
      <c r="AD671" s="1">
        <v>1810006</v>
      </c>
      <c r="AE671" s="1">
        <v>0</v>
      </c>
      <c r="AF671" s="1" t="s">
        <v>2803</v>
      </c>
      <c r="AG671" s="1" t="s">
        <v>2804</v>
      </c>
      <c r="AH671" s="1">
        <v>84.8</v>
      </c>
      <c r="AI671" s="1">
        <v>76.5</v>
      </c>
      <c r="AJ671" s="1" t="s">
        <v>2805</v>
      </c>
      <c r="AK671" s="1" t="s">
        <v>2806</v>
      </c>
      <c r="AL671" s="1" t="s">
        <v>2807</v>
      </c>
    </row>
    <row r="672" spans="1:38" x14ac:dyDescent="0.6">
      <c r="A672" s="1">
        <v>476</v>
      </c>
      <c r="B672" s="1" t="s">
        <v>88</v>
      </c>
      <c r="C672" s="1">
        <v>50</v>
      </c>
      <c r="D672" s="1" t="s">
        <v>89</v>
      </c>
      <c r="E672" s="1" t="s">
        <v>108</v>
      </c>
      <c r="F672" s="1"/>
      <c r="G672" s="1"/>
      <c r="H672" s="1" t="s">
        <v>91</v>
      </c>
      <c r="I672" s="1" t="s">
        <v>92</v>
      </c>
      <c r="J672" s="1" t="s">
        <v>93</v>
      </c>
      <c r="K672" s="1">
        <v>1</v>
      </c>
      <c r="L672" s="1">
        <v>120</v>
      </c>
      <c r="M672" s="1" t="s">
        <v>14</v>
      </c>
      <c r="N672" s="1" t="s">
        <v>95</v>
      </c>
      <c r="O672" s="1" t="s">
        <v>96</v>
      </c>
      <c r="P672" s="1"/>
      <c r="Q672" s="1" t="s">
        <v>9</v>
      </c>
      <c r="R672" s="1">
        <v>0</v>
      </c>
      <c r="S672" s="1" t="s">
        <v>97</v>
      </c>
      <c r="T672" s="1" t="s">
        <v>97</v>
      </c>
      <c r="U672" s="1" t="b">
        <v>1</v>
      </c>
      <c r="V672" s="1" t="b">
        <v>0</v>
      </c>
      <c r="W672" s="1" t="b">
        <v>0</v>
      </c>
      <c r="X672" s="1">
        <v>5</v>
      </c>
      <c r="Y672" s="1" t="b">
        <v>1</v>
      </c>
      <c r="Z672" s="1" t="b">
        <v>1</v>
      </c>
      <c r="AA672" s="1"/>
      <c r="AB672" s="1" t="b">
        <v>1</v>
      </c>
      <c r="AC672" s="1">
        <v>149332262</v>
      </c>
      <c r="AD672" s="1">
        <v>614106</v>
      </c>
      <c r="AE672" s="1">
        <v>0</v>
      </c>
      <c r="AF672" s="1" t="s">
        <v>2803</v>
      </c>
      <c r="AG672" s="1" t="s">
        <v>2804</v>
      </c>
      <c r="AH672" s="1">
        <v>84.8</v>
      </c>
      <c r="AI672" s="1">
        <v>76.5</v>
      </c>
      <c r="AJ672" s="1" t="s">
        <v>2808</v>
      </c>
      <c r="AK672" s="1" t="s">
        <v>2809</v>
      </c>
      <c r="AL672" s="1" t="s">
        <v>2810</v>
      </c>
    </row>
    <row r="673" spans="1:38" x14ac:dyDescent="0.6">
      <c r="A673" s="1">
        <v>482</v>
      </c>
      <c r="B673" s="1" t="s">
        <v>88</v>
      </c>
      <c r="C673" s="1">
        <v>50</v>
      </c>
      <c r="D673" s="1" t="s">
        <v>89</v>
      </c>
      <c r="E673" s="1" t="s">
        <v>90</v>
      </c>
      <c r="F673" s="1"/>
      <c r="G673" s="1"/>
      <c r="H673" s="1" t="s">
        <v>91</v>
      </c>
      <c r="I673" s="1" t="s">
        <v>92</v>
      </c>
      <c r="J673" s="1" t="s">
        <v>109</v>
      </c>
      <c r="K673" s="1">
        <v>1</v>
      </c>
      <c r="L673" s="1">
        <v>120</v>
      </c>
      <c r="M673" s="1" t="s">
        <v>7</v>
      </c>
      <c r="N673" s="1" t="s">
        <v>7</v>
      </c>
      <c r="O673" s="1" t="s">
        <v>96</v>
      </c>
      <c r="P673" s="1" t="s">
        <v>96</v>
      </c>
      <c r="Q673" s="1" t="s">
        <v>9</v>
      </c>
      <c r="R673" s="1">
        <v>0</v>
      </c>
      <c r="S673" s="1" t="s">
        <v>97</v>
      </c>
      <c r="T673" s="1" t="s">
        <v>97</v>
      </c>
      <c r="U673" s="1" t="b">
        <v>1</v>
      </c>
      <c r="V673" s="1" t="b">
        <v>0</v>
      </c>
      <c r="W673" s="1" t="b">
        <v>0</v>
      </c>
      <c r="X673" s="1">
        <v>5</v>
      </c>
      <c r="Y673" s="1" t="b">
        <v>1</v>
      </c>
      <c r="Z673" s="1" t="b">
        <v>1</v>
      </c>
      <c r="AA673" s="1">
        <v>61.1</v>
      </c>
      <c r="AB673" s="1" t="b">
        <v>0</v>
      </c>
      <c r="AC673" s="1">
        <v>0</v>
      </c>
      <c r="AD673" s="1">
        <v>3457677</v>
      </c>
      <c r="AE673" s="1">
        <v>142294387</v>
      </c>
      <c r="AF673" s="1" t="s">
        <v>2811</v>
      </c>
      <c r="AG673" s="1" t="s">
        <v>2811</v>
      </c>
      <c r="AH673" s="1">
        <v>63.4</v>
      </c>
      <c r="AI673" s="1">
        <v>57.9</v>
      </c>
      <c r="AJ673" s="1" t="s">
        <v>2812</v>
      </c>
      <c r="AK673" s="1" t="s">
        <v>2813</v>
      </c>
      <c r="AL673" s="1" t="s">
        <v>2814</v>
      </c>
    </row>
    <row r="674" spans="1:38" x14ac:dyDescent="0.6">
      <c r="A674" s="1">
        <v>465</v>
      </c>
      <c r="B674" s="1" t="s">
        <v>103</v>
      </c>
      <c r="C674" s="1">
        <v>70</v>
      </c>
      <c r="D674" s="1" t="s">
        <v>119</v>
      </c>
      <c r="E674" s="1" t="s">
        <v>90</v>
      </c>
      <c r="F674" s="1"/>
      <c r="G674" s="1"/>
      <c r="H674" s="1" t="s">
        <v>91</v>
      </c>
      <c r="I674" s="1" t="s">
        <v>92</v>
      </c>
      <c r="J674" s="1" t="s">
        <v>109</v>
      </c>
      <c r="K674" s="1">
        <v>1</v>
      </c>
      <c r="L674" s="1">
        <v>120</v>
      </c>
      <c r="M674" s="1" t="s">
        <v>94</v>
      </c>
      <c r="N674" s="1" t="s">
        <v>95</v>
      </c>
      <c r="O674" s="1"/>
      <c r="P674" s="1" t="s">
        <v>96</v>
      </c>
      <c r="Q674" s="1" t="s">
        <v>9</v>
      </c>
      <c r="R674" s="1">
        <v>0</v>
      </c>
      <c r="S674" s="1" t="s">
        <v>97</v>
      </c>
      <c r="T674" s="1" t="s">
        <v>97</v>
      </c>
      <c r="U674" s="1" t="b">
        <v>1</v>
      </c>
      <c r="V674" s="1" t="b">
        <v>0</v>
      </c>
      <c r="W674" s="1" t="b">
        <v>0</v>
      </c>
      <c r="X674" s="1">
        <v>0</v>
      </c>
      <c r="Y674" s="1" t="b">
        <v>1</v>
      </c>
      <c r="Z674" s="1" t="b">
        <v>1</v>
      </c>
      <c r="AA674" s="1">
        <v>66.2</v>
      </c>
      <c r="AB674" s="1" t="b">
        <v>1</v>
      </c>
      <c r="AC674" s="1">
        <v>150048887</v>
      </c>
      <c r="AD674" s="1">
        <v>2256777</v>
      </c>
      <c r="AE674" s="1">
        <v>0</v>
      </c>
      <c r="AF674" s="1" t="s">
        <v>2745</v>
      </c>
      <c r="AG674" s="1" t="s">
        <v>2746</v>
      </c>
      <c r="AH674" s="1">
        <v>83.2</v>
      </c>
      <c r="AI674" s="1">
        <v>66.599999999999994</v>
      </c>
      <c r="AJ674" s="1" t="s">
        <v>2815</v>
      </c>
      <c r="AK674" s="1" t="s">
        <v>2816</v>
      </c>
      <c r="AL674" s="1" t="s">
        <v>2817</v>
      </c>
    </row>
    <row r="675" spans="1:38" x14ac:dyDescent="0.6">
      <c r="A675" s="1">
        <v>478</v>
      </c>
      <c r="B675" s="1" t="s">
        <v>88</v>
      </c>
      <c r="C675" s="1">
        <v>60</v>
      </c>
      <c r="D675" s="1" t="s">
        <v>127</v>
      </c>
      <c r="E675" s="1" t="s">
        <v>90</v>
      </c>
      <c r="F675" s="1"/>
      <c r="G675" s="1"/>
      <c r="H675" s="1" t="s">
        <v>220</v>
      </c>
      <c r="I675" s="1" t="s">
        <v>221</v>
      </c>
      <c r="J675" s="1" t="s">
        <v>222</v>
      </c>
      <c r="K675" s="1">
        <v>1.25</v>
      </c>
      <c r="L675" s="1">
        <v>120</v>
      </c>
      <c r="M675" s="1" t="s">
        <v>7</v>
      </c>
      <c r="N675" s="1" t="s">
        <v>7</v>
      </c>
      <c r="O675" s="1" t="s">
        <v>96</v>
      </c>
      <c r="P675" s="1" t="s">
        <v>96</v>
      </c>
      <c r="Q675" s="1" t="s">
        <v>9</v>
      </c>
      <c r="R675" s="1">
        <v>0</v>
      </c>
      <c r="S675" s="1" t="s">
        <v>97</v>
      </c>
      <c r="T675" s="1" t="s">
        <v>97</v>
      </c>
      <c r="U675" s="1" t="b">
        <v>1</v>
      </c>
      <c r="V675" s="1" t="b">
        <v>0</v>
      </c>
      <c r="W675" s="1" t="b">
        <v>0</v>
      </c>
      <c r="X675" s="1">
        <v>5</v>
      </c>
      <c r="Y675" s="1" t="b">
        <v>1</v>
      </c>
      <c r="Z675" s="1" t="b">
        <v>1</v>
      </c>
      <c r="AA675" s="1">
        <v>68.8</v>
      </c>
      <c r="AB675" s="1" t="b">
        <v>0</v>
      </c>
      <c r="AC675" s="1">
        <v>0</v>
      </c>
      <c r="AD675" s="1">
        <v>2115363</v>
      </c>
      <c r="AE675" s="1">
        <v>147044573</v>
      </c>
      <c r="AF675" s="1" t="s">
        <v>2818</v>
      </c>
      <c r="AG675" s="1" t="s">
        <v>2818</v>
      </c>
      <c r="AH675" s="1">
        <v>60.2</v>
      </c>
      <c r="AI675" s="1">
        <v>62.8</v>
      </c>
      <c r="AJ675" s="1" t="s">
        <v>2819</v>
      </c>
      <c r="AK675" s="1" t="s">
        <v>2820</v>
      </c>
      <c r="AL675" s="1" t="s">
        <v>2821</v>
      </c>
    </row>
    <row r="676" spans="1:38" x14ac:dyDescent="0.6">
      <c r="A676" s="1">
        <v>463</v>
      </c>
      <c r="B676" s="1" t="s">
        <v>88</v>
      </c>
      <c r="C676" s="1">
        <v>60</v>
      </c>
      <c r="D676" s="1" t="s">
        <v>127</v>
      </c>
      <c r="E676" s="1" t="s">
        <v>108</v>
      </c>
      <c r="F676" s="1"/>
      <c r="G676" s="1"/>
      <c r="H676" s="1" t="s">
        <v>91</v>
      </c>
      <c r="I676" s="1" t="s">
        <v>92</v>
      </c>
      <c r="J676" s="1" t="s">
        <v>109</v>
      </c>
      <c r="K676" s="1">
        <v>1</v>
      </c>
      <c r="L676" s="1">
        <v>120</v>
      </c>
      <c r="M676" s="1" t="s">
        <v>7</v>
      </c>
      <c r="N676" s="1" t="s">
        <v>7</v>
      </c>
      <c r="O676" s="1" t="s">
        <v>96</v>
      </c>
      <c r="P676" s="1" t="s">
        <v>96</v>
      </c>
      <c r="Q676" s="1" t="s">
        <v>9</v>
      </c>
      <c r="R676" s="1">
        <v>0</v>
      </c>
      <c r="S676" s="1" t="s">
        <v>97</v>
      </c>
      <c r="T676" s="1" t="s">
        <v>97</v>
      </c>
      <c r="U676" s="1" t="b">
        <v>1</v>
      </c>
      <c r="V676" s="1" t="b">
        <v>0</v>
      </c>
      <c r="W676" s="1" t="b">
        <v>0</v>
      </c>
      <c r="X676" s="1">
        <v>5</v>
      </c>
      <c r="Y676" s="1" t="b">
        <v>1</v>
      </c>
      <c r="Z676" s="1" t="b">
        <v>1</v>
      </c>
      <c r="AA676" s="1">
        <v>69.400000000000006</v>
      </c>
      <c r="AB676" s="1" t="b">
        <v>0</v>
      </c>
      <c r="AC676" s="1">
        <v>0</v>
      </c>
      <c r="AD676" s="1">
        <v>2640797</v>
      </c>
      <c r="AE676" s="1">
        <v>138916963</v>
      </c>
      <c r="AF676" s="1" t="s">
        <v>2822</v>
      </c>
      <c r="AG676" s="1" t="s">
        <v>2822</v>
      </c>
      <c r="AH676" s="1">
        <v>72.900000000000006</v>
      </c>
      <c r="AI676" s="1">
        <v>67.8</v>
      </c>
      <c r="AJ676" s="1" t="s">
        <v>2823</v>
      </c>
      <c r="AK676" s="1" t="s">
        <v>2824</v>
      </c>
      <c r="AL676" s="1" t="s">
        <v>2825</v>
      </c>
    </row>
    <row r="677" spans="1:38" x14ac:dyDescent="0.6">
      <c r="A677" s="1">
        <v>484</v>
      </c>
      <c r="B677" s="1" t="s">
        <v>88</v>
      </c>
      <c r="C677" s="1"/>
      <c r="D677" s="1"/>
      <c r="E677" s="1" t="s">
        <v>90</v>
      </c>
      <c r="F677" s="1"/>
      <c r="G677" s="1"/>
      <c r="H677" s="1" t="s">
        <v>91</v>
      </c>
      <c r="I677" s="1" t="s">
        <v>92</v>
      </c>
      <c r="J677" s="1" t="s">
        <v>109</v>
      </c>
      <c r="K677" s="1">
        <v>1</v>
      </c>
      <c r="L677" s="1">
        <v>120</v>
      </c>
      <c r="M677" s="1" t="s">
        <v>14</v>
      </c>
      <c r="N677" s="1" t="s">
        <v>95</v>
      </c>
      <c r="O677" s="1" t="s">
        <v>96</v>
      </c>
      <c r="P677" s="1"/>
      <c r="Q677" s="1" t="s">
        <v>9</v>
      </c>
      <c r="R677" s="1">
        <v>0</v>
      </c>
      <c r="S677" s="1" t="s">
        <v>97</v>
      </c>
      <c r="T677" s="1" t="s">
        <v>97</v>
      </c>
      <c r="U677" s="1" t="b">
        <v>1</v>
      </c>
      <c r="V677" s="1" t="b">
        <v>0</v>
      </c>
      <c r="W677" s="1" t="b">
        <v>0</v>
      </c>
      <c r="X677" s="1">
        <v>5</v>
      </c>
      <c r="Y677" s="1" t="b">
        <v>1</v>
      </c>
      <c r="Z677" s="1" t="b">
        <v>1</v>
      </c>
      <c r="AA677" s="1"/>
      <c r="AB677" s="1" t="b">
        <v>1</v>
      </c>
      <c r="AC677" s="1">
        <v>140468449</v>
      </c>
      <c r="AD677" s="1">
        <v>565023</v>
      </c>
      <c r="AE677" s="1">
        <v>0</v>
      </c>
      <c r="AF677" s="1" t="s">
        <v>2826</v>
      </c>
      <c r="AG677" s="1" t="s">
        <v>2827</v>
      </c>
      <c r="AH677" s="1">
        <v>62.7</v>
      </c>
      <c r="AI677" s="1">
        <v>62.7</v>
      </c>
      <c r="AJ677" s="1" t="s">
        <v>2828</v>
      </c>
      <c r="AK677" s="1" t="s">
        <v>2829</v>
      </c>
      <c r="AL677" s="1" t="s">
        <v>2830</v>
      </c>
    </row>
    <row r="678" spans="1:38" x14ac:dyDescent="0.6">
      <c r="A678" s="1">
        <v>479</v>
      </c>
      <c r="B678" s="1" t="s">
        <v>103</v>
      </c>
      <c r="C678" s="1">
        <v>50</v>
      </c>
      <c r="D678" s="1" t="s">
        <v>89</v>
      </c>
      <c r="E678" s="1" t="s">
        <v>90</v>
      </c>
      <c r="F678" s="1"/>
      <c r="G678" s="1"/>
      <c r="H678" s="1" t="s">
        <v>220</v>
      </c>
      <c r="I678" s="1" t="s">
        <v>221</v>
      </c>
      <c r="J678" s="1" t="s">
        <v>222</v>
      </c>
      <c r="K678" s="1">
        <v>1.25</v>
      </c>
      <c r="L678" s="1">
        <v>120</v>
      </c>
      <c r="M678" s="1" t="s">
        <v>7</v>
      </c>
      <c r="N678" s="1" t="s">
        <v>7</v>
      </c>
      <c r="O678" s="1" t="s">
        <v>96</v>
      </c>
      <c r="P678" s="1" t="s">
        <v>96</v>
      </c>
      <c r="Q678" s="1" t="s">
        <v>9</v>
      </c>
      <c r="R678" s="1">
        <v>0</v>
      </c>
      <c r="S678" s="1" t="s">
        <v>97</v>
      </c>
      <c r="T678" s="1" t="s">
        <v>97</v>
      </c>
      <c r="U678" s="1" t="b">
        <v>1</v>
      </c>
      <c r="V678" s="1" t="b">
        <v>0</v>
      </c>
      <c r="W678" s="1" t="b">
        <v>0</v>
      </c>
      <c r="X678" s="1">
        <v>5</v>
      </c>
      <c r="Y678" s="1" t="b">
        <v>1</v>
      </c>
      <c r="Z678" s="1" t="b">
        <v>1</v>
      </c>
      <c r="AA678" s="1">
        <v>96.8</v>
      </c>
      <c r="AB678" s="1" t="b">
        <v>0</v>
      </c>
      <c r="AC678" s="1">
        <v>0</v>
      </c>
      <c r="AD678" s="1">
        <v>1660473</v>
      </c>
      <c r="AE678" s="1">
        <v>156674503</v>
      </c>
      <c r="AF678" s="1" t="s">
        <v>2831</v>
      </c>
      <c r="AG678" s="1" t="s">
        <v>2831</v>
      </c>
      <c r="AH678" s="1">
        <v>96.5</v>
      </c>
      <c r="AI678" s="1">
        <v>91.4</v>
      </c>
      <c r="AJ678" s="1" t="s">
        <v>2832</v>
      </c>
      <c r="AK678" s="1" t="s">
        <v>2833</v>
      </c>
      <c r="AL678" s="1" t="s">
        <v>2834</v>
      </c>
    </row>
    <row r="679" spans="1:38" x14ac:dyDescent="0.6">
      <c r="A679" s="1">
        <v>485</v>
      </c>
      <c r="B679" s="1" t="s">
        <v>103</v>
      </c>
      <c r="C679" s="1"/>
      <c r="D679" s="1"/>
      <c r="E679" s="1" t="s">
        <v>90</v>
      </c>
      <c r="F679" s="1"/>
      <c r="G679" s="1"/>
      <c r="H679" s="1" t="s">
        <v>91</v>
      </c>
      <c r="I679" s="1" t="s">
        <v>92</v>
      </c>
      <c r="J679" s="1" t="s">
        <v>109</v>
      </c>
      <c r="K679" s="1">
        <v>1</v>
      </c>
      <c r="L679" s="1">
        <v>120</v>
      </c>
      <c r="M679" s="1" t="s">
        <v>14</v>
      </c>
      <c r="N679" s="1" t="s">
        <v>95</v>
      </c>
      <c r="O679" s="1" t="s">
        <v>96</v>
      </c>
      <c r="P679" s="1"/>
      <c r="Q679" s="1" t="s">
        <v>9</v>
      </c>
      <c r="R679" s="1">
        <v>0</v>
      </c>
      <c r="S679" s="1" t="s">
        <v>97</v>
      </c>
      <c r="T679" s="1" t="s">
        <v>97</v>
      </c>
      <c r="U679" s="1" t="b">
        <v>1</v>
      </c>
      <c r="V679" s="1" t="b">
        <v>0</v>
      </c>
      <c r="W679" s="1" t="b">
        <v>0</v>
      </c>
      <c r="X679" s="1">
        <v>5</v>
      </c>
      <c r="Y679" s="1" t="b">
        <v>1</v>
      </c>
      <c r="Z679" s="1" t="b">
        <v>1</v>
      </c>
      <c r="AA679" s="1"/>
      <c r="AB679" s="1" t="b">
        <v>1</v>
      </c>
      <c r="AC679" s="1">
        <v>133718349</v>
      </c>
      <c r="AD679" s="1">
        <v>499379</v>
      </c>
      <c r="AE679" s="1">
        <v>0</v>
      </c>
      <c r="AF679" s="1" t="s">
        <v>2835</v>
      </c>
      <c r="AG679" s="1" t="s">
        <v>2836</v>
      </c>
      <c r="AH679" s="1">
        <v>48.1</v>
      </c>
      <c r="AI679" s="1">
        <v>60.8</v>
      </c>
      <c r="AJ679" s="1" t="s">
        <v>2837</v>
      </c>
      <c r="AK679" s="1" t="s">
        <v>2838</v>
      </c>
      <c r="AL679" s="1" t="s">
        <v>2839</v>
      </c>
    </row>
    <row r="680" spans="1:38" x14ac:dyDescent="0.6">
      <c r="A680" s="1">
        <v>485</v>
      </c>
      <c r="B680" s="1" t="s">
        <v>103</v>
      </c>
      <c r="C680" s="1"/>
      <c r="D680" s="1"/>
      <c r="E680" s="1" t="s">
        <v>90</v>
      </c>
      <c r="F680" s="1"/>
      <c r="G680" s="1"/>
      <c r="H680" s="1" t="s">
        <v>91</v>
      </c>
      <c r="I680" s="1" t="s">
        <v>92</v>
      </c>
      <c r="J680" s="1" t="s">
        <v>109</v>
      </c>
      <c r="K680" s="1">
        <v>1</v>
      </c>
      <c r="L680" s="1">
        <v>120</v>
      </c>
      <c r="M680" s="1" t="s">
        <v>94</v>
      </c>
      <c r="N680" s="1" t="s">
        <v>95</v>
      </c>
      <c r="O680" s="1"/>
      <c r="P680" s="1" t="s">
        <v>96</v>
      </c>
      <c r="Q680" s="1" t="s">
        <v>9</v>
      </c>
      <c r="R680" s="1">
        <v>0</v>
      </c>
      <c r="S680" s="1" t="s">
        <v>97</v>
      </c>
      <c r="T680" s="1" t="s">
        <v>97</v>
      </c>
      <c r="U680" s="1" t="b">
        <v>1</v>
      </c>
      <c r="V680" s="1" t="b">
        <v>0</v>
      </c>
      <c r="W680" s="1" t="b">
        <v>0</v>
      </c>
      <c r="X680" s="1">
        <v>0</v>
      </c>
      <c r="Y680" s="1" t="b">
        <v>1</v>
      </c>
      <c r="Z680" s="1" t="b">
        <v>1</v>
      </c>
      <c r="AA680" s="1">
        <v>70.3</v>
      </c>
      <c r="AB680" s="1" t="b">
        <v>1</v>
      </c>
      <c r="AC680" s="1">
        <v>143973948</v>
      </c>
      <c r="AD680" s="1">
        <v>1253828</v>
      </c>
      <c r="AE680" s="1">
        <v>0</v>
      </c>
      <c r="AF680" s="1" t="s">
        <v>2835</v>
      </c>
      <c r="AG680" s="1" t="s">
        <v>2836</v>
      </c>
      <c r="AH680" s="1">
        <v>48.1</v>
      </c>
      <c r="AI680" s="1">
        <v>60.8</v>
      </c>
      <c r="AJ680" s="1" t="s">
        <v>2840</v>
      </c>
      <c r="AK680" s="1" t="s">
        <v>2841</v>
      </c>
      <c r="AL680" s="1" t="s">
        <v>2842</v>
      </c>
    </row>
    <row r="681" spans="1:38" x14ac:dyDescent="0.6">
      <c r="A681" s="1">
        <v>483</v>
      </c>
      <c r="B681" s="1" t="s">
        <v>103</v>
      </c>
      <c r="C681" s="1">
        <v>50</v>
      </c>
      <c r="D681" s="1" t="s">
        <v>89</v>
      </c>
      <c r="E681" s="1" t="s">
        <v>90</v>
      </c>
      <c r="F681" s="1"/>
      <c r="G681" s="1"/>
      <c r="H681" s="1" t="s">
        <v>91</v>
      </c>
      <c r="I681" s="1" t="s">
        <v>92</v>
      </c>
      <c r="J681" s="1" t="s">
        <v>109</v>
      </c>
      <c r="K681" s="1">
        <v>1</v>
      </c>
      <c r="L681" s="1">
        <v>120</v>
      </c>
      <c r="M681" s="1" t="s">
        <v>94</v>
      </c>
      <c r="N681" s="1" t="s">
        <v>95</v>
      </c>
      <c r="O681" s="1"/>
      <c r="P681" s="1" t="s">
        <v>96</v>
      </c>
      <c r="Q681" s="1" t="s">
        <v>9</v>
      </c>
      <c r="R681" s="1">
        <v>0</v>
      </c>
      <c r="S681" s="1" t="s">
        <v>97</v>
      </c>
      <c r="T681" s="1" t="s">
        <v>97</v>
      </c>
      <c r="U681" s="1" t="b">
        <v>1</v>
      </c>
      <c r="V681" s="1" t="b">
        <v>0</v>
      </c>
      <c r="W681" s="1" t="b">
        <v>0</v>
      </c>
      <c r="X681" s="1">
        <v>0</v>
      </c>
      <c r="Y681" s="1" t="b">
        <v>1</v>
      </c>
      <c r="Z681" s="1" t="b">
        <v>1</v>
      </c>
      <c r="AA681" s="1">
        <v>80.599999999999994</v>
      </c>
      <c r="AB681" s="1" t="b">
        <v>1</v>
      </c>
      <c r="AC681" s="1">
        <v>141499663</v>
      </c>
      <c r="AD681" s="1">
        <v>1893105</v>
      </c>
      <c r="AE681" s="1">
        <v>0</v>
      </c>
      <c r="AF681" s="1" t="s">
        <v>2843</v>
      </c>
      <c r="AG681" s="1" t="s">
        <v>2844</v>
      </c>
      <c r="AH681" s="1">
        <v>69.900000000000006</v>
      </c>
      <c r="AI681" s="1">
        <v>74.7</v>
      </c>
      <c r="AJ681" s="1" t="s">
        <v>2845</v>
      </c>
      <c r="AK681" s="1" t="s">
        <v>2846</v>
      </c>
      <c r="AL681" s="1" t="s">
        <v>2847</v>
      </c>
    </row>
    <row r="682" spans="1:38" x14ac:dyDescent="0.6">
      <c r="A682" s="1">
        <v>468</v>
      </c>
      <c r="B682" s="1" t="s">
        <v>103</v>
      </c>
      <c r="C682" s="1">
        <v>70</v>
      </c>
      <c r="D682" s="1" t="s">
        <v>119</v>
      </c>
      <c r="E682" s="1" t="s">
        <v>108</v>
      </c>
      <c r="F682" s="1"/>
      <c r="G682" s="1"/>
      <c r="H682" s="1" t="s">
        <v>91</v>
      </c>
      <c r="I682" s="1" t="s">
        <v>92</v>
      </c>
      <c r="J682" s="1" t="s">
        <v>93</v>
      </c>
      <c r="K682" s="1">
        <v>1</v>
      </c>
      <c r="L682" s="1">
        <v>120</v>
      </c>
      <c r="M682" s="1" t="s">
        <v>7</v>
      </c>
      <c r="N682" s="1" t="s">
        <v>7</v>
      </c>
      <c r="O682" s="1" t="s">
        <v>96</v>
      </c>
      <c r="P682" s="1" t="s">
        <v>96</v>
      </c>
      <c r="Q682" s="1" t="s">
        <v>9</v>
      </c>
      <c r="R682" s="1">
        <v>0</v>
      </c>
      <c r="S682" s="1" t="s">
        <v>97</v>
      </c>
      <c r="T682" s="1" t="s">
        <v>97</v>
      </c>
      <c r="U682" s="1" t="b">
        <v>1</v>
      </c>
      <c r="V682" s="1" t="b">
        <v>0</v>
      </c>
      <c r="W682" s="1" t="b">
        <v>0</v>
      </c>
      <c r="X682" s="1">
        <v>5</v>
      </c>
      <c r="Y682" s="1" t="b">
        <v>1</v>
      </c>
      <c r="Z682" s="1" t="b">
        <v>1</v>
      </c>
      <c r="AA682" s="1">
        <v>44.9</v>
      </c>
      <c r="AB682" s="1" t="b">
        <v>0</v>
      </c>
      <c r="AC682" s="1">
        <v>0</v>
      </c>
      <c r="AD682" s="1">
        <v>2030240</v>
      </c>
      <c r="AE682" s="1">
        <v>152110432</v>
      </c>
      <c r="AF682" s="1" t="s">
        <v>2848</v>
      </c>
      <c r="AG682" s="1" t="s">
        <v>2848</v>
      </c>
      <c r="AH682" s="1">
        <v>49.2</v>
      </c>
      <c r="AI682" s="1">
        <v>44.3</v>
      </c>
      <c r="AJ682" s="1" t="s">
        <v>2849</v>
      </c>
      <c r="AK682" s="1" t="s">
        <v>2850</v>
      </c>
      <c r="AL682" s="1" t="s">
        <v>2851</v>
      </c>
    </row>
    <row r="683" spans="1:38" x14ac:dyDescent="0.6">
      <c r="A683" s="1">
        <v>471</v>
      </c>
      <c r="B683" s="1" t="s">
        <v>88</v>
      </c>
      <c r="C683" s="1">
        <v>89</v>
      </c>
      <c r="D683" s="1" t="s">
        <v>153</v>
      </c>
      <c r="E683" s="1"/>
      <c r="F683" s="1"/>
      <c r="G683" s="1"/>
      <c r="H683" s="1" t="s">
        <v>91</v>
      </c>
      <c r="I683" s="1" t="s">
        <v>92</v>
      </c>
      <c r="J683" s="1" t="s">
        <v>93</v>
      </c>
      <c r="K683" s="1">
        <v>1</v>
      </c>
      <c r="L683" s="1">
        <v>120</v>
      </c>
      <c r="M683" s="1" t="s">
        <v>7</v>
      </c>
      <c r="N683" s="1" t="s">
        <v>7</v>
      </c>
      <c r="O683" s="1" t="s">
        <v>96</v>
      </c>
      <c r="P683" s="1" t="s">
        <v>96</v>
      </c>
      <c r="Q683" s="1" t="s">
        <v>9</v>
      </c>
      <c r="R683" s="1">
        <v>0</v>
      </c>
      <c r="S683" s="1" t="s">
        <v>97</v>
      </c>
      <c r="T683" s="1" t="s">
        <v>97</v>
      </c>
      <c r="U683" s="1" t="b">
        <v>1</v>
      </c>
      <c r="V683" s="1" t="b">
        <v>0</v>
      </c>
      <c r="W683" s="1" t="b">
        <v>0</v>
      </c>
      <c r="X683" s="1">
        <v>5</v>
      </c>
      <c r="Y683" s="1" t="b">
        <v>1</v>
      </c>
      <c r="Z683" s="1" t="b">
        <v>1</v>
      </c>
      <c r="AA683" s="1">
        <v>63.1</v>
      </c>
      <c r="AB683" s="1" t="b">
        <v>0</v>
      </c>
      <c r="AC683" s="1">
        <v>0</v>
      </c>
      <c r="AD683" s="1">
        <v>3137451</v>
      </c>
      <c r="AE683" s="1">
        <v>134226005</v>
      </c>
      <c r="AF683" s="1" t="s">
        <v>2852</v>
      </c>
      <c r="AG683" s="1" t="s">
        <v>2852</v>
      </c>
      <c r="AH683" s="1">
        <v>62.5</v>
      </c>
      <c r="AI683" s="1">
        <v>61</v>
      </c>
      <c r="AJ683" s="1" t="s">
        <v>2853</v>
      </c>
      <c r="AK683" s="1" t="s">
        <v>2854</v>
      </c>
      <c r="AL683" s="1" t="s">
        <v>2855</v>
      </c>
    </row>
    <row r="684" spans="1:38" x14ac:dyDescent="0.6">
      <c r="A684" s="1">
        <v>491</v>
      </c>
      <c r="B684" s="1" t="s">
        <v>103</v>
      </c>
      <c r="C684" s="1">
        <v>50</v>
      </c>
      <c r="D684" s="1" t="s">
        <v>89</v>
      </c>
      <c r="E684" s="1" t="s">
        <v>90</v>
      </c>
      <c r="F684" s="1"/>
      <c r="G684" s="1"/>
      <c r="H684" s="1" t="s">
        <v>91</v>
      </c>
      <c r="I684" s="1" t="s">
        <v>92</v>
      </c>
      <c r="J684" s="1" t="s">
        <v>93</v>
      </c>
      <c r="K684" s="1">
        <v>1</v>
      </c>
      <c r="L684" s="1">
        <v>120</v>
      </c>
      <c r="M684" s="1" t="s">
        <v>14</v>
      </c>
      <c r="N684" s="1" t="s">
        <v>14</v>
      </c>
      <c r="O684" s="1" t="s">
        <v>96</v>
      </c>
      <c r="P684" s="1"/>
      <c r="Q684" s="1" t="s">
        <v>9</v>
      </c>
      <c r="R684" s="1">
        <v>0</v>
      </c>
      <c r="S684" s="1"/>
      <c r="T684" s="1" t="s">
        <v>97</v>
      </c>
      <c r="U684" s="1"/>
      <c r="V684" s="1" t="b">
        <v>0</v>
      </c>
      <c r="W684" s="1" t="b">
        <v>0</v>
      </c>
      <c r="X684" s="1">
        <v>5</v>
      </c>
      <c r="Y684" s="1" t="b">
        <v>1</v>
      </c>
      <c r="Z684" s="1" t="b">
        <v>1</v>
      </c>
      <c r="AA684" s="1"/>
      <c r="AB684" s="1" t="b">
        <v>1</v>
      </c>
      <c r="AC684" s="1">
        <v>103999779</v>
      </c>
      <c r="AD684" s="1">
        <v>857821</v>
      </c>
      <c r="AE684" s="1">
        <v>0</v>
      </c>
      <c r="AF684" s="1" t="s">
        <v>2856</v>
      </c>
      <c r="AG684" s="1"/>
      <c r="AH684" s="1">
        <v>71.3</v>
      </c>
      <c r="AI684" s="1"/>
      <c r="AJ684" s="1" t="s">
        <v>2857</v>
      </c>
      <c r="AK684" s="1" t="s">
        <v>2858</v>
      </c>
      <c r="AL684" s="1" t="s">
        <v>2859</v>
      </c>
    </row>
    <row r="685" spans="1:38" x14ac:dyDescent="0.6">
      <c r="A685" s="1">
        <v>486</v>
      </c>
      <c r="B685" s="1" t="s">
        <v>103</v>
      </c>
      <c r="C685" s="1">
        <v>50</v>
      </c>
      <c r="D685" s="1" t="s">
        <v>89</v>
      </c>
      <c r="E685" s="1" t="s">
        <v>108</v>
      </c>
      <c r="F685" s="1"/>
      <c r="G685" s="1"/>
      <c r="H685" s="1" t="s">
        <v>91</v>
      </c>
      <c r="I685" s="1" t="s">
        <v>92</v>
      </c>
      <c r="J685" s="1" t="s">
        <v>93</v>
      </c>
      <c r="K685" s="1">
        <v>1</v>
      </c>
      <c r="L685" s="1">
        <v>120</v>
      </c>
      <c r="M685" s="1" t="s">
        <v>94</v>
      </c>
      <c r="N685" s="1" t="s">
        <v>95</v>
      </c>
      <c r="O685" s="1"/>
      <c r="P685" s="1" t="s">
        <v>96</v>
      </c>
      <c r="Q685" s="1" t="s">
        <v>9</v>
      </c>
      <c r="R685" s="1">
        <v>0</v>
      </c>
      <c r="S685" s="1" t="s">
        <v>97</v>
      </c>
      <c r="T685" s="1" t="s">
        <v>97</v>
      </c>
      <c r="U685" s="1" t="b">
        <v>1</v>
      </c>
      <c r="V685" s="1" t="b">
        <v>0</v>
      </c>
      <c r="W685" s="1" t="b">
        <v>0</v>
      </c>
      <c r="X685" s="1">
        <v>0</v>
      </c>
      <c r="Y685" s="1" t="b">
        <v>1</v>
      </c>
      <c r="Z685" s="1" t="b">
        <v>1</v>
      </c>
      <c r="AA685" s="1">
        <v>72.599999999999994</v>
      </c>
      <c r="AB685" s="1" t="b">
        <v>1</v>
      </c>
      <c r="AC685" s="1">
        <v>157451626</v>
      </c>
      <c r="AD685" s="1">
        <v>1407638</v>
      </c>
      <c r="AE685" s="1">
        <v>0</v>
      </c>
      <c r="AF685" s="1" t="s">
        <v>2860</v>
      </c>
      <c r="AG685" s="1" t="s">
        <v>2861</v>
      </c>
      <c r="AH685" s="1">
        <v>68</v>
      </c>
      <c r="AI685" s="1">
        <v>70.2</v>
      </c>
      <c r="AJ685" s="1" t="s">
        <v>2862</v>
      </c>
      <c r="AK685" s="1" t="s">
        <v>2863</v>
      </c>
      <c r="AL685" s="1" t="s">
        <v>2864</v>
      </c>
    </row>
    <row r="686" spans="1:38" x14ac:dyDescent="0.6">
      <c r="A686" s="1">
        <v>487</v>
      </c>
      <c r="B686" s="1" t="s">
        <v>88</v>
      </c>
      <c r="C686" s="1">
        <v>60</v>
      </c>
      <c r="D686" s="1" t="s">
        <v>127</v>
      </c>
      <c r="E686" s="1" t="s">
        <v>108</v>
      </c>
      <c r="F686" s="1"/>
      <c r="G686" s="1"/>
      <c r="H686" s="1" t="s">
        <v>91</v>
      </c>
      <c r="I686" s="1" t="s">
        <v>92</v>
      </c>
      <c r="J686" s="1" t="s">
        <v>93</v>
      </c>
      <c r="K686" s="1">
        <v>1</v>
      </c>
      <c r="L686" s="1">
        <v>120</v>
      </c>
      <c r="M686" s="1" t="s">
        <v>7</v>
      </c>
      <c r="N686" s="1" t="s">
        <v>7</v>
      </c>
      <c r="O686" s="1" t="s">
        <v>96</v>
      </c>
      <c r="P686" s="1" t="s">
        <v>96</v>
      </c>
      <c r="Q686" s="1" t="s">
        <v>9</v>
      </c>
      <c r="R686" s="1">
        <v>0</v>
      </c>
      <c r="S686" s="1" t="s">
        <v>97</v>
      </c>
      <c r="T686" s="1" t="s">
        <v>97</v>
      </c>
      <c r="U686" s="1" t="b">
        <v>1</v>
      </c>
      <c r="V686" s="1" t="b">
        <v>0</v>
      </c>
      <c r="W686" s="1" t="b">
        <v>0</v>
      </c>
      <c r="X686" s="1">
        <v>5</v>
      </c>
      <c r="Y686" s="1" t="b">
        <v>1</v>
      </c>
      <c r="Z686" s="1" t="b">
        <v>1</v>
      </c>
      <c r="AA686" s="1">
        <v>64.3</v>
      </c>
      <c r="AB686" s="1" t="b">
        <v>0</v>
      </c>
      <c r="AC686" s="1">
        <v>0</v>
      </c>
      <c r="AD686" s="1">
        <v>3062008</v>
      </c>
      <c r="AE686" s="1">
        <v>145573640</v>
      </c>
      <c r="AF686" s="1" t="s">
        <v>2865</v>
      </c>
      <c r="AG686" s="1" t="s">
        <v>2865</v>
      </c>
      <c r="AH686" s="1">
        <v>63</v>
      </c>
      <c r="AI686" s="1">
        <v>63.7</v>
      </c>
      <c r="AJ686" s="1" t="s">
        <v>2866</v>
      </c>
      <c r="AK686" s="1" t="s">
        <v>2867</v>
      </c>
      <c r="AL686" s="1" t="s">
        <v>2868</v>
      </c>
    </row>
    <row r="687" spans="1:38" x14ac:dyDescent="0.6">
      <c r="A687" s="1">
        <v>488</v>
      </c>
      <c r="B687" s="1" t="s">
        <v>88</v>
      </c>
      <c r="C687" s="1">
        <v>50</v>
      </c>
      <c r="D687" s="1" t="s">
        <v>89</v>
      </c>
      <c r="E687" s="1" t="s">
        <v>108</v>
      </c>
      <c r="F687" s="1"/>
      <c r="G687" s="1"/>
      <c r="H687" s="1" t="s">
        <v>91</v>
      </c>
      <c r="I687" s="1" t="s">
        <v>92</v>
      </c>
      <c r="J687" s="1" t="s">
        <v>93</v>
      </c>
      <c r="K687" s="1">
        <v>1</v>
      </c>
      <c r="L687" s="1">
        <v>120</v>
      </c>
      <c r="M687" s="1" t="s">
        <v>94</v>
      </c>
      <c r="N687" s="1" t="s">
        <v>95</v>
      </c>
      <c r="O687" s="1"/>
      <c r="P687" s="1" t="s">
        <v>96</v>
      </c>
      <c r="Q687" s="1" t="s">
        <v>9</v>
      </c>
      <c r="R687" s="1">
        <v>0</v>
      </c>
      <c r="S687" s="1" t="s">
        <v>97</v>
      </c>
      <c r="T687" s="1" t="s">
        <v>97</v>
      </c>
      <c r="U687" s="1" t="b">
        <v>1</v>
      </c>
      <c r="V687" s="1" t="b">
        <v>0</v>
      </c>
      <c r="W687" s="1" t="b">
        <v>0</v>
      </c>
      <c r="X687" s="1">
        <v>0</v>
      </c>
      <c r="Y687" s="1" t="b">
        <v>1</v>
      </c>
      <c r="Z687" s="1" t="b">
        <v>1</v>
      </c>
      <c r="AA687" s="1">
        <v>74.7</v>
      </c>
      <c r="AB687" s="1" t="b">
        <v>1</v>
      </c>
      <c r="AC687" s="1">
        <v>151392703</v>
      </c>
      <c r="AD687" s="1">
        <v>1699393</v>
      </c>
      <c r="AE687" s="1">
        <v>0</v>
      </c>
      <c r="AF687" s="1" t="s">
        <v>2869</v>
      </c>
      <c r="AG687" s="1" t="s">
        <v>2870</v>
      </c>
      <c r="AH687" s="1">
        <v>75.2</v>
      </c>
      <c r="AI687" s="1">
        <v>71.400000000000006</v>
      </c>
      <c r="AJ687" s="1" t="s">
        <v>2871</v>
      </c>
      <c r="AK687" s="1" t="s">
        <v>2872</v>
      </c>
      <c r="AL687" s="1" t="s">
        <v>2873</v>
      </c>
    </row>
    <row r="688" spans="1:38" x14ac:dyDescent="0.6">
      <c r="A688" s="1">
        <v>489</v>
      </c>
      <c r="B688" s="1" t="s">
        <v>88</v>
      </c>
      <c r="C688" s="1">
        <v>50</v>
      </c>
      <c r="D688" s="1" t="s">
        <v>89</v>
      </c>
      <c r="E688" s="1" t="s">
        <v>108</v>
      </c>
      <c r="F688" s="1"/>
      <c r="G688" s="1"/>
      <c r="H688" s="1" t="s">
        <v>91</v>
      </c>
      <c r="I688" s="1" t="s">
        <v>92</v>
      </c>
      <c r="J688" s="1" t="s">
        <v>93</v>
      </c>
      <c r="K688" s="1">
        <v>1</v>
      </c>
      <c r="L688" s="1">
        <v>120</v>
      </c>
      <c r="M688" s="1" t="s">
        <v>94</v>
      </c>
      <c r="N688" s="1" t="s">
        <v>95</v>
      </c>
      <c r="O688" s="1"/>
      <c r="P688" s="1" t="s">
        <v>96</v>
      </c>
      <c r="Q688" s="1" t="s">
        <v>9</v>
      </c>
      <c r="R688" s="1">
        <v>0</v>
      </c>
      <c r="S688" s="1" t="s">
        <v>97</v>
      </c>
      <c r="T688" s="1" t="s">
        <v>97</v>
      </c>
      <c r="U688" s="1" t="b">
        <v>1</v>
      </c>
      <c r="V688" s="1" t="b">
        <v>0</v>
      </c>
      <c r="W688" s="1" t="b">
        <v>0</v>
      </c>
      <c r="X688" s="1">
        <v>0</v>
      </c>
      <c r="Y688" s="1" t="b">
        <v>1</v>
      </c>
      <c r="Z688" s="1" t="b">
        <v>1</v>
      </c>
      <c r="AA688" s="1">
        <v>77.3</v>
      </c>
      <c r="AB688" s="1" t="b">
        <v>1</v>
      </c>
      <c r="AC688" s="1">
        <v>143797120</v>
      </c>
      <c r="AD688" s="1">
        <v>2217088</v>
      </c>
      <c r="AE688" s="1">
        <v>0</v>
      </c>
      <c r="AF688" s="1" t="s">
        <v>2874</v>
      </c>
      <c r="AG688" s="1" t="s">
        <v>2875</v>
      </c>
      <c r="AH688" s="1">
        <v>72.400000000000006</v>
      </c>
      <c r="AI688" s="1">
        <v>72.400000000000006</v>
      </c>
      <c r="AJ688" s="1" t="s">
        <v>2876</v>
      </c>
      <c r="AK688" s="1" t="s">
        <v>2877</v>
      </c>
      <c r="AL688" s="1" t="s">
        <v>2878</v>
      </c>
    </row>
    <row r="689" spans="1:38" x14ac:dyDescent="0.6">
      <c r="A689" s="1">
        <v>483</v>
      </c>
      <c r="B689" s="1" t="s">
        <v>103</v>
      </c>
      <c r="C689" s="1">
        <v>50</v>
      </c>
      <c r="D689" s="1" t="s">
        <v>89</v>
      </c>
      <c r="E689" s="1" t="s">
        <v>90</v>
      </c>
      <c r="F689" s="1"/>
      <c r="G689" s="1"/>
      <c r="H689" s="1" t="s">
        <v>91</v>
      </c>
      <c r="I689" s="1" t="s">
        <v>92</v>
      </c>
      <c r="J689" s="1" t="s">
        <v>109</v>
      </c>
      <c r="K689" s="1">
        <v>1</v>
      </c>
      <c r="L689" s="1">
        <v>120</v>
      </c>
      <c r="M689" s="1" t="s">
        <v>14</v>
      </c>
      <c r="N689" s="1" t="s">
        <v>95</v>
      </c>
      <c r="O689" s="1" t="s">
        <v>96</v>
      </c>
      <c r="P689" s="1"/>
      <c r="Q689" s="1" t="s">
        <v>9</v>
      </c>
      <c r="R689" s="1">
        <v>0</v>
      </c>
      <c r="S689" s="1" t="s">
        <v>97</v>
      </c>
      <c r="T689" s="1" t="s">
        <v>97</v>
      </c>
      <c r="U689" s="1" t="b">
        <v>1</v>
      </c>
      <c r="V689" s="1" t="b">
        <v>0</v>
      </c>
      <c r="W689" s="1" t="b">
        <v>0</v>
      </c>
      <c r="X689" s="1">
        <v>5</v>
      </c>
      <c r="Y689" s="1" t="b">
        <v>1</v>
      </c>
      <c r="Z689" s="1" t="b">
        <v>1</v>
      </c>
      <c r="AA689" s="1"/>
      <c r="AB689" s="1" t="b">
        <v>1</v>
      </c>
      <c r="AC689" s="1">
        <v>134396661</v>
      </c>
      <c r="AD689" s="1">
        <v>607499</v>
      </c>
      <c r="AE689" s="1">
        <v>0</v>
      </c>
      <c r="AF689" s="1" t="s">
        <v>2843</v>
      </c>
      <c r="AG689" s="1" t="s">
        <v>2844</v>
      </c>
      <c r="AH689" s="1">
        <v>69.900000000000006</v>
      </c>
      <c r="AI689" s="1">
        <v>74.7</v>
      </c>
      <c r="AJ689" s="1" t="s">
        <v>2879</v>
      </c>
      <c r="AK689" s="1" t="s">
        <v>2880</v>
      </c>
      <c r="AL689" s="1" t="s">
        <v>2881</v>
      </c>
    </row>
    <row r="690" spans="1:38" x14ac:dyDescent="0.6">
      <c r="A690" s="1">
        <v>490</v>
      </c>
      <c r="B690" s="1" t="s">
        <v>88</v>
      </c>
      <c r="C690" s="1">
        <v>50</v>
      </c>
      <c r="D690" s="1" t="s">
        <v>89</v>
      </c>
      <c r="E690" s="1" t="s">
        <v>90</v>
      </c>
      <c r="F690" s="1"/>
      <c r="G690" s="1"/>
      <c r="H690" s="1" t="s">
        <v>91</v>
      </c>
      <c r="I690" s="1" t="s">
        <v>92</v>
      </c>
      <c r="J690" s="1" t="s">
        <v>93</v>
      </c>
      <c r="K690" s="1">
        <v>1</v>
      </c>
      <c r="L690" s="1">
        <v>120</v>
      </c>
      <c r="M690" s="1" t="s">
        <v>94</v>
      </c>
      <c r="N690" s="1" t="s">
        <v>95</v>
      </c>
      <c r="O690" s="1"/>
      <c r="P690" s="1" t="s">
        <v>96</v>
      </c>
      <c r="Q690" s="1" t="s">
        <v>9</v>
      </c>
      <c r="R690" s="1">
        <v>0</v>
      </c>
      <c r="S690" s="1" t="s">
        <v>97</v>
      </c>
      <c r="T690" s="1" t="s">
        <v>97</v>
      </c>
      <c r="U690" s="1" t="b">
        <v>1</v>
      </c>
      <c r="V690" s="1" t="b">
        <v>0</v>
      </c>
      <c r="W690" s="1" t="b">
        <v>0</v>
      </c>
      <c r="X690" s="1">
        <v>0</v>
      </c>
      <c r="Y690" s="1" t="b">
        <v>1</v>
      </c>
      <c r="Z690" s="1" t="b">
        <v>1</v>
      </c>
      <c r="AA690" s="1">
        <v>73.400000000000006</v>
      </c>
      <c r="AB690" s="1" t="b">
        <v>1</v>
      </c>
      <c r="AC690" s="1">
        <v>128567353</v>
      </c>
      <c r="AD690" s="1">
        <v>2766791</v>
      </c>
      <c r="AE690" s="1">
        <v>0</v>
      </c>
      <c r="AF690" s="1" t="s">
        <v>2882</v>
      </c>
      <c r="AG690" s="1" t="s">
        <v>2883</v>
      </c>
      <c r="AH690" s="1">
        <v>67.400000000000006</v>
      </c>
      <c r="AI690" s="1">
        <v>66.7</v>
      </c>
      <c r="AJ690" s="1" t="s">
        <v>2884</v>
      </c>
      <c r="AK690" s="1" t="s">
        <v>2885</v>
      </c>
      <c r="AL690" s="1" t="s">
        <v>2886</v>
      </c>
    </row>
    <row r="691" spans="1:38" x14ac:dyDescent="0.6">
      <c r="A691" s="1">
        <v>490</v>
      </c>
      <c r="B691" s="1" t="s">
        <v>88</v>
      </c>
      <c r="C691" s="1">
        <v>50</v>
      </c>
      <c r="D691" s="1" t="s">
        <v>89</v>
      </c>
      <c r="E691" s="1" t="s">
        <v>90</v>
      </c>
      <c r="F691" s="1"/>
      <c r="G691" s="1"/>
      <c r="H691" s="1" t="s">
        <v>91</v>
      </c>
      <c r="I691" s="1" t="s">
        <v>92</v>
      </c>
      <c r="J691" s="1" t="s">
        <v>93</v>
      </c>
      <c r="K691" s="1">
        <v>1</v>
      </c>
      <c r="L691" s="1">
        <v>120</v>
      </c>
      <c r="M691" s="1" t="s">
        <v>14</v>
      </c>
      <c r="N691" s="1" t="s">
        <v>95</v>
      </c>
      <c r="O691" s="1" t="s">
        <v>96</v>
      </c>
      <c r="P691" s="1"/>
      <c r="Q691" s="1" t="s">
        <v>9</v>
      </c>
      <c r="R691" s="1">
        <v>0</v>
      </c>
      <c r="S691" s="1" t="s">
        <v>97</v>
      </c>
      <c r="T691" s="1" t="s">
        <v>97</v>
      </c>
      <c r="U691" s="1" t="b">
        <v>1</v>
      </c>
      <c r="V691" s="1" t="b">
        <v>0</v>
      </c>
      <c r="W691" s="1" t="b">
        <v>0</v>
      </c>
      <c r="X691" s="1">
        <v>5</v>
      </c>
      <c r="Y691" s="1" t="b">
        <v>1</v>
      </c>
      <c r="Z691" s="1" t="b">
        <v>1</v>
      </c>
      <c r="AA691" s="1"/>
      <c r="AB691" s="1" t="b">
        <v>1</v>
      </c>
      <c r="AC691" s="1">
        <v>130273460</v>
      </c>
      <c r="AD691" s="1">
        <v>1060684</v>
      </c>
      <c r="AE691" s="1">
        <v>0</v>
      </c>
      <c r="AF691" s="1" t="s">
        <v>2882</v>
      </c>
      <c r="AG691" s="1" t="s">
        <v>2883</v>
      </c>
      <c r="AH691" s="1">
        <v>67.400000000000006</v>
      </c>
      <c r="AI691" s="1">
        <v>66.7</v>
      </c>
      <c r="AJ691" s="1" t="s">
        <v>2887</v>
      </c>
      <c r="AK691" s="1" t="s">
        <v>2888</v>
      </c>
      <c r="AL691" s="1" t="s">
        <v>2889</v>
      </c>
    </row>
    <row r="692" spans="1:38" x14ac:dyDescent="0.6">
      <c r="A692" s="1">
        <v>489</v>
      </c>
      <c r="B692" s="1" t="s">
        <v>88</v>
      </c>
      <c r="C692" s="1">
        <v>50</v>
      </c>
      <c r="D692" s="1" t="s">
        <v>89</v>
      </c>
      <c r="E692" s="1" t="s">
        <v>108</v>
      </c>
      <c r="F692" s="1"/>
      <c r="G692" s="1"/>
      <c r="H692" s="1" t="s">
        <v>91</v>
      </c>
      <c r="I692" s="1" t="s">
        <v>92</v>
      </c>
      <c r="J692" s="1" t="s">
        <v>93</v>
      </c>
      <c r="K692" s="1">
        <v>1</v>
      </c>
      <c r="L692" s="1">
        <v>120</v>
      </c>
      <c r="M692" s="1" t="s">
        <v>14</v>
      </c>
      <c r="N692" s="1" t="s">
        <v>95</v>
      </c>
      <c r="O692" s="1" t="s">
        <v>96</v>
      </c>
      <c r="P692" s="1"/>
      <c r="Q692" s="1" t="s">
        <v>9</v>
      </c>
      <c r="R692" s="1">
        <v>0</v>
      </c>
      <c r="S692" s="1" t="s">
        <v>97</v>
      </c>
      <c r="T692" s="1" t="s">
        <v>97</v>
      </c>
      <c r="U692" s="1" t="b">
        <v>1</v>
      </c>
      <c r="V692" s="1" t="b">
        <v>0</v>
      </c>
      <c r="W692" s="1" t="b">
        <v>0</v>
      </c>
      <c r="X692" s="1">
        <v>5</v>
      </c>
      <c r="Y692" s="1" t="b">
        <v>1</v>
      </c>
      <c r="Z692" s="1" t="b">
        <v>1</v>
      </c>
      <c r="AA692" s="1"/>
      <c r="AB692" s="1" t="b">
        <v>1</v>
      </c>
      <c r="AC692" s="1">
        <v>146243539</v>
      </c>
      <c r="AD692" s="1">
        <v>819245</v>
      </c>
      <c r="AE692" s="1">
        <v>0</v>
      </c>
      <c r="AF692" s="1" t="s">
        <v>2874</v>
      </c>
      <c r="AG692" s="1" t="s">
        <v>2875</v>
      </c>
      <c r="AH692" s="1">
        <v>72.400000000000006</v>
      </c>
      <c r="AI692" s="1">
        <v>72.400000000000006</v>
      </c>
      <c r="AJ692" s="1" t="s">
        <v>2890</v>
      </c>
      <c r="AK692" s="1" t="s">
        <v>2891</v>
      </c>
      <c r="AL692" s="1" t="s">
        <v>2892</v>
      </c>
    </row>
    <row r="693" spans="1:38" x14ac:dyDescent="0.6">
      <c r="A693" s="1">
        <v>470</v>
      </c>
      <c r="B693" s="1" t="s">
        <v>88</v>
      </c>
      <c r="C693" s="1">
        <v>60</v>
      </c>
      <c r="D693" s="1" t="s">
        <v>127</v>
      </c>
      <c r="E693" s="1" t="s">
        <v>108</v>
      </c>
      <c r="F693" s="1"/>
      <c r="G693" s="1"/>
      <c r="H693" s="1" t="s">
        <v>91</v>
      </c>
      <c r="I693" s="1" t="s">
        <v>92</v>
      </c>
      <c r="J693" s="1" t="s">
        <v>93</v>
      </c>
      <c r="K693" s="1">
        <v>1</v>
      </c>
      <c r="L693" s="1">
        <v>120</v>
      </c>
      <c r="M693" s="1" t="s">
        <v>7</v>
      </c>
      <c r="N693" s="1" t="s">
        <v>7</v>
      </c>
      <c r="O693" s="1" t="s">
        <v>96</v>
      </c>
      <c r="P693" s="1" t="s">
        <v>96</v>
      </c>
      <c r="Q693" s="1" t="s">
        <v>9</v>
      </c>
      <c r="R693" s="1">
        <v>0</v>
      </c>
      <c r="S693" s="1" t="s">
        <v>97</v>
      </c>
      <c r="T693" s="1" t="s">
        <v>97</v>
      </c>
      <c r="U693" s="1" t="b">
        <v>1</v>
      </c>
      <c r="V693" s="1" t="b">
        <v>0</v>
      </c>
      <c r="W693" s="1" t="b">
        <v>0</v>
      </c>
      <c r="X693" s="1">
        <v>5</v>
      </c>
      <c r="Y693" s="1" t="b">
        <v>1</v>
      </c>
      <c r="Z693" s="1" t="b">
        <v>1</v>
      </c>
      <c r="AA693" s="1">
        <v>71.099999999999994</v>
      </c>
      <c r="AB693" s="1" t="b">
        <v>0</v>
      </c>
      <c r="AC693" s="1">
        <v>0</v>
      </c>
      <c r="AD693" s="1">
        <v>2154219</v>
      </c>
      <c r="AE693" s="1">
        <v>173744405</v>
      </c>
      <c r="AF693" s="1" t="s">
        <v>2893</v>
      </c>
      <c r="AG693" s="1" t="s">
        <v>2893</v>
      </c>
      <c r="AH693" s="1">
        <v>68.400000000000006</v>
      </c>
      <c r="AI693" s="1">
        <v>69.900000000000006</v>
      </c>
      <c r="AJ693" s="1" t="s">
        <v>2894</v>
      </c>
      <c r="AK693" s="1" t="s">
        <v>2895</v>
      </c>
      <c r="AL693" s="1" t="s">
        <v>2896</v>
      </c>
    </row>
    <row r="694" spans="1:38" x14ac:dyDescent="0.6">
      <c r="A694" s="1">
        <v>497</v>
      </c>
      <c r="B694" s="1" t="s">
        <v>88</v>
      </c>
      <c r="C694" s="1">
        <v>70</v>
      </c>
      <c r="D694" s="1" t="s">
        <v>119</v>
      </c>
      <c r="E694" s="1" t="s">
        <v>108</v>
      </c>
      <c r="F694" s="1"/>
      <c r="G694" s="1"/>
      <c r="H694" s="1" t="s">
        <v>91</v>
      </c>
      <c r="I694" s="1" t="s">
        <v>92</v>
      </c>
      <c r="J694" s="1" t="s">
        <v>109</v>
      </c>
      <c r="K694" s="1">
        <v>1</v>
      </c>
      <c r="L694" s="1">
        <v>120</v>
      </c>
      <c r="M694" s="1" t="s">
        <v>14</v>
      </c>
      <c r="N694" s="1" t="s">
        <v>95</v>
      </c>
      <c r="O694" s="1" t="s">
        <v>96</v>
      </c>
      <c r="P694" s="1"/>
      <c r="Q694" s="1" t="s">
        <v>9</v>
      </c>
      <c r="R694" s="1">
        <v>0</v>
      </c>
      <c r="S694" s="1" t="s">
        <v>97</v>
      </c>
      <c r="T694" s="1" t="s">
        <v>97</v>
      </c>
      <c r="U694" s="1" t="b">
        <v>1</v>
      </c>
      <c r="V694" s="1" t="b">
        <v>0</v>
      </c>
      <c r="W694" s="1" t="b">
        <v>0</v>
      </c>
      <c r="X694" s="1">
        <v>5</v>
      </c>
      <c r="Y694" s="1" t="b">
        <v>1</v>
      </c>
      <c r="Z694" s="1" t="b">
        <v>1</v>
      </c>
      <c r="AA694" s="1"/>
      <c r="AB694" s="1" t="b">
        <v>1</v>
      </c>
      <c r="AC694" s="1">
        <v>145542871</v>
      </c>
      <c r="AD694" s="1">
        <v>995625</v>
      </c>
      <c r="AE694" s="1">
        <v>0</v>
      </c>
      <c r="AF694" s="1" t="s">
        <v>2897</v>
      </c>
      <c r="AG694" s="1" t="s">
        <v>2898</v>
      </c>
      <c r="AH694" s="1">
        <v>62.3</v>
      </c>
      <c r="AI694" s="1">
        <v>60.9</v>
      </c>
      <c r="AJ694" s="1" t="s">
        <v>2899</v>
      </c>
      <c r="AK694" s="1" t="s">
        <v>2900</v>
      </c>
      <c r="AL694" s="1" t="s">
        <v>2901</v>
      </c>
    </row>
    <row r="695" spans="1:38" x14ac:dyDescent="0.6">
      <c r="A695" s="1">
        <v>492</v>
      </c>
      <c r="B695" s="1" t="s">
        <v>88</v>
      </c>
      <c r="C695" s="1">
        <v>60</v>
      </c>
      <c r="D695" s="1" t="s">
        <v>127</v>
      </c>
      <c r="E695" s="1" t="s">
        <v>108</v>
      </c>
      <c r="F695" s="1"/>
      <c r="G695" s="1"/>
      <c r="H695" s="1" t="s">
        <v>91</v>
      </c>
      <c r="I695" s="1" t="s">
        <v>92</v>
      </c>
      <c r="J695" s="1" t="s">
        <v>93</v>
      </c>
      <c r="K695" s="1">
        <v>1</v>
      </c>
      <c r="L695" s="1">
        <v>120</v>
      </c>
      <c r="M695" s="1" t="s">
        <v>7</v>
      </c>
      <c r="N695" s="1" t="s">
        <v>7</v>
      </c>
      <c r="O695" s="1" t="s">
        <v>96</v>
      </c>
      <c r="P695" s="1" t="s">
        <v>96</v>
      </c>
      <c r="Q695" s="1" t="s">
        <v>9</v>
      </c>
      <c r="R695" s="1">
        <v>0</v>
      </c>
      <c r="S695" s="1" t="s">
        <v>97</v>
      </c>
      <c r="T695" s="1" t="s">
        <v>97</v>
      </c>
      <c r="U695" s="1" t="b">
        <v>1</v>
      </c>
      <c r="V695" s="1" t="b">
        <v>0</v>
      </c>
      <c r="W695" s="1" t="b">
        <v>0</v>
      </c>
      <c r="X695" s="1">
        <v>5</v>
      </c>
      <c r="Y695" s="1" t="b">
        <v>1</v>
      </c>
      <c r="Z695" s="1" t="b">
        <v>1</v>
      </c>
      <c r="AA695" s="1">
        <v>71</v>
      </c>
      <c r="AB695" s="1" t="b">
        <v>0</v>
      </c>
      <c r="AC695" s="1">
        <v>0</v>
      </c>
      <c r="AD695" s="1">
        <v>2516768</v>
      </c>
      <c r="AE695" s="1">
        <v>147167456</v>
      </c>
      <c r="AF695" s="1" t="s">
        <v>2902</v>
      </c>
      <c r="AG695" s="1" t="s">
        <v>2902</v>
      </c>
      <c r="AH695" s="1">
        <v>68.8</v>
      </c>
      <c r="AI695" s="1">
        <v>69</v>
      </c>
      <c r="AJ695" s="1" t="s">
        <v>2903</v>
      </c>
      <c r="AK695" s="1" t="s">
        <v>2904</v>
      </c>
      <c r="AL695" s="1" t="s">
        <v>2905</v>
      </c>
    </row>
    <row r="696" spans="1:38" x14ac:dyDescent="0.6">
      <c r="A696" s="1">
        <v>484</v>
      </c>
      <c r="B696" s="1" t="s">
        <v>88</v>
      </c>
      <c r="C696" s="1"/>
      <c r="D696" s="1"/>
      <c r="E696" s="1" t="s">
        <v>90</v>
      </c>
      <c r="F696" s="1"/>
      <c r="G696" s="1"/>
      <c r="H696" s="1" t="s">
        <v>91</v>
      </c>
      <c r="I696" s="1" t="s">
        <v>92</v>
      </c>
      <c r="J696" s="1" t="s">
        <v>109</v>
      </c>
      <c r="K696" s="1">
        <v>1</v>
      </c>
      <c r="L696" s="1">
        <v>120</v>
      </c>
      <c r="M696" s="1" t="s">
        <v>94</v>
      </c>
      <c r="N696" s="1" t="s">
        <v>95</v>
      </c>
      <c r="O696" s="1"/>
      <c r="P696" s="1" t="s">
        <v>96</v>
      </c>
      <c r="Q696" s="1" t="s">
        <v>9</v>
      </c>
      <c r="R696" s="1">
        <v>0</v>
      </c>
      <c r="S696" s="1" t="s">
        <v>97</v>
      </c>
      <c r="T696" s="1" t="s">
        <v>97</v>
      </c>
      <c r="U696" s="1" t="b">
        <v>1</v>
      </c>
      <c r="V696" s="1" t="b">
        <v>0</v>
      </c>
      <c r="W696" s="1" t="b">
        <v>0</v>
      </c>
      <c r="X696" s="1">
        <v>0</v>
      </c>
      <c r="Y696" s="1" t="b">
        <v>1</v>
      </c>
      <c r="Z696" s="1" t="b">
        <v>1</v>
      </c>
      <c r="AA696" s="1">
        <v>67.7</v>
      </c>
      <c r="AB696" s="1" t="b">
        <v>1</v>
      </c>
      <c r="AC696" s="1">
        <v>147724954</v>
      </c>
      <c r="AD696" s="1">
        <v>2221414</v>
      </c>
      <c r="AE696" s="1">
        <v>0</v>
      </c>
      <c r="AF696" s="1" t="s">
        <v>2826</v>
      </c>
      <c r="AG696" s="1" t="s">
        <v>2827</v>
      </c>
      <c r="AH696" s="1">
        <v>62.7</v>
      </c>
      <c r="AI696" s="1">
        <v>62.7</v>
      </c>
      <c r="AJ696" s="1" t="s">
        <v>2906</v>
      </c>
      <c r="AK696" s="1" t="s">
        <v>2907</v>
      </c>
      <c r="AL696" s="1" t="s">
        <v>2908</v>
      </c>
    </row>
    <row r="697" spans="1:38" x14ac:dyDescent="0.6">
      <c r="A697" s="1">
        <v>497</v>
      </c>
      <c r="B697" s="1" t="s">
        <v>88</v>
      </c>
      <c r="C697" s="1">
        <v>70</v>
      </c>
      <c r="D697" s="1" t="s">
        <v>119</v>
      </c>
      <c r="E697" s="1" t="s">
        <v>108</v>
      </c>
      <c r="F697" s="1"/>
      <c r="G697" s="1"/>
      <c r="H697" s="1" t="s">
        <v>91</v>
      </c>
      <c r="I697" s="1" t="s">
        <v>92</v>
      </c>
      <c r="J697" s="1" t="s">
        <v>109</v>
      </c>
      <c r="K697" s="1">
        <v>1</v>
      </c>
      <c r="L697" s="1">
        <v>120</v>
      </c>
      <c r="M697" s="1" t="s">
        <v>94</v>
      </c>
      <c r="N697" s="1" t="s">
        <v>95</v>
      </c>
      <c r="O697" s="1"/>
      <c r="P697" s="1" t="s">
        <v>96</v>
      </c>
      <c r="Q697" s="1" t="s">
        <v>9</v>
      </c>
      <c r="R697" s="1">
        <v>0</v>
      </c>
      <c r="S697" s="1" t="s">
        <v>97</v>
      </c>
      <c r="T697" s="1" t="s">
        <v>97</v>
      </c>
      <c r="U697" s="1" t="b">
        <v>1</v>
      </c>
      <c r="V697" s="1" t="b">
        <v>0</v>
      </c>
      <c r="W697" s="1" t="b">
        <v>0</v>
      </c>
      <c r="X697" s="1">
        <v>0</v>
      </c>
      <c r="Y697" s="1" t="b">
        <v>1</v>
      </c>
      <c r="Z697" s="1" t="b">
        <v>1</v>
      </c>
      <c r="AA697" s="1">
        <v>61.5</v>
      </c>
      <c r="AB697" s="1" t="b">
        <v>1</v>
      </c>
      <c r="AC697" s="1">
        <v>154702167</v>
      </c>
      <c r="AD697" s="1">
        <v>3108521</v>
      </c>
      <c r="AE697" s="1">
        <v>0</v>
      </c>
      <c r="AF697" s="1" t="s">
        <v>2897</v>
      </c>
      <c r="AG697" s="1" t="s">
        <v>2898</v>
      </c>
      <c r="AH697" s="1">
        <v>62.3</v>
      </c>
      <c r="AI697" s="1">
        <v>60.9</v>
      </c>
      <c r="AJ697" s="1" t="s">
        <v>2909</v>
      </c>
      <c r="AK697" s="1" t="s">
        <v>2910</v>
      </c>
      <c r="AL697" s="1" t="s">
        <v>2911</v>
      </c>
    </row>
    <row r="698" spans="1:38" x14ac:dyDescent="0.6">
      <c r="A698" s="1">
        <v>494</v>
      </c>
      <c r="B698" s="1" t="s">
        <v>88</v>
      </c>
      <c r="C698" s="1">
        <v>70</v>
      </c>
      <c r="D698" s="1" t="s">
        <v>119</v>
      </c>
      <c r="E698" s="1" t="s">
        <v>108</v>
      </c>
      <c r="F698" s="1"/>
      <c r="G698" s="1"/>
      <c r="H698" s="1" t="s">
        <v>91</v>
      </c>
      <c r="I698" s="1" t="s">
        <v>92</v>
      </c>
      <c r="J698" s="1" t="s">
        <v>93</v>
      </c>
      <c r="K698" s="1">
        <v>1</v>
      </c>
      <c r="L698" s="1">
        <v>120</v>
      </c>
      <c r="M698" s="1" t="s">
        <v>14</v>
      </c>
      <c r="N698" s="1" t="s">
        <v>14</v>
      </c>
      <c r="O698" s="1" t="s">
        <v>96</v>
      </c>
      <c r="P698" s="1"/>
      <c r="Q698" s="1" t="s">
        <v>9</v>
      </c>
      <c r="R698" s="1">
        <v>0</v>
      </c>
      <c r="S698" s="1"/>
      <c r="T698" s="1" t="s">
        <v>97</v>
      </c>
      <c r="U698" s="1"/>
      <c r="V698" s="1" t="b">
        <v>0</v>
      </c>
      <c r="W698" s="1" t="b">
        <v>0</v>
      </c>
      <c r="X698" s="1">
        <v>5</v>
      </c>
      <c r="Y698" s="1" t="b">
        <v>1</v>
      </c>
      <c r="Z698" s="1" t="b">
        <v>1</v>
      </c>
      <c r="AA698" s="1"/>
      <c r="AB698" s="1" t="b">
        <v>1</v>
      </c>
      <c r="AC698" s="1">
        <v>158053061</v>
      </c>
      <c r="AD698" s="1">
        <v>806203</v>
      </c>
      <c r="AE698" s="1">
        <v>0</v>
      </c>
      <c r="AF698" s="1" t="s">
        <v>2912</v>
      </c>
      <c r="AG698" s="1"/>
      <c r="AH698" s="1">
        <v>63.2</v>
      </c>
      <c r="AI698" s="1"/>
      <c r="AJ698" s="1" t="s">
        <v>2913</v>
      </c>
      <c r="AK698" s="1" t="s">
        <v>2914</v>
      </c>
      <c r="AL698" s="1" t="s">
        <v>2915</v>
      </c>
    </row>
    <row r="699" spans="1:38" x14ac:dyDescent="0.6">
      <c r="A699" s="1">
        <v>513</v>
      </c>
      <c r="B699" s="1" t="s">
        <v>103</v>
      </c>
      <c r="C699" s="1">
        <v>70</v>
      </c>
      <c r="D699" s="1" t="s">
        <v>119</v>
      </c>
      <c r="E699" s="1" t="s">
        <v>108</v>
      </c>
      <c r="F699" s="1"/>
      <c r="G699" s="1"/>
      <c r="H699" s="1" t="s">
        <v>91</v>
      </c>
      <c r="I699" s="1" t="s">
        <v>92</v>
      </c>
      <c r="J699" s="1" t="s">
        <v>109</v>
      </c>
      <c r="K699" s="1">
        <v>5</v>
      </c>
      <c r="L699" s="1">
        <v>120</v>
      </c>
      <c r="M699" s="1" t="s">
        <v>14</v>
      </c>
      <c r="N699" s="1" t="s">
        <v>95</v>
      </c>
      <c r="O699" s="1" t="s">
        <v>96</v>
      </c>
      <c r="P699" s="1"/>
      <c r="Q699" s="1" t="s">
        <v>9</v>
      </c>
      <c r="R699" s="1">
        <v>0</v>
      </c>
      <c r="S699" s="1" t="s">
        <v>97</v>
      </c>
      <c r="T699" s="1" t="s">
        <v>97</v>
      </c>
      <c r="U699" s="1" t="b">
        <v>1</v>
      </c>
      <c r="V699" s="1" t="b">
        <v>0</v>
      </c>
      <c r="W699" s="1" t="b">
        <v>0</v>
      </c>
      <c r="X699" s="1">
        <v>5</v>
      </c>
      <c r="Y699" s="1" t="b">
        <v>1</v>
      </c>
      <c r="Z699" s="1" t="b">
        <v>1</v>
      </c>
      <c r="AA699" s="1"/>
      <c r="AB699" s="1" t="b">
        <v>1</v>
      </c>
      <c r="AC699" s="1">
        <v>22705266</v>
      </c>
      <c r="AD699" s="1">
        <v>101262</v>
      </c>
      <c r="AE699" s="1">
        <v>0</v>
      </c>
      <c r="AF699" s="1" t="s">
        <v>2916</v>
      </c>
      <c r="AG699" s="1" t="s">
        <v>2917</v>
      </c>
      <c r="AH699" s="1">
        <v>70.7</v>
      </c>
      <c r="AI699" s="1">
        <v>63.6</v>
      </c>
      <c r="AJ699" s="1" t="s">
        <v>2918</v>
      </c>
      <c r="AK699" s="1" t="s">
        <v>2919</v>
      </c>
      <c r="AL699" s="1" t="s">
        <v>2920</v>
      </c>
    </row>
    <row r="700" spans="1:38" x14ac:dyDescent="0.6">
      <c r="A700" s="1">
        <v>498</v>
      </c>
      <c r="B700" s="1" t="s">
        <v>103</v>
      </c>
      <c r="C700" s="1">
        <v>60</v>
      </c>
      <c r="D700" s="1" t="s">
        <v>127</v>
      </c>
      <c r="E700" s="1" t="s">
        <v>90</v>
      </c>
      <c r="F700" s="1"/>
      <c r="G700" s="1"/>
      <c r="H700" s="1" t="s">
        <v>189</v>
      </c>
      <c r="I700" s="1" t="s">
        <v>190</v>
      </c>
      <c r="J700" s="1" t="s">
        <v>191</v>
      </c>
      <c r="K700" s="1">
        <v>1</v>
      </c>
      <c r="L700" s="1">
        <v>120</v>
      </c>
      <c r="M700" s="1" t="s">
        <v>14</v>
      </c>
      <c r="N700" s="1" t="s">
        <v>14</v>
      </c>
      <c r="O700" s="1" t="s">
        <v>96</v>
      </c>
      <c r="P700" s="1"/>
      <c r="Q700" s="1" t="s">
        <v>9</v>
      </c>
      <c r="R700" s="1">
        <v>0</v>
      </c>
      <c r="S700" s="1"/>
      <c r="T700" s="1" t="s">
        <v>97</v>
      </c>
      <c r="U700" s="1"/>
      <c r="V700" s="1" t="b">
        <v>0</v>
      </c>
      <c r="W700" s="1" t="b">
        <v>0</v>
      </c>
      <c r="X700" s="1">
        <v>5</v>
      </c>
      <c r="Y700" s="1" t="b">
        <v>1</v>
      </c>
      <c r="Z700" s="1" t="b">
        <v>1</v>
      </c>
      <c r="AA700" s="1"/>
      <c r="AB700" s="1" t="b">
        <v>1</v>
      </c>
      <c r="AC700" s="1">
        <v>127311949</v>
      </c>
      <c r="AD700" s="1">
        <v>614323</v>
      </c>
      <c r="AE700" s="1">
        <v>0</v>
      </c>
      <c r="AF700" s="1" t="s">
        <v>2921</v>
      </c>
      <c r="AG700" s="1"/>
      <c r="AH700" s="1">
        <v>70.2</v>
      </c>
      <c r="AI700" s="1"/>
      <c r="AJ700" s="1" t="s">
        <v>2922</v>
      </c>
      <c r="AK700" s="1" t="s">
        <v>2923</v>
      </c>
      <c r="AL700" s="1" t="s">
        <v>2924</v>
      </c>
    </row>
    <row r="701" spans="1:38" x14ac:dyDescent="0.6">
      <c r="A701" s="1">
        <v>499</v>
      </c>
      <c r="B701" s="1" t="s">
        <v>88</v>
      </c>
      <c r="C701" s="1">
        <v>70</v>
      </c>
      <c r="D701" s="1" t="s">
        <v>119</v>
      </c>
      <c r="E701" s="1" t="s">
        <v>108</v>
      </c>
      <c r="F701" s="1"/>
      <c r="G701" s="1"/>
      <c r="H701" s="1" t="s">
        <v>220</v>
      </c>
      <c r="I701" s="1" t="s">
        <v>221</v>
      </c>
      <c r="J701" s="1" t="s">
        <v>1176</v>
      </c>
      <c r="K701" s="1">
        <v>1.25</v>
      </c>
      <c r="L701" s="1">
        <v>120</v>
      </c>
      <c r="M701" s="1" t="s">
        <v>14</v>
      </c>
      <c r="N701" s="1" t="s">
        <v>95</v>
      </c>
      <c r="O701" s="1" t="s">
        <v>96</v>
      </c>
      <c r="P701" s="1"/>
      <c r="Q701" s="1" t="s">
        <v>9</v>
      </c>
      <c r="R701" s="1">
        <v>0</v>
      </c>
      <c r="S701" s="1" t="s">
        <v>97</v>
      </c>
      <c r="T701" s="1" t="s">
        <v>97</v>
      </c>
      <c r="U701" s="1" t="b">
        <v>1</v>
      </c>
      <c r="V701" s="1" t="b">
        <v>0</v>
      </c>
      <c r="W701" s="1" t="b">
        <v>0</v>
      </c>
      <c r="X701" s="1">
        <v>5</v>
      </c>
      <c r="Y701" s="1" t="b">
        <v>1</v>
      </c>
      <c r="Z701" s="1" t="b">
        <v>1</v>
      </c>
      <c r="AA701" s="1"/>
      <c r="AB701" s="1" t="b">
        <v>1</v>
      </c>
      <c r="AC701" s="1">
        <v>137417402</v>
      </c>
      <c r="AD701" s="1">
        <v>470342</v>
      </c>
      <c r="AE701" s="1">
        <v>0</v>
      </c>
      <c r="AF701" s="1" t="s">
        <v>2925</v>
      </c>
      <c r="AG701" s="1" t="s">
        <v>2926</v>
      </c>
      <c r="AH701" s="1">
        <v>63.5</v>
      </c>
      <c r="AI701" s="1">
        <v>63.9</v>
      </c>
      <c r="AJ701" s="1" t="s">
        <v>2927</v>
      </c>
      <c r="AK701" s="1" t="s">
        <v>2928</v>
      </c>
      <c r="AL701" s="1" t="s">
        <v>2929</v>
      </c>
    </row>
    <row r="702" spans="1:38" x14ac:dyDescent="0.6">
      <c r="A702" s="1">
        <v>499</v>
      </c>
      <c r="B702" s="1" t="s">
        <v>88</v>
      </c>
      <c r="C702" s="1">
        <v>70</v>
      </c>
      <c r="D702" s="1" t="s">
        <v>119</v>
      </c>
      <c r="E702" s="1" t="s">
        <v>108</v>
      </c>
      <c r="F702" s="1"/>
      <c r="G702" s="1"/>
      <c r="H702" s="1" t="s">
        <v>220</v>
      </c>
      <c r="I702" s="1" t="s">
        <v>221</v>
      </c>
      <c r="J702" s="1" t="s">
        <v>1176</v>
      </c>
      <c r="K702" s="1">
        <v>1.25</v>
      </c>
      <c r="L702" s="1">
        <v>120</v>
      </c>
      <c r="M702" s="1" t="s">
        <v>94</v>
      </c>
      <c r="N702" s="1" t="s">
        <v>95</v>
      </c>
      <c r="O702" s="1"/>
      <c r="P702" s="1" t="s">
        <v>96</v>
      </c>
      <c r="Q702" s="1" t="s">
        <v>9</v>
      </c>
      <c r="R702" s="1">
        <v>0</v>
      </c>
      <c r="S702" s="1" t="s">
        <v>97</v>
      </c>
      <c r="T702" s="1" t="s">
        <v>97</v>
      </c>
      <c r="U702" s="1" t="b">
        <v>1</v>
      </c>
      <c r="V702" s="1" t="b">
        <v>0</v>
      </c>
      <c r="W702" s="1" t="b">
        <v>0</v>
      </c>
      <c r="X702" s="1">
        <v>0</v>
      </c>
      <c r="Y702" s="1" t="b">
        <v>1</v>
      </c>
      <c r="Z702" s="1" t="b">
        <v>1</v>
      </c>
      <c r="AA702" s="1">
        <v>67.099999999999994</v>
      </c>
      <c r="AB702" s="1" t="b">
        <v>1</v>
      </c>
      <c r="AC702" s="1">
        <v>140215014</v>
      </c>
      <c r="AD702" s="1">
        <v>1342746</v>
      </c>
      <c r="AE702" s="1">
        <v>0</v>
      </c>
      <c r="AF702" s="1" t="s">
        <v>2925</v>
      </c>
      <c r="AG702" s="1" t="s">
        <v>2926</v>
      </c>
      <c r="AH702" s="1">
        <v>63.5</v>
      </c>
      <c r="AI702" s="1">
        <v>63.9</v>
      </c>
      <c r="AJ702" s="1" t="s">
        <v>2930</v>
      </c>
      <c r="AK702" s="1" t="s">
        <v>2931</v>
      </c>
      <c r="AL702" s="1" t="s">
        <v>2932</v>
      </c>
    </row>
    <row r="703" spans="1:38" x14ac:dyDescent="0.6">
      <c r="A703" s="1">
        <v>504</v>
      </c>
      <c r="B703" s="1" t="s">
        <v>88</v>
      </c>
      <c r="C703" s="1">
        <v>50</v>
      </c>
      <c r="D703" s="1" t="s">
        <v>89</v>
      </c>
      <c r="E703" s="1" t="s">
        <v>90</v>
      </c>
      <c r="F703" s="1"/>
      <c r="G703" s="1"/>
      <c r="H703" s="1" t="s">
        <v>91</v>
      </c>
      <c r="I703" s="1" t="s">
        <v>92</v>
      </c>
      <c r="J703" s="1" t="s">
        <v>109</v>
      </c>
      <c r="K703" s="1">
        <v>1</v>
      </c>
      <c r="L703" s="1">
        <v>120</v>
      </c>
      <c r="M703" s="1" t="s">
        <v>14</v>
      </c>
      <c r="N703" s="1" t="s">
        <v>95</v>
      </c>
      <c r="O703" s="1" t="s">
        <v>96</v>
      </c>
      <c r="P703" s="1"/>
      <c r="Q703" s="1" t="s">
        <v>9</v>
      </c>
      <c r="R703" s="1">
        <v>0</v>
      </c>
      <c r="S703" s="1" t="s">
        <v>97</v>
      </c>
      <c r="T703" s="1" t="s">
        <v>97</v>
      </c>
      <c r="U703" s="1" t="b">
        <v>1</v>
      </c>
      <c r="V703" s="1" t="b">
        <v>0</v>
      </c>
      <c r="W703" s="1" t="b">
        <v>0</v>
      </c>
      <c r="X703" s="1">
        <v>5</v>
      </c>
      <c r="Y703" s="1" t="b">
        <v>1</v>
      </c>
      <c r="Z703" s="1" t="b">
        <v>1</v>
      </c>
      <c r="AA703" s="1"/>
      <c r="AB703" s="1" t="b">
        <v>1</v>
      </c>
      <c r="AC703" s="1">
        <v>133511938</v>
      </c>
      <c r="AD703" s="1">
        <v>443646</v>
      </c>
      <c r="AE703" s="1">
        <v>0</v>
      </c>
      <c r="AF703" s="1" t="s">
        <v>2933</v>
      </c>
      <c r="AG703" s="1" t="s">
        <v>2934</v>
      </c>
      <c r="AH703" s="1">
        <v>54.6</v>
      </c>
      <c r="AI703" s="1">
        <v>53.6</v>
      </c>
      <c r="AJ703" s="1" t="s">
        <v>2935</v>
      </c>
      <c r="AK703" s="1" t="s">
        <v>2936</v>
      </c>
      <c r="AL703" s="1" t="s">
        <v>2937</v>
      </c>
    </row>
    <row r="704" spans="1:38" x14ac:dyDescent="0.6">
      <c r="A704" s="1">
        <v>504</v>
      </c>
      <c r="B704" s="1" t="s">
        <v>88</v>
      </c>
      <c r="C704" s="1">
        <v>50</v>
      </c>
      <c r="D704" s="1" t="s">
        <v>89</v>
      </c>
      <c r="E704" s="1" t="s">
        <v>90</v>
      </c>
      <c r="F704" s="1"/>
      <c r="G704" s="1"/>
      <c r="H704" s="1" t="s">
        <v>91</v>
      </c>
      <c r="I704" s="1" t="s">
        <v>92</v>
      </c>
      <c r="J704" s="1" t="s">
        <v>109</v>
      </c>
      <c r="K704" s="1">
        <v>1</v>
      </c>
      <c r="L704" s="1">
        <v>120</v>
      </c>
      <c r="M704" s="1" t="s">
        <v>94</v>
      </c>
      <c r="N704" s="1" t="s">
        <v>95</v>
      </c>
      <c r="O704" s="1"/>
      <c r="P704" s="1" t="s">
        <v>96</v>
      </c>
      <c r="Q704" s="1" t="s">
        <v>9</v>
      </c>
      <c r="R704" s="1">
        <v>0</v>
      </c>
      <c r="S704" s="1" t="s">
        <v>97</v>
      </c>
      <c r="T704" s="1" t="s">
        <v>97</v>
      </c>
      <c r="U704" s="1" t="b">
        <v>1</v>
      </c>
      <c r="V704" s="1" t="b">
        <v>0</v>
      </c>
      <c r="W704" s="1" t="b">
        <v>0</v>
      </c>
      <c r="X704" s="1">
        <v>0</v>
      </c>
      <c r="Y704" s="1" t="b">
        <v>1</v>
      </c>
      <c r="Z704" s="1" t="b">
        <v>1</v>
      </c>
      <c r="AA704" s="1">
        <v>55.6</v>
      </c>
      <c r="AB704" s="1" t="b">
        <v>1</v>
      </c>
      <c r="AC704" s="1">
        <v>137045841</v>
      </c>
      <c r="AD704" s="1">
        <v>1366191</v>
      </c>
      <c r="AE704" s="1">
        <v>0</v>
      </c>
      <c r="AF704" s="1" t="s">
        <v>2933</v>
      </c>
      <c r="AG704" s="1" t="s">
        <v>2934</v>
      </c>
      <c r="AH704" s="1">
        <v>54.6</v>
      </c>
      <c r="AI704" s="1">
        <v>53.6</v>
      </c>
      <c r="AJ704" s="1" t="s">
        <v>2938</v>
      </c>
      <c r="AK704" s="1" t="s">
        <v>2939</v>
      </c>
      <c r="AL704" s="1" t="s">
        <v>2940</v>
      </c>
    </row>
    <row r="705" spans="1:38" x14ac:dyDescent="0.6">
      <c r="A705" s="1">
        <v>486</v>
      </c>
      <c r="B705" s="1" t="s">
        <v>103</v>
      </c>
      <c r="C705" s="1">
        <v>50</v>
      </c>
      <c r="D705" s="1" t="s">
        <v>89</v>
      </c>
      <c r="E705" s="1" t="s">
        <v>108</v>
      </c>
      <c r="F705" s="1"/>
      <c r="G705" s="1"/>
      <c r="H705" s="1" t="s">
        <v>91</v>
      </c>
      <c r="I705" s="1" t="s">
        <v>92</v>
      </c>
      <c r="J705" s="1" t="s">
        <v>93</v>
      </c>
      <c r="K705" s="1">
        <v>1</v>
      </c>
      <c r="L705" s="1">
        <v>120</v>
      </c>
      <c r="M705" s="1" t="s">
        <v>14</v>
      </c>
      <c r="N705" s="1" t="s">
        <v>95</v>
      </c>
      <c r="O705" s="1" t="s">
        <v>96</v>
      </c>
      <c r="P705" s="1"/>
      <c r="Q705" s="1" t="s">
        <v>9</v>
      </c>
      <c r="R705" s="1">
        <v>0</v>
      </c>
      <c r="S705" s="1" t="s">
        <v>97</v>
      </c>
      <c r="T705" s="1" t="s">
        <v>97</v>
      </c>
      <c r="U705" s="1" t="b">
        <v>1</v>
      </c>
      <c r="V705" s="1" t="b">
        <v>0</v>
      </c>
      <c r="W705" s="1" t="b">
        <v>0</v>
      </c>
      <c r="X705" s="1">
        <v>5</v>
      </c>
      <c r="Y705" s="1" t="b">
        <v>1</v>
      </c>
      <c r="Z705" s="1" t="b">
        <v>1</v>
      </c>
      <c r="AA705" s="1"/>
      <c r="AB705" s="1" t="b">
        <v>1</v>
      </c>
      <c r="AC705" s="1">
        <v>155234220</v>
      </c>
      <c r="AD705" s="1">
        <v>479316</v>
      </c>
      <c r="AE705" s="1">
        <v>0</v>
      </c>
      <c r="AF705" s="1" t="s">
        <v>2860</v>
      </c>
      <c r="AG705" s="1" t="s">
        <v>2861</v>
      </c>
      <c r="AH705" s="1">
        <v>68</v>
      </c>
      <c r="AI705" s="1">
        <v>70.2</v>
      </c>
      <c r="AJ705" s="1" t="s">
        <v>2941</v>
      </c>
      <c r="AK705" s="1" t="s">
        <v>2942</v>
      </c>
      <c r="AL705" s="1" t="s">
        <v>2943</v>
      </c>
    </row>
    <row r="706" spans="1:38" x14ac:dyDescent="0.6">
      <c r="A706" s="1">
        <v>488</v>
      </c>
      <c r="B706" s="1" t="s">
        <v>88</v>
      </c>
      <c r="C706" s="1">
        <v>50</v>
      </c>
      <c r="D706" s="1" t="s">
        <v>89</v>
      </c>
      <c r="E706" s="1" t="s">
        <v>108</v>
      </c>
      <c r="F706" s="1"/>
      <c r="G706" s="1"/>
      <c r="H706" s="1" t="s">
        <v>91</v>
      </c>
      <c r="I706" s="1" t="s">
        <v>92</v>
      </c>
      <c r="J706" s="1" t="s">
        <v>93</v>
      </c>
      <c r="K706" s="1">
        <v>1</v>
      </c>
      <c r="L706" s="1">
        <v>120</v>
      </c>
      <c r="M706" s="1" t="s">
        <v>14</v>
      </c>
      <c r="N706" s="1" t="s">
        <v>95</v>
      </c>
      <c r="O706" s="1" t="s">
        <v>96</v>
      </c>
      <c r="P706" s="1"/>
      <c r="Q706" s="1" t="s">
        <v>9</v>
      </c>
      <c r="R706" s="1">
        <v>0</v>
      </c>
      <c r="S706" s="1" t="s">
        <v>97</v>
      </c>
      <c r="T706" s="1" t="s">
        <v>97</v>
      </c>
      <c r="U706" s="1" t="b">
        <v>1</v>
      </c>
      <c r="V706" s="1" t="b">
        <v>0</v>
      </c>
      <c r="W706" s="1" t="b">
        <v>0</v>
      </c>
      <c r="X706" s="1">
        <v>5</v>
      </c>
      <c r="Y706" s="1" t="b">
        <v>1</v>
      </c>
      <c r="Z706" s="1" t="b">
        <v>1</v>
      </c>
      <c r="AA706" s="1"/>
      <c r="AB706" s="1" t="b">
        <v>1</v>
      </c>
      <c r="AC706" s="1">
        <v>148581025</v>
      </c>
      <c r="AD706" s="1">
        <v>578911</v>
      </c>
      <c r="AE706" s="1">
        <v>0</v>
      </c>
      <c r="AF706" s="1" t="s">
        <v>2869</v>
      </c>
      <c r="AG706" s="1" t="s">
        <v>2870</v>
      </c>
      <c r="AH706" s="1">
        <v>75.2</v>
      </c>
      <c r="AI706" s="1">
        <v>71.400000000000006</v>
      </c>
      <c r="AJ706" s="1" t="s">
        <v>2944</v>
      </c>
      <c r="AK706" s="1" t="s">
        <v>2945</v>
      </c>
      <c r="AL706" s="1" t="s">
        <v>2946</v>
      </c>
    </row>
    <row r="707" spans="1:38" x14ac:dyDescent="0.6">
      <c r="A707" s="1">
        <v>505</v>
      </c>
      <c r="B707" s="1" t="s">
        <v>103</v>
      </c>
      <c r="C707" s="1">
        <v>70</v>
      </c>
      <c r="D707" s="1" t="s">
        <v>119</v>
      </c>
      <c r="E707" s="1" t="s">
        <v>90</v>
      </c>
      <c r="F707" s="1"/>
      <c r="G707" s="1"/>
      <c r="H707" s="1" t="s">
        <v>91</v>
      </c>
      <c r="I707" s="1" t="s">
        <v>92</v>
      </c>
      <c r="J707" s="1" t="s">
        <v>109</v>
      </c>
      <c r="K707" s="1">
        <v>1</v>
      </c>
      <c r="L707" s="1">
        <v>120</v>
      </c>
      <c r="M707" s="1" t="s">
        <v>7</v>
      </c>
      <c r="N707" s="1" t="s">
        <v>7</v>
      </c>
      <c r="O707" s="1" t="s">
        <v>96</v>
      </c>
      <c r="P707" s="1" t="s">
        <v>96</v>
      </c>
      <c r="Q707" s="1" t="s">
        <v>9</v>
      </c>
      <c r="R707" s="1">
        <v>0</v>
      </c>
      <c r="S707" s="1" t="s">
        <v>97</v>
      </c>
      <c r="T707" s="1" t="s">
        <v>97</v>
      </c>
      <c r="U707" s="1" t="b">
        <v>1</v>
      </c>
      <c r="V707" s="1" t="b">
        <v>0</v>
      </c>
      <c r="W707" s="1" t="b">
        <v>0</v>
      </c>
      <c r="X707" s="1">
        <v>5</v>
      </c>
      <c r="Y707" s="1" t="b">
        <v>1</v>
      </c>
      <c r="Z707" s="1" t="b">
        <v>1</v>
      </c>
      <c r="AA707" s="1">
        <v>52</v>
      </c>
      <c r="AB707" s="1" t="b">
        <v>0</v>
      </c>
      <c r="AC707" s="1">
        <v>0</v>
      </c>
      <c r="AD707" s="1">
        <v>2536212</v>
      </c>
      <c r="AE707" s="1">
        <v>150818028</v>
      </c>
      <c r="AF707" s="1" t="s">
        <v>2947</v>
      </c>
      <c r="AG707" s="1" t="s">
        <v>2947</v>
      </c>
      <c r="AH707" s="1">
        <v>43.7</v>
      </c>
      <c r="AI707" s="1">
        <v>47.2</v>
      </c>
      <c r="AJ707" s="1" t="s">
        <v>2948</v>
      </c>
      <c r="AK707" s="1" t="s">
        <v>2949</v>
      </c>
      <c r="AL707" s="1" t="s">
        <v>2950</v>
      </c>
    </row>
    <row r="708" spans="1:38" x14ac:dyDescent="0.6">
      <c r="A708" s="1">
        <v>502</v>
      </c>
      <c r="B708" s="1" t="s">
        <v>88</v>
      </c>
      <c r="C708" s="1">
        <v>60</v>
      </c>
      <c r="D708" s="1" t="s">
        <v>127</v>
      </c>
      <c r="E708" s="1" t="s">
        <v>90</v>
      </c>
      <c r="F708" s="1"/>
      <c r="G708" s="1"/>
      <c r="H708" s="1" t="s">
        <v>220</v>
      </c>
      <c r="I708" s="1" t="s">
        <v>221</v>
      </c>
      <c r="J708" s="1" t="s">
        <v>222</v>
      </c>
      <c r="K708" s="1">
        <v>1.25</v>
      </c>
      <c r="L708" s="1">
        <v>120</v>
      </c>
      <c r="M708" s="1" t="s">
        <v>7</v>
      </c>
      <c r="N708" s="1" t="s">
        <v>7</v>
      </c>
      <c r="O708" s="1" t="s">
        <v>96</v>
      </c>
      <c r="P708" s="1" t="s">
        <v>96</v>
      </c>
      <c r="Q708" s="1" t="s">
        <v>9</v>
      </c>
      <c r="R708" s="1">
        <v>0</v>
      </c>
      <c r="S708" s="1" t="s">
        <v>97</v>
      </c>
      <c r="T708" s="1" t="s">
        <v>97</v>
      </c>
      <c r="U708" s="1" t="b">
        <v>1</v>
      </c>
      <c r="V708" s="1" t="b">
        <v>0</v>
      </c>
      <c r="W708" s="1" t="b">
        <v>0</v>
      </c>
      <c r="X708" s="1">
        <v>5</v>
      </c>
      <c r="Y708" s="1" t="b">
        <v>1</v>
      </c>
      <c r="Z708" s="1" t="b">
        <v>1</v>
      </c>
      <c r="AA708" s="1">
        <v>68.900000000000006</v>
      </c>
      <c r="AB708" s="1" t="b">
        <v>0</v>
      </c>
      <c r="AC708" s="1">
        <v>0</v>
      </c>
      <c r="AD708" s="1">
        <v>2046474</v>
      </c>
      <c r="AE708" s="1">
        <v>142394870</v>
      </c>
      <c r="AF708" s="1" t="s">
        <v>2951</v>
      </c>
      <c r="AG708" s="1" t="s">
        <v>2951</v>
      </c>
      <c r="AH708" s="1">
        <v>64.900000000000006</v>
      </c>
      <c r="AI708" s="1">
        <v>63.9</v>
      </c>
      <c r="AJ708" s="1" t="s">
        <v>2952</v>
      </c>
      <c r="AK708" s="1" t="s">
        <v>2953</v>
      </c>
      <c r="AL708" s="1" t="s">
        <v>2954</v>
      </c>
    </row>
    <row r="709" spans="1:38" x14ac:dyDescent="0.6">
      <c r="A709" s="1">
        <v>508</v>
      </c>
      <c r="B709" s="1" t="s">
        <v>103</v>
      </c>
      <c r="C709" s="1">
        <v>60</v>
      </c>
      <c r="D709" s="1" t="s">
        <v>127</v>
      </c>
      <c r="E709" s="1" t="s">
        <v>90</v>
      </c>
      <c r="F709" s="1"/>
      <c r="G709" s="1"/>
      <c r="H709" s="1" t="s">
        <v>220</v>
      </c>
      <c r="I709" s="1" t="s">
        <v>221</v>
      </c>
      <c r="J709" s="1" t="s">
        <v>222</v>
      </c>
      <c r="K709" s="1">
        <v>1.25</v>
      </c>
      <c r="L709" s="1">
        <v>120</v>
      </c>
      <c r="M709" s="1" t="s">
        <v>7</v>
      </c>
      <c r="N709" s="1" t="s">
        <v>7</v>
      </c>
      <c r="O709" s="1" t="s">
        <v>96</v>
      </c>
      <c r="P709" s="1" t="s">
        <v>96</v>
      </c>
      <c r="Q709" s="1" t="s">
        <v>9</v>
      </c>
      <c r="R709" s="1">
        <v>0</v>
      </c>
      <c r="S709" s="1" t="s">
        <v>97</v>
      </c>
      <c r="T709" s="1" t="s">
        <v>97</v>
      </c>
      <c r="U709" s="1" t="b">
        <v>1</v>
      </c>
      <c r="V709" s="1" t="b">
        <v>0</v>
      </c>
      <c r="W709" s="1" t="b">
        <v>0</v>
      </c>
      <c r="X709" s="1">
        <v>5</v>
      </c>
      <c r="Y709" s="1" t="b">
        <v>1</v>
      </c>
      <c r="Z709" s="1" t="b">
        <v>1</v>
      </c>
      <c r="AA709" s="1">
        <v>86.1</v>
      </c>
      <c r="AB709" s="1" t="b">
        <v>0</v>
      </c>
      <c r="AC709" s="1">
        <v>0</v>
      </c>
      <c r="AD709" s="1">
        <v>1952975</v>
      </c>
      <c r="AE709" s="1">
        <v>140391217</v>
      </c>
      <c r="AF709" s="1" t="s">
        <v>2955</v>
      </c>
      <c r="AG709" s="1" t="s">
        <v>2955</v>
      </c>
      <c r="AH709" s="1">
        <v>77.900000000000006</v>
      </c>
      <c r="AI709" s="1">
        <v>80.3</v>
      </c>
      <c r="AJ709" s="1" t="s">
        <v>2956</v>
      </c>
      <c r="AK709" s="1" t="s">
        <v>2957</v>
      </c>
      <c r="AL709" s="1" t="s">
        <v>2958</v>
      </c>
    </row>
    <row r="710" spans="1:38" x14ac:dyDescent="0.6">
      <c r="A710" s="1">
        <v>509</v>
      </c>
      <c r="B710" s="1" t="s">
        <v>103</v>
      </c>
      <c r="C710" s="1">
        <v>60</v>
      </c>
      <c r="D710" s="1" t="s">
        <v>127</v>
      </c>
      <c r="E710" s="1" t="s">
        <v>108</v>
      </c>
      <c r="F710" s="1"/>
      <c r="G710" s="1"/>
      <c r="H710" s="1" t="s">
        <v>220</v>
      </c>
      <c r="I710" s="1" t="s">
        <v>221</v>
      </c>
      <c r="J710" s="1" t="s">
        <v>222</v>
      </c>
      <c r="K710" s="1">
        <v>1.25</v>
      </c>
      <c r="L710" s="1">
        <v>120</v>
      </c>
      <c r="M710" s="1" t="s">
        <v>14</v>
      </c>
      <c r="N710" s="1" t="s">
        <v>95</v>
      </c>
      <c r="O710" s="1" t="s">
        <v>96</v>
      </c>
      <c r="P710" s="1"/>
      <c r="Q710" s="1" t="s">
        <v>9</v>
      </c>
      <c r="R710" s="1">
        <v>0</v>
      </c>
      <c r="S710" s="1" t="s">
        <v>97</v>
      </c>
      <c r="T710" s="1" t="s">
        <v>97</v>
      </c>
      <c r="U710" s="1" t="b">
        <v>1</v>
      </c>
      <c r="V710" s="1" t="b">
        <v>0</v>
      </c>
      <c r="W710" s="1" t="b">
        <v>0</v>
      </c>
      <c r="X710" s="1">
        <v>5</v>
      </c>
      <c r="Y710" s="1" t="b">
        <v>1</v>
      </c>
      <c r="Z710" s="1" t="b">
        <v>1</v>
      </c>
      <c r="AA710" s="1"/>
      <c r="AB710" s="1" t="b">
        <v>1</v>
      </c>
      <c r="AC710" s="1">
        <v>155295974</v>
      </c>
      <c r="AD710" s="1">
        <v>679706</v>
      </c>
      <c r="AE710" s="1">
        <v>0</v>
      </c>
      <c r="AF710" s="1" t="s">
        <v>2959</v>
      </c>
      <c r="AG710" s="1" t="s">
        <v>2960</v>
      </c>
      <c r="AH710" s="1">
        <v>65.5</v>
      </c>
      <c r="AI710" s="1">
        <v>69.8</v>
      </c>
      <c r="AJ710" s="1" t="s">
        <v>2961</v>
      </c>
      <c r="AK710" s="1" t="s">
        <v>2962</v>
      </c>
      <c r="AL710" s="1" t="s">
        <v>2963</v>
      </c>
    </row>
    <row r="711" spans="1:38" x14ac:dyDescent="0.6">
      <c r="A711" s="1">
        <v>507</v>
      </c>
      <c r="B711" s="1" t="s">
        <v>103</v>
      </c>
      <c r="C711" s="1">
        <v>50</v>
      </c>
      <c r="D711" s="1" t="s">
        <v>89</v>
      </c>
      <c r="E711" s="1" t="s">
        <v>108</v>
      </c>
      <c r="F711" s="1"/>
      <c r="G711" s="1"/>
      <c r="H711" s="1" t="s">
        <v>220</v>
      </c>
      <c r="I711" s="1" t="s">
        <v>221</v>
      </c>
      <c r="J711" s="1" t="s">
        <v>222</v>
      </c>
      <c r="K711" s="1">
        <v>1.25</v>
      </c>
      <c r="L711" s="1">
        <v>120</v>
      </c>
      <c r="M711" s="1" t="s">
        <v>7</v>
      </c>
      <c r="N711" s="1" t="s">
        <v>7</v>
      </c>
      <c r="O711" s="1" t="s">
        <v>96</v>
      </c>
      <c r="P711" s="1" t="s">
        <v>96</v>
      </c>
      <c r="Q711" s="1" t="s">
        <v>9</v>
      </c>
      <c r="R711" s="1">
        <v>0</v>
      </c>
      <c r="S711" s="1" t="s">
        <v>97</v>
      </c>
      <c r="T711" s="1" t="s">
        <v>97</v>
      </c>
      <c r="U711" s="1" t="b">
        <v>1</v>
      </c>
      <c r="V711" s="1" t="b">
        <v>0</v>
      </c>
      <c r="W711" s="1" t="b">
        <v>0</v>
      </c>
      <c r="X711" s="1">
        <v>5</v>
      </c>
      <c r="Y711" s="1" t="b">
        <v>1</v>
      </c>
      <c r="Z711" s="1" t="b">
        <v>1</v>
      </c>
      <c r="AA711" s="1">
        <v>82</v>
      </c>
      <c r="AB711" s="1" t="b">
        <v>0</v>
      </c>
      <c r="AC711" s="1">
        <v>0</v>
      </c>
      <c r="AD711" s="1">
        <v>1720319</v>
      </c>
      <c r="AE711" s="1">
        <v>147701761</v>
      </c>
      <c r="AF711" s="1" t="s">
        <v>2964</v>
      </c>
      <c r="AG711" s="1" t="s">
        <v>2964</v>
      </c>
      <c r="AH711" s="1">
        <v>81.400000000000006</v>
      </c>
      <c r="AI711" s="1">
        <v>80</v>
      </c>
      <c r="AJ711" s="1" t="s">
        <v>2965</v>
      </c>
      <c r="AK711" s="1" t="s">
        <v>2966</v>
      </c>
      <c r="AL711" s="1" t="s">
        <v>2967</v>
      </c>
    </row>
    <row r="712" spans="1:38" x14ac:dyDescent="0.6">
      <c r="A712" s="1">
        <v>493</v>
      </c>
      <c r="B712" s="1" t="s">
        <v>88</v>
      </c>
      <c r="C712" s="1">
        <v>70</v>
      </c>
      <c r="D712" s="1" t="s">
        <v>119</v>
      </c>
      <c r="E712" s="1" t="s">
        <v>108</v>
      </c>
      <c r="F712" s="1"/>
      <c r="G712" s="1"/>
      <c r="H712" s="1" t="s">
        <v>91</v>
      </c>
      <c r="I712" s="1" t="s">
        <v>92</v>
      </c>
      <c r="J712" s="1" t="s">
        <v>93</v>
      </c>
      <c r="K712" s="1">
        <v>1</v>
      </c>
      <c r="L712" s="1">
        <v>120</v>
      </c>
      <c r="M712" s="1" t="s">
        <v>7</v>
      </c>
      <c r="N712" s="1" t="s">
        <v>7</v>
      </c>
      <c r="O712" s="1" t="s">
        <v>96</v>
      </c>
      <c r="P712" s="1" t="s">
        <v>96</v>
      </c>
      <c r="Q712" s="1" t="s">
        <v>9</v>
      </c>
      <c r="R712" s="1">
        <v>0</v>
      </c>
      <c r="S712" s="1" t="s">
        <v>97</v>
      </c>
      <c r="T712" s="1" t="s">
        <v>97</v>
      </c>
      <c r="U712" s="1" t="b">
        <v>1</v>
      </c>
      <c r="V712" s="1" t="b">
        <v>0</v>
      </c>
      <c r="W712" s="1" t="b">
        <v>0</v>
      </c>
      <c r="X712" s="1">
        <v>5</v>
      </c>
      <c r="Y712" s="1" t="b">
        <v>1</v>
      </c>
      <c r="Z712" s="1" t="b">
        <v>1</v>
      </c>
      <c r="AA712" s="1">
        <v>66.7</v>
      </c>
      <c r="AB712" s="1" t="b">
        <v>0</v>
      </c>
      <c r="AC712" s="1">
        <v>0</v>
      </c>
      <c r="AD712" s="1">
        <v>2253067</v>
      </c>
      <c r="AE712" s="1">
        <v>144809717</v>
      </c>
      <c r="AF712" s="1" t="s">
        <v>2968</v>
      </c>
      <c r="AG712" s="1" t="s">
        <v>2968</v>
      </c>
      <c r="AH712" s="1">
        <v>66.400000000000006</v>
      </c>
      <c r="AI712" s="1">
        <v>65.099999999999994</v>
      </c>
      <c r="AJ712" s="1" t="s">
        <v>2969</v>
      </c>
      <c r="AK712" s="1" t="s">
        <v>2970</v>
      </c>
      <c r="AL712" s="1" t="s">
        <v>2971</v>
      </c>
    </row>
    <row r="713" spans="1:38" x14ac:dyDescent="0.6">
      <c r="A713" s="1">
        <v>503</v>
      </c>
      <c r="B713" s="1" t="s">
        <v>88</v>
      </c>
      <c r="C713" s="1">
        <v>60</v>
      </c>
      <c r="D713" s="1" t="s">
        <v>127</v>
      </c>
      <c r="E713" s="1" t="s">
        <v>108</v>
      </c>
      <c r="F713" s="1"/>
      <c r="G713" s="1"/>
      <c r="H713" s="1" t="s">
        <v>220</v>
      </c>
      <c r="I713" s="1" t="s">
        <v>221</v>
      </c>
      <c r="J713" s="1" t="s">
        <v>222</v>
      </c>
      <c r="K713" s="1">
        <v>1.25</v>
      </c>
      <c r="L713" s="1">
        <v>120</v>
      </c>
      <c r="M713" s="1" t="s">
        <v>7</v>
      </c>
      <c r="N713" s="1" t="s">
        <v>7</v>
      </c>
      <c r="O713" s="1" t="s">
        <v>96</v>
      </c>
      <c r="P713" s="1" t="s">
        <v>96</v>
      </c>
      <c r="Q713" s="1" t="s">
        <v>9</v>
      </c>
      <c r="R713" s="1">
        <v>0</v>
      </c>
      <c r="S713" s="1" t="s">
        <v>97</v>
      </c>
      <c r="T713" s="1" t="s">
        <v>97</v>
      </c>
      <c r="U713" s="1" t="b">
        <v>1</v>
      </c>
      <c r="V713" s="1" t="b">
        <v>0</v>
      </c>
      <c r="W713" s="1" t="b">
        <v>0</v>
      </c>
      <c r="X713" s="1">
        <v>5</v>
      </c>
      <c r="Y713" s="1" t="b">
        <v>1</v>
      </c>
      <c r="Z713" s="1" t="b">
        <v>1</v>
      </c>
      <c r="AA713" s="1">
        <v>72.8</v>
      </c>
      <c r="AB713" s="1" t="b">
        <v>0</v>
      </c>
      <c r="AC713" s="1">
        <v>0</v>
      </c>
      <c r="AD713" s="1">
        <v>2631965</v>
      </c>
      <c r="AE713" s="1">
        <v>139187939</v>
      </c>
      <c r="AF713" s="1" t="s">
        <v>2972</v>
      </c>
      <c r="AG713" s="1" t="s">
        <v>2972</v>
      </c>
      <c r="AH713" s="1">
        <v>79.599999999999994</v>
      </c>
      <c r="AI713" s="1">
        <v>72.3</v>
      </c>
      <c r="AJ713" s="1" t="s">
        <v>2973</v>
      </c>
      <c r="AK713" s="1" t="s">
        <v>2974</v>
      </c>
      <c r="AL713" s="1" t="s">
        <v>2975</v>
      </c>
    </row>
    <row r="714" spans="1:38" x14ac:dyDescent="0.6">
      <c r="A714" s="1">
        <v>495</v>
      </c>
      <c r="B714" s="1" t="s">
        <v>88</v>
      </c>
      <c r="C714" s="1">
        <v>60</v>
      </c>
      <c r="D714" s="1" t="s">
        <v>127</v>
      </c>
      <c r="E714" s="1" t="s">
        <v>108</v>
      </c>
      <c r="F714" s="1"/>
      <c r="G714" s="1"/>
      <c r="H714" s="1" t="s">
        <v>220</v>
      </c>
      <c r="I714" s="1" t="s">
        <v>221</v>
      </c>
      <c r="J714" s="1" t="s">
        <v>222</v>
      </c>
      <c r="K714" s="1">
        <v>1.25</v>
      </c>
      <c r="L714" s="1">
        <v>120</v>
      </c>
      <c r="M714" s="1" t="s">
        <v>7</v>
      </c>
      <c r="N714" s="1" t="s">
        <v>7</v>
      </c>
      <c r="O714" s="1" t="s">
        <v>96</v>
      </c>
      <c r="P714" s="1" t="s">
        <v>96</v>
      </c>
      <c r="Q714" s="1" t="s">
        <v>9</v>
      </c>
      <c r="R714" s="1">
        <v>0</v>
      </c>
      <c r="S714" s="1" t="s">
        <v>97</v>
      </c>
      <c r="T714" s="1" t="s">
        <v>97</v>
      </c>
      <c r="U714" s="1" t="b">
        <v>1</v>
      </c>
      <c r="V714" s="1" t="b">
        <v>0</v>
      </c>
      <c r="W714" s="1" t="b">
        <v>0</v>
      </c>
      <c r="X714" s="1">
        <v>5</v>
      </c>
      <c r="Y714" s="1" t="b">
        <v>1</v>
      </c>
      <c r="Z714" s="1" t="b">
        <v>1</v>
      </c>
      <c r="AA714" s="1">
        <v>70.599999999999994</v>
      </c>
      <c r="AB714" s="1" t="b">
        <v>0</v>
      </c>
      <c r="AC714" s="1">
        <v>0</v>
      </c>
      <c r="AD714" s="1">
        <v>2302286</v>
      </c>
      <c r="AE714" s="1">
        <v>129818290</v>
      </c>
      <c r="AF714" s="1" t="s">
        <v>2976</v>
      </c>
      <c r="AG714" s="1" t="s">
        <v>2976</v>
      </c>
      <c r="AH714" s="1">
        <v>64.2</v>
      </c>
      <c r="AI714" s="1">
        <v>65.2</v>
      </c>
      <c r="AJ714" s="1" t="s">
        <v>2977</v>
      </c>
      <c r="AK714" s="1" t="s">
        <v>2978</v>
      </c>
      <c r="AL714" s="1" t="s">
        <v>2979</v>
      </c>
    </row>
    <row r="715" spans="1:38" x14ac:dyDescent="0.6">
      <c r="A715" s="1">
        <v>513</v>
      </c>
      <c r="B715" s="1" t="s">
        <v>103</v>
      </c>
      <c r="C715" s="1">
        <v>70</v>
      </c>
      <c r="D715" s="1" t="s">
        <v>119</v>
      </c>
      <c r="E715" s="1" t="s">
        <v>108</v>
      </c>
      <c r="F715" s="1"/>
      <c r="G715" s="1"/>
      <c r="H715" s="1" t="s">
        <v>91</v>
      </c>
      <c r="I715" s="1" t="s">
        <v>92</v>
      </c>
      <c r="J715" s="1" t="s">
        <v>109</v>
      </c>
      <c r="K715" s="1">
        <v>5</v>
      </c>
      <c r="L715" s="1">
        <v>120</v>
      </c>
      <c r="M715" s="1" t="s">
        <v>94</v>
      </c>
      <c r="N715" s="1" t="s">
        <v>95</v>
      </c>
      <c r="O715" s="1"/>
      <c r="P715" s="1" t="s">
        <v>96</v>
      </c>
      <c r="Q715" s="1" t="s">
        <v>9</v>
      </c>
      <c r="R715" s="1">
        <v>0</v>
      </c>
      <c r="S715" s="1" t="s">
        <v>97</v>
      </c>
      <c r="T715" s="1" t="s">
        <v>97</v>
      </c>
      <c r="U715" s="1" t="b">
        <v>1</v>
      </c>
      <c r="V715" s="1" t="b">
        <v>0</v>
      </c>
      <c r="W715" s="1" t="b">
        <v>0</v>
      </c>
      <c r="X715" s="1">
        <v>0</v>
      </c>
      <c r="Y715" s="1" t="b">
        <v>1</v>
      </c>
      <c r="Z715" s="1" t="b">
        <v>1</v>
      </c>
      <c r="AA715" s="1">
        <v>64.8</v>
      </c>
      <c r="AB715" s="1" t="b">
        <v>1</v>
      </c>
      <c r="AC715" s="1">
        <v>151775467</v>
      </c>
      <c r="AD715" s="1">
        <v>1840917</v>
      </c>
      <c r="AE715" s="1">
        <v>0</v>
      </c>
      <c r="AF715" s="1" t="s">
        <v>2916</v>
      </c>
      <c r="AG715" s="1" t="s">
        <v>2917</v>
      </c>
      <c r="AH715" s="1">
        <v>70.7</v>
      </c>
      <c r="AI715" s="1">
        <v>63.6</v>
      </c>
      <c r="AJ715" s="1" t="s">
        <v>2980</v>
      </c>
      <c r="AK715" s="1" t="s">
        <v>2981</v>
      </c>
      <c r="AL715" s="1" t="s">
        <v>2982</v>
      </c>
    </row>
    <row r="716" spans="1:38" x14ac:dyDescent="0.6">
      <c r="A716" s="1">
        <v>510</v>
      </c>
      <c r="B716" s="1" t="s">
        <v>103</v>
      </c>
      <c r="C716" s="1">
        <v>60</v>
      </c>
      <c r="D716" s="1" t="s">
        <v>127</v>
      </c>
      <c r="E716" s="1" t="s">
        <v>108</v>
      </c>
      <c r="F716" s="1"/>
      <c r="G716" s="1"/>
      <c r="H716" s="1" t="s">
        <v>220</v>
      </c>
      <c r="I716" s="1" t="s">
        <v>221</v>
      </c>
      <c r="J716" s="1" t="s">
        <v>222</v>
      </c>
      <c r="K716" s="1">
        <v>1.25</v>
      </c>
      <c r="L716" s="1">
        <v>120</v>
      </c>
      <c r="M716" s="1" t="s">
        <v>7</v>
      </c>
      <c r="N716" s="1" t="s">
        <v>7</v>
      </c>
      <c r="O716" s="1" t="s">
        <v>96</v>
      </c>
      <c r="P716" s="1" t="s">
        <v>96</v>
      </c>
      <c r="Q716" s="1" t="s">
        <v>9</v>
      </c>
      <c r="R716" s="1">
        <v>0</v>
      </c>
      <c r="S716" s="1" t="s">
        <v>97</v>
      </c>
      <c r="T716" s="1" t="s">
        <v>97</v>
      </c>
      <c r="U716" s="1" t="b">
        <v>1</v>
      </c>
      <c r="V716" s="1" t="b">
        <v>0</v>
      </c>
      <c r="W716" s="1" t="b">
        <v>0</v>
      </c>
      <c r="X716" s="1">
        <v>5</v>
      </c>
      <c r="Y716" s="1" t="b">
        <v>1</v>
      </c>
      <c r="Z716" s="1" t="b">
        <v>1</v>
      </c>
      <c r="AA716" s="1">
        <v>79</v>
      </c>
      <c r="AB716" s="1" t="b">
        <v>0</v>
      </c>
      <c r="AC716" s="1">
        <v>0</v>
      </c>
      <c r="AD716" s="1">
        <v>2184623</v>
      </c>
      <c r="AE716" s="1">
        <v>151169617</v>
      </c>
      <c r="AF716" s="1" t="s">
        <v>2983</v>
      </c>
      <c r="AG716" s="1" t="s">
        <v>2983</v>
      </c>
      <c r="AH716" s="1">
        <v>78</v>
      </c>
      <c r="AI716" s="1">
        <v>75.099999999999994</v>
      </c>
      <c r="AJ716" s="1" t="s">
        <v>2984</v>
      </c>
      <c r="AK716" s="1" t="s">
        <v>2985</v>
      </c>
      <c r="AL716" s="1" t="s">
        <v>2986</v>
      </c>
    </row>
    <row r="717" spans="1:38" x14ac:dyDescent="0.6">
      <c r="A717" s="1">
        <v>500</v>
      </c>
      <c r="B717" s="1" t="s">
        <v>88</v>
      </c>
      <c r="C717" s="1">
        <v>50</v>
      </c>
      <c r="D717" s="1" t="s">
        <v>89</v>
      </c>
      <c r="E717" s="1" t="s">
        <v>90</v>
      </c>
      <c r="F717" s="1"/>
      <c r="G717" s="1"/>
      <c r="H717" s="1" t="s">
        <v>91</v>
      </c>
      <c r="I717" s="1" t="s">
        <v>92</v>
      </c>
      <c r="J717" s="1" t="s">
        <v>93</v>
      </c>
      <c r="K717" s="1">
        <v>1</v>
      </c>
      <c r="L717" s="1">
        <v>120</v>
      </c>
      <c r="M717" s="1" t="s">
        <v>7</v>
      </c>
      <c r="N717" s="1" t="s">
        <v>7</v>
      </c>
      <c r="O717" s="1" t="s">
        <v>96</v>
      </c>
      <c r="P717" s="1" t="s">
        <v>96</v>
      </c>
      <c r="Q717" s="1" t="s">
        <v>9</v>
      </c>
      <c r="R717" s="1">
        <v>0</v>
      </c>
      <c r="S717" s="1" t="s">
        <v>97</v>
      </c>
      <c r="T717" s="1" t="s">
        <v>97</v>
      </c>
      <c r="U717" s="1" t="b">
        <v>1</v>
      </c>
      <c r="V717" s="1" t="b">
        <v>0</v>
      </c>
      <c r="W717" s="1" t="b">
        <v>0</v>
      </c>
      <c r="X717" s="1">
        <v>5</v>
      </c>
      <c r="Y717" s="1" t="b">
        <v>1</v>
      </c>
      <c r="Z717" s="1" t="b">
        <v>1</v>
      </c>
      <c r="AA717" s="1">
        <v>85.5</v>
      </c>
      <c r="AB717" s="1" t="b">
        <v>0</v>
      </c>
      <c r="AC717" s="1">
        <v>0</v>
      </c>
      <c r="AD717" s="1">
        <v>1565341</v>
      </c>
      <c r="AE717" s="1">
        <v>129768803</v>
      </c>
      <c r="AF717" s="1" t="s">
        <v>2987</v>
      </c>
      <c r="AG717" s="1" t="s">
        <v>2987</v>
      </c>
      <c r="AH717" s="1">
        <v>82</v>
      </c>
      <c r="AI717" s="1">
        <v>80.900000000000006</v>
      </c>
      <c r="AJ717" s="1" t="s">
        <v>2988</v>
      </c>
      <c r="AK717" s="1" t="s">
        <v>2989</v>
      </c>
      <c r="AL717" s="1" t="s">
        <v>2990</v>
      </c>
    </row>
    <row r="718" spans="1:38" x14ac:dyDescent="0.6">
      <c r="A718" s="1">
        <v>501</v>
      </c>
      <c r="B718" s="1" t="s">
        <v>88</v>
      </c>
      <c r="C718" s="1">
        <v>50</v>
      </c>
      <c r="D718" s="1" t="s">
        <v>89</v>
      </c>
      <c r="E718" s="1" t="s">
        <v>90</v>
      </c>
      <c r="F718" s="1"/>
      <c r="G718" s="1"/>
      <c r="H718" s="1" t="s">
        <v>220</v>
      </c>
      <c r="I718" s="1" t="s">
        <v>221</v>
      </c>
      <c r="J718" s="1" t="s">
        <v>222</v>
      </c>
      <c r="K718" s="1">
        <v>1.25</v>
      </c>
      <c r="L718" s="1">
        <v>120</v>
      </c>
      <c r="M718" s="1" t="s">
        <v>7</v>
      </c>
      <c r="N718" s="1" t="s">
        <v>7</v>
      </c>
      <c r="O718" s="1" t="s">
        <v>96</v>
      </c>
      <c r="P718" s="1" t="s">
        <v>96</v>
      </c>
      <c r="Q718" s="1" t="s">
        <v>9</v>
      </c>
      <c r="R718" s="1">
        <v>0</v>
      </c>
      <c r="S718" s="1" t="s">
        <v>97</v>
      </c>
      <c r="T718" s="1" t="s">
        <v>97</v>
      </c>
      <c r="U718" s="1" t="b">
        <v>1</v>
      </c>
      <c r="V718" s="1" t="b">
        <v>0</v>
      </c>
      <c r="W718" s="1" t="b">
        <v>0</v>
      </c>
      <c r="X718" s="1">
        <v>5</v>
      </c>
      <c r="Y718" s="1" t="b">
        <v>1</v>
      </c>
      <c r="Z718" s="1" t="b">
        <v>1</v>
      </c>
      <c r="AA718" s="1">
        <v>87.5</v>
      </c>
      <c r="AB718" s="1" t="b">
        <v>0</v>
      </c>
      <c r="AC718" s="1">
        <v>0</v>
      </c>
      <c r="AD718" s="1">
        <v>2107657</v>
      </c>
      <c r="AE718" s="1">
        <v>127915767</v>
      </c>
      <c r="AF718" s="1" t="s">
        <v>2991</v>
      </c>
      <c r="AG718" s="1" t="s">
        <v>2991</v>
      </c>
      <c r="AH718" s="1">
        <v>79.8</v>
      </c>
      <c r="AI718" s="1">
        <v>79</v>
      </c>
      <c r="AJ718" s="1" t="s">
        <v>2992</v>
      </c>
      <c r="AK718" s="1" t="s">
        <v>2993</v>
      </c>
      <c r="AL718" s="1" t="s">
        <v>2994</v>
      </c>
    </row>
    <row r="719" spans="1:38" x14ac:dyDescent="0.6">
      <c r="A719" s="1">
        <v>511</v>
      </c>
      <c r="B719" s="1" t="s">
        <v>103</v>
      </c>
      <c r="C719" s="1">
        <v>60</v>
      </c>
      <c r="D719" s="1" t="s">
        <v>127</v>
      </c>
      <c r="E719" s="1" t="s">
        <v>108</v>
      </c>
      <c r="F719" s="1">
        <v>0</v>
      </c>
      <c r="G719" s="1"/>
      <c r="H719" s="1" t="s">
        <v>120</v>
      </c>
      <c r="I719" s="1" t="s">
        <v>121</v>
      </c>
      <c r="J719" s="1" t="s">
        <v>1192</v>
      </c>
      <c r="K719" s="1">
        <v>1</v>
      </c>
      <c r="L719" s="1">
        <v>120</v>
      </c>
      <c r="M719" s="1" t="s">
        <v>14</v>
      </c>
      <c r="N719" s="1" t="s">
        <v>14</v>
      </c>
      <c r="O719" s="1" t="s">
        <v>96</v>
      </c>
      <c r="P719" s="1"/>
      <c r="Q719" s="1" t="s">
        <v>9</v>
      </c>
      <c r="R719" s="1">
        <v>0</v>
      </c>
      <c r="S719" s="1"/>
      <c r="T719" s="1" t="s">
        <v>97</v>
      </c>
      <c r="U719" s="1"/>
      <c r="V719" s="1" t="b">
        <v>0</v>
      </c>
      <c r="W719" s="1" t="b">
        <v>0</v>
      </c>
      <c r="X719" s="1">
        <v>5</v>
      </c>
      <c r="Y719" s="1" t="b">
        <v>1</v>
      </c>
      <c r="Z719" s="1" t="b">
        <v>1</v>
      </c>
      <c r="AA719" s="1"/>
      <c r="AB719" s="1" t="b">
        <v>1</v>
      </c>
      <c r="AC719" s="1">
        <v>146961345</v>
      </c>
      <c r="AD719" s="1">
        <v>887871</v>
      </c>
      <c r="AE719" s="1">
        <v>0</v>
      </c>
      <c r="AF719" s="1" t="s">
        <v>2995</v>
      </c>
      <c r="AG719" s="1"/>
      <c r="AH719" s="1">
        <v>52.6</v>
      </c>
      <c r="AI719" s="1"/>
      <c r="AJ719" s="1" t="s">
        <v>2996</v>
      </c>
      <c r="AK719" s="1" t="s">
        <v>2997</v>
      </c>
      <c r="AL719" s="1" t="s">
        <v>2998</v>
      </c>
    </row>
    <row r="720" spans="1:38" x14ac:dyDescent="0.6">
      <c r="A720" s="1">
        <v>516</v>
      </c>
      <c r="B720" s="1" t="s">
        <v>103</v>
      </c>
      <c r="C720" s="1">
        <v>60</v>
      </c>
      <c r="D720" s="1" t="s">
        <v>127</v>
      </c>
      <c r="E720" s="1" t="s">
        <v>90</v>
      </c>
      <c r="F720" s="1"/>
      <c r="G720" s="1"/>
      <c r="H720" s="1" t="s">
        <v>91</v>
      </c>
      <c r="I720" s="1" t="s">
        <v>92</v>
      </c>
      <c r="J720" s="1" t="s">
        <v>93</v>
      </c>
      <c r="K720" s="1">
        <v>1</v>
      </c>
      <c r="L720" s="1">
        <v>120</v>
      </c>
      <c r="M720" s="1" t="s">
        <v>14</v>
      </c>
      <c r="N720" s="1" t="s">
        <v>95</v>
      </c>
      <c r="O720" s="1" t="s">
        <v>96</v>
      </c>
      <c r="P720" s="1"/>
      <c r="Q720" s="1" t="s">
        <v>9</v>
      </c>
      <c r="R720" s="1">
        <v>0</v>
      </c>
      <c r="S720" s="1" t="s">
        <v>97</v>
      </c>
      <c r="T720" s="1" t="s">
        <v>97</v>
      </c>
      <c r="U720" s="1" t="b">
        <v>1</v>
      </c>
      <c r="V720" s="1" t="b">
        <v>0</v>
      </c>
      <c r="W720" s="1" t="b">
        <v>0</v>
      </c>
      <c r="X720" s="1">
        <v>5</v>
      </c>
      <c r="Y720" s="1" t="b">
        <v>1</v>
      </c>
      <c r="Z720" s="1" t="b">
        <v>1</v>
      </c>
      <c r="AA720" s="1"/>
      <c r="AB720" s="1" t="b">
        <v>1</v>
      </c>
      <c r="AC720" s="1">
        <v>142264298</v>
      </c>
      <c r="AD720" s="1">
        <v>604182</v>
      </c>
      <c r="AE720" s="1">
        <v>0</v>
      </c>
      <c r="AF720" s="1" t="s">
        <v>2999</v>
      </c>
      <c r="AG720" s="1" t="s">
        <v>3000</v>
      </c>
      <c r="AH720" s="1">
        <v>61</v>
      </c>
      <c r="AI720" s="1">
        <v>62.3</v>
      </c>
      <c r="AJ720" s="1" t="s">
        <v>3001</v>
      </c>
      <c r="AK720" s="1" t="s">
        <v>3002</v>
      </c>
      <c r="AL720" s="1" t="s">
        <v>3003</v>
      </c>
    </row>
    <row r="721" spans="1:38" x14ac:dyDescent="0.6">
      <c r="A721" s="1">
        <v>515</v>
      </c>
      <c r="B721" s="1" t="s">
        <v>88</v>
      </c>
      <c r="C721" s="1">
        <v>50</v>
      </c>
      <c r="D721" s="1" t="s">
        <v>89</v>
      </c>
      <c r="E721" s="1" t="s">
        <v>108</v>
      </c>
      <c r="F721" s="1"/>
      <c r="G721" s="1"/>
      <c r="H721" s="1" t="s">
        <v>91</v>
      </c>
      <c r="I721" s="1" t="s">
        <v>92</v>
      </c>
      <c r="J721" s="1" t="s">
        <v>93</v>
      </c>
      <c r="K721" s="1">
        <v>1</v>
      </c>
      <c r="L721" s="1">
        <v>120</v>
      </c>
      <c r="M721" s="1" t="s">
        <v>14</v>
      </c>
      <c r="N721" s="1" t="s">
        <v>95</v>
      </c>
      <c r="O721" s="1" t="s">
        <v>96</v>
      </c>
      <c r="P721" s="1"/>
      <c r="Q721" s="1" t="s">
        <v>9</v>
      </c>
      <c r="R721" s="1">
        <v>0</v>
      </c>
      <c r="S721" s="1" t="s">
        <v>97</v>
      </c>
      <c r="T721" s="1" t="s">
        <v>97</v>
      </c>
      <c r="U721" s="1" t="b">
        <v>1</v>
      </c>
      <c r="V721" s="1" t="b">
        <v>0</v>
      </c>
      <c r="W721" s="1" t="b">
        <v>0</v>
      </c>
      <c r="X721" s="1">
        <v>5</v>
      </c>
      <c r="Y721" s="1" t="b">
        <v>1</v>
      </c>
      <c r="Z721" s="1" t="b">
        <v>1</v>
      </c>
      <c r="AA721" s="1"/>
      <c r="AB721" s="1" t="b">
        <v>1</v>
      </c>
      <c r="AC721" s="1">
        <v>139983883</v>
      </c>
      <c r="AD721" s="1">
        <v>787445</v>
      </c>
      <c r="AE721" s="1">
        <v>0</v>
      </c>
      <c r="AF721" s="1" t="s">
        <v>3004</v>
      </c>
      <c r="AG721" s="1" t="s">
        <v>3005</v>
      </c>
      <c r="AH721" s="1">
        <v>58.8</v>
      </c>
      <c r="AI721" s="1">
        <v>59.2</v>
      </c>
      <c r="AJ721" s="1" t="s">
        <v>3006</v>
      </c>
      <c r="AK721" s="1" t="s">
        <v>3007</v>
      </c>
      <c r="AL721" s="1" t="s">
        <v>3008</v>
      </c>
    </row>
    <row r="722" spans="1:38" x14ac:dyDescent="0.6">
      <c r="A722" s="1">
        <v>514</v>
      </c>
      <c r="B722" s="1" t="s">
        <v>88</v>
      </c>
      <c r="C722" s="1">
        <v>60</v>
      </c>
      <c r="D722" s="1" t="s">
        <v>127</v>
      </c>
      <c r="E722" s="1" t="s">
        <v>108</v>
      </c>
      <c r="F722" s="1"/>
      <c r="G722" s="1"/>
      <c r="H722" s="1" t="s">
        <v>91</v>
      </c>
      <c r="I722" s="1" t="s">
        <v>92</v>
      </c>
      <c r="J722" s="1" t="s">
        <v>93</v>
      </c>
      <c r="K722" s="1">
        <v>1</v>
      </c>
      <c r="L722" s="1">
        <v>120</v>
      </c>
      <c r="M722" s="1" t="s">
        <v>7</v>
      </c>
      <c r="N722" s="1" t="s">
        <v>7</v>
      </c>
      <c r="O722" s="1" t="s">
        <v>96</v>
      </c>
      <c r="P722" s="1" t="s">
        <v>96</v>
      </c>
      <c r="Q722" s="1" t="s">
        <v>9</v>
      </c>
      <c r="R722" s="1">
        <v>0</v>
      </c>
      <c r="S722" s="1" t="s">
        <v>97</v>
      </c>
      <c r="T722" s="1" t="s">
        <v>97</v>
      </c>
      <c r="U722" s="1" t="b">
        <v>1</v>
      </c>
      <c r="V722" s="1" t="b">
        <v>0</v>
      </c>
      <c r="W722" s="1" t="b">
        <v>0</v>
      </c>
      <c r="X722" s="1">
        <v>5</v>
      </c>
      <c r="Y722" s="1" t="b">
        <v>1</v>
      </c>
      <c r="Z722" s="1" t="b">
        <v>1</v>
      </c>
      <c r="AA722" s="1">
        <v>64.5</v>
      </c>
      <c r="AB722" s="1" t="b">
        <v>0</v>
      </c>
      <c r="AC722" s="1">
        <v>0</v>
      </c>
      <c r="AD722" s="1">
        <v>2129270</v>
      </c>
      <c r="AE722" s="1">
        <v>148865674</v>
      </c>
      <c r="AF722" s="1" t="s">
        <v>3009</v>
      </c>
      <c r="AG722" s="1" t="s">
        <v>3009</v>
      </c>
      <c r="AH722" s="1">
        <v>56.3</v>
      </c>
      <c r="AI722" s="1">
        <v>61.3</v>
      </c>
      <c r="AJ722" s="1" t="s">
        <v>3010</v>
      </c>
      <c r="AK722" s="1" t="s">
        <v>3011</v>
      </c>
      <c r="AL722" s="1" t="s">
        <v>3012</v>
      </c>
    </row>
    <row r="723" spans="1:38" x14ac:dyDescent="0.6">
      <c r="A723" s="1">
        <v>515</v>
      </c>
      <c r="B723" s="1" t="s">
        <v>88</v>
      </c>
      <c r="C723" s="1">
        <v>50</v>
      </c>
      <c r="D723" s="1" t="s">
        <v>89</v>
      </c>
      <c r="E723" s="1" t="s">
        <v>108</v>
      </c>
      <c r="F723" s="1"/>
      <c r="G723" s="1"/>
      <c r="H723" s="1" t="s">
        <v>91</v>
      </c>
      <c r="I723" s="1" t="s">
        <v>92</v>
      </c>
      <c r="J723" s="1" t="s">
        <v>93</v>
      </c>
      <c r="K723" s="1">
        <v>1</v>
      </c>
      <c r="L723" s="1">
        <v>120</v>
      </c>
      <c r="M723" s="1" t="s">
        <v>94</v>
      </c>
      <c r="N723" s="1" t="s">
        <v>95</v>
      </c>
      <c r="O723" s="1"/>
      <c r="P723" s="1" t="s">
        <v>96</v>
      </c>
      <c r="Q723" s="1" t="s">
        <v>9</v>
      </c>
      <c r="R723" s="1">
        <v>0</v>
      </c>
      <c r="S723" s="1" t="s">
        <v>97</v>
      </c>
      <c r="T723" s="1" t="s">
        <v>97</v>
      </c>
      <c r="U723" s="1" t="b">
        <v>1</v>
      </c>
      <c r="V723" s="1" t="b">
        <v>0</v>
      </c>
      <c r="W723" s="1" t="b">
        <v>0</v>
      </c>
      <c r="X723" s="1">
        <v>0</v>
      </c>
      <c r="Y723" s="1" t="b">
        <v>1</v>
      </c>
      <c r="Z723" s="1" t="b">
        <v>1</v>
      </c>
      <c r="AA723" s="1">
        <v>62.2</v>
      </c>
      <c r="AB723" s="1" t="b">
        <v>1</v>
      </c>
      <c r="AC723" s="1">
        <v>144668245</v>
      </c>
      <c r="AD723" s="1">
        <v>2394539</v>
      </c>
      <c r="AE723" s="1">
        <v>0</v>
      </c>
      <c r="AF723" s="1" t="s">
        <v>3004</v>
      </c>
      <c r="AG723" s="1" t="s">
        <v>3005</v>
      </c>
      <c r="AH723" s="1">
        <v>58.8</v>
      </c>
      <c r="AI723" s="1">
        <v>59.2</v>
      </c>
      <c r="AJ723" s="1" t="s">
        <v>3013</v>
      </c>
      <c r="AK723" s="1" t="s">
        <v>3014</v>
      </c>
      <c r="AL723" s="1" t="s">
        <v>3015</v>
      </c>
    </row>
    <row r="724" spans="1:38" x14ac:dyDescent="0.6">
      <c r="A724" s="1">
        <v>516</v>
      </c>
      <c r="B724" s="1" t="s">
        <v>103</v>
      </c>
      <c r="C724" s="1">
        <v>60</v>
      </c>
      <c r="D724" s="1" t="s">
        <v>127</v>
      </c>
      <c r="E724" s="1" t="s">
        <v>90</v>
      </c>
      <c r="F724" s="1"/>
      <c r="G724" s="1"/>
      <c r="H724" s="1" t="s">
        <v>91</v>
      </c>
      <c r="I724" s="1" t="s">
        <v>92</v>
      </c>
      <c r="J724" s="1" t="s">
        <v>93</v>
      </c>
      <c r="K724" s="1">
        <v>1</v>
      </c>
      <c r="L724" s="1">
        <v>120</v>
      </c>
      <c r="M724" s="1" t="s">
        <v>94</v>
      </c>
      <c r="N724" s="1" t="s">
        <v>95</v>
      </c>
      <c r="O724" s="1"/>
      <c r="P724" s="1" t="s">
        <v>96</v>
      </c>
      <c r="Q724" s="1" t="s">
        <v>9</v>
      </c>
      <c r="R724" s="1">
        <v>0</v>
      </c>
      <c r="S724" s="1" t="s">
        <v>97</v>
      </c>
      <c r="T724" s="1" t="s">
        <v>97</v>
      </c>
      <c r="U724" s="1" t="b">
        <v>1</v>
      </c>
      <c r="V724" s="1" t="b">
        <v>0</v>
      </c>
      <c r="W724" s="1" t="b">
        <v>0</v>
      </c>
      <c r="X724" s="1">
        <v>0</v>
      </c>
      <c r="Y724" s="1" t="b">
        <v>1</v>
      </c>
      <c r="Z724" s="1" t="b">
        <v>1</v>
      </c>
      <c r="AA724" s="1">
        <v>63.9</v>
      </c>
      <c r="AB724" s="1" t="b">
        <v>1</v>
      </c>
      <c r="AC724" s="1">
        <v>144046857</v>
      </c>
      <c r="AD724" s="1">
        <v>1967351</v>
      </c>
      <c r="AE724" s="1">
        <v>0</v>
      </c>
      <c r="AF724" s="1" t="s">
        <v>2999</v>
      </c>
      <c r="AG724" s="1" t="s">
        <v>3000</v>
      </c>
      <c r="AH724" s="1">
        <v>61</v>
      </c>
      <c r="AI724" s="1">
        <v>62.3</v>
      </c>
      <c r="AJ724" s="1" t="s">
        <v>3016</v>
      </c>
      <c r="AK724" s="1" t="s">
        <v>3017</v>
      </c>
      <c r="AL724" s="1" t="s">
        <v>3018</v>
      </c>
    </row>
    <row r="725" spans="1:38" x14ac:dyDescent="0.6">
      <c r="A725" s="1">
        <v>519</v>
      </c>
      <c r="B725" s="1" t="s">
        <v>88</v>
      </c>
      <c r="C725" s="1">
        <v>60</v>
      </c>
      <c r="D725" s="1" t="s">
        <v>127</v>
      </c>
      <c r="E725" s="1" t="s">
        <v>90</v>
      </c>
      <c r="F725" s="1"/>
      <c r="G725" s="1"/>
      <c r="H725" s="1" t="s">
        <v>220</v>
      </c>
      <c r="I725" s="1" t="s">
        <v>221</v>
      </c>
      <c r="J725" s="1" t="s">
        <v>222</v>
      </c>
      <c r="K725" s="1">
        <v>1.25</v>
      </c>
      <c r="L725" s="1">
        <v>120</v>
      </c>
      <c r="M725" s="1" t="s">
        <v>7</v>
      </c>
      <c r="N725" s="1" t="s">
        <v>7</v>
      </c>
      <c r="O725" s="1" t="s">
        <v>96</v>
      </c>
      <c r="P725" s="1" t="s">
        <v>96</v>
      </c>
      <c r="Q725" s="1" t="s">
        <v>9</v>
      </c>
      <c r="R725" s="1">
        <v>0</v>
      </c>
      <c r="S725" s="1" t="s">
        <v>97</v>
      </c>
      <c r="T725" s="1" t="s">
        <v>97</v>
      </c>
      <c r="U725" s="1" t="b">
        <v>1</v>
      </c>
      <c r="V725" s="1" t="b">
        <v>0</v>
      </c>
      <c r="W725" s="1" t="b">
        <v>0</v>
      </c>
      <c r="X725" s="1">
        <v>5</v>
      </c>
      <c r="Y725" s="1" t="b">
        <v>1</v>
      </c>
      <c r="Z725" s="1" t="b">
        <v>1</v>
      </c>
      <c r="AA725" s="1">
        <v>70.8</v>
      </c>
      <c r="AB725" s="1" t="b">
        <v>0</v>
      </c>
      <c r="AC725" s="1">
        <v>0</v>
      </c>
      <c r="AD725" s="1">
        <v>2313236</v>
      </c>
      <c r="AE725" s="1">
        <v>122729452</v>
      </c>
      <c r="AF725" s="1" t="s">
        <v>3019</v>
      </c>
      <c r="AG725" s="1" t="s">
        <v>3019</v>
      </c>
      <c r="AH725" s="1">
        <v>68.900000000000006</v>
      </c>
      <c r="AI725" s="1">
        <v>66</v>
      </c>
      <c r="AJ725" s="1" t="s">
        <v>3020</v>
      </c>
      <c r="AK725" s="1" t="s">
        <v>3021</v>
      </c>
      <c r="AL725" s="1" t="s">
        <v>3022</v>
      </c>
    </row>
    <row r="726" spans="1:38" x14ac:dyDescent="0.6">
      <c r="A726" s="1">
        <v>517</v>
      </c>
      <c r="B726" s="1" t="s">
        <v>103</v>
      </c>
      <c r="C726" s="1">
        <v>50</v>
      </c>
      <c r="D726" s="1" t="s">
        <v>89</v>
      </c>
      <c r="E726" s="1" t="s">
        <v>108</v>
      </c>
      <c r="F726" s="1"/>
      <c r="G726" s="1"/>
      <c r="H726" s="1" t="s">
        <v>189</v>
      </c>
      <c r="I726" s="1" t="s">
        <v>190</v>
      </c>
      <c r="J726" s="1" t="s">
        <v>191</v>
      </c>
      <c r="K726" s="1">
        <v>1</v>
      </c>
      <c r="L726" s="1">
        <v>120</v>
      </c>
      <c r="M726" s="1" t="s">
        <v>14</v>
      </c>
      <c r="N726" s="1" t="s">
        <v>95</v>
      </c>
      <c r="O726" s="1" t="s">
        <v>96</v>
      </c>
      <c r="P726" s="1"/>
      <c r="Q726" s="1" t="s">
        <v>9</v>
      </c>
      <c r="R726" s="1">
        <v>0</v>
      </c>
      <c r="S726" s="1" t="s">
        <v>97</v>
      </c>
      <c r="T726" s="1" t="s">
        <v>97</v>
      </c>
      <c r="U726" s="1" t="b">
        <v>1</v>
      </c>
      <c r="V726" s="1" t="b">
        <v>0</v>
      </c>
      <c r="W726" s="1" t="b">
        <v>0</v>
      </c>
      <c r="X726" s="1">
        <v>5</v>
      </c>
      <c r="Y726" s="1" t="b">
        <v>1</v>
      </c>
      <c r="Z726" s="1" t="b">
        <v>1</v>
      </c>
      <c r="AA726" s="1"/>
      <c r="AB726" s="1" t="b">
        <v>1</v>
      </c>
      <c r="AC726" s="1">
        <v>153263960</v>
      </c>
      <c r="AD726" s="1">
        <v>876712</v>
      </c>
      <c r="AE726" s="1">
        <v>0</v>
      </c>
      <c r="AF726" s="1" t="s">
        <v>3023</v>
      </c>
      <c r="AG726" s="1" t="s">
        <v>3024</v>
      </c>
      <c r="AH726" s="1">
        <v>62.2</v>
      </c>
      <c r="AI726" s="1">
        <v>57.4</v>
      </c>
      <c r="AJ726" s="1" t="s">
        <v>3025</v>
      </c>
      <c r="AK726" s="1" t="s">
        <v>3026</v>
      </c>
      <c r="AL726" s="1" t="s">
        <v>3027</v>
      </c>
    </row>
    <row r="727" spans="1:38" x14ac:dyDescent="0.6">
      <c r="A727" s="1">
        <v>509</v>
      </c>
      <c r="B727" s="1" t="s">
        <v>103</v>
      </c>
      <c r="C727" s="1">
        <v>60</v>
      </c>
      <c r="D727" s="1" t="s">
        <v>127</v>
      </c>
      <c r="E727" s="1" t="s">
        <v>108</v>
      </c>
      <c r="F727" s="1"/>
      <c r="G727" s="1"/>
      <c r="H727" s="1" t="s">
        <v>220</v>
      </c>
      <c r="I727" s="1" t="s">
        <v>221</v>
      </c>
      <c r="J727" s="1" t="s">
        <v>222</v>
      </c>
      <c r="K727" s="1">
        <v>1.25</v>
      </c>
      <c r="L727" s="1">
        <v>120</v>
      </c>
      <c r="M727" s="1" t="s">
        <v>94</v>
      </c>
      <c r="N727" s="1" t="s">
        <v>95</v>
      </c>
      <c r="O727" s="1"/>
      <c r="P727" s="1" t="s">
        <v>96</v>
      </c>
      <c r="Q727" s="1" t="s">
        <v>9</v>
      </c>
      <c r="R727" s="1">
        <v>0</v>
      </c>
      <c r="S727" s="1" t="s">
        <v>97</v>
      </c>
      <c r="T727" s="1" t="s">
        <v>97</v>
      </c>
      <c r="U727" s="1" t="b">
        <v>1</v>
      </c>
      <c r="V727" s="1" t="b">
        <v>0</v>
      </c>
      <c r="W727" s="1" t="b">
        <v>0</v>
      </c>
      <c r="X727" s="1">
        <v>0</v>
      </c>
      <c r="Y727" s="1" t="b">
        <v>1</v>
      </c>
      <c r="Z727" s="1" t="b">
        <v>1</v>
      </c>
      <c r="AA727" s="1">
        <v>71.400000000000006</v>
      </c>
      <c r="AB727" s="1" t="b">
        <v>1</v>
      </c>
      <c r="AC727" s="1">
        <v>157192430</v>
      </c>
      <c r="AD727" s="1">
        <v>2191122</v>
      </c>
      <c r="AE727" s="1">
        <v>0</v>
      </c>
      <c r="AF727" s="1" t="s">
        <v>2959</v>
      </c>
      <c r="AG727" s="1" t="s">
        <v>2960</v>
      </c>
      <c r="AH727" s="1">
        <v>65.5</v>
      </c>
      <c r="AI727" s="1">
        <v>69.8</v>
      </c>
      <c r="AJ727" s="1" t="s">
        <v>3028</v>
      </c>
      <c r="AK727" s="1" t="s">
        <v>3029</v>
      </c>
      <c r="AL727" s="1" t="s">
        <v>3030</v>
      </c>
    </row>
    <row r="728" spans="1:38" x14ac:dyDescent="0.6">
      <c r="A728" s="1">
        <v>521</v>
      </c>
      <c r="B728" s="1" t="s">
        <v>88</v>
      </c>
      <c r="C728" s="1">
        <v>50</v>
      </c>
      <c r="D728" s="1" t="s">
        <v>89</v>
      </c>
      <c r="E728" s="1" t="s">
        <v>90</v>
      </c>
      <c r="F728" s="1"/>
      <c r="G728" s="1"/>
      <c r="H728" s="1" t="s">
        <v>220</v>
      </c>
      <c r="I728" s="1" t="s">
        <v>221</v>
      </c>
      <c r="J728" s="1" t="s">
        <v>1176</v>
      </c>
      <c r="K728" s="1">
        <v>1.25</v>
      </c>
      <c r="L728" s="1">
        <v>120</v>
      </c>
      <c r="M728" s="1" t="s">
        <v>94</v>
      </c>
      <c r="N728" s="1" t="s">
        <v>95</v>
      </c>
      <c r="O728" s="1"/>
      <c r="P728" s="1" t="s">
        <v>96</v>
      </c>
      <c r="Q728" s="1" t="s">
        <v>9</v>
      </c>
      <c r="R728" s="1">
        <v>0</v>
      </c>
      <c r="S728" s="1" t="s">
        <v>97</v>
      </c>
      <c r="T728" s="1" t="s">
        <v>97</v>
      </c>
      <c r="U728" s="1" t="b">
        <v>1</v>
      </c>
      <c r="V728" s="1" t="b">
        <v>0</v>
      </c>
      <c r="W728" s="1" t="b">
        <v>0</v>
      </c>
      <c r="X728" s="1">
        <v>0</v>
      </c>
      <c r="Y728" s="1" t="b">
        <v>1</v>
      </c>
      <c r="Z728" s="1" t="b">
        <v>1</v>
      </c>
      <c r="AA728" s="1">
        <v>79</v>
      </c>
      <c r="AB728" s="1" t="b">
        <v>1</v>
      </c>
      <c r="AC728" s="1">
        <v>135580307</v>
      </c>
      <c r="AD728" s="1">
        <v>1783149</v>
      </c>
      <c r="AE728" s="1">
        <v>0</v>
      </c>
      <c r="AF728" s="1" t="s">
        <v>3031</v>
      </c>
      <c r="AG728" s="1" t="s">
        <v>3032</v>
      </c>
      <c r="AH728" s="1">
        <v>71.400000000000006</v>
      </c>
      <c r="AI728" s="1">
        <v>72.400000000000006</v>
      </c>
      <c r="AJ728" s="1" t="s">
        <v>3033</v>
      </c>
      <c r="AK728" s="1" t="s">
        <v>3034</v>
      </c>
      <c r="AL728" s="1" t="s">
        <v>3035</v>
      </c>
    </row>
    <row r="729" spans="1:38" x14ac:dyDescent="0.6">
      <c r="A729" s="1">
        <v>522</v>
      </c>
      <c r="B729" s="1" t="s">
        <v>103</v>
      </c>
      <c r="C729" s="1">
        <v>60</v>
      </c>
      <c r="D729" s="1" t="s">
        <v>127</v>
      </c>
      <c r="E729" s="1" t="s">
        <v>108</v>
      </c>
      <c r="F729" s="1"/>
      <c r="G729" s="1"/>
      <c r="H729" s="1" t="s">
        <v>91</v>
      </c>
      <c r="I729" s="1" t="s">
        <v>92</v>
      </c>
      <c r="J729" s="1" t="s">
        <v>109</v>
      </c>
      <c r="K729" s="1">
        <v>1</v>
      </c>
      <c r="L729" s="1">
        <v>120</v>
      </c>
      <c r="M729" s="1" t="s">
        <v>14</v>
      </c>
      <c r="N729" s="1" t="s">
        <v>95</v>
      </c>
      <c r="O729" s="1" t="s">
        <v>96</v>
      </c>
      <c r="P729" s="1"/>
      <c r="Q729" s="1" t="s">
        <v>9</v>
      </c>
      <c r="R729" s="1">
        <v>0</v>
      </c>
      <c r="S729" s="1" t="s">
        <v>97</v>
      </c>
      <c r="T729" s="1" t="s">
        <v>97</v>
      </c>
      <c r="U729" s="1" t="b">
        <v>1</v>
      </c>
      <c r="V729" s="1" t="b">
        <v>0</v>
      </c>
      <c r="W729" s="1" t="b">
        <v>0</v>
      </c>
      <c r="X729" s="1">
        <v>5</v>
      </c>
      <c r="Y729" s="1" t="b">
        <v>1</v>
      </c>
      <c r="Z729" s="1" t="b">
        <v>1</v>
      </c>
      <c r="AA729" s="1"/>
      <c r="AB729" s="1" t="b">
        <v>1</v>
      </c>
      <c r="AC729" s="1">
        <v>147472740</v>
      </c>
      <c r="AD729" s="1">
        <v>900764</v>
      </c>
      <c r="AE729" s="1">
        <v>0</v>
      </c>
      <c r="AF729" s="1" t="s">
        <v>3036</v>
      </c>
      <c r="AG729" s="1" t="s">
        <v>3037</v>
      </c>
      <c r="AH729" s="1">
        <v>64.2</v>
      </c>
      <c r="AI729" s="1">
        <v>61</v>
      </c>
      <c r="AJ729" s="1" t="s">
        <v>3038</v>
      </c>
      <c r="AK729" s="1" t="s">
        <v>3039</v>
      </c>
      <c r="AL729" s="1" t="s">
        <v>3040</v>
      </c>
    </row>
    <row r="730" spans="1:38" x14ac:dyDescent="0.6">
      <c r="A730" s="1">
        <v>521</v>
      </c>
      <c r="B730" s="1" t="s">
        <v>88</v>
      </c>
      <c r="C730" s="1">
        <v>50</v>
      </c>
      <c r="D730" s="1" t="s">
        <v>89</v>
      </c>
      <c r="E730" s="1" t="s">
        <v>90</v>
      </c>
      <c r="F730" s="1"/>
      <c r="G730" s="1"/>
      <c r="H730" s="1" t="s">
        <v>220</v>
      </c>
      <c r="I730" s="1" t="s">
        <v>221</v>
      </c>
      <c r="J730" s="1" t="s">
        <v>1176</v>
      </c>
      <c r="K730" s="1">
        <v>1.25</v>
      </c>
      <c r="L730" s="1">
        <v>120</v>
      </c>
      <c r="M730" s="1" t="s">
        <v>14</v>
      </c>
      <c r="N730" s="1" t="s">
        <v>95</v>
      </c>
      <c r="O730" s="1" t="s">
        <v>96</v>
      </c>
      <c r="P730" s="1"/>
      <c r="Q730" s="1" t="s">
        <v>9</v>
      </c>
      <c r="R730" s="1">
        <v>0</v>
      </c>
      <c r="S730" s="1" t="s">
        <v>97</v>
      </c>
      <c r="T730" s="1" t="s">
        <v>97</v>
      </c>
      <c r="U730" s="1" t="b">
        <v>1</v>
      </c>
      <c r="V730" s="1" t="b">
        <v>0</v>
      </c>
      <c r="W730" s="1" t="b">
        <v>0</v>
      </c>
      <c r="X730" s="1">
        <v>5</v>
      </c>
      <c r="Y730" s="1" t="b">
        <v>1</v>
      </c>
      <c r="Z730" s="1" t="b">
        <v>1</v>
      </c>
      <c r="AA730" s="1"/>
      <c r="AB730" s="1" t="b">
        <v>1</v>
      </c>
      <c r="AC730" s="1">
        <v>119196056</v>
      </c>
      <c r="AD730" s="1">
        <v>603752</v>
      </c>
      <c r="AE730" s="1">
        <v>0</v>
      </c>
      <c r="AF730" s="1" t="s">
        <v>3031</v>
      </c>
      <c r="AG730" s="1" t="s">
        <v>3032</v>
      </c>
      <c r="AH730" s="1">
        <v>71.400000000000006</v>
      </c>
      <c r="AI730" s="1">
        <v>72.400000000000006</v>
      </c>
      <c r="AJ730" s="1" t="s">
        <v>3041</v>
      </c>
      <c r="AK730" s="1" t="s">
        <v>3042</v>
      </c>
      <c r="AL730" s="1" t="s">
        <v>3043</v>
      </c>
    </row>
    <row r="731" spans="1:38" x14ac:dyDescent="0.6">
      <c r="A731" s="1">
        <v>524</v>
      </c>
      <c r="B731" s="1" t="s">
        <v>103</v>
      </c>
      <c r="C731" s="1">
        <v>60</v>
      </c>
      <c r="D731" s="1" t="s">
        <v>127</v>
      </c>
      <c r="E731" s="1" t="s">
        <v>108</v>
      </c>
      <c r="F731" s="1"/>
      <c r="G731" s="1"/>
      <c r="H731" s="1" t="s">
        <v>91</v>
      </c>
      <c r="I731" s="1" t="s">
        <v>92</v>
      </c>
      <c r="J731" s="1" t="s">
        <v>93</v>
      </c>
      <c r="K731" s="1">
        <v>1</v>
      </c>
      <c r="L731" s="1">
        <v>120</v>
      </c>
      <c r="M731" s="1" t="s">
        <v>94</v>
      </c>
      <c r="N731" s="1" t="s">
        <v>95</v>
      </c>
      <c r="O731" s="1"/>
      <c r="P731" s="1" t="s">
        <v>96</v>
      </c>
      <c r="Q731" s="1" t="s">
        <v>9</v>
      </c>
      <c r="R731" s="1">
        <v>0</v>
      </c>
      <c r="S731" s="1" t="s">
        <v>97</v>
      </c>
      <c r="T731" s="1" t="s">
        <v>97</v>
      </c>
      <c r="U731" s="1" t="b">
        <v>1</v>
      </c>
      <c r="V731" s="1" t="b">
        <v>0</v>
      </c>
      <c r="W731" s="1" t="b">
        <v>0</v>
      </c>
      <c r="X731" s="1">
        <v>0</v>
      </c>
      <c r="Y731" s="1" t="b">
        <v>1</v>
      </c>
      <c r="Z731" s="1" t="b">
        <v>1</v>
      </c>
      <c r="AA731" s="1">
        <v>56.4</v>
      </c>
      <c r="AB731" s="1" t="b">
        <v>1</v>
      </c>
      <c r="AC731" s="1">
        <v>159676445</v>
      </c>
      <c r="AD731" s="1">
        <v>1804259</v>
      </c>
      <c r="AE731" s="1">
        <v>0</v>
      </c>
      <c r="AF731" s="1" t="s">
        <v>3044</v>
      </c>
      <c r="AG731" s="1" t="s">
        <v>3045</v>
      </c>
      <c r="AH731" s="1">
        <v>57.3</v>
      </c>
      <c r="AI731" s="1">
        <v>55.8</v>
      </c>
      <c r="AJ731" s="1" t="s">
        <v>3046</v>
      </c>
      <c r="AK731" s="1" t="s">
        <v>3047</v>
      </c>
      <c r="AL731" s="1" t="s">
        <v>3048</v>
      </c>
    </row>
    <row r="732" spans="1:38" x14ac:dyDescent="0.6">
      <c r="A732" s="1">
        <v>512</v>
      </c>
      <c r="B732" s="1" t="s">
        <v>103</v>
      </c>
      <c r="C732" s="1">
        <v>60</v>
      </c>
      <c r="D732" s="1" t="s">
        <v>127</v>
      </c>
      <c r="E732" s="1" t="s">
        <v>108</v>
      </c>
      <c r="F732" s="1"/>
      <c r="G732" s="1"/>
      <c r="H732" s="1" t="s">
        <v>91</v>
      </c>
      <c r="I732" s="1" t="s">
        <v>92</v>
      </c>
      <c r="J732" s="1" t="s">
        <v>109</v>
      </c>
      <c r="K732" s="1">
        <v>1</v>
      </c>
      <c r="L732" s="1">
        <v>120</v>
      </c>
      <c r="M732" s="1" t="s">
        <v>94</v>
      </c>
      <c r="N732" s="1" t="s">
        <v>236</v>
      </c>
      <c r="O732" s="1"/>
      <c r="P732" s="1" t="s">
        <v>96</v>
      </c>
      <c r="Q732" s="1" t="s">
        <v>9</v>
      </c>
      <c r="R732" s="1">
        <v>0</v>
      </c>
      <c r="S732" s="1" t="s">
        <v>97</v>
      </c>
      <c r="T732" s="1"/>
      <c r="U732" s="1"/>
      <c r="V732" s="1" t="b">
        <v>0</v>
      </c>
      <c r="W732" s="1" t="b">
        <v>0</v>
      </c>
      <c r="X732" s="1">
        <v>0</v>
      </c>
      <c r="Y732" s="1" t="b">
        <v>1</v>
      </c>
      <c r="Z732" s="1" t="b">
        <v>1</v>
      </c>
      <c r="AA732" s="1">
        <v>63</v>
      </c>
      <c r="AB732" s="1" t="b">
        <v>1</v>
      </c>
      <c r="AC732" s="1">
        <v>146784131</v>
      </c>
      <c r="AD732" s="1">
        <v>2375805</v>
      </c>
      <c r="AE732" s="1">
        <v>0</v>
      </c>
      <c r="AF732" s="1"/>
      <c r="AG732" s="1" t="s">
        <v>3049</v>
      </c>
      <c r="AH732" s="1"/>
      <c r="AI732" s="1">
        <v>61.3</v>
      </c>
      <c r="AJ732" s="1" t="s">
        <v>3050</v>
      </c>
      <c r="AK732" s="1" t="s">
        <v>3051</v>
      </c>
      <c r="AL732" s="1" t="s">
        <v>3052</v>
      </c>
    </row>
    <row r="733" spans="1:38" x14ac:dyDescent="0.6">
      <c r="A733" s="1">
        <v>525</v>
      </c>
      <c r="B733" s="1" t="s">
        <v>103</v>
      </c>
      <c r="C733" s="1">
        <v>50</v>
      </c>
      <c r="D733" s="1" t="s">
        <v>89</v>
      </c>
      <c r="E733" s="1" t="s">
        <v>108</v>
      </c>
      <c r="F733" s="1"/>
      <c r="G733" s="1"/>
      <c r="H733" s="1" t="s">
        <v>91</v>
      </c>
      <c r="I733" s="1" t="s">
        <v>92</v>
      </c>
      <c r="J733" s="1" t="s">
        <v>93</v>
      </c>
      <c r="K733" s="1">
        <v>1</v>
      </c>
      <c r="L733" s="1">
        <v>120</v>
      </c>
      <c r="M733" s="1" t="s">
        <v>14</v>
      </c>
      <c r="N733" s="1" t="s">
        <v>14</v>
      </c>
      <c r="O733" s="1" t="s">
        <v>96</v>
      </c>
      <c r="P733" s="1"/>
      <c r="Q733" s="1" t="s">
        <v>9</v>
      </c>
      <c r="R733" s="1">
        <v>0</v>
      </c>
      <c r="S733" s="1"/>
      <c r="T733" s="1" t="s">
        <v>97</v>
      </c>
      <c r="U733" s="1"/>
      <c r="V733" s="1" t="b">
        <v>0</v>
      </c>
      <c r="W733" s="1" t="b">
        <v>0</v>
      </c>
      <c r="X733" s="1">
        <v>5</v>
      </c>
      <c r="Y733" s="1" t="b">
        <v>1</v>
      </c>
      <c r="Z733" s="1" t="b">
        <v>1</v>
      </c>
      <c r="AA733" s="1"/>
      <c r="AB733" s="1" t="b">
        <v>1</v>
      </c>
      <c r="AC733" s="1">
        <v>140243311</v>
      </c>
      <c r="AD733" s="1">
        <v>528017</v>
      </c>
      <c r="AE733" s="1">
        <v>0</v>
      </c>
      <c r="AF733" s="1" t="s">
        <v>3053</v>
      </c>
      <c r="AG733" s="1"/>
      <c r="AH733" s="1">
        <v>64.099999999999994</v>
      </c>
      <c r="AI733" s="1"/>
      <c r="AJ733" s="1" t="s">
        <v>3054</v>
      </c>
      <c r="AK733" s="1" t="s">
        <v>3055</v>
      </c>
      <c r="AL733" s="1" t="s">
        <v>3056</v>
      </c>
    </row>
    <row r="734" spans="1:38" x14ac:dyDescent="0.6">
      <c r="A734" s="1">
        <v>506</v>
      </c>
      <c r="B734" s="1" t="s">
        <v>88</v>
      </c>
      <c r="C734" s="1">
        <v>60</v>
      </c>
      <c r="D734" s="1" t="s">
        <v>127</v>
      </c>
      <c r="E734" s="1" t="s">
        <v>90</v>
      </c>
      <c r="F734" s="1"/>
      <c r="G734" s="1"/>
      <c r="H734" s="1" t="s">
        <v>91</v>
      </c>
      <c r="I734" s="1" t="s">
        <v>92</v>
      </c>
      <c r="J734" s="1" t="s">
        <v>93</v>
      </c>
      <c r="K734" s="1">
        <v>1</v>
      </c>
      <c r="L734" s="1">
        <v>120</v>
      </c>
      <c r="M734" s="1" t="s">
        <v>7</v>
      </c>
      <c r="N734" s="1" t="s">
        <v>7</v>
      </c>
      <c r="O734" s="1" t="s">
        <v>96</v>
      </c>
      <c r="P734" s="1" t="s">
        <v>96</v>
      </c>
      <c r="Q734" s="1" t="s">
        <v>9</v>
      </c>
      <c r="R734" s="1">
        <v>0</v>
      </c>
      <c r="S734" s="1" t="s">
        <v>97</v>
      </c>
      <c r="T734" s="1" t="s">
        <v>97</v>
      </c>
      <c r="U734" s="1" t="b">
        <v>1</v>
      </c>
      <c r="V734" s="1" t="b">
        <v>0</v>
      </c>
      <c r="W734" s="1" t="b">
        <v>0</v>
      </c>
      <c r="X734" s="1">
        <v>5</v>
      </c>
      <c r="Y734" s="1" t="b">
        <v>1</v>
      </c>
      <c r="Z734" s="1" t="b">
        <v>1</v>
      </c>
      <c r="AA734" s="1">
        <v>63.5</v>
      </c>
      <c r="AB734" s="1" t="b">
        <v>0</v>
      </c>
      <c r="AC734" s="1">
        <v>0</v>
      </c>
      <c r="AD734" s="1">
        <v>2084446</v>
      </c>
      <c r="AE734" s="1">
        <v>150483362</v>
      </c>
      <c r="AF734" s="1" t="s">
        <v>3057</v>
      </c>
      <c r="AG734" s="1" t="s">
        <v>3057</v>
      </c>
      <c r="AH734" s="1">
        <v>50.2</v>
      </c>
      <c r="AI734" s="1">
        <v>58.3</v>
      </c>
      <c r="AJ734" s="1" t="s">
        <v>3058</v>
      </c>
      <c r="AK734" s="1" t="s">
        <v>3059</v>
      </c>
      <c r="AL734" s="1" t="s">
        <v>3060</v>
      </c>
    </row>
    <row r="735" spans="1:38" x14ac:dyDescent="0.6">
      <c r="A735" s="1">
        <v>523</v>
      </c>
      <c r="B735" s="1" t="s">
        <v>88</v>
      </c>
      <c r="C735" s="1">
        <v>50</v>
      </c>
      <c r="D735" s="1" t="s">
        <v>89</v>
      </c>
      <c r="E735" s="1" t="s">
        <v>90</v>
      </c>
      <c r="F735" s="1"/>
      <c r="G735" s="1"/>
      <c r="H735" s="1" t="s">
        <v>91</v>
      </c>
      <c r="I735" s="1" t="s">
        <v>92</v>
      </c>
      <c r="J735" s="1" t="s">
        <v>109</v>
      </c>
      <c r="K735" s="1">
        <v>1</v>
      </c>
      <c r="L735" s="1">
        <v>120</v>
      </c>
      <c r="M735" s="1" t="s">
        <v>7</v>
      </c>
      <c r="N735" s="1" t="s">
        <v>7</v>
      </c>
      <c r="O735" s="1" t="s">
        <v>96</v>
      </c>
      <c r="P735" s="1" t="s">
        <v>96</v>
      </c>
      <c r="Q735" s="1" t="s">
        <v>9</v>
      </c>
      <c r="R735" s="1">
        <v>0</v>
      </c>
      <c r="S735" s="1" t="s">
        <v>97</v>
      </c>
      <c r="T735" s="1" t="s">
        <v>97</v>
      </c>
      <c r="U735" s="1" t="b">
        <v>1</v>
      </c>
      <c r="V735" s="1" t="b">
        <v>0</v>
      </c>
      <c r="W735" s="1" t="b">
        <v>0</v>
      </c>
      <c r="X735" s="1">
        <v>5</v>
      </c>
      <c r="Y735" s="1" t="b">
        <v>1</v>
      </c>
      <c r="Z735" s="1" t="b">
        <v>1</v>
      </c>
      <c r="AA735" s="1">
        <v>66.900000000000006</v>
      </c>
      <c r="AB735" s="1" t="b">
        <v>0</v>
      </c>
      <c r="AC735" s="1">
        <v>0</v>
      </c>
      <c r="AD735" s="1">
        <v>2891713</v>
      </c>
      <c r="AE735" s="1">
        <v>131326015</v>
      </c>
      <c r="AF735" s="1" t="s">
        <v>3061</v>
      </c>
      <c r="AG735" s="1" t="s">
        <v>3061</v>
      </c>
      <c r="AH735" s="1">
        <v>68</v>
      </c>
      <c r="AI735" s="1">
        <v>64.3</v>
      </c>
      <c r="AJ735" s="1" t="s">
        <v>3062</v>
      </c>
      <c r="AK735" s="1" t="s">
        <v>3063</v>
      </c>
      <c r="AL735" s="1" t="s">
        <v>3064</v>
      </c>
    </row>
    <row r="736" spans="1:38" x14ac:dyDescent="0.6">
      <c r="A736" s="1">
        <v>520</v>
      </c>
      <c r="B736" s="1" t="s">
        <v>88</v>
      </c>
      <c r="C736" s="1">
        <v>60</v>
      </c>
      <c r="D736" s="1" t="s">
        <v>127</v>
      </c>
      <c r="E736" s="1" t="s">
        <v>108</v>
      </c>
      <c r="F736" s="1"/>
      <c r="G736" s="1"/>
      <c r="H736" s="1" t="s">
        <v>220</v>
      </c>
      <c r="I736" s="1" t="s">
        <v>221</v>
      </c>
      <c r="J736" s="1" t="s">
        <v>1176</v>
      </c>
      <c r="K736" s="1">
        <v>1.25</v>
      </c>
      <c r="L736" s="1">
        <v>120</v>
      </c>
      <c r="M736" s="1" t="s">
        <v>7</v>
      </c>
      <c r="N736" s="1" t="s">
        <v>7</v>
      </c>
      <c r="O736" s="1" t="s">
        <v>96</v>
      </c>
      <c r="P736" s="1" t="s">
        <v>96</v>
      </c>
      <c r="Q736" s="1" t="s">
        <v>9</v>
      </c>
      <c r="R736" s="1">
        <v>0</v>
      </c>
      <c r="S736" s="1" t="s">
        <v>97</v>
      </c>
      <c r="T736" s="1" t="s">
        <v>97</v>
      </c>
      <c r="U736" s="1" t="b">
        <v>1</v>
      </c>
      <c r="V736" s="1" t="b">
        <v>0</v>
      </c>
      <c r="W736" s="1" t="b">
        <v>0</v>
      </c>
      <c r="X736" s="1">
        <v>5</v>
      </c>
      <c r="Y736" s="1" t="b">
        <v>1</v>
      </c>
      <c r="Z736" s="1" t="b">
        <v>1</v>
      </c>
      <c r="AA736" s="1">
        <v>45.1</v>
      </c>
      <c r="AB736" s="1" t="b">
        <v>0</v>
      </c>
      <c r="AC736" s="1">
        <v>0</v>
      </c>
      <c r="AD736" s="1">
        <v>2700338</v>
      </c>
      <c r="AE736" s="1">
        <v>156421070</v>
      </c>
      <c r="AF736" s="1" t="s">
        <v>3065</v>
      </c>
      <c r="AG736" s="1" t="s">
        <v>3065</v>
      </c>
      <c r="AH736" s="1">
        <v>47.2</v>
      </c>
      <c r="AI736" s="1">
        <v>43.2</v>
      </c>
      <c r="AJ736" s="1" t="s">
        <v>3066</v>
      </c>
      <c r="AK736" s="1" t="s">
        <v>3067</v>
      </c>
      <c r="AL736" s="1" t="s">
        <v>3068</v>
      </c>
    </row>
    <row r="737" spans="1:38" x14ac:dyDescent="0.6">
      <c r="A737" s="1">
        <v>527</v>
      </c>
      <c r="B737" s="1" t="s">
        <v>103</v>
      </c>
      <c r="C737" s="1">
        <v>70</v>
      </c>
      <c r="D737" s="1" t="s">
        <v>119</v>
      </c>
      <c r="E737" s="1" t="s">
        <v>90</v>
      </c>
      <c r="F737" s="1"/>
      <c r="G737" s="1"/>
      <c r="H737" s="1" t="s">
        <v>91</v>
      </c>
      <c r="I737" s="1" t="s">
        <v>92</v>
      </c>
      <c r="J737" s="1" t="s">
        <v>93</v>
      </c>
      <c r="K737" s="1">
        <v>1</v>
      </c>
      <c r="L737" s="1">
        <v>120</v>
      </c>
      <c r="M737" s="1" t="s">
        <v>94</v>
      </c>
      <c r="N737" s="1" t="s">
        <v>95</v>
      </c>
      <c r="O737" s="1"/>
      <c r="P737" s="1" t="s">
        <v>96</v>
      </c>
      <c r="Q737" s="1" t="s">
        <v>9</v>
      </c>
      <c r="R737" s="1">
        <v>0</v>
      </c>
      <c r="S737" s="1" t="s">
        <v>97</v>
      </c>
      <c r="T737" s="1" t="s">
        <v>97</v>
      </c>
      <c r="U737" s="1" t="b">
        <v>1</v>
      </c>
      <c r="V737" s="1" t="b">
        <v>0</v>
      </c>
      <c r="W737" s="1" t="b">
        <v>0</v>
      </c>
      <c r="X737" s="1">
        <v>0</v>
      </c>
      <c r="Y737" s="1" t="b">
        <v>1</v>
      </c>
      <c r="Z737" s="1" t="b">
        <v>1</v>
      </c>
      <c r="AA737" s="1">
        <v>69.900000000000006</v>
      </c>
      <c r="AB737" s="1" t="b">
        <v>1</v>
      </c>
      <c r="AC737" s="1">
        <v>148456595</v>
      </c>
      <c r="AD737" s="1">
        <v>1489773</v>
      </c>
      <c r="AE737" s="1">
        <v>0</v>
      </c>
      <c r="AF737" s="1" t="s">
        <v>3069</v>
      </c>
      <c r="AG737" s="1" t="s">
        <v>3070</v>
      </c>
      <c r="AH737" s="1">
        <v>75.8</v>
      </c>
      <c r="AI737" s="1">
        <v>70</v>
      </c>
      <c r="AJ737" s="1" t="s">
        <v>3071</v>
      </c>
      <c r="AK737" s="1" t="s">
        <v>3072</v>
      </c>
      <c r="AL737" s="1" t="s">
        <v>3073</v>
      </c>
    </row>
    <row r="738" spans="1:38" x14ac:dyDescent="0.6">
      <c r="A738" s="1">
        <v>528</v>
      </c>
      <c r="B738" s="1" t="s">
        <v>88</v>
      </c>
      <c r="C738" s="1">
        <v>50</v>
      </c>
      <c r="D738" s="1" t="s">
        <v>89</v>
      </c>
      <c r="E738" s="1" t="s">
        <v>108</v>
      </c>
      <c r="F738" s="1"/>
      <c r="G738" s="1"/>
      <c r="H738" s="1" t="s">
        <v>220</v>
      </c>
      <c r="I738" s="1" t="s">
        <v>221</v>
      </c>
      <c r="J738" s="1" t="s">
        <v>222</v>
      </c>
      <c r="K738" s="1">
        <v>1.25</v>
      </c>
      <c r="L738" s="1">
        <v>120</v>
      </c>
      <c r="M738" s="1" t="s">
        <v>14</v>
      </c>
      <c r="N738" s="1" t="s">
        <v>95</v>
      </c>
      <c r="O738" s="1" t="s">
        <v>96</v>
      </c>
      <c r="P738" s="1"/>
      <c r="Q738" s="1" t="s">
        <v>9</v>
      </c>
      <c r="R738" s="1">
        <v>0</v>
      </c>
      <c r="S738" s="1" t="s">
        <v>97</v>
      </c>
      <c r="T738" s="1" t="s">
        <v>97</v>
      </c>
      <c r="U738" s="1" t="b">
        <v>1</v>
      </c>
      <c r="V738" s="1" t="b">
        <v>0</v>
      </c>
      <c r="W738" s="1" t="b">
        <v>0</v>
      </c>
      <c r="X738" s="1">
        <v>5</v>
      </c>
      <c r="Y738" s="1" t="b">
        <v>1</v>
      </c>
      <c r="Z738" s="1" t="b">
        <v>1</v>
      </c>
      <c r="AA738" s="1"/>
      <c r="AB738" s="1" t="b">
        <v>1</v>
      </c>
      <c r="AC738" s="1">
        <v>140276390</v>
      </c>
      <c r="AD738" s="1">
        <v>757082</v>
      </c>
      <c r="AE738" s="1">
        <v>0</v>
      </c>
      <c r="AF738" s="1" t="s">
        <v>3074</v>
      </c>
      <c r="AG738" s="1" t="s">
        <v>3075</v>
      </c>
      <c r="AH738" s="1">
        <v>78.5</v>
      </c>
      <c r="AI738" s="1">
        <v>71.7</v>
      </c>
      <c r="AJ738" s="1" t="s">
        <v>3076</v>
      </c>
      <c r="AK738" s="1" t="s">
        <v>3077</v>
      </c>
      <c r="AL738" s="1" t="s">
        <v>3078</v>
      </c>
    </row>
    <row r="739" spans="1:38" x14ac:dyDescent="0.6">
      <c r="A739" s="1">
        <v>528</v>
      </c>
      <c r="B739" s="1" t="s">
        <v>88</v>
      </c>
      <c r="C739" s="1">
        <v>50</v>
      </c>
      <c r="D739" s="1" t="s">
        <v>89</v>
      </c>
      <c r="E739" s="1" t="s">
        <v>108</v>
      </c>
      <c r="F739" s="1"/>
      <c r="G739" s="1"/>
      <c r="H739" s="1" t="s">
        <v>220</v>
      </c>
      <c r="I739" s="1" t="s">
        <v>221</v>
      </c>
      <c r="J739" s="1" t="s">
        <v>222</v>
      </c>
      <c r="K739" s="1">
        <v>1.25</v>
      </c>
      <c r="L739" s="1">
        <v>120</v>
      </c>
      <c r="M739" s="1" t="s">
        <v>94</v>
      </c>
      <c r="N739" s="1" t="s">
        <v>95</v>
      </c>
      <c r="O739" s="1"/>
      <c r="P739" s="1" t="s">
        <v>96</v>
      </c>
      <c r="Q739" s="1" t="s">
        <v>9</v>
      </c>
      <c r="R739" s="1">
        <v>0</v>
      </c>
      <c r="S739" s="1" t="s">
        <v>97</v>
      </c>
      <c r="T739" s="1" t="s">
        <v>97</v>
      </c>
      <c r="U739" s="1" t="b">
        <v>1</v>
      </c>
      <c r="V739" s="1" t="b">
        <v>0</v>
      </c>
      <c r="W739" s="1" t="b">
        <v>0</v>
      </c>
      <c r="X739" s="1">
        <v>0</v>
      </c>
      <c r="Y739" s="1" t="b">
        <v>1</v>
      </c>
      <c r="Z739" s="1" t="b">
        <v>1</v>
      </c>
      <c r="AA739" s="1">
        <v>74.3</v>
      </c>
      <c r="AB739" s="1" t="b">
        <v>1</v>
      </c>
      <c r="AC739" s="1">
        <v>169746831</v>
      </c>
      <c r="AD739" s="1">
        <v>2219633</v>
      </c>
      <c r="AE739" s="1">
        <v>0</v>
      </c>
      <c r="AF739" s="1" t="s">
        <v>3074</v>
      </c>
      <c r="AG739" s="1" t="s">
        <v>3075</v>
      </c>
      <c r="AH739" s="1">
        <v>78.5</v>
      </c>
      <c r="AI739" s="1">
        <v>71.7</v>
      </c>
      <c r="AJ739" s="1" t="s">
        <v>3079</v>
      </c>
      <c r="AK739" s="1" t="s">
        <v>3080</v>
      </c>
      <c r="AL739" s="1" t="s">
        <v>3081</v>
      </c>
    </row>
    <row r="740" spans="1:38" x14ac:dyDescent="0.6">
      <c r="A740" s="1">
        <v>529</v>
      </c>
      <c r="B740" s="1" t="s">
        <v>103</v>
      </c>
      <c r="C740" s="1">
        <v>60</v>
      </c>
      <c r="D740" s="1" t="s">
        <v>127</v>
      </c>
      <c r="E740" s="1" t="s">
        <v>108</v>
      </c>
      <c r="F740" s="1"/>
      <c r="G740" s="1"/>
      <c r="H740" s="1" t="s">
        <v>91</v>
      </c>
      <c r="I740" s="1" t="s">
        <v>92</v>
      </c>
      <c r="J740" s="1" t="s">
        <v>109</v>
      </c>
      <c r="K740" s="1">
        <v>1</v>
      </c>
      <c r="L740" s="1">
        <v>120</v>
      </c>
      <c r="M740" s="1" t="s">
        <v>94</v>
      </c>
      <c r="N740" s="1" t="s">
        <v>95</v>
      </c>
      <c r="O740" s="1"/>
      <c r="P740" s="1" t="s">
        <v>96</v>
      </c>
      <c r="Q740" s="1" t="s">
        <v>9</v>
      </c>
      <c r="R740" s="1">
        <v>0</v>
      </c>
      <c r="S740" s="1" t="s">
        <v>97</v>
      </c>
      <c r="T740" s="1" t="s">
        <v>97</v>
      </c>
      <c r="U740" s="1" t="b">
        <v>1</v>
      </c>
      <c r="V740" s="1" t="b">
        <v>0</v>
      </c>
      <c r="W740" s="1" t="b">
        <v>0</v>
      </c>
      <c r="X740" s="1">
        <v>0</v>
      </c>
      <c r="Y740" s="1" t="b">
        <v>1</v>
      </c>
      <c r="Z740" s="1" t="b">
        <v>1</v>
      </c>
      <c r="AA740" s="1">
        <v>65.8</v>
      </c>
      <c r="AB740" s="1" t="b">
        <v>1</v>
      </c>
      <c r="AC740" s="1">
        <v>138426761</v>
      </c>
      <c r="AD740" s="1">
        <v>1820279</v>
      </c>
      <c r="AE740" s="1">
        <v>0</v>
      </c>
      <c r="AF740" s="1" t="s">
        <v>3082</v>
      </c>
      <c r="AG740" s="1" t="s">
        <v>3083</v>
      </c>
      <c r="AH740" s="1">
        <v>69.5</v>
      </c>
      <c r="AI740" s="1">
        <v>64.7</v>
      </c>
      <c r="AJ740" s="1" t="s">
        <v>3084</v>
      </c>
      <c r="AK740" s="1" t="s">
        <v>3085</v>
      </c>
      <c r="AL740" s="1" t="s">
        <v>3086</v>
      </c>
    </row>
    <row r="741" spans="1:38" x14ac:dyDescent="0.6">
      <c r="A741" s="1">
        <v>530</v>
      </c>
      <c r="B741" s="1" t="s">
        <v>103</v>
      </c>
      <c r="C741" s="1">
        <v>60</v>
      </c>
      <c r="D741" s="1" t="s">
        <v>127</v>
      </c>
      <c r="E741" s="1" t="s">
        <v>90</v>
      </c>
      <c r="F741" s="1"/>
      <c r="G741" s="1"/>
      <c r="H741" s="1" t="s">
        <v>189</v>
      </c>
      <c r="I741" s="1" t="s">
        <v>190</v>
      </c>
      <c r="J741" s="1" t="s">
        <v>191</v>
      </c>
      <c r="K741" s="1">
        <v>1</v>
      </c>
      <c r="L741" s="1">
        <v>120</v>
      </c>
      <c r="M741" s="1" t="s">
        <v>14</v>
      </c>
      <c r="N741" s="1" t="s">
        <v>95</v>
      </c>
      <c r="O741" s="1" t="s">
        <v>96</v>
      </c>
      <c r="P741" s="1"/>
      <c r="Q741" s="1" t="s">
        <v>9</v>
      </c>
      <c r="R741" s="1">
        <v>0</v>
      </c>
      <c r="S741" s="1" t="s">
        <v>97</v>
      </c>
      <c r="T741" s="1" t="s">
        <v>97</v>
      </c>
      <c r="U741" s="1" t="b">
        <v>1</v>
      </c>
      <c r="V741" s="1" t="b">
        <v>0</v>
      </c>
      <c r="W741" s="1" t="b">
        <v>0</v>
      </c>
      <c r="X741" s="1">
        <v>5</v>
      </c>
      <c r="Y741" s="1" t="b">
        <v>1</v>
      </c>
      <c r="Z741" s="1" t="b">
        <v>1</v>
      </c>
      <c r="AA741" s="1"/>
      <c r="AB741" s="1" t="b">
        <v>1</v>
      </c>
      <c r="AC741" s="1">
        <v>140558375</v>
      </c>
      <c r="AD741" s="1">
        <v>475097</v>
      </c>
      <c r="AE741" s="1">
        <v>0</v>
      </c>
      <c r="AF741" s="1" t="s">
        <v>3087</v>
      </c>
      <c r="AG741" s="1" t="s">
        <v>3088</v>
      </c>
      <c r="AH741" s="1">
        <v>70.3</v>
      </c>
      <c r="AI741" s="1">
        <v>68.599999999999994</v>
      </c>
      <c r="AJ741" s="1" t="s">
        <v>3089</v>
      </c>
      <c r="AK741" s="1" t="s">
        <v>3090</v>
      </c>
      <c r="AL741" s="1" t="s">
        <v>3091</v>
      </c>
    </row>
    <row r="742" spans="1:38" x14ac:dyDescent="0.6">
      <c r="A742" s="1">
        <v>530</v>
      </c>
      <c r="B742" s="1" t="s">
        <v>103</v>
      </c>
      <c r="C742" s="1">
        <v>60</v>
      </c>
      <c r="D742" s="1" t="s">
        <v>127</v>
      </c>
      <c r="E742" s="1" t="s">
        <v>90</v>
      </c>
      <c r="F742" s="1"/>
      <c r="G742" s="1"/>
      <c r="H742" s="1" t="s">
        <v>189</v>
      </c>
      <c r="I742" s="1" t="s">
        <v>190</v>
      </c>
      <c r="J742" s="1" t="s">
        <v>191</v>
      </c>
      <c r="K742" s="1">
        <v>1</v>
      </c>
      <c r="L742" s="1">
        <v>120</v>
      </c>
      <c r="M742" s="1" t="s">
        <v>94</v>
      </c>
      <c r="N742" s="1" t="s">
        <v>95</v>
      </c>
      <c r="O742" s="1"/>
      <c r="P742" s="1" t="s">
        <v>96</v>
      </c>
      <c r="Q742" s="1" t="s">
        <v>9</v>
      </c>
      <c r="R742" s="1">
        <v>0</v>
      </c>
      <c r="S742" s="1" t="s">
        <v>97</v>
      </c>
      <c r="T742" s="1" t="s">
        <v>97</v>
      </c>
      <c r="U742" s="1" t="b">
        <v>1</v>
      </c>
      <c r="V742" s="1" t="b">
        <v>0</v>
      </c>
      <c r="W742" s="1" t="b">
        <v>0</v>
      </c>
      <c r="X742" s="1">
        <v>0</v>
      </c>
      <c r="Y742" s="1" t="b">
        <v>1</v>
      </c>
      <c r="Z742" s="1" t="b">
        <v>1</v>
      </c>
      <c r="AA742" s="1">
        <v>75.599999999999994</v>
      </c>
      <c r="AB742" s="1" t="b">
        <v>1</v>
      </c>
      <c r="AC742" s="1">
        <v>147817019</v>
      </c>
      <c r="AD742" s="1">
        <v>1342917</v>
      </c>
      <c r="AE742" s="1">
        <v>0</v>
      </c>
      <c r="AF742" s="1" t="s">
        <v>3087</v>
      </c>
      <c r="AG742" s="1" t="s">
        <v>3088</v>
      </c>
      <c r="AH742" s="1">
        <v>70.3</v>
      </c>
      <c r="AI742" s="1">
        <v>68.599999999999994</v>
      </c>
      <c r="AJ742" s="1" t="s">
        <v>3092</v>
      </c>
      <c r="AK742" s="1" t="s">
        <v>3093</v>
      </c>
      <c r="AL742" s="1" t="s">
        <v>3094</v>
      </c>
    </row>
    <row r="743" spans="1:38" x14ac:dyDescent="0.6">
      <c r="A743" s="1">
        <v>518</v>
      </c>
      <c r="B743" s="1" t="s">
        <v>88</v>
      </c>
      <c r="C743" s="1">
        <v>50</v>
      </c>
      <c r="D743" s="1" t="s">
        <v>89</v>
      </c>
      <c r="E743" s="1" t="s">
        <v>90</v>
      </c>
      <c r="F743" s="1"/>
      <c r="G743" s="1"/>
      <c r="H743" s="1" t="s">
        <v>220</v>
      </c>
      <c r="I743" s="1" t="s">
        <v>221</v>
      </c>
      <c r="J743" s="1" t="s">
        <v>222</v>
      </c>
      <c r="K743" s="1">
        <v>1.25</v>
      </c>
      <c r="L743" s="1">
        <v>120</v>
      </c>
      <c r="M743" s="1" t="s">
        <v>94</v>
      </c>
      <c r="N743" s="1" t="s">
        <v>236</v>
      </c>
      <c r="O743" s="1"/>
      <c r="P743" s="1" t="s">
        <v>96</v>
      </c>
      <c r="Q743" s="1" t="s">
        <v>9</v>
      </c>
      <c r="R743" s="1">
        <v>0</v>
      </c>
      <c r="S743" s="1" t="s">
        <v>97</v>
      </c>
      <c r="T743" s="1"/>
      <c r="U743" s="1"/>
      <c r="V743" s="1" t="b">
        <v>0</v>
      </c>
      <c r="W743" s="1" t="b">
        <v>0</v>
      </c>
      <c r="X743" s="1">
        <v>0</v>
      </c>
      <c r="Y743" s="1" t="b">
        <v>1</v>
      </c>
      <c r="Z743" s="1" t="b">
        <v>1</v>
      </c>
      <c r="AA743" s="1">
        <v>67.099999999999994</v>
      </c>
      <c r="AB743" s="1" t="b">
        <v>1</v>
      </c>
      <c r="AC743" s="1">
        <v>148247890</v>
      </c>
      <c r="AD743" s="1">
        <v>1174190</v>
      </c>
      <c r="AE743" s="1">
        <v>0</v>
      </c>
      <c r="AF743" s="1"/>
      <c r="AG743" s="1" t="s">
        <v>3095</v>
      </c>
      <c r="AH743" s="1"/>
      <c r="AI743" s="1">
        <v>63.7</v>
      </c>
      <c r="AJ743" s="1" t="s">
        <v>3096</v>
      </c>
      <c r="AK743" s="1" t="s">
        <v>3097</v>
      </c>
      <c r="AL743" s="1" t="s">
        <v>3098</v>
      </c>
    </row>
    <row r="744" spans="1:38" x14ac:dyDescent="0.6">
      <c r="A744" s="1">
        <v>517</v>
      </c>
      <c r="B744" s="1" t="s">
        <v>103</v>
      </c>
      <c r="C744" s="1">
        <v>50</v>
      </c>
      <c r="D744" s="1" t="s">
        <v>89</v>
      </c>
      <c r="E744" s="1" t="s">
        <v>108</v>
      </c>
      <c r="F744" s="1"/>
      <c r="G744" s="1"/>
      <c r="H744" s="1" t="s">
        <v>189</v>
      </c>
      <c r="I744" s="1" t="s">
        <v>190</v>
      </c>
      <c r="J744" s="1" t="s">
        <v>191</v>
      </c>
      <c r="K744" s="1">
        <v>1</v>
      </c>
      <c r="L744" s="1">
        <v>120</v>
      </c>
      <c r="M744" s="1" t="s">
        <v>94</v>
      </c>
      <c r="N744" s="1" t="s">
        <v>95</v>
      </c>
      <c r="O744" s="1"/>
      <c r="P744" s="1" t="s">
        <v>96</v>
      </c>
      <c r="Q744" s="1" t="s">
        <v>9</v>
      </c>
      <c r="R744" s="1">
        <v>0</v>
      </c>
      <c r="S744" s="1" t="s">
        <v>97</v>
      </c>
      <c r="T744" s="1" t="s">
        <v>97</v>
      </c>
      <c r="U744" s="1" t="b">
        <v>1</v>
      </c>
      <c r="V744" s="1" t="b">
        <v>0</v>
      </c>
      <c r="W744" s="1" t="b">
        <v>0</v>
      </c>
      <c r="X744" s="1">
        <v>0</v>
      </c>
      <c r="Y744" s="1" t="b">
        <v>1</v>
      </c>
      <c r="Z744" s="1" t="b">
        <v>1</v>
      </c>
      <c r="AA744" s="1">
        <v>59.8</v>
      </c>
      <c r="AB744" s="1" t="b">
        <v>1</v>
      </c>
      <c r="AC744" s="1">
        <v>161841915</v>
      </c>
      <c r="AD744" s="1">
        <v>2260229</v>
      </c>
      <c r="AE744" s="1">
        <v>0</v>
      </c>
      <c r="AF744" s="1" t="s">
        <v>3023</v>
      </c>
      <c r="AG744" s="1" t="s">
        <v>3024</v>
      </c>
      <c r="AH744" s="1">
        <v>62.2</v>
      </c>
      <c r="AI744" s="1">
        <v>57.4</v>
      </c>
      <c r="AJ744" s="1" t="s">
        <v>3099</v>
      </c>
      <c r="AK744" s="1" t="s">
        <v>3100</v>
      </c>
      <c r="AL744" s="1" t="s">
        <v>3101</v>
      </c>
    </row>
    <row r="745" spans="1:38" x14ac:dyDescent="0.6">
      <c r="A745" s="1">
        <v>531</v>
      </c>
      <c r="B745" s="1" t="s">
        <v>103</v>
      </c>
      <c r="C745" s="1">
        <v>60</v>
      </c>
      <c r="D745" s="1" t="s">
        <v>127</v>
      </c>
      <c r="E745" s="1" t="s">
        <v>90</v>
      </c>
      <c r="F745" s="1"/>
      <c r="G745" s="1"/>
      <c r="H745" s="1" t="s">
        <v>220</v>
      </c>
      <c r="I745" s="1" t="s">
        <v>221</v>
      </c>
      <c r="J745" s="1" t="s">
        <v>222</v>
      </c>
      <c r="K745" s="1">
        <v>1.25</v>
      </c>
      <c r="L745" s="1">
        <v>120</v>
      </c>
      <c r="M745" s="1" t="s">
        <v>14</v>
      </c>
      <c r="N745" s="1" t="s">
        <v>95</v>
      </c>
      <c r="O745" s="1" t="s">
        <v>96</v>
      </c>
      <c r="P745" s="1"/>
      <c r="Q745" s="1" t="s">
        <v>9</v>
      </c>
      <c r="R745" s="1">
        <v>0</v>
      </c>
      <c r="S745" s="1" t="s">
        <v>97</v>
      </c>
      <c r="T745" s="1" t="s">
        <v>97</v>
      </c>
      <c r="U745" s="1" t="b">
        <v>1</v>
      </c>
      <c r="V745" s="1" t="b">
        <v>0</v>
      </c>
      <c r="W745" s="1" t="b">
        <v>0</v>
      </c>
      <c r="X745" s="1">
        <v>5</v>
      </c>
      <c r="Y745" s="1" t="b">
        <v>1</v>
      </c>
      <c r="Z745" s="1" t="b">
        <v>1</v>
      </c>
      <c r="AA745" s="1"/>
      <c r="AB745" s="1" t="b">
        <v>1</v>
      </c>
      <c r="AC745" s="1">
        <v>122331875</v>
      </c>
      <c r="AD745" s="1">
        <v>613661</v>
      </c>
      <c r="AE745" s="1">
        <v>0</v>
      </c>
      <c r="AF745" s="1" t="s">
        <v>3102</v>
      </c>
      <c r="AG745" s="1" t="s">
        <v>3103</v>
      </c>
      <c r="AH745" s="1">
        <v>53.2</v>
      </c>
      <c r="AI745" s="1">
        <v>51.6</v>
      </c>
      <c r="AJ745" s="1" t="s">
        <v>3104</v>
      </c>
      <c r="AK745" s="1" t="s">
        <v>3105</v>
      </c>
      <c r="AL745" s="1" t="s">
        <v>3106</v>
      </c>
    </row>
    <row r="746" spans="1:38" x14ac:dyDescent="0.6">
      <c r="A746" s="1">
        <v>522</v>
      </c>
      <c r="B746" s="1" t="s">
        <v>103</v>
      </c>
      <c r="C746" s="1">
        <v>60</v>
      </c>
      <c r="D746" s="1" t="s">
        <v>127</v>
      </c>
      <c r="E746" s="1" t="s">
        <v>108</v>
      </c>
      <c r="F746" s="1"/>
      <c r="G746" s="1"/>
      <c r="H746" s="1" t="s">
        <v>91</v>
      </c>
      <c r="I746" s="1" t="s">
        <v>92</v>
      </c>
      <c r="J746" s="1" t="s">
        <v>109</v>
      </c>
      <c r="K746" s="1">
        <v>1</v>
      </c>
      <c r="L746" s="1">
        <v>120</v>
      </c>
      <c r="M746" s="1" t="s">
        <v>94</v>
      </c>
      <c r="N746" s="1" t="s">
        <v>95</v>
      </c>
      <c r="O746" s="1"/>
      <c r="P746" s="1" t="s">
        <v>96</v>
      </c>
      <c r="Q746" s="1" t="s">
        <v>9</v>
      </c>
      <c r="R746" s="1">
        <v>0</v>
      </c>
      <c r="S746" s="1" t="s">
        <v>97</v>
      </c>
      <c r="T746" s="1" t="s">
        <v>97</v>
      </c>
      <c r="U746" s="1" t="b">
        <v>1</v>
      </c>
      <c r="V746" s="1" t="b">
        <v>0</v>
      </c>
      <c r="W746" s="1" t="b">
        <v>0</v>
      </c>
      <c r="X746" s="1">
        <v>0</v>
      </c>
      <c r="Y746" s="1" t="b">
        <v>1</v>
      </c>
      <c r="Z746" s="1" t="b">
        <v>1</v>
      </c>
      <c r="AA746" s="1">
        <v>63.2</v>
      </c>
      <c r="AB746" s="1" t="b">
        <v>1</v>
      </c>
      <c r="AC746" s="1">
        <v>161760482</v>
      </c>
      <c r="AD746" s="1">
        <v>2341662</v>
      </c>
      <c r="AE746" s="1">
        <v>0</v>
      </c>
      <c r="AF746" s="1" t="s">
        <v>3036</v>
      </c>
      <c r="AG746" s="1" t="s">
        <v>3037</v>
      </c>
      <c r="AH746" s="1">
        <v>64.2</v>
      </c>
      <c r="AI746" s="1">
        <v>61</v>
      </c>
      <c r="AJ746" s="1" t="s">
        <v>3107</v>
      </c>
      <c r="AK746" s="1" t="s">
        <v>3108</v>
      </c>
      <c r="AL746" s="1" t="s">
        <v>3109</v>
      </c>
    </row>
    <row r="747" spans="1:38" x14ac:dyDescent="0.6">
      <c r="A747" s="1">
        <v>526</v>
      </c>
      <c r="B747" s="1" t="s">
        <v>88</v>
      </c>
      <c r="C747" s="1">
        <v>50</v>
      </c>
      <c r="D747" s="1" t="s">
        <v>89</v>
      </c>
      <c r="E747" s="1" t="s">
        <v>90</v>
      </c>
      <c r="F747" s="1"/>
      <c r="G747" s="1"/>
      <c r="H747" s="1" t="s">
        <v>91</v>
      </c>
      <c r="I747" s="1" t="s">
        <v>92</v>
      </c>
      <c r="J747" s="1" t="s">
        <v>93</v>
      </c>
      <c r="K747" s="1">
        <v>1</v>
      </c>
      <c r="L747" s="1">
        <v>120</v>
      </c>
      <c r="M747" s="1" t="s">
        <v>14</v>
      </c>
      <c r="N747" s="1" t="s">
        <v>14</v>
      </c>
      <c r="O747" s="1" t="s">
        <v>96</v>
      </c>
      <c r="P747" s="1"/>
      <c r="Q747" s="1" t="s">
        <v>9</v>
      </c>
      <c r="R747" s="1">
        <v>0</v>
      </c>
      <c r="S747" s="1"/>
      <c r="T747" s="1" t="s">
        <v>97</v>
      </c>
      <c r="U747" s="1"/>
      <c r="V747" s="1" t="b">
        <v>0</v>
      </c>
      <c r="W747" s="1" t="b">
        <v>0</v>
      </c>
      <c r="X747" s="1">
        <v>5</v>
      </c>
      <c r="Y747" s="1" t="b">
        <v>1</v>
      </c>
      <c r="Z747" s="1" t="b">
        <v>1</v>
      </c>
      <c r="AA747" s="1"/>
      <c r="AB747" s="1" t="b">
        <v>1</v>
      </c>
      <c r="AC747" s="1">
        <v>129230353</v>
      </c>
      <c r="AD747" s="1">
        <v>793071</v>
      </c>
      <c r="AE747" s="1">
        <v>0</v>
      </c>
      <c r="AF747" s="1" t="s">
        <v>3110</v>
      </c>
      <c r="AG747" s="1"/>
      <c r="AH747" s="1">
        <v>65.8</v>
      </c>
      <c r="AI747" s="1"/>
      <c r="AJ747" s="1" t="s">
        <v>3111</v>
      </c>
      <c r="AK747" s="1" t="s">
        <v>3112</v>
      </c>
      <c r="AL747" s="1" t="s">
        <v>3113</v>
      </c>
    </row>
    <row r="748" spans="1:38" x14ac:dyDescent="0.6">
      <c r="A748" s="1">
        <v>529</v>
      </c>
      <c r="B748" s="1" t="s">
        <v>103</v>
      </c>
      <c r="C748" s="1">
        <v>60</v>
      </c>
      <c r="D748" s="1" t="s">
        <v>127</v>
      </c>
      <c r="E748" s="1" t="s">
        <v>108</v>
      </c>
      <c r="F748" s="1"/>
      <c r="G748" s="1"/>
      <c r="H748" s="1" t="s">
        <v>91</v>
      </c>
      <c r="I748" s="1" t="s">
        <v>92</v>
      </c>
      <c r="J748" s="1" t="s">
        <v>109</v>
      </c>
      <c r="K748" s="1">
        <v>1</v>
      </c>
      <c r="L748" s="1">
        <v>120</v>
      </c>
      <c r="M748" s="1" t="s">
        <v>14</v>
      </c>
      <c r="N748" s="1" t="s">
        <v>95</v>
      </c>
      <c r="O748" s="1" t="s">
        <v>96</v>
      </c>
      <c r="P748" s="1"/>
      <c r="Q748" s="1" t="s">
        <v>9</v>
      </c>
      <c r="R748" s="1">
        <v>0</v>
      </c>
      <c r="S748" s="1" t="s">
        <v>97</v>
      </c>
      <c r="T748" s="1" t="s">
        <v>97</v>
      </c>
      <c r="U748" s="1" t="b">
        <v>1</v>
      </c>
      <c r="V748" s="1" t="b">
        <v>0</v>
      </c>
      <c r="W748" s="1" t="b">
        <v>0</v>
      </c>
      <c r="X748" s="1">
        <v>5</v>
      </c>
      <c r="Y748" s="1" t="b">
        <v>1</v>
      </c>
      <c r="Z748" s="1" t="b">
        <v>1</v>
      </c>
      <c r="AA748" s="1"/>
      <c r="AB748" s="1" t="b">
        <v>1</v>
      </c>
      <c r="AC748" s="1">
        <v>138042359</v>
      </c>
      <c r="AD748" s="1">
        <v>631817</v>
      </c>
      <c r="AE748" s="1">
        <v>0</v>
      </c>
      <c r="AF748" s="1" t="s">
        <v>3082</v>
      </c>
      <c r="AG748" s="1" t="s">
        <v>3083</v>
      </c>
      <c r="AH748" s="1">
        <v>69.5</v>
      </c>
      <c r="AI748" s="1">
        <v>64.7</v>
      </c>
      <c r="AJ748" s="1" t="s">
        <v>3114</v>
      </c>
      <c r="AK748" s="1" t="s">
        <v>3115</v>
      </c>
      <c r="AL748" s="1" t="s">
        <v>3116</v>
      </c>
    </row>
    <row r="749" spans="1:38" x14ac:dyDescent="0.6">
      <c r="A749" s="1">
        <v>524</v>
      </c>
      <c r="B749" s="1" t="s">
        <v>103</v>
      </c>
      <c r="C749" s="1">
        <v>60</v>
      </c>
      <c r="D749" s="1" t="s">
        <v>127</v>
      </c>
      <c r="E749" s="1" t="s">
        <v>108</v>
      </c>
      <c r="F749" s="1"/>
      <c r="G749" s="1"/>
      <c r="H749" s="1" t="s">
        <v>91</v>
      </c>
      <c r="I749" s="1" t="s">
        <v>92</v>
      </c>
      <c r="J749" s="1" t="s">
        <v>93</v>
      </c>
      <c r="K749" s="1">
        <v>1</v>
      </c>
      <c r="L749" s="1">
        <v>120</v>
      </c>
      <c r="M749" s="1" t="s">
        <v>14</v>
      </c>
      <c r="N749" s="1" t="s">
        <v>95</v>
      </c>
      <c r="O749" s="1" t="s">
        <v>96</v>
      </c>
      <c r="P749" s="1"/>
      <c r="Q749" s="1" t="s">
        <v>9</v>
      </c>
      <c r="R749" s="1">
        <v>0</v>
      </c>
      <c r="S749" s="1" t="s">
        <v>97</v>
      </c>
      <c r="T749" s="1" t="s">
        <v>97</v>
      </c>
      <c r="U749" s="1" t="b">
        <v>1</v>
      </c>
      <c r="V749" s="1" t="b">
        <v>0</v>
      </c>
      <c r="W749" s="1" t="b">
        <v>0</v>
      </c>
      <c r="X749" s="1">
        <v>5</v>
      </c>
      <c r="Y749" s="1" t="b">
        <v>1</v>
      </c>
      <c r="Z749" s="1" t="b">
        <v>1</v>
      </c>
      <c r="AA749" s="1"/>
      <c r="AB749" s="1" t="b">
        <v>1</v>
      </c>
      <c r="AC749" s="1">
        <v>154543366</v>
      </c>
      <c r="AD749" s="1">
        <v>645882</v>
      </c>
      <c r="AE749" s="1">
        <v>0</v>
      </c>
      <c r="AF749" s="1" t="s">
        <v>3044</v>
      </c>
      <c r="AG749" s="1" t="s">
        <v>3045</v>
      </c>
      <c r="AH749" s="1">
        <v>57.3</v>
      </c>
      <c r="AI749" s="1">
        <v>55.8</v>
      </c>
      <c r="AJ749" s="1" t="s">
        <v>3117</v>
      </c>
      <c r="AK749" s="1" t="s">
        <v>3118</v>
      </c>
      <c r="AL749" s="1" t="s">
        <v>3119</v>
      </c>
    </row>
    <row r="750" spans="1:38" x14ac:dyDescent="0.6">
      <c r="A750" s="1">
        <v>531</v>
      </c>
      <c r="B750" s="1" t="s">
        <v>103</v>
      </c>
      <c r="C750" s="1">
        <v>60</v>
      </c>
      <c r="D750" s="1" t="s">
        <v>127</v>
      </c>
      <c r="E750" s="1" t="s">
        <v>90</v>
      </c>
      <c r="F750" s="1"/>
      <c r="G750" s="1"/>
      <c r="H750" s="1" t="s">
        <v>220</v>
      </c>
      <c r="I750" s="1" t="s">
        <v>221</v>
      </c>
      <c r="J750" s="1" t="s">
        <v>222</v>
      </c>
      <c r="K750" s="1">
        <v>1.25</v>
      </c>
      <c r="L750" s="1">
        <v>120</v>
      </c>
      <c r="M750" s="1" t="s">
        <v>94</v>
      </c>
      <c r="N750" s="1" t="s">
        <v>95</v>
      </c>
      <c r="O750" s="1"/>
      <c r="P750" s="1" t="s">
        <v>96</v>
      </c>
      <c r="Q750" s="1" t="s">
        <v>9</v>
      </c>
      <c r="R750" s="1">
        <v>0</v>
      </c>
      <c r="S750" s="1" t="s">
        <v>97</v>
      </c>
      <c r="T750" s="1" t="s">
        <v>97</v>
      </c>
      <c r="U750" s="1" t="b">
        <v>1</v>
      </c>
      <c r="V750" s="1" t="b">
        <v>0</v>
      </c>
      <c r="W750" s="1" t="b">
        <v>0</v>
      </c>
      <c r="X750" s="1">
        <v>0</v>
      </c>
      <c r="Y750" s="1" t="b">
        <v>1</v>
      </c>
      <c r="Z750" s="1" t="b">
        <v>1</v>
      </c>
      <c r="AA750" s="1">
        <v>55.5</v>
      </c>
      <c r="AB750" s="1" t="b">
        <v>1</v>
      </c>
      <c r="AC750" s="1">
        <v>125558815</v>
      </c>
      <c r="AD750" s="1">
        <v>1843169</v>
      </c>
      <c r="AE750" s="1">
        <v>0</v>
      </c>
      <c r="AF750" s="1" t="s">
        <v>3102</v>
      </c>
      <c r="AG750" s="1" t="s">
        <v>3103</v>
      </c>
      <c r="AH750" s="1">
        <v>53.2</v>
      </c>
      <c r="AI750" s="1">
        <v>51.6</v>
      </c>
      <c r="AJ750" s="1" t="s">
        <v>3120</v>
      </c>
      <c r="AK750" s="1" t="s">
        <v>3121</v>
      </c>
      <c r="AL750" s="1" t="s">
        <v>3122</v>
      </c>
    </row>
    <row r="751" spans="1:38" x14ac:dyDescent="0.6">
      <c r="A751" s="1">
        <v>532</v>
      </c>
      <c r="B751" s="1" t="s">
        <v>103</v>
      </c>
      <c r="C751" s="1">
        <v>60</v>
      </c>
      <c r="D751" s="1" t="s">
        <v>127</v>
      </c>
      <c r="E751" s="1" t="s">
        <v>90</v>
      </c>
      <c r="F751" s="1"/>
      <c r="G751" s="1"/>
      <c r="H751" s="1" t="s">
        <v>220</v>
      </c>
      <c r="I751" s="1" t="s">
        <v>221</v>
      </c>
      <c r="J751" s="1" t="s">
        <v>222</v>
      </c>
      <c r="K751" s="1">
        <v>1.25</v>
      </c>
      <c r="L751" s="1">
        <v>120</v>
      </c>
      <c r="M751" s="1" t="s">
        <v>14</v>
      </c>
      <c r="N751" s="1" t="s">
        <v>95</v>
      </c>
      <c r="O751" s="1" t="s">
        <v>96</v>
      </c>
      <c r="P751" s="1"/>
      <c r="Q751" s="1" t="s">
        <v>9</v>
      </c>
      <c r="R751" s="1">
        <v>0</v>
      </c>
      <c r="S751" s="1" t="s">
        <v>97</v>
      </c>
      <c r="T751" s="1" t="s">
        <v>97</v>
      </c>
      <c r="U751" s="1" t="b">
        <v>1</v>
      </c>
      <c r="V751" s="1" t="b">
        <v>0</v>
      </c>
      <c r="W751" s="1" t="b">
        <v>0</v>
      </c>
      <c r="X751" s="1">
        <v>5</v>
      </c>
      <c r="Y751" s="1" t="b">
        <v>1</v>
      </c>
      <c r="Z751" s="1" t="b">
        <v>1</v>
      </c>
      <c r="AA751" s="1"/>
      <c r="AB751" s="1" t="b">
        <v>1</v>
      </c>
      <c r="AC751" s="1">
        <v>124112775</v>
      </c>
      <c r="AD751" s="1">
        <v>667769</v>
      </c>
      <c r="AE751" s="1">
        <v>0</v>
      </c>
      <c r="AF751" s="1" t="s">
        <v>3123</v>
      </c>
      <c r="AG751" s="1" t="s">
        <v>3124</v>
      </c>
      <c r="AH751" s="1">
        <v>87.8</v>
      </c>
      <c r="AI751" s="1">
        <v>84</v>
      </c>
      <c r="AJ751" s="1" t="s">
        <v>3125</v>
      </c>
      <c r="AK751" s="1" t="s">
        <v>3126</v>
      </c>
      <c r="AL751" s="1" t="s">
        <v>3127</v>
      </c>
    </row>
    <row r="752" spans="1:38" x14ac:dyDescent="0.6">
      <c r="A752" s="1">
        <v>532</v>
      </c>
      <c r="B752" s="1" t="s">
        <v>103</v>
      </c>
      <c r="C752" s="1">
        <v>60</v>
      </c>
      <c r="D752" s="1" t="s">
        <v>127</v>
      </c>
      <c r="E752" s="1" t="s">
        <v>90</v>
      </c>
      <c r="F752" s="1"/>
      <c r="G752" s="1"/>
      <c r="H752" s="1" t="s">
        <v>220</v>
      </c>
      <c r="I752" s="1" t="s">
        <v>221</v>
      </c>
      <c r="J752" s="1" t="s">
        <v>222</v>
      </c>
      <c r="K752" s="1">
        <v>1.25</v>
      </c>
      <c r="L752" s="1">
        <v>120</v>
      </c>
      <c r="M752" s="1" t="s">
        <v>94</v>
      </c>
      <c r="N752" s="1" t="s">
        <v>95</v>
      </c>
      <c r="O752" s="1"/>
      <c r="P752" s="1" t="s">
        <v>96</v>
      </c>
      <c r="Q752" s="1" t="s">
        <v>9</v>
      </c>
      <c r="R752" s="1">
        <v>0</v>
      </c>
      <c r="S752" s="1" t="s">
        <v>97</v>
      </c>
      <c r="T752" s="1" t="s">
        <v>97</v>
      </c>
      <c r="U752" s="1" t="b">
        <v>1</v>
      </c>
      <c r="V752" s="1" t="b">
        <v>0</v>
      </c>
      <c r="W752" s="1" t="b">
        <v>0</v>
      </c>
      <c r="X752" s="1">
        <v>0</v>
      </c>
      <c r="Y752" s="1" t="b">
        <v>1</v>
      </c>
      <c r="Z752" s="1" t="b">
        <v>1</v>
      </c>
      <c r="AA752" s="1">
        <v>86.2</v>
      </c>
      <c r="AB752" s="1" t="b">
        <v>1</v>
      </c>
      <c r="AC752" s="1">
        <v>126442218</v>
      </c>
      <c r="AD752" s="1">
        <v>1746198</v>
      </c>
      <c r="AE752" s="1">
        <v>0</v>
      </c>
      <c r="AF752" s="1" t="s">
        <v>3123</v>
      </c>
      <c r="AG752" s="1" t="s">
        <v>3124</v>
      </c>
      <c r="AH752" s="1">
        <v>87.8</v>
      </c>
      <c r="AI752" s="1">
        <v>84</v>
      </c>
      <c r="AJ752" s="1" t="s">
        <v>3128</v>
      </c>
      <c r="AK752" s="1" t="s">
        <v>3129</v>
      </c>
      <c r="AL752" s="1" t="s">
        <v>3130</v>
      </c>
    </row>
    <row r="753" spans="1:38" x14ac:dyDescent="0.6">
      <c r="A753" s="1">
        <v>527</v>
      </c>
      <c r="B753" s="1" t="s">
        <v>103</v>
      </c>
      <c r="C753" s="1">
        <v>70</v>
      </c>
      <c r="D753" s="1" t="s">
        <v>119</v>
      </c>
      <c r="E753" s="1" t="s">
        <v>90</v>
      </c>
      <c r="F753" s="1"/>
      <c r="G753" s="1"/>
      <c r="H753" s="1" t="s">
        <v>91</v>
      </c>
      <c r="I753" s="1" t="s">
        <v>92</v>
      </c>
      <c r="J753" s="1" t="s">
        <v>93</v>
      </c>
      <c r="K753" s="1">
        <v>1</v>
      </c>
      <c r="L753" s="1">
        <v>120</v>
      </c>
      <c r="M753" s="1" t="s">
        <v>14</v>
      </c>
      <c r="N753" s="1" t="s">
        <v>95</v>
      </c>
      <c r="O753" s="1" t="s">
        <v>96</v>
      </c>
      <c r="P753" s="1"/>
      <c r="Q753" s="1" t="s">
        <v>9</v>
      </c>
      <c r="R753" s="1">
        <v>0</v>
      </c>
      <c r="S753" s="1" t="s">
        <v>97</v>
      </c>
      <c r="T753" s="1" t="s">
        <v>97</v>
      </c>
      <c r="U753" s="1" t="b">
        <v>1</v>
      </c>
      <c r="V753" s="1" t="b">
        <v>0</v>
      </c>
      <c r="W753" s="1" t="b">
        <v>0</v>
      </c>
      <c r="X753" s="1">
        <v>5</v>
      </c>
      <c r="Y753" s="1" t="b">
        <v>1</v>
      </c>
      <c r="Z753" s="1" t="b">
        <v>1</v>
      </c>
      <c r="AA753" s="1"/>
      <c r="AB753" s="1" t="b">
        <v>1</v>
      </c>
      <c r="AC753" s="1">
        <v>133659746</v>
      </c>
      <c r="AD753" s="1">
        <v>557982</v>
      </c>
      <c r="AE753" s="1">
        <v>0</v>
      </c>
      <c r="AF753" s="1" t="s">
        <v>3069</v>
      </c>
      <c r="AG753" s="1" t="s">
        <v>3070</v>
      </c>
      <c r="AH753" s="1">
        <v>75.8</v>
      </c>
      <c r="AI753" s="1">
        <v>70</v>
      </c>
      <c r="AJ753" s="1" t="s">
        <v>3131</v>
      </c>
      <c r="AK753" s="1" t="s">
        <v>3132</v>
      </c>
      <c r="AL753" s="1" t="s">
        <v>3133</v>
      </c>
    </row>
    <row r="754" spans="1:38" x14ac:dyDescent="0.6">
      <c r="A754" s="1">
        <v>534</v>
      </c>
      <c r="B754" s="1" t="s">
        <v>103</v>
      </c>
      <c r="C754" s="1">
        <v>70</v>
      </c>
      <c r="D754" s="1" t="s">
        <v>119</v>
      </c>
      <c r="E754" s="1" t="s">
        <v>90</v>
      </c>
      <c r="F754" s="1"/>
      <c r="G754" s="1"/>
      <c r="H754" s="1" t="s">
        <v>189</v>
      </c>
      <c r="I754" s="1" t="s">
        <v>190</v>
      </c>
      <c r="J754" s="1" t="s">
        <v>191</v>
      </c>
      <c r="K754" s="1">
        <v>1</v>
      </c>
      <c r="L754" s="1">
        <v>120</v>
      </c>
      <c r="M754" s="1" t="s">
        <v>14</v>
      </c>
      <c r="N754" s="1" t="s">
        <v>14</v>
      </c>
      <c r="O754" s="1" t="s">
        <v>96</v>
      </c>
      <c r="P754" s="1"/>
      <c r="Q754" s="1" t="s">
        <v>9</v>
      </c>
      <c r="R754" s="1">
        <v>0</v>
      </c>
      <c r="S754" s="1"/>
      <c r="T754" s="1" t="s">
        <v>97</v>
      </c>
      <c r="U754" s="1"/>
      <c r="V754" s="1" t="b">
        <v>0</v>
      </c>
      <c r="W754" s="1" t="b">
        <v>0</v>
      </c>
      <c r="X754" s="1">
        <v>5</v>
      </c>
      <c r="Y754" s="1" t="b">
        <v>1</v>
      </c>
      <c r="Z754" s="1" t="b">
        <v>1</v>
      </c>
      <c r="AA754" s="1"/>
      <c r="AB754" s="1" t="b">
        <v>1</v>
      </c>
      <c r="AC754" s="1">
        <v>145277460</v>
      </c>
      <c r="AD754" s="1">
        <v>736748</v>
      </c>
      <c r="AE754" s="1">
        <v>0</v>
      </c>
      <c r="AF754" s="1" t="s">
        <v>3134</v>
      </c>
      <c r="AG754" s="1"/>
      <c r="AH754" s="1">
        <v>55.7</v>
      </c>
      <c r="AI754" s="1"/>
      <c r="AJ754" s="1" t="s">
        <v>3135</v>
      </c>
      <c r="AK754" s="1" t="s">
        <v>3136</v>
      </c>
      <c r="AL754" s="1" t="s">
        <v>3137</v>
      </c>
    </row>
    <row r="755" spans="1:38" x14ac:dyDescent="0.6">
      <c r="A755" s="1">
        <v>535</v>
      </c>
      <c r="B755" s="1" t="s">
        <v>103</v>
      </c>
      <c r="C755" s="1">
        <v>50</v>
      </c>
      <c r="D755" s="1" t="s">
        <v>89</v>
      </c>
      <c r="E755" s="1" t="s">
        <v>108</v>
      </c>
      <c r="F755" s="1"/>
      <c r="G755" s="1"/>
      <c r="H755" s="1" t="s">
        <v>220</v>
      </c>
      <c r="I755" s="1" t="s">
        <v>221</v>
      </c>
      <c r="J755" s="1" t="s">
        <v>222</v>
      </c>
      <c r="K755" s="1">
        <v>1.25</v>
      </c>
      <c r="L755" s="1">
        <v>120</v>
      </c>
      <c r="M755" s="1" t="s">
        <v>94</v>
      </c>
      <c r="N755" s="1" t="s">
        <v>95</v>
      </c>
      <c r="O755" s="1"/>
      <c r="P755" s="1" t="s">
        <v>96</v>
      </c>
      <c r="Q755" s="1" t="s">
        <v>9</v>
      </c>
      <c r="R755" s="1">
        <v>0</v>
      </c>
      <c r="S755" s="1" t="s">
        <v>97</v>
      </c>
      <c r="T755" s="1" t="s">
        <v>97</v>
      </c>
      <c r="U755" s="1" t="b">
        <v>1</v>
      </c>
      <c r="V755" s="1" t="b">
        <v>0</v>
      </c>
      <c r="W755" s="1" t="b">
        <v>0</v>
      </c>
      <c r="X755" s="1">
        <v>0</v>
      </c>
      <c r="Y755" s="1" t="b">
        <v>1</v>
      </c>
      <c r="Z755" s="1" t="b">
        <v>1</v>
      </c>
      <c r="AA755" s="1">
        <v>75.2</v>
      </c>
      <c r="AB755" s="1" t="b">
        <v>1</v>
      </c>
      <c r="AC755" s="1">
        <v>144655191</v>
      </c>
      <c r="AD755" s="1">
        <v>2407593</v>
      </c>
      <c r="AE755" s="1">
        <v>0</v>
      </c>
      <c r="AF755" s="1" t="s">
        <v>3138</v>
      </c>
      <c r="AG755" s="1" t="s">
        <v>3139</v>
      </c>
      <c r="AH755" s="1">
        <v>78.3</v>
      </c>
      <c r="AI755" s="1">
        <v>72.900000000000006</v>
      </c>
      <c r="AJ755" s="1" t="s">
        <v>3140</v>
      </c>
      <c r="AK755" s="1" t="s">
        <v>3141</v>
      </c>
      <c r="AL755" s="1" t="s">
        <v>3142</v>
      </c>
    </row>
    <row r="756" spans="1:38" x14ac:dyDescent="0.6">
      <c r="A756" s="1">
        <v>536</v>
      </c>
      <c r="B756" s="1" t="s">
        <v>103</v>
      </c>
      <c r="C756" s="1">
        <v>50</v>
      </c>
      <c r="D756" s="1" t="s">
        <v>89</v>
      </c>
      <c r="E756" s="1" t="s">
        <v>90</v>
      </c>
      <c r="F756" s="1"/>
      <c r="G756" s="1"/>
      <c r="H756" s="1" t="s">
        <v>220</v>
      </c>
      <c r="I756" s="1" t="s">
        <v>221</v>
      </c>
      <c r="J756" s="1" t="s">
        <v>222</v>
      </c>
      <c r="K756" s="1">
        <v>1.25</v>
      </c>
      <c r="L756" s="1">
        <v>120</v>
      </c>
      <c r="M756" s="1" t="s">
        <v>94</v>
      </c>
      <c r="N756" s="1" t="s">
        <v>95</v>
      </c>
      <c r="O756" s="1"/>
      <c r="P756" s="1" t="s">
        <v>96</v>
      </c>
      <c r="Q756" s="1" t="s">
        <v>9</v>
      </c>
      <c r="R756" s="1">
        <v>0</v>
      </c>
      <c r="S756" s="1" t="s">
        <v>97</v>
      </c>
      <c r="T756" s="1" t="s">
        <v>97</v>
      </c>
      <c r="U756" s="1" t="b">
        <v>1</v>
      </c>
      <c r="V756" s="1" t="b">
        <v>0</v>
      </c>
      <c r="W756" s="1" t="b">
        <v>0</v>
      </c>
      <c r="X756" s="1">
        <v>0</v>
      </c>
      <c r="Y756" s="1" t="b">
        <v>1</v>
      </c>
      <c r="Z756" s="1" t="b">
        <v>1</v>
      </c>
      <c r="AA756" s="1">
        <v>71.3</v>
      </c>
      <c r="AB756" s="1" t="b">
        <v>1</v>
      </c>
      <c r="AC756" s="1">
        <v>135039693</v>
      </c>
      <c r="AD756" s="1">
        <v>2323763</v>
      </c>
      <c r="AE756" s="1">
        <v>0</v>
      </c>
      <c r="AF756" s="1" t="s">
        <v>3143</v>
      </c>
      <c r="AG756" s="1" t="s">
        <v>3144</v>
      </c>
      <c r="AH756" s="1">
        <v>62.4</v>
      </c>
      <c r="AI756" s="1">
        <v>65.400000000000006</v>
      </c>
      <c r="AJ756" s="1" t="s">
        <v>3145</v>
      </c>
      <c r="AK756" s="1" t="s">
        <v>3146</v>
      </c>
      <c r="AL756" s="1" t="s">
        <v>3147</v>
      </c>
    </row>
    <row r="757" spans="1:38" x14ac:dyDescent="0.6">
      <c r="A757" s="1">
        <v>537</v>
      </c>
      <c r="B757" s="1" t="s">
        <v>103</v>
      </c>
      <c r="C757" s="1">
        <v>60</v>
      </c>
      <c r="D757" s="1" t="s">
        <v>127</v>
      </c>
      <c r="E757" s="1" t="s">
        <v>108</v>
      </c>
      <c r="F757" s="1"/>
      <c r="G757" s="1"/>
      <c r="H757" s="1" t="s">
        <v>91</v>
      </c>
      <c r="I757" s="1" t="s">
        <v>92</v>
      </c>
      <c r="J757" s="1" t="s">
        <v>109</v>
      </c>
      <c r="K757" s="1">
        <v>1</v>
      </c>
      <c r="L757" s="1">
        <v>120</v>
      </c>
      <c r="M757" s="1" t="s">
        <v>14</v>
      </c>
      <c r="N757" s="1" t="s">
        <v>95</v>
      </c>
      <c r="O757" s="1" t="s">
        <v>96</v>
      </c>
      <c r="P757" s="1"/>
      <c r="Q757" s="1" t="s">
        <v>110</v>
      </c>
      <c r="R757" s="1">
        <v>3</v>
      </c>
      <c r="S757" s="1" t="s">
        <v>97</v>
      </c>
      <c r="T757" s="1" t="s">
        <v>110</v>
      </c>
      <c r="U757" s="1" t="b">
        <v>0</v>
      </c>
      <c r="V757" s="1" t="b">
        <v>1</v>
      </c>
      <c r="W757" s="1" t="b">
        <v>0</v>
      </c>
      <c r="X757" s="1">
        <v>4</v>
      </c>
      <c r="Y757" s="1" t="b">
        <v>1</v>
      </c>
      <c r="Z757" s="1" t="b">
        <v>1</v>
      </c>
      <c r="AA757" s="1"/>
      <c r="AB757" s="1" t="b">
        <v>1</v>
      </c>
      <c r="AC757" s="1">
        <v>140122344</v>
      </c>
      <c r="AD757" s="1">
        <v>648984</v>
      </c>
      <c r="AE757" s="1">
        <v>0</v>
      </c>
      <c r="AF757" s="1" t="s">
        <v>3148</v>
      </c>
      <c r="AG757" s="1" t="s">
        <v>3149</v>
      </c>
      <c r="AH757" s="1">
        <v>59.4</v>
      </c>
      <c r="AI757" s="1">
        <v>57.3</v>
      </c>
      <c r="AJ757" s="1" t="s">
        <v>3150</v>
      </c>
      <c r="AK757" s="1" t="s">
        <v>3151</v>
      </c>
      <c r="AL757" s="1" t="s">
        <v>3152</v>
      </c>
    </row>
    <row r="758" spans="1:38" x14ac:dyDescent="0.6">
      <c r="A758" s="1">
        <v>537</v>
      </c>
      <c r="B758" s="1" t="s">
        <v>103</v>
      </c>
      <c r="C758" s="1">
        <v>60</v>
      </c>
      <c r="D758" s="1" t="s">
        <v>127</v>
      </c>
      <c r="E758" s="1" t="s">
        <v>108</v>
      </c>
      <c r="F758" s="1"/>
      <c r="G758" s="1"/>
      <c r="H758" s="1" t="s">
        <v>91</v>
      </c>
      <c r="I758" s="1" t="s">
        <v>92</v>
      </c>
      <c r="J758" s="1" t="s">
        <v>109</v>
      </c>
      <c r="K758" s="1">
        <v>1</v>
      </c>
      <c r="L758" s="1">
        <v>120</v>
      </c>
      <c r="M758" s="1" t="s">
        <v>94</v>
      </c>
      <c r="N758" s="1" t="s">
        <v>95</v>
      </c>
      <c r="O758" s="1"/>
      <c r="P758" s="1" t="s">
        <v>96</v>
      </c>
      <c r="Q758" s="1" t="s">
        <v>110</v>
      </c>
      <c r="R758" s="1">
        <v>3</v>
      </c>
      <c r="S758" s="1" t="s">
        <v>97</v>
      </c>
      <c r="T758" s="1" t="s">
        <v>110</v>
      </c>
      <c r="U758" s="1" t="b">
        <v>0</v>
      </c>
      <c r="V758" s="1" t="b">
        <v>1</v>
      </c>
      <c r="W758" s="1" t="b">
        <v>0</v>
      </c>
      <c r="X758" s="1">
        <v>0</v>
      </c>
      <c r="Y758" s="1" t="b">
        <v>1</v>
      </c>
      <c r="Z758" s="1" t="b">
        <v>1</v>
      </c>
      <c r="AA758" s="1">
        <v>58.9</v>
      </c>
      <c r="AB758" s="1" t="b">
        <v>1</v>
      </c>
      <c r="AC758" s="1">
        <v>141443339</v>
      </c>
      <c r="AD758" s="1">
        <v>2211573</v>
      </c>
      <c r="AE758" s="1">
        <v>0</v>
      </c>
      <c r="AF758" s="1" t="s">
        <v>3148</v>
      </c>
      <c r="AG758" s="1" t="s">
        <v>3149</v>
      </c>
      <c r="AH758" s="1">
        <v>59.4</v>
      </c>
      <c r="AI758" s="1">
        <v>57.3</v>
      </c>
      <c r="AJ758" s="1" t="s">
        <v>3153</v>
      </c>
      <c r="AK758" s="1" t="s">
        <v>3154</v>
      </c>
      <c r="AL758" s="1" t="s">
        <v>3155</v>
      </c>
    </row>
    <row r="759" spans="1:38" x14ac:dyDescent="0.6">
      <c r="A759" s="1">
        <v>545</v>
      </c>
      <c r="B759" s="1" t="s">
        <v>88</v>
      </c>
      <c r="C759" s="1">
        <v>50</v>
      </c>
      <c r="D759" s="1" t="s">
        <v>89</v>
      </c>
      <c r="E759" s="1" t="s">
        <v>108</v>
      </c>
      <c r="F759" s="1"/>
      <c r="G759" s="1"/>
      <c r="H759" s="1" t="s">
        <v>220</v>
      </c>
      <c r="I759" s="1" t="s">
        <v>221</v>
      </c>
      <c r="J759" s="1" t="s">
        <v>222</v>
      </c>
      <c r="K759" s="1">
        <v>1.25</v>
      </c>
      <c r="L759" s="1">
        <v>120</v>
      </c>
      <c r="M759" s="1" t="s">
        <v>14</v>
      </c>
      <c r="N759" s="1" t="s">
        <v>95</v>
      </c>
      <c r="O759" s="1" t="s">
        <v>96</v>
      </c>
      <c r="P759" s="1"/>
      <c r="Q759" s="1" t="s">
        <v>9</v>
      </c>
      <c r="R759" s="1">
        <v>0</v>
      </c>
      <c r="S759" s="1" t="s">
        <v>97</v>
      </c>
      <c r="T759" s="1" t="s">
        <v>97</v>
      </c>
      <c r="U759" s="1" t="b">
        <v>1</v>
      </c>
      <c r="V759" s="1" t="b">
        <v>0</v>
      </c>
      <c r="W759" s="1" t="b">
        <v>0</v>
      </c>
      <c r="X759" s="1">
        <v>5</v>
      </c>
      <c r="Y759" s="1" t="b">
        <v>1</v>
      </c>
      <c r="Z759" s="1" t="b">
        <v>1</v>
      </c>
      <c r="AA759" s="1"/>
      <c r="AB759" s="1" t="b">
        <v>1</v>
      </c>
      <c r="AC759" s="1">
        <v>123827824</v>
      </c>
      <c r="AD759" s="1">
        <v>952720</v>
      </c>
      <c r="AE759" s="1">
        <v>0</v>
      </c>
      <c r="AF759" s="1" t="s">
        <v>3156</v>
      </c>
      <c r="AG759" s="1" t="s">
        <v>3157</v>
      </c>
      <c r="AH759" s="1">
        <v>61.4</v>
      </c>
      <c r="AI759" s="1">
        <v>57.4</v>
      </c>
      <c r="AJ759" s="1" t="s">
        <v>3158</v>
      </c>
      <c r="AK759" s="1" t="s">
        <v>3159</v>
      </c>
      <c r="AL759" s="1" t="s">
        <v>3160</v>
      </c>
    </row>
    <row r="760" spans="1:38" x14ac:dyDescent="0.6">
      <c r="A760" s="1">
        <v>539</v>
      </c>
      <c r="B760" s="1" t="s">
        <v>103</v>
      </c>
      <c r="C760" s="1">
        <v>60</v>
      </c>
      <c r="D760" s="1" t="s">
        <v>127</v>
      </c>
      <c r="E760" s="1" t="s">
        <v>90</v>
      </c>
      <c r="F760" s="1"/>
      <c r="G760" s="1"/>
      <c r="H760" s="1" t="s">
        <v>189</v>
      </c>
      <c r="I760" s="1" t="s">
        <v>190</v>
      </c>
      <c r="J760" s="1" t="s">
        <v>191</v>
      </c>
      <c r="K760" s="1">
        <v>1</v>
      </c>
      <c r="L760" s="1">
        <v>120</v>
      </c>
      <c r="M760" s="1" t="s">
        <v>14</v>
      </c>
      <c r="N760" s="1" t="s">
        <v>95</v>
      </c>
      <c r="O760" s="1" t="s">
        <v>96</v>
      </c>
      <c r="P760" s="1"/>
      <c r="Q760" s="1" t="s">
        <v>9</v>
      </c>
      <c r="R760" s="1">
        <v>0</v>
      </c>
      <c r="S760" s="1" t="s">
        <v>97</v>
      </c>
      <c r="T760" s="1" t="s">
        <v>97</v>
      </c>
      <c r="U760" s="1" t="b">
        <v>1</v>
      </c>
      <c r="V760" s="1" t="b">
        <v>0</v>
      </c>
      <c r="W760" s="1" t="b">
        <v>0</v>
      </c>
      <c r="X760" s="1">
        <v>5</v>
      </c>
      <c r="Y760" s="1" t="b">
        <v>1</v>
      </c>
      <c r="Z760" s="1" t="b">
        <v>1</v>
      </c>
      <c r="AA760" s="1"/>
      <c r="AB760" s="1" t="b">
        <v>1</v>
      </c>
      <c r="AC760" s="1">
        <v>124207561</v>
      </c>
      <c r="AD760" s="1">
        <v>572983</v>
      </c>
      <c r="AE760" s="1">
        <v>0</v>
      </c>
      <c r="AF760" s="1" t="s">
        <v>3161</v>
      </c>
      <c r="AG760" s="1" t="s">
        <v>3162</v>
      </c>
      <c r="AH760" s="1">
        <v>75.599999999999994</v>
      </c>
      <c r="AI760" s="1">
        <v>73.7</v>
      </c>
      <c r="AJ760" s="1" t="s">
        <v>3163</v>
      </c>
      <c r="AK760" s="1" t="s">
        <v>3164</v>
      </c>
      <c r="AL760" s="1" t="s">
        <v>3165</v>
      </c>
    </row>
    <row r="761" spans="1:38" x14ac:dyDescent="0.6">
      <c r="A761" s="1">
        <v>536</v>
      </c>
      <c r="B761" s="1" t="s">
        <v>103</v>
      </c>
      <c r="C761" s="1">
        <v>50</v>
      </c>
      <c r="D761" s="1" t="s">
        <v>89</v>
      </c>
      <c r="E761" s="1" t="s">
        <v>90</v>
      </c>
      <c r="F761" s="1"/>
      <c r="G761" s="1"/>
      <c r="H761" s="1" t="s">
        <v>220</v>
      </c>
      <c r="I761" s="1" t="s">
        <v>221</v>
      </c>
      <c r="J761" s="1" t="s">
        <v>222</v>
      </c>
      <c r="K761" s="1">
        <v>1.25</v>
      </c>
      <c r="L761" s="1">
        <v>120</v>
      </c>
      <c r="M761" s="1" t="s">
        <v>14</v>
      </c>
      <c r="N761" s="1" t="s">
        <v>95</v>
      </c>
      <c r="O761" s="1" t="s">
        <v>96</v>
      </c>
      <c r="P761" s="1"/>
      <c r="Q761" s="1" t="s">
        <v>9</v>
      </c>
      <c r="R761" s="1">
        <v>0</v>
      </c>
      <c r="S761" s="1" t="s">
        <v>97</v>
      </c>
      <c r="T761" s="1" t="s">
        <v>97</v>
      </c>
      <c r="U761" s="1" t="b">
        <v>1</v>
      </c>
      <c r="V761" s="1" t="b">
        <v>0</v>
      </c>
      <c r="W761" s="1" t="b">
        <v>0</v>
      </c>
      <c r="X761" s="1">
        <v>5</v>
      </c>
      <c r="Y761" s="1" t="b">
        <v>1</v>
      </c>
      <c r="Z761" s="1" t="b">
        <v>1</v>
      </c>
      <c r="AA761" s="1"/>
      <c r="AB761" s="1" t="b">
        <v>1</v>
      </c>
      <c r="AC761" s="1">
        <v>132119482</v>
      </c>
      <c r="AD761" s="1">
        <v>787526</v>
      </c>
      <c r="AE761" s="1">
        <v>0</v>
      </c>
      <c r="AF761" s="1" t="s">
        <v>3143</v>
      </c>
      <c r="AG761" s="1" t="s">
        <v>3144</v>
      </c>
      <c r="AH761" s="1">
        <v>62.4</v>
      </c>
      <c r="AI761" s="1">
        <v>65.400000000000006</v>
      </c>
      <c r="AJ761" s="1" t="s">
        <v>3166</v>
      </c>
      <c r="AK761" s="1" t="s">
        <v>3167</v>
      </c>
      <c r="AL761" s="1" t="s">
        <v>3168</v>
      </c>
    </row>
    <row r="762" spans="1:38" x14ac:dyDescent="0.6">
      <c r="A762" s="1">
        <v>535</v>
      </c>
      <c r="B762" s="1" t="s">
        <v>103</v>
      </c>
      <c r="C762" s="1">
        <v>50</v>
      </c>
      <c r="D762" s="1" t="s">
        <v>89</v>
      </c>
      <c r="E762" s="1" t="s">
        <v>108</v>
      </c>
      <c r="F762" s="1"/>
      <c r="G762" s="1"/>
      <c r="H762" s="1" t="s">
        <v>220</v>
      </c>
      <c r="I762" s="1" t="s">
        <v>221</v>
      </c>
      <c r="J762" s="1" t="s">
        <v>222</v>
      </c>
      <c r="K762" s="1">
        <v>1.25</v>
      </c>
      <c r="L762" s="1">
        <v>120</v>
      </c>
      <c r="M762" s="1" t="s">
        <v>14</v>
      </c>
      <c r="N762" s="1" t="s">
        <v>95</v>
      </c>
      <c r="O762" s="1" t="s">
        <v>96</v>
      </c>
      <c r="P762" s="1"/>
      <c r="Q762" s="1" t="s">
        <v>9</v>
      </c>
      <c r="R762" s="1">
        <v>0</v>
      </c>
      <c r="S762" s="1" t="s">
        <v>97</v>
      </c>
      <c r="T762" s="1" t="s">
        <v>97</v>
      </c>
      <c r="U762" s="1" t="b">
        <v>1</v>
      </c>
      <c r="V762" s="1" t="b">
        <v>0</v>
      </c>
      <c r="W762" s="1" t="b">
        <v>0</v>
      </c>
      <c r="X762" s="1">
        <v>5</v>
      </c>
      <c r="Y762" s="1" t="b">
        <v>1</v>
      </c>
      <c r="Z762" s="1" t="b">
        <v>1</v>
      </c>
      <c r="AA762" s="1"/>
      <c r="AB762" s="1" t="b">
        <v>1</v>
      </c>
      <c r="AC762" s="1">
        <v>144981322</v>
      </c>
      <c r="AD762" s="1">
        <v>770742</v>
      </c>
      <c r="AE762" s="1">
        <v>0</v>
      </c>
      <c r="AF762" s="1" t="s">
        <v>3138</v>
      </c>
      <c r="AG762" s="1" t="s">
        <v>3139</v>
      </c>
      <c r="AH762" s="1">
        <v>78.3</v>
      </c>
      <c r="AI762" s="1">
        <v>72.900000000000006</v>
      </c>
      <c r="AJ762" s="1" t="s">
        <v>3169</v>
      </c>
      <c r="AK762" s="1" t="s">
        <v>3170</v>
      </c>
      <c r="AL762" s="1" t="s">
        <v>3171</v>
      </c>
    </row>
    <row r="763" spans="1:38" x14ac:dyDescent="0.6">
      <c r="A763" s="1">
        <v>543</v>
      </c>
      <c r="B763" s="1" t="s">
        <v>103</v>
      </c>
      <c r="C763" s="1">
        <v>50</v>
      </c>
      <c r="D763" s="1" t="s">
        <v>89</v>
      </c>
      <c r="E763" s="1" t="s">
        <v>90</v>
      </c>
      <c r="F763" s="1"/>
      <c r="G763" s="1"/>
      <c r="H763" s="1" t="s">
        <v>220</v>
      </c>
      <c r="I763" s="1" t="s">
        <v>221</v>
      </c>
      <c r="J763" s="1" t="s">
        <v>222</v>
      </c>
      <c r="K763" s="1">
        <v>1.25</v>
      </c>
      <c r="L763" s="1">
        <v>120</v>
      </c>
      <c r="M763" s="1" t="s">
        <v>94</v>
      </c>
      <c r="N763" s="1" t="s">
        <v>95</v>
      </c>
      <c r="O763" s="1"/>
      <c r="P763" s="1" t="s">
        <v>96</v>
      </c>
      <c r="Q763" s="1" t="s">
        <v>9</v>
      </c>
      <c r="R763" s="1">
        <v>0</v>
      </c>
      <c r="S763" s="1" t="s">
        <v>97</v>
      </c>
      <c r="T763" s="1" t="s">
        <v>97</v>
      </c>
      <c r="U763" s="1" t="b">
        <v>1</v>
      </c>
      <c r="V763" s="1" t="b">
        <v>0</v>
      </c>
      <c r="W763" s="1" t="b">
        <v>0</v>
      </c>
      <c r="X763" s="1">
        <v>0</v>
      </c>
      <c r="Y763" s="1" t="b">
        <v>1</v>
      </c>
      <c r="Z763" s="1" t="b">
        <v>1</v>
      </c>
      <c r="AA763" s="1">
        <v>81.8</v>
      </c>
      <c r="AB763" s="1" t="b">
        <v>1</v>
      </c>
      <c r="AC763" s="1">
        <v>155818007</v>
      </c>
      <c r="AD763" s="1">
        <v>1206249</v>
      </c>
      <c r="AE763" s="1">
        <v>0</v>
      </c>
      <c r="AF763" s="1" t="s">
        <v>3172</v>
      </c>
      <c r="AG763" s="1" t="s">
        <v>3173</v>
      </c>
      <c r="AH763" s="1">
        <v>68.7</v>
      </c>
      <c r="AI763" s="1">
        <v>74.599999999999994</v>
      </c>
      <c r="AJ763" s="1" t="s">
        <v>3174</v>
      </c>
      <c r="AK763" s="1" t="s">
        <v>3175</v>
      </c>
      <c r="AL763" s="1" t="s">
        <v>3176</v>
      </c>
    </row>
    <row r="764" spans="1:38" x14ac:dyDescent="0.6">
      <c r="A764" s="1">
        <v>540</v>
      </c>
      <c r="B764" s="1" t="s">
        <v>103</v>
      </c>
      <c r="C764" s="1">
        <v>50</v>
      </c>
      <c r="D764" s="1" t="s">
        <v>89</v>
      </c>
      <c r="E764" s="1" t="s">
        <v>108</v>
      </c>
      <c r="F764" s="1"/>
      <c r="G764" s="1"/>
      <c r="H764" s="1" t="s">
        <v>220</v>
      </c>
      <c r="I764" s="1" t="s">
        <v>221</v>
      </c>
      <c r="J764" s="1" t="s">
        <v>222</v>
      </c>
      <c r="K764" s="1">
        <v>1.25</v>
      </c>
      <c r="L764" s="1">
        <v>120</v>
      </c>
      <c r="M764" s="1" t="s">
        <v>7</v>
      </c>
      <c r="N764" s="1" t="s">
        <v>7</v>
      </c>
      <c r="O764" s="1" t="s">
        <v>96</v>
      </c>
      <c r="P764" s="1" t="s">
        <v>96</v>
      </c>
      <c r="Q764" s="1" t="s">
        <v>9</v>
      </c>
      <c r="R764" s="1">
        <v>0</v>
      </c>
      <c r="S764" s="1" t="s">
        <v>97</v>
      </c>
      <c r="T764" s="1" t="s">
        <v>97</v>
      </c>
      <c r="U764" s="1" t="b">
        <v>1</v>
      </c>
      <c r="V764" s="1" t="b">
        <v>0</v>
      </c>
      <c r="W764" s="1" t="b">
        <v>0</v>
      </c>
      <c r="X764" s="1">
        <v>5</v>
      </c>
      <c r="Y764" s="1" t="b">
        <v>1</v>
      </c>
      <c r="Z764" s="1" t="b">
        <v>1</v>
      </c>
      <c r="AA764" s="1">
        <v>75</v>
      </c>
      <c r="AB764" s="1" t="b">
        <v>0</v>
      </c>
      <c r="AC764" s="1">
        <v>0</v>
      </c>
      <c r="AD764" s="1">
        <v>3010613</v>
      </c>
      <c r="AE764" s="1">
        <v>146411467</v>
      </c>
      <c r="AF764" s="1" t="s">
        <v>3177</v>
      </c>
      <c r="AG764" s="1" t="s">
        <v>3177</v>
      </c>
      <c r="AH764" s="1">
        <v>82.3</v>
      </c>
      <c r="AI764" s="1">
        <v>74</v>
      </c>
      <c r="AJ764" s="1" t="s">
        <v>3178</v>
      </c>
      <c r="AK764" s="1" t="s">
        <v>3179</v>
      </c>
      <c r="AL764" s="1" t="s">
        <v>3180</v>
      </c>
    </row>
    <row r="765" spans="1:38" x14ac:dyDescent="0.6">
      <c r="A765" s="1">
        <v>541</v>
      </c>
      <c r="B765" s="1" t="s">
        <v>88</v>
      </c>
      <c r="C765" s="1">
        <v>60</v>
      </c>
      <c r="D765" s="1" t="s">
        <v>127</v>
      </c>
      <c r="E765" s="1" t="s">
        <v>108</v>
      </c>
      <c r="F765" s="1"/>
      <c r="G765" s="1"/>
      <c r="H765" s="1" t="s">
        <v>220</v>
      </c>
      <c r="I765" s="1" t="s">
        <v>221</v>
      </c>
      <c r="J765" s="1" t="s">
        <v>222</v>
      </c>
      <c r="K765" s="1">
        <v>1.25</v>
      </c>
      <c r="L765" s="1">
        <v>120</v>
      </c>
      <c r="M765" s="1" t="s">
        <v>14</v>
      </c>
      <c r="N765" s="1" t="s">
        <v>14</v>
      </c>
      <c r="O765" s="1" t="s">
        <v>96</v>
      </c>
      <c r="P765" s="1"/>
      <c r="Q765" s="1" t="s">
        <v>9</v>
      </c>
      <c r="R765" s="1">
        <v>0</v>
      </c>
      <c r="S765" s="1"/>
      <c r="T765" s="1" t="s">
        <v>97</v>
      </c>
      <c r="U765" s="1"/>
      <c r="V765" s="1" t="b">
        <v>0</v>
      </c>
      <c r="W765" s="1" t="b">
        <v>0</v>
      </c>
      <c r="X765" s="1">
        <v>5</v>
      </c>
      <c r="Y765" s="1" t="b">
        <v>1</v>
      </c>
      <c r="Z765" s="1" t="b">
        <v>1</v>
      </c>
      <c r="AA765" s="1"/>
      <c r="AB765" s="1" t="b">
        <v>1</v>
      </c>
      <c r="AC765" s="1">
        <v>153249818</v>
      </c>
      <c r="AD765" s="1">
        <v>628710</v>
      </c>
      <c r="AE765" s="1">
        <v>0</v>
      </c>
      <c r="AF765" s="1" t="s">
        <v>3181</v>
      </c>
      <c r="AG765" s="1"/>
      <c r="AH765" s="1">
        <v>68.099999999999994</v>
      </c>
      <c r="AI765" s="1"/>
      <c r="AJ765" s="1" t="s">
        <v>3182</v>
      </c>
      <c r="AK765" s="1" t="s">
        <v>3183</v>
      </c>
      <c r="AL765" s="1" t="s">
        <v>3184</v>
      </c>
    </row>
    <row r="766" spans="1:38" x14ac:dyDescent="0.6">
      <c r="A766" s="1">
        <v>539</v>
      </c>
      <c r="B766" s="1" t="s">
        <v>103</v>
      </c>
      <c r="C766" s="1">
        <v>60</v>
      </c>
      <c r="D766" s="1" t="s">
        <v>127</v>
      </c>
      <c r="E766" s="1" t="s">
        <v>90</v>
      </c>
      <c r="F766" s="1"/>
      <c r="G766" s="1"/>
      <c r="H766" s="1" t="s">
        <v>189</v>
      </c>
      <c r="I766" s="1" t="s">
        <v>190</v>
      </c>
      <c r="J766" s="1" t="s">
        <v>191</v>
      </c>
      <c r="K766" s="1">
        <v>1</v>
      </c>
      <c r="L766" s="1">
        <v>120</v>
      </c>
      <c r="M766" s="1" t="s">
        <v>94</v>
      </c>
      <c r="N766" s="1" t="s">
        <v>95</v>
      </c>
      <c r="O766" s="1"/>
      <c r="P766" s="1" t="s">
        <v>96</v>
      </c>
      <c r="Q766" s="1" t="s">
        <v>9</v>
      </c>
      <c r="R766" s="1">
        <v>0</v>
      </c>
      <c r="S766" s="1" t="s">
        <v>97</v>
      </c>
      <c r="T766" s="1" t="s">
        <v>97</v>
      </c>
      <c r="U766" s="1" t="b">
        <v>1</v>
      </c>
      <c r="V766" s="1" t="b">
        <v>0</v>
      </c>
      <c r="W766" s="1" t="b">
        <v>0</v>
      </c>
      <c r="X766" s="1">
        <v>0</v>
      </c>
      <c r="Y766" s="1" t="b">
        <v>1</v>
      </c>
      <c r="Z766" s="1" t="b">
        <v>1</v>
      </c>
      <c r="AA766" s="1">
        <v>77.3</v>
      </c>
      <c r="AB766" s="1" t="b">
        <v>1</v>
      </c>
      <c r="AC766" s="1">
        <v>131206503</v>
      </c>
      <c r="AD766" s="1">
        <v>1700505</v>
      </c>
      <c r="AE766" s="1">
        <v>0</v>
      </c>
      <c r="AF766" s="1" t="s">
        <v>3161</v>
      </c>
      <c r="AG766" s="1" t="s">
        <v>3162</v>
      </c>
      <c r="AH766" s="1">
        <v>75.599999999999994</v>
      </c>
      <c r="AI766" s="1">
        <v>73.7</v>
      </c>
      <c r="AJ766" s="1" t="s">
        <v>3185</v>
      </c>
      <c r="AK766" s="1" t="s">
        <v>3186</v>
      </c>
      <c r="AL766" s="1" t="s">
        <v>3187</v>
      </c>
    </row>
    <row r="767" spans="1:38" x14ac:dyDescent="0.6">
      <c r="A767" s="1">
        <v>546</v>
      </c>
      <c r="B767" s="1" t="s">
        <v>103</v>
      </c>
      <c r="C767" s="1">
        <v>70</v>
      </c>
      <c r="D767" s="1" t="s">
        <v>119</v>
      </c>
      <c r="E767" s="1" t="s">
        <v>108</v>
      </c>
      <c r="F767" s="1"/>
      <c r="G767" s="1"/>
      <c r="H767" s="1" t="s">
        <v>220</v>
      </c>
      <c r="I767" s="1" t="s">
        <v>221</v>
      </c>
      <c r="J767" s="1" t="s">
        <v>222</v>
      </c>
      <c r="K767" s="1">
        <v>1.25</v>
      </c>
      <c r="L767" s="1">
        <v>120</v>
      </c>
      <c r="M767" s="1" t="s">
        <v>14</v>
      </c>
      <c r="N767" s="1" t="s">
        <v>95</v>
      </c>
      <c r="O767" s="1" t="s">
        <v>96</v>
      </c>
      <c r="P767" s="1"/>
      <c r="Q767" s="1" t="s">
        <v>9</v>
      </c>
      <c r="R767" s="1">
        <v>0</v>
      </c>
      <c r="S767" s="1" t="s">
        <v>97</v>
      </c>
      <c r="T767" s="1" t="s">
        <v>97</v>
      </c>
      <c r="U767" s="1" t="b">
        <v>1</v>
      </c>
      <c r="V767" s="1" t="b">
        <v>0</v>
      </c>
      <c r="W767" s="1" t="b">
        <v>0</v>
      </c>
      <c r="X767" s="1">
        <v>5</v>
      </c>
      <c r="Y767" s="1" t="b">
        <v>1</v>
      </c>
      <c r="Z767" s="1" t="b">
        <v>1</v>
      </c>
      <c r="AA767" s="1"/>
      <c r="AB767" s="1" t="b">
        <v>1</v>
      </c>
      <c r="AC767" s="1">
        <v>127881152</v>
      </c>
      <c r="AD767" s="1">
        <v>569408</v>
      </c>
      <c r="AE767" s="1">
        <v>0</v>
      </c>
      <c r="AF767" s="1" t="s">
        <v>3188</v>
      </c>
      <c r="AG767" s="1" t="s">
        <v>3189</v>
      </c>
      <c r="AH767" s="1">
        <v>73.3</v>
      </c>
      <c r="AI767" s="1">
        <v>71.099999999999994</v>
      </c>
      <c r="AJ767" s="1" t="s">
        <v>3190</v>
      </c>
      <c r="AK767" s="1" t="s">
        <v>3191</v>
      </c>
      <c r="AL767" s="1" t="s">
        <v>3192</v>
      </c>
    </row>
    <row r="768" spans="1:38" x14ac:dyDescent="0.6">
      <c r="A768" s="1">
        <v>542</v>
      </c>
      <c r="B768" s="1" t="s">
        <v>88</v>
      </c>
      <c r="C768" s="1">
        <v>50</v>
      </c>
      <c r="D768" s="1" t="s">
        <v>89</v>
      </c>
      <c r="E768" s="1" t="s">
        <v>108</v>
      </c>
      <c r="F768" s="1"/>
      <c r="G768" s="1"/>
      <c r="H768" s="1" t="s">
        <v>220</v>
      </c>
      <c r="I768" s="1" t="s">
        <v>221</v>
      </c>
      <c r="J768" s="1" t="s">
        <v>222</v>
      </c>
      <c r="K768" s="1">
        <v>1.25</v>
      </c>
      <c r="L768" s="1">
        <v>120</v>
      </c>
      <c r="M768" s="1" t="s">
        <v>7</v>
      </c>
      <c r="N768" s="1" t="s">
        <v>7</v>
      </c>
      <c r="O768" s="1" t="s">
        <v>96</v>
      </c>
      <c r="P768" s="1" t="s">
        <v>96</v>
      </c>
      <c r="Q768" s="1" t="s">
        <v>9</v>
      </c>
      <c r="R768" s="1">
        <v>0</v>
      </c>
      <c r="S768" s="1" t="s">
        <v>97</v>
      </c>
      <c r="T768" s="1" t="s">
        <v>97</v>
      </c>
      <c r="U768" s="1" t="b">
        <v>1</v>
      </c>
      <c r="V768" s="1" t="b">
        <v>0</v>
      </c>
      <c r="W768" s="1" t="b">
        <v>0</v>
      </c>
      <c r="X768" s="1">
        <v>5</v>
      </c>
      <c r="Y768" s="1" t="b">
        <v>1</v>
      </c>
      <c r="Z768" s="1" t="b">
        <v>1</v>
      </c>
      <c r="AA768" s="1">
        <v>70.400000000000006</v>
      </c>
      <c r="AB768" s="1" t="b">
        <v>0</v>
      </c>
      <c r="AC768" s="1">
        <v>0</v>
      </c>
      <c r="AD768" s="1">
        <v>2894287</v>
      </c>
      <c r="AE768" s="1">
        <v>158586417</v>
      </c>
      <c r="AF768" s="1" t="s">
        <v>3193</v>
      </c>
      <c r="AG768" s="1" t="s">
        <v>3193</v>
      </c>
      <c r="AH768" s="1">
        <v>68.2</v>
      </c>
      <c r="AI768" s="1">
        <v>67.400000000000006</v>
      </c>
      <c r="AJ768" s="1" t="s">
        <v>3194</v>
      </c>
      <c r="AK768" s="1" t="s">
        <v>3195</v>
      </c>
      <c r="AL768" s="1" t="s">
        <v>3196</v>
      </c>
    </row>
    <row r="769" spans="1:38" x14ac:dyDescent="0.6">
      <c r="A769" s="1">
        <v>546</v>
      </c>
      <c r="B769" s="1" t="s">
        <v>103</v>
      </c>
      <c r="C769" s="1">
        <v>70</v>
      </c>
      <c r="D769" s="1" t="s">
        <v>119</v>
      </c>
      <c r="E769" s="1" t="s">
        <v>108</v>
      </c>
      <c r="F769" s="1"/>
      <c r="G769" s="1"/>
      <c r="H769" s="1" t="s">
        <v>220</v>
      </c>
      <c r="I769" s="1" t="s">
        <v>221</v>
      </c>
      <c r="J769" s="1" t="s">
        <v>222</v>
      </c>
      <c r="K769" s="1">
        <v>1.25</v>
      </c>
      <c r="L769" s="1">
        <v>120</v>
      </c>
      <c r="M769" s="1" t="s">
        <v>94</v>
      </c>
      <c r="N769" s="1" t="s">
        <v>95</v>
      </c>
      <c r="O769" s="1"/>
      <c r="P769" s="1" t="s">
        <v>96</v>
      </c>
      <c r="Q769" s="1" t="s">
        <v>9</v>
      </c>
      <c r="R769" s="1">
        <v>0</v>
      </c>
      <c r="S769" s="1" t="s">
        <v>97</v>
      </c>
      <c r="T769" s="1" t="s">
        <v>97</v>
      </c>
      <c r="U769" s="1" t="b">
        <v>1</v>
      </c>
      <c r="V769" s="1" t="b">
        <v>0</v>
      </c>
      <c r="W769" s="1" t="b">
        <v>0</v>
      </c>
      <c r="X769" s="1">
        <v>0</v>
      </c>
      <c r="Y769" s="1" t="b">
        <v>1</v>
      </c>
      <c r="Z769" s="1" t="b">
        <v>1</v>
      </c>
      <c r="AA769" s="1">
        <v>72.599999999999994</v>
      </c>
      <c r="AB769" s="1" t="b">
        <v>1</v>
      </c>
      <c r="AC769" s="1">
        <v>145474934</v>
      </c>
      <c r="AD769" s="1">
        <v>1587850</v>
      </c>
      <c r="AE769" s="1">
        <v>0</v>
      </c>
      <c r="AF769" s="1" t="s">
        <v>3188</v>
      </c>
      <c r="AG769" s="1" t="s">
        <v>3189</v>
      </c>
      <c r="AH769" s="1">
        <v>73.3</v>
      </c>
      <c r="AI769" s="1">
        <v>71.099999999999994</v>
      </c>
      <c r="AJ769" s="1" t="s">
        <v>3197</v>
      </c>
      <c r="AK769" s="1" t="s">
        <v>3198</v>
      </c>
      <c r="AL769" s="1" t="s">
        <v>3199</v>
      </c>
    </row>
    <row r="770" spans="1:38" x14ac:dyDescent="0.6">
      <c r="A770" s="1">
        <v>547</v>
      </c>
      <c r="B770" s="1" t="s">
        <v>88</v>
      </c>
      <c r="C770" s="1">
        <v>70</v>
      </c>
      <c r="D770" s="1" t="s">
        <v>119</v>
      </c>
      <c r="E770" s="1" t="s">
        <v>90</v>
      </c>
      <c r="F770" s="1"/>
      <c r="G770" s="1"/>
      <c r="H770" s="1" t="s">
        <v>91</v>
      </c>
      <c r="I770" s="1" t="s">
        <v>92</v>
      </c>
      <c r="J770" s="1" t="s">
        <v>109</v>
      </c>
      <c r="K770" s="1">
        <v>1</v>
      </c>
      <c r="L770" s="1">
        <v>120</v>
      </c>
      <c r="M770" s="1" t="s">
        <v>14</v>
      </c>
      <c r="N770" s="1" t="s">
        <v>95</v>
      </c>
      <c r="O770" s="1" t="s">
        <v>96</v>
      </c>
      <c r="P770" s="1"/>
      <c r="Q770" s="1" t="s">
        <v>9</v>
      </c>
      <c r="R770" s="1">
        <v>0</v>
      </c>
      <c r="S770" s="1" t="s">
        <v>97</v>
      </c>
      <c r="T770" s="1" t="s">
        <v>97</v>
      </c>
      <c r="U770" s="1" t="b">
        <v>1</v>
      </c>
      <c r="V770" s="1" t="b">
        <v>0</v>
      </c>
      <c r="W770" s="1" t="b">
        <v>0</v>
      </c>
      <c r="X770" s="1">
        <v>5</v>
      </c>
      <c r="Y770" s="1" t="b">
        <v>1</v>
      </c>
      <c r="Z770" s="1" t="b">
        <v>1</v>
      </c>
      <c r="AA770" s="1"/>
      <c r="AB770" s="1" t="b">
        <v>1</v>
      </c>
      <c r="AC770" s="1">
        <v>127089996</v>
      </c>
      <c r="AD770" s="1">
        <v>574132</v>
      </c>
      <c r="AE770" s="1">
        <v>0</v>
      </c>
      <c r="AF770" s="1" t="s">
        <v>3200</v>
      </c>
      <c r="AG770" s="1" t="s">
        <v>3201</v>
      </c>
      <c r="AH770" s="1">
        <v>65.3</v>
      </c>
      <c r="AI770" s="1">
        <v>62.8</v>
      </c>
      <c r="AJ770" s="1" t="s">
        <v>3202</v>
      </c>
      <c r="AK770" s="1" t="s">
        <v>3203</v>
      </c>
      <c r="AL770" s="1" t="s">
        <v>3204</v>
      </c>
    </row>
    <row r="771" spans="1:38" x14ac:dyDescent="0.6">
      <c r="A771" s="1">
        <v>533</v>
      </c>
      <c r="B771" s="1" t="s">
        <v>88</v>
      </c>
      <c r="C771" s="1">
        <v>70</v>
      </c>
      <c r="D771" s="1" t="s">
        <v>119</v>
      </c>
      <c r="E771" s="1" t="s">
        <v>90</v>
      </c>
      <c r="F771" s="1"/>
      <c r="G771" s="1"/>
      <c r="H771" s="1" t="s">
        <v>91</v>
      </c>
      <c r="I771" s="1" t="s">
        <v>92</v>
      </c>
      <c r="J771" s="1" t="s">
        <v>93</v>
      </c>
      <c r="K771" s="1">
        <v>1</v>
      </c>
      <c r="L771" s="1">
        <v>120</v>
      </c>
      <c r="M771" s="1" t="s">
        <v>7</v>
      </c>
      <c r="N771" s="1" t="s">
        <v>7</v>
      </c>
      <c r="O771" s="1" t="s">
        <v>96</v>
      </c>
      <c r="P771" s="1" t="s">
        <v>96</v>
      </c>
      <c r="Q771" s="1" t="s">
        <v>9</v>
      </c>
      <c r="R771" s="1">
        <v>0</v>
      </c>
      <c r="S771" s="1" t="s">
        <v>97</v>
      </c>
      <c r="T771" s="1" t="s">
        <v>97</v>
      </c>
      <c r="U771" s="1" t="b">
        <v>1</v>
      </c>
      <c r="V771" s="1" t="b">
        <v>0</v>
      </c>
      <c r="W771" s="1" t="b">
        <v>0</v>
      </c>
      <c r="X771" s="1">
        <v>5</v>
      </c>
      <c r="Y771" s="1" t="b">
        <v>1</v>
      </c>
      <c r="Z771" s="1" t="b">
        <v>1</v>
      </c>
      <c r="AA771" s="1">
        <v>79.7</v>
      </c>
      <c r="AB771" s="1" t="b">
        <v>0</v>
      </c>
      <c r="AC771" s="1">
        <v>0</v>
      </c>
      <c r="AD771" s="1">
        <v>2608242</v>
      </c>
      <c r="AE771" s="1">
        <v>152843150</v>
      </c>
      <c r="AF771" s="1" t="s">
        <v>3205</v>
      </c>
      <c r="AG771" s="1" t="s">
        <v>3205</v>
      </c>
      <c r="AH771" s="1">
        <v>85.3</v>
      </c>
      <c r="AI771" s="1">
        <v>77.2</v>
      </c>
      <c r="AJ771" s="1" t="s">
        <v>3206</v>
      </c>
      <c r="AK771" s="1" t="s">
        <v>3207</v>
      </c>
      <c r="AL771" s="1" t="s">
        <v>3208</v>
      </c>
    </row>
    <row r="772" spans="1:38" x14ac:dyDescent="0.6">
      <c r="A772" s="1">
        <v>538</v>
      </c>
      <c r="B772" s="1" t="s">
        <v>103</v>
      </c>
      <c r="C772" s="1">
        <v>60</v>
      </c>
      <c r="D772" s="1" t="s">
        <v>127</v>
      </c>
      <c r="E772" s="1" t="s">
        <v>90</v>
      </c>
      <c r="F772" s="1"/>
      <c r="G772" s="1"/>
      <c r="H772" s="1" t="s">
        <v>91</v>
      </c>
      <c r="I772" s="1" t="s">
        <v>92</v>
      </c>
      <c r="J772" s="1" t="s">
        <v>93</v>
      </c>
      <c r="K772" s="1">
        <v>1</v>
      </c>
      <c r="L772" s="1">
        <v>120</v>
      </c>
      <c r="M772" s="1" t="s">
        <v>7</v>
      </c>
      <c r="N772" s="1" t="s">
        <v>7</v>
      </c>
      <c r="O772" s="1" t="s">
        <v>96</v>
      </c>
      <c r="P772" s="1" t="s">
        <v>96</v>
      </c>
      <c r="Q772" s="1" t="s">
        <v>9</v>
      </c>
      <c r="R772" s="1">
        <v>0</v>
      </c>
      <c r="S772" s="1" t="s">
        <v>97</v>
      </c>
      <c r="T772" s="1" t="s">
        <v>97</v>
      </c>
      <c r="U772" s="1" t="b">
        <v>1</v>
      </c>
      <c r="V772" s="1" t="b">
        <v>0</v>
      </c>
      <c r="W772" s="1" t="b">
        <v>0</v>
      </c>
      <c r="X772" s="1">
        <v>5</v>
      </c>
      <c r="Y772" s="1" t="b">
        <v>1</v>
      </c>
      <c r="Z772" s="1" t="b">
        <v>1</v>
      </c>
      <c r="AA772" s="1">
        <v>53.4</v>
      </c>
      <c r="AB772" s="1" t="b">
        <v>0</v>
      </c>
      <c r="AC772" s="1">
        <v>0</v>
      </c>
      <c r="AD772" s="1">
        <v>2108793</v>
      </c>
      <c r="AE772" s="1">
        <v>149148295</v>
      </c>
      <c r="AF772" s="1" t="s">
        <v>3209</v>
      </c>
      <c r="AG772" s="1" t="s">
        <v>3209</v>
      </c>
      <c r="AH772" s="1">
        <v>53.7</v>
      </c>
      <c r="AI772" s="1">
        <v>51.6</v>
      </c>
      <c r="AJ772" s="1" t="s">
        <v>3210</v>
      </c>
      <c r="AK772" s="1" t="s">
        <v>3211</v>
      </c>
      <c r="AL772" s="1" t="s">
        <v>3212</v>
      </c>
    </row>
    <row r="773" spans="1:38" x14ac:dyDescent="0.6">
      <c r="A773" s="1">
        <v>548</v>
      </c>
      <c r="B773" s="1" t="s">
        <v>88</v>
      </c>
      <c r="C773" s="1">
        <v>50</v>
      </c>
      <c r="D773" s="1" t="s">
        <v>89</v>
      </c>
      <c r="E773" s="1" t="s">
        <v>108</v>
      </c>
      <c r="F773" s="1"/>
      <c r="G773" s="1"/>
      <c r="H773" s="1" t="s">
        <v>91</v>
      </c>
      <c r="I773" s="1" t="s">
        <v>92</v>
      </c>
      <c r="J773" s="1" t="s">
        <v>93</v>
      </c>
      <c r="K773" s="1">
        <v>1</v>
      </c>
      <c r="L773" s="1">
        <v>120</v>
      </c>
      <c r="M773" s="1" t="s">
        <v>94</v>
      </c>
      <c r="N773" s="1" t="s">
        <v>95</v>
      </c>
      <c r="O773" s="1"/>
      <c r="P773" s="1" t="s">
        <v>96</v>
      </c>
      <c r="Q773" s="1" t="s">
        <v>9</v>
      </c>
      <c r="R773" s="1">
        <v>0</v>
      </c>
      <c r="S773" s="1" t="s">
        <v>97</v>
      </c>
      <c r="T773" s="1" t="s">
        <v>97</v>
      </c>
      <c r="U773" s="1" t="b">
        <v>1</v>
      </c>
      <c r="V773" s="1" t="b">
        <v>0</v>
      </c>
      <c r="W773" s="1" t="b">
        <v>0</v>
      </c>
      <c r="X773" s="1">
        <v>0</v>
      </c>
      <c r="Y773" s="1" t="b">
        <v>1</v>
      </c>
      <c r="Z773" s="1" t="b">
        <v>1</v>
      </c>
      <c r="AA773" s="1">
        <v>71.400000000000006</v>
      </c>
      <c r="AB773" s="1" t="b">
        <v>1</v>
      </c>
      <c r="AC773" s="1">
        <v>175307362</v>
      </c>
      <c r="AD773" s="1">
        <v>1377694</v>
      </c>
      <c r="AE773" s="1">
        <v>0</v>
      </c>
      <c r="AF773" s="1" t="s">
        <v>3213</v>
      </c>
      <c r="AG773" s="1" t="s">
        <v>3214</v>
      </c>
      <c r="AH773" s="1">
        <v>60.1</v>
      </c>
      <c r="AI773" s="1">
        <v>66</v>
      </c>
      <c r="AJ773" s="1" t="s">
        <v>3215</v>
      </c>
      <c r="AK773" s="1" t="s">
        <v>3216</v>
      </c>
      <c r="AL773" s="1" t="s">
        <v>3217</v>
      </c>
    </row>
    <row r="774" spans="1:38" x14ac:dyDescent="0.6">
      <c r="A774" s="1">
        <v>551</v>
      </c>
      <c r="B774" s="1" t="s">
        <v>103</v>
      </c>
      <c r="C774" s="1">
        <v>60</v>
      </c>
      <c r="D774" s="1" t="s">
        <v>127</v>
      </c>
      <c r="E774" s="1" t="s">
        <v>90</v>
      </c>
      <c r="F774" s="1"/>
      <c r="G774" s="1"/>
      <c r="H774" s="1" t="s">
        <v>91</v>
      </c>
      <c r="I774" s="1" t="s">
        <v>92</v>
      </c>
      <c r="J774" s="1" t="s">
        <v>93</v>
      </c>
      <c r="K774" s="1">
        <v>1</v>
      </c>
      <c r="L774" s="1">
        <v>120</v>
      </c>
      <c r="M774" s="1" t="s">
        <v>7</v>
      </c>
      <c r="N774" s="1" t="s">
        <v>7</v>
      </c>
      <c r="O774" s="1" t="s">
        <v>96</v>
      </c>
      <c r="P774" s="1" t="s">
        <v>96</v>
      </c>
      <c r="Q774" s="1" t="s">
        <v>9</v>
      </c>
      <c r="R774" s="1">
        <v>0</v>
      </c>
      <c r="S774" s="1" t="s">
        <v>97</v>
      </c>
      <c r="T774" s="1" t="s">
        <v>97</v>
      </c>
      <c r="U774" s="1" t="b">
        <v>1</v>
      </c>
      <c r="V774" s="1" t="b">
        <v>0</v>
      </c>
      <c r="W774" s="1" t="b">
        <v>0</v>
      </c>
      <c r="X774" s="1">
        <v>5</v>
      </c>
      <c r="Y774" s="1" t="b">
        <v>1</v>
      </c>
      <c r="Z774" s="1" t="b">
        <v>1</v>
      </c>
      <c r="AA774" s="1">
        <v>63.7</v>
      </c>
      <c r="AB774" s="1" t="b">
        <v>0</v>
      </c>
      <c r="AC774" s="1">
        <v>0</v>
      </c>
      <c r="AD774" s="1">
        <v>3022234</v>
      </c>
      <c r="AE774" s="1">
        <v>134079078</v>
      </c>
      <c r="AF774" s="1" t="s">
        <v>3218</v>
      </c>
      <c r="AG774" s="1" t="s">
        <v>3218</v>
      </c>
      <c r="AH774" s="1">
        <v>60.5</v>
      </c>
      <c r="AI774" s="1">
        <v>59.3</v>
      </c>
      <c r="AJ774" s="1" t="s">
        <v>3219</v>
      </c>
      <c r="AK774" s="1" t="s">
        <v>3220</v>
      </c>
      <c r="AL774" s="1" t="s">
        <v>3221</v>
      </c>
    </row>
    <row r="775" spans="1:38" x14ac:dyDescent="0.6">
      <c r="A775" s="1">
        <v>548</v>
      </c>
      <c r="B775" s="1" t="s">
        <v>88</v>
      </c>
      <c r="C775" s="1">
        <v>50</v>
      </c>
      <c r="D775" s="1" t="s">
        <v>89</v>
      </c>
      <c r="E775" s="1" t="s">
        <v>108</v>
      </c>
      <c r="F775" s="1"/>
      <c r="G775" s="1"/>
      <c r="H775" s="1" t="s">
        <v>91</v>
      </c>
      <c r="I775" s="1" t="s">
        <v>92</v>
      </c>
      <c r="J775" s="1" t="s">
        <v>93</v>
      </c>
      <c r="K775" s="1">
        <v>1</v>
      </c>
      <c r="L775" s="1">
        <v>120</v>
      </c>
      <c r="M775" s="1" t="s">
        <v>14</v>
      </c>
      <c r="N775" s="1" t="s">
        <v>95</v>
      </c>
      <c r="O775" s="1" t="s">
        <v>96</v>
      </c>
      <c r="P775" s="1"/>
      <c r="Q775" s="1" t="s">
        <v>9</v>
      </c>
      <c r="R775" s="1">
        <v>0</v>
      </c>
      <c r="S775" s="1" t="s">
        <v>97</v>
      </c>
      <c r="T775" s="1" t="s">
        <v>97</v>
      </c>
      <c r="U775" s="1" t="b">
        <v>1</v>
      </c>
      <c r="V775" s="1" t="b">
        <v>0</v>
      </c>
      <c r="W775" s="1" t="b">
        <v>0</v>
      </c>
      <c r="X775" s="1">
        <v>5</v>
      </c>
      <c r="Y775" s="1" t="b">
        <v>1</v>
      </c>
      <c r="Z775" s="1" t="b">
        <v>1</v>
      </c>
      <c r="AA775" s="1"/>
      <c r="AB775" s="1" t="b">
        <v>1</v>
      </c>
      <c r="AC775" s="1">
        <v>176164397</v>
      </c>
      <c r="AD775" s="1">
        <v>520659</v>
      </c>
      <c r="AE775" s="1">
        <v>0</v>
      </c>
      <c r="AF775" s="1" t="s">
        <v>3213</v>
      </c>
      <c r="AG775" s="1" t="s">
        <v>3214</v>
      </c>
      <c r="AH775" s="1">
        <v>60.1</v>
      </c>
      <c r="AI775" s="1">
        <v>66</v>
      </c>
      <c r="AJ775" s="1" t="s">
        <v>3222</v>
      </c>
      <c r="AK775" s="1" t="s">
        <v>3223</v>
      </c>
      <c r="AL775" s="1" t="s">
        <v>3224</v>
      </c>
    </row>
    <row r="776" spans="1:38" x14ac:dyDescent="0.6">
      <c r="A776" s="1">
        <v>550</v>
      </c>
      <c r="B776" s="1" t="s">
        <v>88</v>
      </c>
      <c r="C776" s="1">
        <v>89</v>
      </c>
      <c r="D776" s="1" t="s">
        <v>153</v>
      </c>
      <c r="E776" s="1" t="s">
        <v>154</v>
      </c>
      <c r="F776" s="1"/>
      <c r="G776" s="1"/>
      <c r="H776" s="1" t="s">
        <v>91</v>
      </c>
      <c r="I776" s="1" t="s">
        <v>92</v>
      </c>
      <c r="J776" s="1" t="s">
        <v>93</v>
      </c>
      <c r="K776" s="1">
        <v>1</v>
      </c>
      <c r="L776" s="1">
        <v>120</v>
      </c>
      <c r="M776" s="1" t="s">
        <v>7</v>
      </c>
      <c r="N776" s="1" t="s">
        <v>7</v>
      </c>
      <c r="O776" s="1" t="s">
        <v>96</v>
      </c>
      <c r="P776" s="1" t="s">
        <v>96</v>
      </c>
      <c r="Q776" s="1" t="s">
        <v>9</v>
      </c>
      <c r="R776" s="1">
        <v>0</v>
      </c>
      <c r="S776" s="1" t="s">
        <v>97</v>
      </c>
      <c r="T776" s="1" t="s">
        <v>97</v>
      </c>
      <c r="U776" s="1" t="b">
        <v>1</v>
      </c>
      <c r="V776" s="1" t="b">
        <v>0</v>
      </c>
      <c r="W776" s="1" t="b">
        <v>0</v>
      </c>
      <c r="X776" s="1">
        <v>5</v>
      </c>
      <c r="Y776" s="1" t="b">
        <v>1</v>
      </c>
      <c r="Z776" s="1" t="b">
        <v>1</v>
      </c>
      <c r="AA776" s="1">
        <v>48</v>
      </c>
      <c r="AB776" s="1" t="b">
        <v>0</v>
      </c>
      <c r="AC776" s="1">
        <v>0</v>
      </c>
      <c r="AD776" s="1">
        <v>2608277</v>
      </c>
      <c r="AE776" s="1">
        <v>146551659</v>
      </c>
      <c r="AF776" s="1" t="s">
        <v>3225</v>
      </c>
      <c r="AG776" s="1" t="s">
        <v>3225</v>
      </c>
      <c r="AH776" s="1">
        <v>50.9</v>
      </c>
      <c r="AI776" s="1">
        <v>47.2</v>
      </c>
      <c r="AJ776" s="1" t="s">
        <v>3226</v>
      </c>
      <c r="AK776" s="1" t="s">
        <v>3227</v>
      </c>
      <c r="AL776" s="1" t="s">
        <v>3228</v>
      </c>
    </row>
    <row r="777" spans="1:38" x14ac:dyDescent="0.6">
      <c r="A777" s="1">
        <v>549</v>
      </c>
      <c r="B777" s="1" t="s">
        <v>88</v>
      </c>
      <c r="C777" s="1">
        <v>50</v>
      </c>
      <c r="D777" s="1" t="s">
        <v>89</v>
      </c>
      <c r="E777" s="1" t="s">
        <v>90</v>
      </c>
      <c r="F777" s="1"/>
      <c r="G777" s="1"/>
      <c r="H777" s="1" t="s">
        <v>91</v>
      </c>
      <c r="I777" s="1" t="s">
        <v>92</v>
      </c>
      <c r="J777" s="1" t="s">
        <v>93</v>
      </c>
      <c r="K777" s="1">
        <v>1</v>
      </c>
      <c r="L777" s="1">
        <v>120</v>
      </c>
      <c r="M777" s="1" t="s">
        <v>7</v>
      </c>
      <c r="N777" s="1" t="s">
        <v>7</v>
      </c>
      <c r="O777" s="1" t="s">
        <v>96</v>
      </c>
      <c r="P777" s="1" t="s">
        <v>96</v>
      </c>
      <c r="Q777" s="1" t="s">
        <v>9</v>
      </c>
      <c r="R777" s="1">
        <v>0</v>
      </c>
      <c r="S777" s="1" t="s">
        <v>97</v>
      </c>
      <c r="T777" s="1" t="s">
        <v>97</v>
      </c>
      <c r="U777" s="1" t="b">
        <v>1</v>
      </c>
      <c r="V777" s="1" t="b">
        <v>0</v>
      </c>
      <c r="W777" s="1" t="b">
        <v>0</v>
      </c>
      <c r="X777" s="1">
        <v>5</v>
      </c>
      <c r="Y777" s="1" t="b">
        <v>1</v>
      </c>
      <c r="Z777" s="1" t="b">
        <v>1</v>
      </c>
      <c r="AA777" s="1">
        <v>72.8</v>
      </c>
      <c r="AB777" s="1" t="b">
        <v>0</v>
      </c>
      <c r="AC777" s="1">
        <v>0</v>
      </c>
      <c r="AD777" s="1">
        <v>1759177</v>
      </c>
      <c r="AE777" s="1">
        <v>157100087</v>
      </c>
      <c r="AF777" s="1" t="s">
        <v>3229</v>
      </c>
      <c r="AG777" s="1" t="s">
        <v>3229</v>
      </c>
      <c r="AH777" s="1">
        <v>65.3</v>
      </c>
      <c r="AI777" s="1">
        <v>68</v>
      </c>
      <c r="AJ777" s="1" t="s">
        <v>3230</v>
      </c>
      <c r="AK777" s="1" t="s">
        <v>3231</v>
      </c>
      <c r="AL777" s="1" t="s">
        <v>3232</v>
      </c>
    </row>
    <row r="778" spans="1:38" x14ac:dyDescent="0.6">
      <c r="A778" s="1">
        <v>544</v>
      </c>
      <c r="B778" s="1" t="s">
        <v>88</v>
      </c>
      <c r="C778" s="1">
        <v>60</v>
      </c>
      <c r="D778" s="1" t="s">
        <v>127</v>
      </c>
      <c r="E778" s="1" t="s">
        <v>90</v>
      </c>
      <c r="F778" s="1"/>
      <c r="G778" s="1"/>
      <c r="H778" s="1" t="s">
        <v>220</v>
      </c>
      <c r="I778" s="1" t="s">
        <v>221</v>
      </c>
      <c r="J778" s="1" t="s">
        <v>222</v>
      </c>
      <c r="K778" s="1">
        <v>1.25</v>
      </c>
      <c r="L778" s="1">
        <v>120</v>
      </c>
      <c r="M778" s="1" t="s">
        <v>94</v>
      </c>
      <c r="N778" s="1" t="s">
        <v>95</v>
      </c>
      <c r="O778" s="1"/>
      <c r="P778" s="1" t="s">
        <v>96</v>
      </c>
      <c r="Q778" s="1" t="s">
        <v>9</v>
      </c>
      <c r="R778" s="1">
        <v>0</v>
      </c>
      <c r="S778" s="1" t="s">
        <v>97</v>
      </c>
      <c r="T778" s="1" t="s">
        <v>97</v>
      </c>
      <c r="U778" s="1" t="b">
        <v>1</v>
      </c>
      <c r="V778" s="1" t="b">
        <v>0</v>
      </c>
      <c r="W778" s="1" t="b">
        <v>0</v>
      </c>
      <c r="X778" s="1">
        <v>0</v>
      </c>
      <c r="Y778" s="1" t="b">
        <v>1</v>
      </c>
      <c r="Z778" s="1" t="b">
        <v>1</v>
      </c>
      <c r="AA778" s="1">
        <v>79.099999999999994</v>
      </c>
      <c r="AB778" s="1" t="b">
        <v>1</v>
      </c>
      <c r="AC778" s="1">
        <v>152507425</v>
      </c>
      <c r="AD778" s="1">
        <v>1371103</v>
      </c>
      <c r="AE778" s="1">
        <v>0</v>
      </c>
      <c r="AF778" s="1" t="s">
        <v>3233</v>
      </c>
      <c r="AG778" s="1" t="s">
        <v>3234</v>
      </c>
      <c r="AH778" s="1">
        <v>82</v>
      </c>
      <c r="AI778" s="1">
        <v>74.900000000000006</v>
      </c>
      <c r="AJ778" s="1" t="s">
        <v>3235</v>
      </c>
      <c r="AK778" s="1" t="s">
        <v>3236</v>
      </c>
      <c r="AL778" s="1" t="s">
        <v>3237</v>
      </c>
    </row>
    <row r="779" spans="1:38" x14ac:dyDescent="0.6">
      <c r="A779" s="1">
        <v>555</v>
      </c>
      <c r="B779" s="1" t="s">
        <v>103</v>
      </c>
      <c r="C779" s="1">
        <v>60</v>
      </c>
      <c r="D779" s="1" t="s">
        <v>127</v>
      </c>
      <c r="E779" s="1" t="s">
        <v>90</v>
      </c>
      <c r="F779" s="1"/>
      <c r="G779" s="1"/>
      <c r="H779" s="1" t="s">
        <v>91</v>
      </c>
      <c r="I779" s="1" t="s">
        <v>92</v>
      </c>
      <c r="J779" s="1" t="s">
        <v>93</v>
      </c>
      <c r="K779" s="1">
        <v>1</v>
      </c>
      <c r="L779" s="1">
        <v>120</v>
      </c>
      <c r="M779" s="1" t="s">
        <v>14</v>
      </c>
      <c r="N779" s="1" t="s">
        <v>95</v>
      </c>
      <c r="O779" s="1" t="s">
        <v>96</v>
      </c>
      <c r="P779" s="1"/>
      <c r="Q779" s="1" t="s">
        <v>110</v>
      </c>
      <c r="R779" s="1">
        <v>3</v>
      </c>
      <c r="S779" s="1" t="s">
        <v>97</v>
      </c>
      <c r="T779" s="1" t="s">
        <v>110</v>
      </c>
      <c r="U779" s="1" t="b">
        <v>0</v>
      </c>
      <c r="V779" s="1" t="b">
        <v>1</v>
      </c>
      <c r="W779" s="1" t="b">
        <v>0</v>
      </c>
      <c r="X779" s="1">
        <v>4</v>
      </c>
      <c r="Y779" s="1" t="b">
        <v>1</v>
      </c>
      <c r="Z779" s="1" t="b">
        <v>1</v>
      </c>
      <c r="AA779" s="1"/>
      <c r="AB779" s="1" t="b">
        <v>1</v>
      </c>
      <c r="AC779" s="1">
        <v>122932548</v>
      </c>
      <c r="AD779" s="1">
        <v>537276</v>
      </c>
      <c r="AE779" s="1">
        <v>0</v>
      </c>
      <c r="AF779" s="1" t="s">
        <v>3238</v>
      </c>
      <c r="AG779" s="1" t="s">
        <v>3239</v>
      </c>
      <c r="AH779" s="1">
        <v>61.2</v>
      </c>
      <c r="AI779" s="1">
        <v>58.7</v>
      </c>
      <c r="AJ779" s="1" t="s">
        <v>3240</v>
      </c>
      <c r="AK779" s="1" t="s">
        <v>3241</v>
      </c>
      <c r="AL779" s="1" t="s">
        <v>3242</v>
      </c>
    </row>
    <row r="780" spans="1:38" x14ac:dyDescent="0.6">
      <c r="A780" s="1">
        <v>545</v>
      </c>
      <c r="B780" s="1" t="s">
        <v>88</v>
      </c>
      <c r="C780" s="1">
        <v>50</v>
      </c>
      <c r="D780" s="1" t="s">
        <v>89</v>
      </c>
      <c r="E780" s="1" t="s">
        <v>108</v>
      </c>
      <c r="F780" s="1"/>
      <c r="G780" s="1"/>
      <c r="H780" s="1" t="s">
        <v>220</v>
      </c>
      <c r="I780" s="1" t="s">
        <v>221</v>
      </c>
      <c r="J780" s="1" t="s">
        <v>222</v>
      </c>
      <c r="K780" s="1">
        <v>1.25</v>
      </c>
      <c r="L780" s="1">
        <v>120</v>
      </c>
      <c r="M780" s="1" t="s">
        <v>94</v>
      </c>
      <c r="N780" s="1" t="s">
        <v>95</v>
      </c>
      <c r="O780" s="1"/>
      <c r="P780" s="1" t="s">
        <v>96</v>
      </c>
      <c r="Q780" s="1" t="s">
        <v>9</v>
      </c>
      <c r="R780" s="1">
        <v>0</v>
      </c>
      <c r="S780" s="1" t="s">
        <v>97</v>
      </c>
      <c r="T780" s="1" t="s">
        <v>97</v>
      </c>
      <c r="U780" s="1" t="b">
        <v>1</v>
      </c>
      <c r="V780" s="1" t="b">
        <v>0</v>
      </c>
      <c r="W780" s="1" t="b">
        <v>0</v>
      </c>
      <c r="X780" s="1">
        <v>0</v>
      </c>
      <c r="Y780" s="1" t="b">
        <v>1</v>
      </c>
      <c r="Z780" s="1" t="b">
        <v>1</v>
      </c>
      <c r="AA780" s="1">
        <v>59.9</v>
      </c>
      <c r="AB780" s="1" t="b">
        <v>1</v>
      </c>
      <c r="AC780" s="1">
        <v>147200836</v>
      </c>
      <c r="AD780" s="1">
        <v>2745532</v>
      </c>
      <c r="AE780" s="1">
        <v>0</v>
      </c>
      <c r="AF780" s="1" t="s">
        <v>3156</v>
      </c>
      <c r="AG780" s="1" t="s">
        <v>3157</v>
      </c>
      <c r="AH780" s="1">
        <v>61.4</v>
      </c>
      <c r="AI780" s="1">
        <v>57.4</v>
      </c>
      <c r="AJ780" s="1" t="s">
        <v>3243</v>
      </c>
      <c r="AK780" s="1" t="s">
        <v>3244</v>
      </c>
      <c r="AL780" s="1" t="s">
        <v>3245</v>
      </c>
    </row>
    <row r="781" spans="1:38" x14ac:dyDescent="0.6">
      <c r="A781" s="1">
        <v>544</v>
      </c>
      <c r="B781" s="1" t="s">
        <v>88</v>
      </c>
      <c r="C781" s="1">
        <v>60</v>
      </c>
      <c r="D781" s="1" t="s">
        <v>127</v>
      </c>
      <c r="E781" s="1" t="s">
        <v>90</v>
      </c>
      <c r="F781" s="1"/>
      <c r="G781" s="1"/>
      <c r="H781" s="1" t="s">
        <v>220</v>
      </c>
      <c r="I781" s="1" t="s">
        <v>221</v>
      </c>
      <c r="J781" s="1" t="s">
        <v>222</v>
      </c>
      <c r="K781" s="1">
        <v>1.25</v>
      </c>
      <c r="L781" s="1">
        <v>120</v>
      </c>
      <c r="M781" s="1" t="s">
        <v>14</v>
      </c>
      <c r="N781" s="1" t="s">
        <v>95</v>
      </c>
      <c r="O781" s="1" t="s">
        <v>96</v>
      </c>
      <c r="P781" s="1"/>
      <c r="Q781" s="1" t="s">
        <v>9</v>
      </c>
      <c r="R781" s="1">
        <v>0</v>
      </c>
      <c r="S781" s="1" t="s">
        <v>97</v>
      </c>
      <c r="T781" s="1" t="s">
        <v>97</v>
      </c>
      <c r="U781" s="1" t="b">
        <v>1</v>
      </c>
      <c r="V781" s="1" t="b">
        <v>0</v>
      </c>
      <c r="W781" s="1" t="b">
        <v>0</v>
      </c>
      <c r="X781" s="1">
        <v>5</v>
      </c>
      <c r="Y781" s="1" t="b">
        <v>1</v>
      </c>
      <c r="Z781" s="1" t="b">
        <v>1</v>
      </c>
      <c r="AA781" s="1"/>
      <c r="AB781" s="1" t="b">
        <v>1</v>
      </c>
      <c r="AC781" s="1">
        <v>147651381</v>
      </c>
      <c r="AD781" s="1">
        <v>459979</v>
      </c>
      <c r="AE781" s="1">
        <v>0</v>
      </c>
      <c r="AF781" s="1" t="s">
        <v>3233</v>
      </c>
      <c r="AG781" s="1" t="s">
        <v>3234</v>
      </c>
      <c r="AH781" s="1">
        <v>82</v>
      </c>
      <c r="AI781" s="1">
        <v>74.900000000000006</v>
      </c>
      <c r="AJ781" s="1" t="s">
        <v>3246</v>
      </c>
      <c r="AK781" s="1" t="s">
        <v>3247</v>
      </c>
      <c r="AL781" s="1" t="s">
        <v>3248</v>
      </c>
    </row>
    <row r="782" spans="1:38" x14ac:dyDescent="0.6">
      <c r="A782" s="1">
        <v>543</v>
      </c>
      <c r="B782" s="1" t="s">
        <v>103</v>
      </c>
      <c r="C782" s="1">
        <v>50</v>
      </c>
      <c r="D782" s="1" t="s">
        <v>89</v>
      </c>
      <c r="E782" s="1" t="s">
        <v>90</v>
      </c>
      <c r="F782" s="1"/>
      <c r="G782" s="1"/>
      <c r="H782" s="1" t="s">
        <v>220</v>
      </c>
      <c r="I782" s="1" t="s">
        <v>221</v>
      </c>
      <c r="J782" s="1" t="s">
        <v>222</v>
      </c>
      <c r="K782" s="1">
        <v>1.25</v>
      </c>
      <c r="L782" s="1">
        <v>120</v>
      </c>
      <c r="M782" s="1" t="s">
        <v>14</v>
      </c>
      <c r="N782" s="1" t="s">
        <v>95</v>
      </c>
      <c r="O782" s="1" t="s">
        <v>96</v>
      </c>
      <c r="P782" s="1"/>
      <c r="Q782" s="1" t="s">
        <v>9</v>
      </c>
      <c r="R782" s="1">
        <v>0</v>
      </c>
      <c r="S782" s="1" t="s">
        <v>97</v>
      </c>
      <c r="T782" s="1" t="s">
        <v>97</v>
      </c>
      <c r="U782" s="1" t="b">
        <v>1</v>
      </c>
      <c r="V782" s="1" t="b">
        <v>0</v>
      </c>
      <c r="W782" s="1" t="b">
        <v>0</v>
      </c>
      <c r="X782" s="1">
        <v>5</v>
      </c>
      <c r="Y782" s="1" t="b">
        <v>1</v>
      </c>
      <c r="Z782" s="1" t="b">
        <v>1</v>
      </c>
      <c r="AA782" s="1"/>
      <c r="AB782" s="1" t="b">
        <v>1</v>
      </c>
      <c r="AC782" s="1">
        <v>152879457</v>
      </c>
      <c r="AD782" s="1">
        <v>474783</v>
      </c>
      <c r="AE782" s="1">
        <v>0</v>
      </c>
      <c r="AF782" s="1" t="s">
        <v>3172</v>
      </c>
      <c r="AG782" s="1" t="s">
        <v>3173</v>
      </c>
      <c r="AH782" s="1">
        <v>68.7</v>
      </c>
      <c r="AI782" s="1">
        <v>74.599999999999994</v>
      </c>
      <c r="AJ782" s="1" t="s">
        <v>3249</v>
      </c>
      <c r="AK782" s="1" t="s">
        <v>3250</v>
      </c>
      <c r="AL782" s="1" t="s">
        <v>3251</v>
      </c>
    </row>
    <row r="783" spans="1:38" x14ac:dyDescent="0.6">
      <c r="A783" s="1">
        <v>552</v>
      </c>
      <c r="B783" s="1" t="s">
        <v>88</v>
      </c>
      <c r="C783" s="1">
        <v>70</v>
      </c>
      <c r="D783" s="1" t="s">
        <v>119</v>
      </c>
      <c r="E783" s="1" t="s">
        <v>90</v>
      </c>
      <c r="F783" s="1"/>
      <c r="G783" s="1"/>
      <c r="H783" s="1" t="s">
        <v>91</v>
      </c>
      <c r="I783" s="1" t="s">
        <v>92</v>
      </c>
      <c r="J783" s="1" t="s">
        <v>93</v>
      </c>
      <c r="K783" s="1">
        <v>1</v>
      </c>
      <c r="L783" s="1">
        <v>120</v>
      </c>
      <c r="M783" s="1" t="s">
        <v>94</v>
      </c>
      <c r="N783" s="1" t="s">
        <v>95</v>
      </c>
      <c r="O783" s="1"/>
      <c r="P783" s="1" t="s">
        <v>96</v>
      </c>
      <c r="Q783" s="1" t="s">
        <v>9</v>
      </c>
      <c r="R783" s="1">
        <v>0</v>
      </c>
      <c r="S783" s="1" t="s">
        <v>97</v>
      </c>
      <c r="T783" s="1" t="s">
        <v>97</v>
      </c>
      <c r="U783" s="1" t="b">
        <v>1</v>
      </c>
      <c r="V783" s="1" t="b">
        <v>0</v>
      </c>
      <c r="W783" s="1" t="b">
        <v>0</v>
      </c>
      <c r="X783" s="1">
        <v>0</v>
      </c>
      <c r="Y783" s="1" t="b">
        <v>1</v>
      </c>
      <c r="Z783" s="1" t="b">
        <v>1</v>
      </c>
      <c r="AA783" s="1">
        <v>66.400000000000006</v>
      </c>
      <c r="AB783" s="1" t="b">
        <v>1</v>
      </c>
      <c r="AC783" s="1">
        <v>140213871</v>
      </c>
      <c r="AD783" s="1">
        <v>2654609</v>
      </c>
      <c r="AE783" s="1">
        <v>0</v>
      </c>
      <c r="AF783" s="1" t="s">
        <v>3252</v>
      </c>
      <c r="AG783" s="1" t="s">
        <v>3253</v>
      </c>
      <c r="AH783" s="1">
        <v>58.9</v>
      </c>
      <c r="AI783" s="1">
        <v>61.6</v>
      </c>
      <c r="AJ783" s="1" t="s">
        <v>3254</v>
      </c>
      <c r="AK783" s="1" t="s">
        <v>3255</v>
      </c>
      <c r="AL783" s="1" t="s">
        <v>3256</v>
      </c>
    </row>
    <row r="784" spans="1:38" x14ac:dyDescent="0.6">
      <c r="A784" s="1">
        <v>552</v>
      </c>
      <c r="B784" s="1" t="s">
        <v>88</v>
      </c>
      <c r="C784" s="1">
        <v>70</v>
      </c>
      <c r="D784" s="1" t="s">
        <v>119</v>
      </c>
      <c r="E784" s="1" t="s">
        <v>90</v>
      </c>
      <c r="F784" s="1"/>
      <c r="G784" s="1"/>
      <c r="H784" s="1" t="s">
        <v>91</v>
      </c>
      <c r="I784" s="1" t="s">
        <v>92</v>
      </c>
      <c r="J784" s="1" t="s">
        <v>93</v>
      </c>
      <c r="K784" s="1">
        <v>1</v>
      </c>
      <c r="L784" s="1">
        <v>120</v>
      </c>
      <c r="M784" s="1" t="s">
        <v>14</v>
      </c>
      <c r="N784" s="1" t="s">
        <v>95</v>
      </c>
      <c r="O784" s="1" t="s">
        <v>96</v>
      </c>
      <c r="P784" s="1"/>
      <c r="Q784" s="1" t="s">
        <v>9</v>
      </c>
      <c r="R784" s="1">
        <v>0</v>
      </c>
      <c r="S784" s="1" t="s">
        <v>97</v>
      </c>
      <c r="T784" s="1" t="s">
        <v>97</v>
      </c>
      <c r="U784" s="1" t="b">
        <v>1</v>
      </c>
      <c r="V784" s="1" t="b">
        <v>0</v>
      </c>
      <c r="W784" s="1" t="b">
        <v>0</v>
      </c>
      <c r="X784" s="1">
        <v>5</v>
      </c>
      <c r="Y784" s="1" t="b">
        <v>1</v>
      </c>
      <c r="Z784" s="1" t="b">
        <v>1</v>
      </c>
      <c r="AA784" s="1"/>
      <c r="AB784" s="1" t="b">
        <v>1</v>
      </c>
      <c r="AC784" s="1">
        <v>149475865</v>
      </c>
      <c r="AD784" s="1">
        <v>994791</v>
      </c>
      <c r="AE784" s="1">
        <v>0</v>
      </c>
      <c r="AF784" s="1" t="s">
        <v>3252</v>
      </c>
      <c r="AG784" s="1" t="s">
        <v>3253</v>
      </c>
      <c r="AH784" s="1">
        <v>58.9</v>
      </c>
      <c r="AI784" s="1">
        <v>61.6</v>
      </c>
      <c r="AJ784" s="1" t="s">
        <v>3257</v>
      </c>
      <c r="AK784" s="1" t="s">
        <v>3258</v>
      </c>
      <c r="AL784" s="1" t="s">
        <v>3259</v>
      </c>
    </row>
    <row r="785" spans="1:38" x14ac:dyDescent="0.6">
      <c r="A785" s="1">
        <v>547</v>
      </c>
      <c r="B785" s="1" t="s">
        <v>88</v>
      </c>
      <c r="C785" s="1">
        <v>70</v>
      </c>
      <c r="D785" s="1" t="s">
        <v>119</v>
      </c>
      <c r="E785" s="1" t="s">
        <v>90</v>
      </c>
      <c r="F785" s="1"/>
      <c r="G785" s="1"/>
      <c r="H785" s="1" t="s">
        <v>91</v>
      </c>
      <c r="I785" s="1" t="s">
        <v>92</v>
      </c>
      <c r="J785" s="1" t="s">
        <v>109</v>
      </c>
      <c r="K785" s="1">
        <v>1</v>
      </c>
      <c r="L785" s="1">
        <v>120</v>
      </c>
      <c r="M785" s="1" t="s">
        <v>94</v>
      </c>
      <c r="N785" s="1" t="s">
        <v>95</v>
      </c>
      <c r="O785" s="1"/>
      <c r="P785" s="1" t="s">
        <v>96</v>
      </c>
      <c r="Q785" s="1" t="s">
        <v>9</v>
      </c>
      <c r="R785" s="1">
        <v>0</v>
      </c>
      <c r="S785" s="1" t="s">
        <v>97</v>
      </c>
      <c r="T785" s="1" t="s">
        <v>97</v>
      </c>
      <c r="U785" s="1" t="b">
        <v>1</v>
      </c>
      <c r="V785" s="1" t="b">
        <v>0</v>
      </c>
      <c r="W785" s="1" t="b">
        <v>0</v>
      </c>
      <c r="X785" s="1">
        <v>0</v>
      </c>
      <c r="Y785" s="1" t="b">
        <v>1</v>
      </c>
      <c r="Z785" s="1" t="b">
        <v>1</v>
      </c>
      <c r="AA785" s="1">
        <v>65.599999999999994</v>
      </c>
      <c r="AB785" s="1" t="b">
        <v>1</v>
      </c>
      <c r="AC785" s="1">
        <v>126150025</v>
      </c>
      <c r="AD785" s="1">
        <v>2038391</v>
      </c>
      <c r="AE785" s="1">
        <v>0</v>
      </c>
      <c r="AF785" s="1" t="s">
        <v>3200</v>
      </c>
      <c r="AG785" s="1" t="s">
        <v>3201</v>
      </c>
      <c r="AH785" s="1">
        <v>65.3</v>
      </c>
      <c r="AI785" s="1">
        <v>62.8</v>
      </c>
      <c r="AJ785" s="1" t="s">
        <v>3260</v>
      </c>
      <c r="AK785" s="1" t="s">
        <v>3261</v>
      </c>
      <c r="AL785" s="1" t="s">
        <v>3262</v>
      </c>
    </row>
    <row r="786" spans="1:38" x14ac:dyDescent="0.6">
      <c r="A786" s="1">
        <v>555</v>
      </c>
      <c r="B786" s="1" t="s">
        <v>103</v>
      </c>
      <c r="C786" s="1">
        <v>60</v>
      </c>
      <c r="D786" s="1" t="s">
        <v>127</v>
      </c>
      <c r="E786" s="1" t="s">
        <v>90</v>
      </c>
      <c r="F786" s="1"/>
      <c r="G786" s="1"/>
      <c r="H786" s="1" t="s">
        <v>91</v>
      </c>
      <c r="I786" s="1" t="s">
        <v>92</v>
      </c>
      <c r="J786" s="1" t="s">
        <v>93</v>
      </c>
      <c r="K786" s="1">
        <v>1</v>
      </c>
      <c r="L786" s="1">
        <v>120</v>
      </c>
      <c r="M786" s="1" t="s">
        <v>94</v>
      </c>
      <c r="N786" s="1" t="s">
        <v>95</v>
      </c>
      <c r="O786" s="1"/>
      <c r="P786" s="1" t="s">
        <v>96</v>
      </c>
      <c r="Q786" s="1" t="s">
        <v>110</v>
      </c>
      <c r="R786" s="1">
        <v>3</v>
      </c>
      <c r="S786" s="1" t="s">
        <v>97</v>
      </c>
      <c r="T786" s="1" t="s">
        <v>110</v>
      </c>
      <c r="U786" s="1" t="b">
        <v>0</v>
      </c>
      <c r="V786" s="1" t="b">
        <v>1</v>
      </c>
      <c r="W786" s="1" t="b">
        <v>0</v>
      </c>
      <c r="X786" s="1">
        <v>0</v>
      </c>
      <c r="Y786" s="1" t="b">
        <v>1</v>
      </c>
      <c r="Z786" s="1" t="b">
        <v>1</v>
      </c>
      <c r="AA786" s="1">
        <v>65.400000000000006</v>
      </c>
      <c r="AB786" s="1" t="b">
        <v>1</v>
      </c>
      <c r="AC786" s="1">
        <v>126243452</v>
      </c>
      <c r="AD786" s="1">
        <v>1944964</v>
      </c>
      <c r="AE786" s="1">
        <v>0</v>
      </c>
      <c r="AF786" s="1" t="s">
        <v>3238</v>
      </c>
      <c r="AG786" s="1" t="s">
        <v>3239</v>
      </c>
      <c r="AH786" s="1">
        <v>61.2</v>
      </c>
      <c r="AI786" s="1">
        <v>58.7</v>
      </c>
      <c r="AJ786" s="1" t="s">
        <v>3263</v>
      </c>
      <c r="AK786" s="1" t="s">
        <v>3264</v>
      </c>
      <c r="AL786" s="1" t="s">
        <v>3265</v>
      </c>
    </row>
    <row r="787" spans="1:38" x14ac:dyDescent="0.6">
      <c r="A787" s="1">
        <v>556</v>
      </c>
      <c r="B787" s="1" t="s">
        <v>103</v>
      </c>
      <c r="C787" s="1">
        <v>60</v>
      </c>
      <c r="D787" s="1" t="s">
        <v>127</v>
      </c>
      <c r="E787" s="1" t="s">
        <v>90</v>
      </c>
      <c r="F787" s="1"/>
      <c r="G787" s="1"/>
      <c r="H787" s="1" t="s">
        <v>91</v>
      </c>
      <c r="I787" s="1" t="s">
        <v>92</v>
      </c>
      <c r="J787" s="1" t="s">
        <v>93</v>
      </c>
      <c r="K787" s="1">
        <v>1</v>
      </c>
      <c r="L787" s="1">
        <v>120</v>
      </c>
      <c r="M787" s="1" t="s">
        <v>14</v>
      </c>
      <c r="N787" s="1" t="s">
        <v>14</v>
      </c>
      <c r="O787" s="1" t="s">
        <v>96</v>
      </c>
      <c r="P787" s="1"/>
      <c r="Q787" s="1" t="s">
        <v>9</v>
      </c>
      <c r="R787" s="1">
        <v>0</v>
      </c>
      <c r="S787" s="1"/>
      <c r="T787" s="1" t="s">
        <v>97</v>
      </c>
      <c r="U787" s="1"/>
      <c r="V787" s="1" t="b">
        <v>0</v>
      </c>
      <c r="W787" s="1" t="b">
        <v>0</v>
      </c>
      <c r="X787" s="1">
        <v>5</v>
      </c>
      <c r="Y787" s="1" t="b">
        <v>1</v>
      </c>
      <c r="Z787" s="1" t="b">
        <v>1</v>
      </c>
      <c r="AA787" s="1"/>
      <c r="AB787" s="1" t="b">
        <v>1</v>
      </c>
      <c r="AC787" s="1">
        <v>134861584</v>
      </c>
      <c r="AD787" s="1">
        <v>666864</v>
      </c>
      <c r="AE787" s="1">
        <v>0</v>
      </c>
      <c r="AF787" s="1" t="s">
        <v>3266</v>
      </c>
      <c r="AG787" s="1"/>
      <c r="AH787" s="1">
        <v>58.9</v>
      </c>
      <c r="AI787" s="1"/>
      <c r="AJ787" s="1" t="s">
        <v>3267</v>
      </c>
      <c r="AK787" s="1" t="s">
        <v>3268</v>
      </c>
      <c r="AL787" s="1" t="s">
        <v>3269</v>
      </c>
    </row>
    <row r="788" spans="1:38" x14ac:dyDescent="0.6">
      <c r="A788" s="1">
        <v>560</v>
      </c>
      <c r="B788" s="1" t="s">
        <v>103</v>
      </c>
      <c r="C788" s="1">
        <v>60</v>
      </c>
      <c r="D788" s="1" t="s">
        <v>127</v>
      </c>
      <c r="E788" s="1" t="s">
        <v>90</v>
      </c>
      <c r="F788" s="1"/>
      <c r="G788" s="1"/>
      <c r="H788" s="1" t="s">
        <v>220</v>
      </c>
      <c r="I788" s="1" t="s">
        <v>221</v>
      </c>
      <c r="J788" s="1" t="s">
        <v>222</v>
      </c>
      <c r="K788" s="1">
        <v>1.25</v>
      </c>
      <c r="L788" s="1">
        <v>120</v>
      </c>
      <c r="M788" s="1" t="s">
        <v>7</v>
      </c>
      <c r="N788" s="1" t="s">
        <v>7</v>
      </c>
      <c r="O788" s="1" t="s">
        <v>96</v>
      </c>
      <c r="P788" s="1" t="s">
        <v>96</v>
      </c>
      <c r="Q788" s="1" t="s">
        <v>9</v>
      </c>
      <c r="R788" s="1">
        <v>0</v>
      </c>
      <c r="S788" s="1" t="s">
        <v>97</v>
      </c>
      <c r="T788" s="1" t="s">
        <v>97</v>
      </c>
      <c r="U788" s="1" t="b">
        <v>1</v>
      </c>
      <c r="V788" s="1" t="b">
        <v>0</v>
      </c>
      <c r="W788" s="1" t="b">
        <v>0</v>
      </c>
      <c r="X788" s="1">
        <v>5</v>
      </c>
      <c r="Y788" s="1" t="b">
        <v>1</v>
      </c>
      <c r="Z788" s="1" t="b">
        <v>1</v>
      </c>
      <c r="AA788" s="1">
        <v>70.5</v>
      </c>
      <c r="AB788" s="1" t="b">
        <v>0</v>
      </c>
      <c r="AC788" s="1">
        <v>0</v>
      </c>
      <c r="AD788" s="1">
        <v>2012055</v>
      </c>
      <c r="AE788" s="1">
        <v>129322089</v>
      </c>
      <c r="AF788" s="1" t="s">
        <v>3270</v>
      </c>
      <c r="AG788" s="1" t="s">
        <v>3270</v>
      </c>
      <c r="AH788" s="1">
        <v>68.099999999999994</v>
      </c>
      <c r="AI788" s="1">
        <v>64.7</v>
      </c>
      <c r="AJ788" s="1" t="s">
        <v>3271</v>
      </c>
      <c r="AK788" s="1" t="s">
        <v>3272</v>
      </c>
      <c r="AL788" s="1" t="s">
        <v>3273</v>
      </c>
    </row>
    <row r="789" spans="1:38" x14ac:dyDescent="0.6">
      <c r="A789" s="1">
        <v>558</v>
      </c>
      <c r="B789" s="1" t="s">
        <v>88</v>
      </c>
      <c r="C789" s="1">
        <v>50</v>
      </c>
      <c r="D789" s="1" t="s">
        <v>89</v>
      </c>
      <c r="E789" s="1" t="s">
        <v>108</v>
      </c>
      <c r="F789" s="1"/>
      <c r="G789" s="1"/>
      <c r="H789" s="1" t="s">
        <v>220</v>
      </c>
      <c r="I789" s="1" t="s">
        <v>221</v>
      </c>
      <c r="J789" s="1" t="s">
        <v>222</v>
      </c>
      <c r="K789" s="1">
        <v>1.25</v>
      </c>
      <c r="L789" s="1">
        <v>120</v>
      </c>
      <c r="M789" s="1" t="s">
        <v>7</v>
      </c>
      <c r="N789" s="1" t="s">
        <v>7</v>
      </c>
      <c r="O789" s="1" t="s">
        <v>96</v>
      </c>
      <c r="P789" s="1" t="s">
        <v>96</v>
      </c>
      <c r="Q789" s="1" t="s">
        <v>9</v>
      </c>
      <c r="R789" s="1">
        <v>0</v>
      </c>
      <c r="S789" s="1" t="s">
        <v>97</v>
      </c>
      <c r="T789" s="1" t="s">
        <v>97</v>
      </c>
      <c r="U789" s="1" t="b">
        <v>1</v>
      </c>
      <c r="V789" s="1" t="b">
        <v>0</v>
      </c>
      <c r="W789" s="1" t="b">
        <v>0</v>
      </c>
      <c r="X789" s="1">
        <v>5</v>
      </c>
      <c r="Y789" s="1" t="b">
        <v>1</v>
      </c>
      <c r="Z789" s="1" t="b">
        <v>1</v>
      </c>
      <c r="AA789" s="1">
        <v>70.900000000000006</v>
      </c>
      <c r="AB789" s="1" t="b">
        <v>0</v>
      </c>
      <c r="AC789" s="1">
        <v>0</v>
      </c>
      <c r="AD789" s="1">
        <v>2623702</v>
      </c>
      <c r="AE789" s="1">
        <v>134739754</v>
      </c>
      <c r="AF789" s="1" t="s">
        <v>3274</v>
      </c>
      <c r="AG789" s="1" t="s">
        <v>3274</v>
      </c>
      <c r="AH789" s="1">
        <v>71.599999999999994</v>
      </c>
      <c r="AI789" s="1">
        <v>67.8</v>
      </c>
      <c r="AJ789" s="1" t="s">
        <v>3275</v>
      </c>
      <c r="AK789" s="1" t="s">
        <v>3276</v>
      </c>
      <c r="AL789" s="1" t="s">
        <v>3277</v>
      </c>
    </row>
    <row r="790" spans="1:38" x14ac:dyDescent="0.6">
      <c r="A790" s="1">
        <v>561</v>
      </c>
      <c r="B790" s="1" t="s">
        <v>103</v>
      </c>
      <c r="C790" s="1">
        <v>60</v>
      </c>
      <c r="D790" s="1" t="s">
        <v>127</v>
      </c>
      <c r="E790" s="1" t="s">
        <v>108</v>
      </c>
      <c r="F790" s="1"/>
      <c r="G790" s="1"/>
      <c r="H790" s="1" t="s">
        <v>220</v>
      </c>
      <c r="I790" s="1" t="s">
        <v>221</v>
      </c>
      <c r="J790" s="1" t="s">
        <v>222</v>
      </c>
      <c r="K790" s="1">
        <v>1.25</v>
      </c>
      <c r="L790" s="1">
        <v>120</v>
      </c>
      <c r="M790" s="1" t="s">
        <v>94</v>
      </c>
      <c r="N790" s="1" t="s">
        <v>95</v>
      </c>
      <c r="O790" s="1"/>
      <c r="P790" s="1" t="s">
        <v>96</v>
      </c>
      <c r="Q790" s="1" t="s">
        <v>9</v>
      </c>
      <c r="R790" s="1">
        <v>0</v>
      </c>
      <c r="S790" s="1" t="s">
        <v>97</v>
      </c>
      <c r="T790" s="1" t="s">
        <v>97</v>
      </c>
      <c r="U790" s="1" t="b">
        <v>1</v>
      </c>
      <c r="V790" s="1" t="b">
        <v>0</v>
      </c>
      <c r="W790" s="1" t="b">
        <v>0</v>
      </c>
      <c r="X790" s="1">
        <v>0</v>
      </c>
      <c r="Y790" s="1" t="b">
        <v>1</v>
      </c>
      <c r="Z790" s="1" t="b">
        <v>1</v>
      </c>
      <c r="AA790" s="1">
        <v>73.099999999999994</v>
      </c>
      <c r="AB790" s="1" t="b">
        <v>1</v>
      </c>
      <c r="AC790" s="1">
        <v>147288379</v>
      </c>
      <c r="AD790" s="1">
        <v>2133701</v>
      </c>
      <c r="AE790" s="1">
        <v>0</v>
      </c>
      <c r="AF790" s="1" t="s">
        <v>3278</v>
      </c>
      <c r="AG790" s="1" t="s">
        <v>3279</v>
      </c>
      <c r="AH790" s="1">
        <v>76.099999999999994</v>
      </c>
      <c r="AI790" s="1">
        <v>70.599999999999994</v>
      </c>
      <c r="AJ790" s="1" t="s">
        <v>3280</v>
      </c>
      <c r="AK790" s="1" t="s">
        <v>3281</v>
      </c>
      <c r="AL790" s="1" t="s">
        <v>3282</v>
      </c>
    </row>
    <row r="791" spans="1:38" x14ac:dyDescent="0.6">
      <c r="A791" s="1">
        <v>559</v>
      </c>
      <c r="B791" s="1" t="s">
        <v>88</v>
      </c>
      <c r="C791" s="1">
        <v>50</v>
      </c>
      <c r="D791" s="1" t="s">
        <v>89</v>
      </c>
      <c r="E791" s="1" t="s">
        <v>90</v>
      </c>
      <c r="F791" s="1"/>
      <c r="G791" s="1"/>
      <c r="H791" s="1" t="s">
        <v>220</v>
      </c>
      <c r="I791" s="1" t="s">
        <v>221</v>
      </c>
      <c r="J791" s="1" t="s">
        <v>222</v>
      </c>
      <c r="K791" s="1">
        <v>1.25</v>
      </c>
      <c r="L791" s="1">
        <v>120</v>
      </c>
      <c r="M791" s="1" t="s">
        <v>7</v>
      </c>
      <c r="N791" s="1" t="s">
        <v>7</v>
      </c>
      <c r="O791" s="1" t="s">
        <v>96</v>
      </c>
      <c r="P791" s="1" t="s">
        <v>96</v>
      </c>
      <c r="Q791" s="1" t="s">
        <v>9</v>
      </c>
      <c r="R791" s="1">
        <v>0</v>
      </c>
      <c r="S791" s="1" t="s">
        <v>97</v>
      </c>
      <c r="T791" s="1" t="s">
        <v>97</v>
      </c>
      <c r="U791" s="1" t="b">
        <v>1</v>
      </c>
      <c r="V791" s="1" t="b">
        <v>0</v>
      </c>
      <c r="W791" s="1" t="b">
        <v>0</v>
      </c>
      <c r="X791" s="1">
        <v>5</v>
      </c>
      <c r="Y791" s="1" t="b">
        <v>1</v>
      </c>
      <c r="Z791" s="1" t="b">
        <v>1</v>
      </c>
      <c r="AA791" s="1">
        <v>87.9</v>
      </c>
      <c r="AB791" s="1" t="b">
        <v>0</v>
      </c>
      <c r="AC791" s="1">
        <v>0</v>
      </c>
      <c r="AD791" s="1">
        <v>1819310</v>
      </c>
      <c r="AE791" s="1">
        <v>132398418</v>
      </c>
      <c r="AF791" s="1" t="s">
        <v>3283</v>
      </c>
      <c r="AG791" s="1" t="s">
        <v>3283</v>
      </c>
      <c r="AH791" s="1">
        <v>86.3</v>
      </c>
      <c r="AI791" s="1">
        <v>83.4</v>
      </c>
      <c r="AJ791" s="1" t="s">
        <v>3284</v>
      </c>
      <c r="AK791" s="1" t="s">
        <v>3285</v>
      </c>
      <c r="AL791" s="1" t="s">
        <v>3286</v>
      </c>
    </row>
    <row r="792" spans="1:38" x14ac:dyDescent="0.6">
      <c r="A792" s="1">
        <v>562</v>
      </c>
      <c r="B792" s="1" t="s">
        <v>103</v>
      </c>
      <c r="C792" s="1">
        <v>50</v>
      </c>
      <c r="D792" s="1" t="s">
        <v>89</v>
      </c>
      <c r="E792" s="1" t="s">
        <v>90</v>
      </c>
      <c r="F792" s="1"/>
      <c r="G792" s="1"/>
      <c r="H792" s="1" t="s">
        <v>220</v>
      </c>
      <c r="I792" s="1" t="s">
        <v>221</v>
      </c>
      <c r="J792" s="1" t="s">
        <v>222</v>
      </c>
      <c r="K792" s="1">
        <v>1.25</v>
      </c>
      <c r="L792" s="1">
        <v>120</v>
      </c>
      <c r="M792" s="1" t="s">
        <v>14</v>
      </c>
      <c r="N792" s="1" t="s">
        <v>95</v>
      </c>
      <c r="O792" s="1" t="s">
        <v>96</v>
      </c>
      <c r="P792" s="1"/>
      <c r="Q792" s="1" t="s">
        <v>9</v>
      </c>
      <c r="R792" s="1">
        <v>0</v>
      </c>
      <c r="S792" s="1" t="s">
        <v>97</v>
      </c>
      <c r="T792" s="1" t="s">
        <v>97</v>
      </c>
      <c r="U792" s="1" t="b">
        <v>1</v>
      </c>
      <c r="V792" s="1" t="b">
        <v>0</v>
      </c>
      <c r="W792" s="1" t="b">
        <v>0</v>
      </c>
      <c r="X792" s="1">
        <v>5</v>
      </c>
      <c r="Y792" s="1" t="b">
        <v>1</v>
      </c>
      <c r="Z792" s="1" t="b">
        <v>1</v>
      </c>
      <c r="AA792" s="1"/>
      <c r="AB792" s="1" t="b">
        <v>1</v>
      </c>
      <c r="AC792" s="1">
        <v>134725871</v>
      </c>
      <c r="AD792" s="1">
        <v>540433</v>
      </c>
      <c r="AE792" s="1">
        <v>0</v>
      </c>
      <c r="AF792" s="1" t="s">
        <v>3287</v>
      </c>
      <c r="AG792" s="1" t="s">
        <v>3288</v>
      </c>
      <c r="AH792" s="1">
        <v>72.400000000000006</v>
      </c>
      <c r="AI792" s="1">
        <v>70.2</v>
      </c>
      <c r="AJ792" s="1" t="s">
        <v>3289</v>
      </c>
      <c r="AK792" s="1" t="s">
        <v>3290</v>
      </c>
      <c r="AL792" s="1" t="s">
        <v>3291</v>
      </c>
    </row>
    <row r="793" spans="1:38" x14ac:dyDescent="0.6">
      <c r="A793" s="1">
        <v>562</v>
      </c>
      <c r="B793" s="1" t="s">
        <v>103</v>
      </c>
      <c r="C793" s="1">
        <v>50</v>
      </c>
      <c r="D793" s="1" t="s">
        <v>89</v>
      </c>
      <c r="E793" s="1" t="s">
        <v>90</v>
      </c>
      <c r="F793" s="1"/>
      <c r="G793" s="1"/>
      <c r="H793" s="1" t="s">
        <v>220</v>
      </c>
      <c r="I793" s="1" t="s">
        <v>221</v>
      </c>
      <c r="J793" s="1" t="s">
        <v>222</v>
      </c>
      <c r="K793" s="1">
        <v>1.25</v>
      </c>
      <c r="L793" s="1">
        <v>120</v>
      </c>
      <c r="M793" s="1" t="s">
        <v>94</v>
      </c>
      <c r="N793" s="1" t="s">
        <v>95</v>
      </c>
      <c r="O793" s="1"/>
      <c r="P793" s="1" t="s">
        <v>96</v>
      </c>
      <c r="Q793" s="1" t="s">
        <v>9</v>
      </c>
      <c r="R793" s="1">
        <v>0</v>
      </c>
      <c r="S793" s="1" t="s">
        <v>97</v>
      </c>
      <c r="T793" s="1" t="s">
        <v>97</v>
      </c>
      <c r="U793" s="1" t="b">
        <v>1</v>
      </c>
      <c r="V793" s="1" t="b">
        <v>0</v>
      </c>
      <c r="W793" s="1" t="b">
        <v>0</v>
      </c>
      <c r="X793" s="1">
        <v>0</v>
      </c>
      <c r="Y793" s="1" t="b">
        <v>1</v>
      </c>
      <c r="Z793" s="1" t="b">
        <v>1</v>
      </c>
      <c r="AA793" s="1">
        <v>73.8</v>
      </c>
      <c r="AB793" s="1" t="b">
        <v>1</v>
      </c>
      <c r="AC793" s="1">
        <v>136922795</v>
      </c>
      <c r="AD793" s="1">
        <v>1489237</v>
      </c>
      <c r="AE793" s="1">
        <v>0</v>
      </c>
      <c r="AF793" s="1" t="s">
        <v>3287</v>
      </c>
      <c r="AG793" s="1" t="s">
        <v>3288</v>
      </c>
      <c r="AH793" s="1">
        <v>72.400000000000006</v>
      </c>
      <c r="AI793" s="1">
        <v>70.2</v>
      </c>
      <c r="AJ793" s="1" t="s">
        <v>3292</v>
      </c>
      <c r="AK793" s="1" t="s">
        <v>3293</v>
      </c>
      <c r="AL793" s="1" t="s">
        <v>3294</v>
      </c>
    </row>
    <row r="794" spans="1:38" x14ac:dyDescent="0.6">
      <c r="A794" s="1">
        <v>554</v>
      </c>
      <c r="B794" s="1" t="s">
        <v>88</v>
      </c>
      <c r="C794" s="1">
        <v>50</v>
      </c>
      <c r="D794" s="1" t="s">
        <v>89</v>
      </c>
      <c r="E794" s="1" t="s">
        <v>90</v>
      </c>
      <c r="F794" s="1"/>
      <c r="G794" s="1"/>
      <c r="H794" s="1" t="s">
        <v>91</v>
      </c>
      <c r="I794" s="1" t="s">
        <v>92</v>
      </c>
      <c r="J794" s="1" t="s">
        <v>93</v>
      </c>
      <c r="K794" s="1">
        <v>1</v>
      </c>
      <c r="L794" s="1">
        <v>120</v>
      </c>
      <c r="M794" s="1" t="s">
        <v>94</v>
      </c>
      <c r="N794" s="1" t="s">
        <v>95</v>
      </c>
      <c r="O794" s="1"/>
      <c r="P794" s="1" t="s">
        <v>96</v>
      </c>
      <c r="Q794" s="1" t="s">
        <v>110</v>
      </c>
      <c r="R794" s="1">
        <v>3</v>
      </c>
      <c r="S794" s="1" t="s">
        <v>97</v>
      </c>
      <c r="T794" s="1" t="s">
        <v>110</v>
      </c>
      <c r="U794" s="1" t="b">
        <v>0</v>
      </c>
      <c r="V794" s="1" t="b">
        <v>1</v>
      </c>
      <c r="W794" s="1" t="b">
        <v>0</v>
      </c>
      <c r="X794" s="1">
        <v>0</v>
      </c>
      <c r="Y794" s="1" t="b">
        <v>1</v>
      </c>
      <c r="Z794" s="1" t="b">
        <v>1</v>
      </c>
      <c r="AA794" s="1">
        <v>76</v>
      </c>
      <c r="AB794" s="1" t="b">
        <v>1</v>
      </c>
      <c r="AC794" s="1">
        <v>129346104</v>
      </c>
      <c r="AD794" s="1">
        <v>1988040</v>
      </c>
      <c r="AE794" s="1">
        <v>0</v>
      </c>
      <c r="AF794" s="1" t="s">
        <v>3295</v>
      </c>
      <c r="AG794" s="1" t="s">
        <v>3296</v>
      </c>
      <c r="AH794" s="1">
        <v>72.2</v>
      </c>
      <c r="AI794" s="1">
        <v>71.099999999999994</v>
      </c>
      <c r="AJ794" s="1" t="s">
        <v>3297</v>
      </c>
      <c r="AK794" s="1" t="s">
        <v>3298</v>
      </c>
      <c r="AL794" s="1" t="s">
        <v>3299</v>
      </c>
    </row>
    <row r="795" spans="1:38" x14ac:dyDescent="0.6">
      <c r="A795" s="1">
        <v>554</v>
      </c>
      <c r="B795" s="1" t="s">
        <v>88</v>
      </c>
      <c r="C795" s="1">
        <v>50</v>
      </c>
      <c r="D795" s="1" t="s">
        <v>89</v>
      </c>
      <c r="E795" s="1" t="s">
        <v>90</v>
      </c>
      <c r="F795" s="1"/>
      <c r="G795" s="1"/>
      <c r="H795" s="1" t="s">
        <v>91</v>
      </c>
      <c r="I795" s="1" t="s">
        <v>92</v>
      </c>
      <c r="J795" s="1" t="s">
        <v>93</v>
      </c>
      <c r="K795" s="1">
        <v>1</v>
      </c>
      <c r="L795" s="1">
        <v>120</v>
      </c>
      <c r="M795" s="1" t="s">
        <v>14</v>
      </c>
      <c r="N795" s="1" t="s">
        <v>95</v>
      </c>
      <c r="O795" s="1" t="s">
        <v>96</v>
      </c>
      <c r="P795" s="1"/>
      <c r="Q795" s="1" t="s">
        <v>110</v>
      </c>
      <c r="R795" s="1">
        <v>3</v>
      </c>
      <c r="S795" s="1" t="s">
        <v>97</v>
      </c>
      <c r="T795" s="1" t="s">
        <v>110</v>
      </c>
      <c r="U795" s="1" t="b">
        <v>0</v>
      </c>
      <c r="V795" s="1" t="b">
        <v>1</v>
      </c>
      <c r="W795" s="1" t="b">
        <v>0</v>
      </c>
      <c r="X795" s="1">
        <v>4</v>
      </c>
      <c r="Y795" s="1" t="b">
        <v>1</v>
      </c>
      <c r="Z795" s="1" t="b">
        <v>1</v>
      </c>
      <c r="AA795" s="1"/>
      <c r="AB795" s="1" t="b">
        <v>1</v>
      </c>
      <c r="AC795" s="1">
        <v>134996567</v>
      </c>
      <c r="AD795" s="1">
        <v>531881</v>
      </c>
      <c r="AE795" s="1">
        <v>0</v>
      </c>
      <c r="AF795" s="1" t="s">
        <v>3295</v>
      </c>
      <c r="AG795" s="1" t="s">
        <v>3296</v>
      </c>
      <c r="AH795" s="1">
        <v>72.2</v>
      </c>
      <c r="AI795" s="1">
        <v>71.099999999999994</v>
      </c>
      <c r="AJ795" s="1" t="s">
        <v>3300</v>
      </c>
      <c r="AK795" s="1" t="s">
        <v>3301</v>
      </c>
      <c r="AL795" s="1" t="s">
        <v>3302</v>
      </c>
    </row>
    <row r="796" spans="1:38" x14ac:dyDescent="0.6">
      <c r="A796" s="1">
        <v>557</v>
      </c>
      <c r="B796" s="1" t="s">
        <v>103</v>
      </c>
      <c r="C796" s="1">
        <v>50</v>
      </c>
      <c r="D796" s="1" t="s">
        <v>89</v>
      </c>
      <c r="E796" s="1" t="s">
        <v>108</v>
      </c>
      <c r="F796" s="1"/>
      <c r="G796" s="1"/>
      <c r="H796" s="1" t="s">
        <v>91</v>
      </c>
      <c r="I796" s="1" t="s">
        <v>92</v>
      </c>
      <c r="J796" s="1" t="s">
        <v>93</v>
      </c>
      <c r="K796" s="1">
        <v>1</v>
      </c>
      <c r="L796" s="1">
        <v>120</v>
      </c>
      <c r="M796" s="1" t="s">
        <v>14</v>
      </c>
      <c r="N796" s="1" t="s">
        <v>95</v>
      </c>
      <c r="O796" s="1" t="s">
        <v>96</v>
      </c>
      <c r="P796" s="1"/>
      <c r="Q796" s="1" t="s">
        <v>9</v>
      </c>
      <c r="R796" s="1">
        <v>0</v>
      </c>
      <c r="S796" s="1" t="s">
        <v>97</v>
      </c>
      <c r="T796" s="1" t="s">
        <v>97</v>
      </c>
      <c r="U796" s="1" t="b">
        <v>1</v>
      </c>
      <c r="V796" s="1" t="b">
        <v>0</v>
      </c>
      <c r="W796" s="1" t="b">
        <v>0</v>
      </c>
      <c r="X796" s="1">
        <v>5</v>
      </c>
      <c r="Y796" s="1" t="b">
        <v>1</v>
      </c>
      <c r="Z796" s="1" t="b">
        <v>1</v>
      </c>
      <c r="AA796" s="1"/>
      <c r="AB796" s="1" t="b">
        <v>1</v>
      </c>
      <c r="AC796" s="1">
        <v>125645898</v>
      </c>
      <c r="AD796" s="1">
        <v>707510</v>
      </c>
      <c r="AE796" s="1">
        <v>0</v>
      </c>
      <c r="AF796" s="1" t="s">
        <v>3303</v>
      </c>
      <c r="AG796" s="1" t="s">
        <v>3304</v>
      </c>
      <c r="AH796" s="1">
        <v>66.599999999999994</v>
      </c>
      <c r="AI796" s="1">
        <v>58.6</v>
      </c>
      <c r="AJ796" s="1" t="s">
        <v>3305</v>
      </c>
      <c r="AK796" s="1" t="s">
        <v>3306</v>
      </c>
      <c r="AL796" s="1" t="s">
        <v>3307</v>
      </c>
    </row>
    <row r="797" spans="1:38" x14ac:dyDescent="0.6">
      <c r="A797" s="1">
        <v>564</v>
      </c>
      <c r="B797" s="1" t="s">
        <v>103</v>
      </c>
      <c r="C797" s="1">
        <v>50</v>
      </c>
      <c r="D797" s="1" t="s">
        <v>89</v>
      </c>
      <c r="E797" s="1" t="s">
        <v>90</v>
      </c>
      <c r="F797" s="1"/>
      <c r="G797" s="1"/>
      <c r="H797" s="1" t="s">
        <v>220</v>
      </c>
      <c r="I797" s="1" t="s">
        <v>221</v>
      </c>
      <c r="J797" s="1" t="s">
        <v>222</v>
      </c>
      <c r="K797" s="1">
        <v>1.25</v>
      </c>
      <c r="L797" s="1">
        <v>120</v>
      </c>
      <c r="M797" s="1" t="s">
        <v>14</v>
      </c>
      <c r="N797" s="1" t="s">
        <v>14</v>
      </c>
      <c r="O797" s="1" t="s">
        <v>96</v>
      </c>
      <c r="P797" s="1"/>
      <c r="Q797" s="1" t="s">
        <v>9</v>
      </c>
      <c r="R797" s="1">
        <v>0</v>
      </c>
      <c r="S797" s="1"/>
      <c r="T797" s="1" t="s">
        <v>97</v>
      </c>
      <c r="U797" s="1"/>
      <c r="V797" s="1" t="b">
        <v>0</v>
      </c>
      <c r="W797" s="1" t="b">
        <v>0</v>
      </c>
      <c r="X797" s="1">
        <v>5</v>
      </c>
      <c r="Y797" s="1" t="b">
        <v>1</v>
      </c>
      <c r="Z797" s="1" t="b">
        <v>1</v>
      </c>
      <c r="AA797" s="1"/>
      <c r="AB797" s="1" t="b">
        <v>1</v>
      </c>
      <c r="AC797" s="1">
        <v>126024274</v>
      </c>
      <c r="AD797" s="1">
        <v>329134</v>
      </c>
      <c r="AE797" s="1">
        <v>0</v>
      </c>
      <c r="AF797" s="1" t="s">
        <v>3308</v>
      </c>
      <c r="AG797" s="1"/>
      <c r="AH797" s="1">
        <v>86.9</v>
      </c>
      <c r="AI797" s="1"/>
      <c r="AJ797" s="1" t="s">
        <v>3309</v>
      </c>
      <c r="AK797" s="1" t="s">
        <v>3310</v>
      </c>
      <c r="AL797" s="1" t="s">
        <v>3311</v>
      </c>
    </row>
    <row r="798" spans="1:38" x14ac:dyDescent="0.6">
      <c r="A798" s="1">
        <v>565</v>
      </c>
      <c r="B798" s="1" t="s">
        <v>88</v>
      </c>
      <c r="C798" s="1">
        <v>60</v>
      </c>
      <c r="D798" s="1" t="s">
        <v>127</v>
      </c>
      <c r="E798" s="1" t="s">
        <v>90</v>
      </c>
      <c r="F798" s="1"/>
      <c r="G798" s="1"/>
      <c r="H798" s="1" t="s">
        <v>220</v>
      </c>
      <c r="I798" s="1" t="s">
        <v>221</v>
      </c>
      <c r="J798" s="1" t="s">
        <v>222</v>
      </c>
      <c r="K798" s="1">
        <v>1.25</v>
      </c>
      <c r="L798" s="1">
        <v>120</v>
      </c>
      <c r="M798" s="1" t="s">
        <v>94</v>
      </c>
      <c r="N798" s="1" t="s">
        <v>95</v>
      </c>
      <c r="O798" s="1"/>
      <c r="P798" s="1" t="s">
        <v>96</v>
      </c>
      <c r="Q798" s="1" t="s">
        <v>9</v>
      </c>
      <c r="R798" s="1">
        <v>0</v>
      </c>
      <c r="S798" s="1" t="s">
        <v>97</v>
      </c>
      <c r="T798" s="1" t="s">
        <v>97</v>
      </c>
      <c r="U798" s="1" t="b">
        <v>1</v>
      </c>
      <c r="V798" s="1" t="b">
        <v>0</v>
      </c>
      <c r="W798" s="1" t="b">
        <v>0</v>
      </c>
      <c r="X798" s="1">
        <v>0</v>
      </c>
      <c r="Y798" s="1" t="b">
        <v>1</v>
      </c>
      <c r="Z798" s="1" t="b">
        <v>1</v>
      </c>
      <c r="AA798" s="1">
        <v>85.4</v>
      </c>
      <c r="AB798" s="1" t="b">
        <v>1</v>
      </c>
      <c r="AC798" s="1">
        <v>153953850</v>
      </c>
      <c r="AD798" s="1">
        <v>1759686</v>
      </c>
      <c r="AE798" s="1">
        <v>0</v>
      </c>
      <c r="AF798" s="1" t="s">
        <v>3312</v>
      </c>
      <c r="AG798" s="1" t="s">
        <v>3313</v>
      </c>
      <c r="AH798" s="1">
        <v>88.5</v>
      </c>
      <c r="AI798" s="1">
        <v>81.099999999999994</v>
      </c>
      <c r="AJ798" s="1" t="s">
        <v>3314</v>
      </c>
      <c r="AK798" s="1" t="s">
        <v>3315</v>
      </c>
      <c r="AL798" s="1" t="s">
        <v>3316</v>
      </c>
    </row>
    <row r="799" spans="1:38" x14ac:dyDescent="0.6">
      <c r="A799" s="1">
        <v>563</v>
      </c>
      <c r="B799" s="1" t="s">
        <v>103</v>
      </c>
      <c r="C799" s="1">
        <v>60</v>
      </c>
      <c r="D799" s="1" t="s">
        <v>127</v>
      </c>
      <c r="E799" s="1" t="s">
        <v>108</v>
      </c>
      <c r="F799" s="1"/>
      <c r="G799" s="1"/>
      <c r="H799" s="1" t="s">
        <v>220</v>
      </c>
      <c r="I799" s="1" t="s">
        <v>221</v>
      </c>
      <c r="J799" s="1" t="s">
        <v>222</v>
      </c>
      <c r="K799" s="1">
        <v>1.25</v>
      </c>
      <c r="L799" s="1">
        <v>120</v>
      </c>
      <c r="M799" s="1" t="s">
        <v>14</v>
      </c>
      <c r="N799" s="1" t="s">
        <v>95</v>
      </c>
      <c r="O799" s="1" t="s">
        <v>96</v>
      </c>
      <c r="P799" s="1"/>
      <c r="Q799" s="1" t="s">
        <v>9</v>
      </c>
      <c r="R799" s="1">
        <v>0</v>
      </c>
      <c r="S799" s="1" t="s">
        <v>97</v>
      </c>
      <c r="T799" s="1" t="s">
        <v>97</v>
      </c>
      <c r="U799" s="1" t="b">
        <v>1</v>
      </c>
      <c r="V799" s="1" t="b">
        <v>0</v>
      </c>
      <c r="W799" s="1" t="b">
        <v>0</v>
      </c>
      <c r="X799" s="1">
        <v>5</v>
      </c>
      <c r="Y799" s="1" t="b">
        <v>1</v>
      </c>
      <c r="Z799" s="1" t="b">
        <v>1</v>
      </c>
      <c r="AA799" s="1"/>
      <c r="AB799" s="1" t="b">
        <v>1</v>
      </c>
      <c r="AC799" s="1">
        <v>151994009</v>
      </c>
      <c r="AD799" s="1">
        <v>835943</v>
      </c>
      <c r="AE799" s="1">
        <v>0</v>
      </c>
      <c r="AF799" s="1" t="s">
        <v>3317</v>
      </c>
      <c r="AG799" s="1" t="s">
        <v>3318</v>
      </c>
      <c r="AH799" s="1">
        <v>71.3</v>
      </c>
      <c r="AI799" s="1">
        <v>66.8</v>
      </c>
      <c r="AJ799" s="1" t="s">
        <v>3319</v>
      </c>
      <c r="AK799" s="1" t="s">
        <v>3320</v>
      </c>
      <c r="AL799" s="1" t="s">
        <v>3321</v>
      </c>
    </row>
    <row r="800" spans="1:38" x14ac:dyDescent="0.6">
      <c r="A800" s="1">
        <v>557</v>
      </c>
      <c r="B800" s="1" t="s">
        <v>103</v>
      </c>
      <c r="C800" s="1">
        <v>50</v>
      </c>
      <c r="D800" s="1" t="s">
        <v>89</v>
      </c>
      <c r="E800" s="1" t="s">
        <v>108</v>
      </c>
      <c r="F800" s="1"/>
      <c r="G800" s="1"/>
      <c r="H800" s="1" t="s">
        <v>91</v>
      </c>
      <c r="I800" s="1" t="s">
        <v>92</v>
      </c>
      <c r="J800" s="1" t="s">
        <v>93</v>
      </c>
      <c r="K800" s="1">
        <v>1</v>
      </c>
      <c r="L800" s="1">
        <v>120</v>
      </c>
      <c r="M800" s="1" t="s">
        <v>94</v>
      </c>
      <c r="N800" s="1" t="s">
        <v>95</v>
      </c>
      <c r="O800" s="1"/>
      <c r="P800" s="1" t="s">
        <v>96</v>
      </c>
      <c r="Q800" s="1" t="s">
        <v>9</v>
      </c>
      <c r="R800" s="1">
        <v>0</v>
      </c>
      <c r="S800" s="1" t="s">
        <v>97</v>
      </c>
      <c r="T800" s="1" t="s">
        <v>97</v>
      </c>
      <c r="U800" s="1" t="b">
        <v>1</v>
      </c>
      <c r="V800" s="1" t="b">
        <v>0</v>
      </c>
      <c r="W800" s="1" t="b">
        <v>0</v>
      </c>
      <c r="X800" s="1">
        <v>0</v>
      </c>
      <c r="Y800" s="1" t="b">
        <v>1</v>
      </c>
      <c r="Z800" s="1" t="b">
        <v>1</v>
      </c>
      <c r="AA800" s="1">
        <v>59.6</v>
      </c>
      <c r="AB800" s="1" t="b">
        <v>1</v>
      </c>
      <c r="AC800" s="1">
        <v>132434658</v>
      </c>
      <c r="AD800" s="1">
        <v>2307358</v>
      </c>
      <c r="AE800" s="1">
        <v>0</v>
      </c>
      <c r="AF800" s="1" t="s">
        <v>3303</v>
      </c>
      <c r="AG800" s="1" t="s">
        <v>3304</v>
      </c>
      <c r="AH800" s="1">
        <v>66.599999999999994</v>
      </c>
      <c r="AI800" s="1">
        <v>58.6</v>
      </c>
      <c r="AJ800" s="1" t="s">
        <v>3322</v>
      </c>
      <c r="AK800" s="1" t="s">
        <v>3323</v>
      </c>
      <c r="AL800" s="1" t="s">
        <v>3324</v>
      </c>
    </row>
    <row r="801" spans="1:38" x14ac:dyDescent="0.6">
      <c r="A801" s="1">
        <v>563</v>
      </c>
      <c r="B801" s="1" t="s">
        <v>103</v>
      </c>
      <c r="C801" s="1">
        <v>60</v>
      </c>
      <c r="D801" s="1" t="s">
        <v>127</v>
      </c>
      <c r="E801" s="1" t="s">
        <v>108</v>
      </c>
      <c r="F801" s="1"/>
      <c r="G801" s="1"/>
      <c r="H801" s="1" t="s">
        <v>220</v>
      </c>
      <c r="I801" s="1" t="s">
        <v>221</v>
      </c>
      <c r="J801" s="1" t="s">
        <v>222</v>
      </c>
      <c r="K801" s="1">
        <v>1.25</v>
      </c>
      <c r="L801" s="1">
        <v>120</v>
      </c>
      <c r="M801" s="1" t="s">
        <v>94</v>
      </c>
      <c r="N801" s="1" t="s">
        <v>95</v>
      </c>
      <c r="O801" s="1"/>
      <c r="P801" s="1" t="s">
        <v>96</v>
      </c>
      <c r="Q801" s="1" t="s">
        <v>9</v>
      </c>
      <c r="R801" s="1">
        <v>0</v>
      </c>
      <c r="S801" s="1" t="s">
        <v>97</v>
      </c>
      <c r="T801" s="1" t="s">
        <v>97</v>
      </c>
      <c r="U801" s="1" t="b">
        <v>1</v>
      </c>
      <c r="V801" s="1" t="b">
        <v>0</v>
      </c>
      <c r="W801" s="1" t="b">
        <v>0</v>
      </c>
      <c r="X801" s="1">
        <v>0</v>
      </c>
      <c r="Y801" s="1" t="b">
        <v>1</v>
      </c>
      <c r="Z801" s="1" t="b">
        <v>1</v>
      </c>
      <c r="AA801" s="1">
        <v>68.900000000000006</v>
      </c>
      <c r="AB801" s="1" t="b">
        <v>1</v>
      </c>
      <c r="AC801" s="1">
        <v>156619848</v>
      </c>
      <c r="AD801" s="1">
        <v>2239416</v>
      </c>
      <c r="AE801" s="1">
        <v>0</v>
      </c>
      <c r="AF801" s="1" t="s">
        <v>3317</v>
      </c>
      <c r="AG801" s="1" t="s">
        <v>3318</v>
      </c>
      <c r="AH801" s="1">
        <v>71.3</v>
      </c>
      <c r="AI801" s="1">
        <v>66.8</v>
      </c>
      <c r="AJ801" s="1" t="s">
        <v>3325</v>
      </c>
      <c r="AK801" s="1" t="s">
        <v>3326</v>
      </c>
      <c r="AL801" s="1" t="s">
        <v>3327</v>
      </c>
    </row>
    <row r="802" spans="1:38" x14ac:dyDescent="0.6">
      <c r="A802" s="1">
        <v>571</v>
      </c>
      <c r="B802" s="1" t="s">
        <v>88</v>
      </c>
      <c r="C802" s="1">
        <v>60</v>
      </c>
      <c r="D802" s="1" t="s">
        <v>127</v>
      </c>
      <c r="E802" s="1" t="s">
        <v>108</v>
      </c>
      <c r="F802" s="1"/>
      <c r="G802" s="1"/>
      <c r="H802" s="1" t="s">
        <v>220</v>
      </c>
      <c r="I802" s="1" t="s">
        <v>221</v>
      </c>
      <c r="J802" s="1" t="s">
        <v>222</v>
      </c>
      <c r="K802" s="1">
        <v>1.25</v>
      </c>
      <c r="L802" s="1">
        <v>120</v>
      </c>
      <c r="M802" s="1" t="s">
        <v>14</v>
      </c>
      <c r="N802" s="1" t="s">
        <v>14</v>
      </c>
      <c r="O802" s="1" t="s">
        <v>96</v>
      </c>
      <c r="P802" s="1"/>
      <c r="Q802" s="1" t="s">
        <v>9</v>
      </c>
      <c r="R802" s="1">
        <v>0</v>
      </c>
      <c r="S802" s="1"/>
      <c r="T802" s="1" t="s">
        <v>97</v>
      </c>
      <c r="U802" s="1"/>
      <c r="V802" s="1" t="b">
        <v>0</v>
      </c>
      <c r="W802" s="1" t="b">
        <v>0</v>
      </c>
      <c r="X802" s="1">
        <v>5</v>
      </c>
      <c r="Y802" s="1" t="b">
        <v>1</v>
      </c>
      <c r="Z802" s="1" t="b">
        <v>1</v>
      </c>
      <c r="AA802" s="1"/>
      <c r="AB802" s="1" t="b">
        <v>1</v>
      </c>
      <c r="AC802" s="1">
        <v>133009656</v>
      </c>
      <c r="AD802" s="1">
        <v>945928</v>
      </c>
      <c r="AE802" s="1">
        <v>0</v>
      </c>
      <c r="AF802" s="1" t="s">
        <v>3328</v>
      </c>
      <c r="AG802" s="1"/>
      <c r="AH802" s="1">
        <v>55.7</v>
      </c>
      <c r="AI802" s="1"/>
      <c r="AJ802" s="1" t="s">
        <v>3329</v>
      </c>
      <c r="AK802" s="1" t="s">
        <v>3330</v>
      </c>
      <c r="AL802" s="1" t="s">
        <v>3331</v>
      </c>
    </row>
    <row r="803" spans="1:38" x14ac:dyDescent="0.6">
      <c r="A803" s="1">
        <v>567</v>
      </c>
      <c r="B803" s="1" t="s">
        <v>103</v>
      </c>
      <c r="C803" s="1">
        <v>60</v>
      </c>
      <c r="D803" s="1" t="s">
        <v>127</v>
      </c>
      <c r="E803" s="1" t="s">
        <v>90</v>
      </c>
      <c r="F803" s="1"/>
      <c r="G803" s="1"/>
      <c r="H803" s="1" t="s">
        <v>220</v>
      </c>
      <c r="I803" s="1" t="s">
        <v>221</v>
      </c>
      <c r="J803" s="1" t="s">
        <v>222</v>
      </c>
      <c r="K803" s="1">
        <v>1.25</v>
      </c>
      <c r="L803" s="1">
        <v>120</v>
      </c>
      <c r="M803" s="1" t="s">
        <v>94</v>
      </c>
      <c r="N803" s="1" t="s">
        <v>95</v>
      </c>
      <c r="O803" s="1"/>
      <c r="P803" s="1" t="s">
        <v>96</v>
      </c>
      <c r="Q803" s="1" t="s">
        <v>9</v>
      </c>
      <c r="R803" s="1">
        <v>0</v>
      </c>
      <c r="S803" s="1" t="s">
        <v>97</v>
      </c>
      <c r="T803" s="1" t="s">
        <v>97</v>
      </c>
      <c r="U803" s="1" t="b">
        <v>1</v>
      </c>
      <c r="V803" s="1" t="b">
        <v>0</v>
      </c>
      <c r="W803" s="1" t="b">
        <v>0</v>
      </c>
      <c r="X803" s="1">
        <v>0</v>
      </c>
      <c r="Y803" s="1" t="b">
        <v>1</v>
      </c>
      <c r="Z803" s="1" t="b">
        <v>1</v>
      </c>
      <c r="AA803" s="1">
        <v>65.900000000000006</v>
      </c>
      <c r="AB803" s="1" t="b">
        <v>1</v>
      </c>
      <c r="AC803" s="1">
        <v>135925565</v>
      </c>
      <c r="AD803" s="1">
        <v>2224323</v>
      </c>
      <c r="AE803" s="1">
        <v>0</v>
      </c>
      <c r="AF803" s="1" t="s">
        <v>3332</v>
      </c>
      <c r="AG803" s="1" t="s">
        <v>3333</v>
      </c>
      <c r="AH803" s="1">
        <v>69</v>
      </c>
      <c r="AI803" s="1">
        <v>63.5</v>
      </c>
      <c r="AJ803" s="1" t="s">
        <v>3334</v>
      </c>
      <c r="AK803" s="1" t="s">
        <v>3335</v>
      </c>
      <c r="AL803" s="1" t="s">
        <v>3336</v>
      </c>
    </row>
    <row r="804" spans="1:38" x14ac:dyDescent="0.6">
      <c r="A804" s="1">
        <v>561</v>
      </c>
      <c r="B804" s="1" t="s">
        <v>103</v>
      </c>
      <c r="C804" s="1">
        <v>60</v>
      </c>
      <c r="D804" s="1" t="s">
        <v>127</v>
      </c>
      <c r="E804" s="1" t="s">
        <v>108</v>
      </c>
      <c r="F804" s="1"/>
      <c r="G804" s="1"/>
      <c r="H804" s="1" t="s">
        <v>220</v>
      </c>
      <c r="I804" s="1" t="s">
        <v>221</v>
      </c>
      <c r="J804" s="1" t="s">
        <v>222</v>
      </c>
      <c r="K804" s="1">
        <v>1.25</v>
      </c>
      <c r="L804" s="1">
        <v>120</v>
      </c>
      <c r="M804" s="1" t="s">
        <v>14</v>
      </c>
      <c r="N804" s="1" t="s">
        <v>95</v>
      </c>
      <c r="O804" s="1" t="s">
        <v>96</v>
      </c>
      <c r="P804" s="1"/>
      <c r="Q804" s="1" t="s">
        <v>9</v>
      </c>
      <c r="R804" s="1">
        <v>0</v>
      </c>
      <c r="S804" s="1" t="s">
        <v>97</v>
      </c>
      <c r="T804" s="1" t="s">
        <v>97</v>
      </c>
      <c r="U804" s="1" t="b">
        <v>1</v>
      </c>
      <c r="V804" s="1" t="b">
        <v>0</v>
      </c>
      <c r="W804" s="1" t="b">
        <v>0</v>
      </c>
      <c r="X804" s="1">
        <v>5</v>
      </c>
      <c r="Y804" s="1" t="b">
        <v>1</v>
      </c>
      <c r="Z804" s="1" t="b">
        <v>1</v>
      </c>
      <c r="AA804" s="1"/>
      <c r="AB804" s="1" t="b">
        <v>1</v>
      </c>
      <c r="AC804" s="1">
        <v>132887962</v>
      </c>
      <c r="AD804" s="1">
        <v>805478</v>
      </c>
      <c r="AE804" s="1">
        <v>0</v>
      </c>
      <c r="AF804" s="1" t="s">
        <v>3278</v>
      </c>
      <c r="AG804" s="1" t="s">
        <v>3279</v>
      </c>
      <c r="AH804" s="1">
        <v>76.099999999999994</v>
      </c>
      <c r="AI804" s="1">
        <v>70.599999999999994</v>
      </c>
      <c r="AJ804" s="1" t="s">
        <v>3337</v>
      </c>
      <c r="AK804" s="1" t="s">
        <v>3338</v>
      </c>
      <c r="AL804" s="1" t="s">
        <v>3339</v>
      </c>
    </row>
    <row r="805" spans="1:38" x14ac:dyDescent="0.6">
      <c r="A805" s="1">
        <v>574</v>
      </c>
      <c r="B805" s="1" t="s">
        <v>103</v>
      </c>
      <c r="C805" s="1">
        <v>60</v>
      </c>
      <c r="D805" s="1" t="s">
        <v>127</v>
      </c>
      <c r="E805" s="1" t="s">
        <v>90</v>
      </c>
      <c r="F805" s="1"/>
      <c r="G805" s="1"/>
      <c r="H805" s="1" t="s">
        <v>220</v>
      </c>
      <c r="I805" s="1" t="s">
        <v>221</v>
      </c>
      <c r="J805" s="1" t="s">
        <v>222</v>
      </c>
      <c r="K805" s="1">
        <v>1.25</v>
      </c>
      <c r="L805" s="1">
        <v>120</v>
      </c>
      <c r="M805" s="1" t="s">
        <v>14</v>
      </c>
      <c r="N805" s="1" t="s">
        <v>95</v>
      </c>
      <c r="O805" s="1" t="s">
        <v>96</v>
      </c>
      <c r="P805" s="1"/>
      <c r="Q805" s="1" t="s">
        <v>9</v>
      </c>
      <c r="R805" s="1">
        <v>0</v>
      </c>
      <c r="S805" s="1" t="s">
        <v>97</v>
      </c>
      <c r="T805" s="1" t="s">
        <v>97</v>
      </c>
      <c r="U805" s="1" t="b">
        <v>1</v>
      </c>
      <c r="V805" s="1" t="b">
        <v>0</v>
      </c>
      <c r="W805" s="1" t="b">
        <v>0</v>
      </c>
      <c r="X805" s="1">
        <v>5</v>
      </c>
      <c r="Y805" s="1" t="b">
        <v>1</v>
      </c>
      <c r="Z805" s="1" t="b">
        <v>1</v>
      </c>
      <c r="AA805" s="1"/>
      <c r="AB805" s="1" t="b">
        <v>1</v>
      </c>
      <c r="AC805" s="1">
        <v>106318457</v>
      </c>
      <c r="AD805" s="1">
        <v>636295</v>
      </c>
      <c r="AE805" s="1">
        <v>0</v>
      </c>
      <c r="AF805" s="1" t="s">
        <v>3340</v>
      </c>
      <c r="AG805" s="1" t="s">
        <v>3341</v>
      </c>
      <c r="AH805" s="1">
        <v>51.2</v>
      </c>
      <c r="AI805" s="1">
        <v>53.6</v>
      </c>
      <c r="AJ805" s="1" t="s">
        <v>3342</v>
      </c>
      <c r="AK805" s="1" t="s">
        <v>3343</v>
      </c>
      <c r="AL805" s="1" t="s">
        <v>3344</v>
      </c>
    </row>
    <row r="806" spans="1:38" x14ac:dyDescent="0.6">
      <c r="A806" s="1">
        <v>569</v>
      </c>
      <c r="B806" s="1" t="s">
        <v>103</v>
      </c>
      <c r="C806" s="1">
        <v>80</v>
      </c>
      <c r="D806" s="1" t="s">
        <v>153</v>
      </c>
      <c r="E806" s="1" t="s">
        <v>108</v>
      </c>
      <c r="F806" s="1"/>
      <c r="G806" s="1"/>
      <c r="H806" s="1" t="s">
        <v>220</v>
      </c>
      <c r="I806" s="1" t="s">
        <v>221</v>
      </c>
      <c r="J806" s="1" t="s">
        <v>222</v>
      </c>
      <c r="K806" s="1">
        <v>1.25</v>
      </c>
      <c r="L806" s="1">
        <v>120</v>
      </c>
      <c r="M806" s="1" t="s">
        <v>7</v>
      </c>
      <c r="N806" s="1" t="s">
        <v>7</v>
      </c>
      <c r="O806" s="1" t="s">
        <v>96</v>
      </c>
      <c r="P806" s="1" t="s">
        <v>96</v>
      </c>
      <c r="Q806" s="1" t="s">
        <v>9</v>
      </c>
      <c r="R806" s="1">
        <v>0</v>
      </c>
      <c r="S806" s="1" t="s">
        <v>97</v>
      </c>
      <c r="T806" s="1" t="s">
        <v>97</v>
      </c>
      <c r="U806" s="1" t="b">
        <v>1</v>
      </c>
      <c r="V806" s="1" t="b">
        <v>0</v>
      </c>
      <c r="W806" s="1" t="b">
        <v>0</v>
      </c>
      <c r="X806" s="1">
        <v>5</v>
      </c>
      <c r="Y806" s="1" t="b">
        <v>1</v>
      </c>
      <c r="Z806" s="1" t="b">
        <v>1</v>
      </c>
      <c r="AA806" s="1">
        <v>62</v>
      </c>
      <c r="AB806" s="1" t="b">
        <v>0</v>
      </c>
      <c r="AC806" s="1">
        <v>0</v>
      </c>
      <c r="AD806" s="1">
        <v>2776204</v>
      </c>
      <c r="AE806" s="1">
        <v>152150900</v>
      </c>
      <c r="AF806" s="1" t="s">
        <v>3345</v>
      </c>
      <c r="AG806" s="1" t="s">
        <v>3345</v>
      </c>
      <c r="AH806" s="1">
        <v>66</v>
      </c>
      <c r="AI806" s="1">
        <v>61.5</v>
      </c>
      <c r="AJ806" s="1" t="s">
        <v>3346</v>
      </c>
      <c r="AK806" s="1" t="s">
        <v>3347</v>
      </c>
      <c r="AL806" s="1" t="s">
        <v>3348</v>
      </c>
    </row>
    <row r="807" spans="1:38" x14ac:dyDescent="0.6">
      <c r="A807" s="1">
        <v>572</v>
      </c>
      <c r="B807" s="1" t="s">
        <v>88</v>
      </c>
      <c r="C807" s="1">
        <v>50</v>
      </c>
      <c r="D807" s="1" t="s">
        <v>89</v>
      </c>
      <c r="E807" s="1" t="s">
        <v>108</v>
      </c>
      <c r="F807" s="1"/>
      <c r="G807" s="1"/>
      <c r="H807" s="1" t="s">
        <v>220</v>
      </c>
      <c r="I807" s="1" t="s">
        <v>221</v>
      </c>
      <c r="J807" s="1" t="s">
        <v>222</v>
      </c>
      <c r="K807" s="1">
        <v>1.25</v>
      </c>
      <c r="L807" s="1">
        <v>120</v>
      </c>
      <c r="M807" s="1" t="s">
        <v>14</v>
      </c>
      <c r="N807" s="1" t="s">
        <v>95</v>
      </c>
      <c r="O807" s="1" t="s">
        <v>96</v>
      </c>
      <c r="P807" s="1"/>
      <c r="Q807" s="1" t="s">
        <v>9</v>
      </c>
      <c r="R807" s="1">
        <v>0</v>
      </c>
      <c r="S807" s="1" t="s">
        <v>97</v>
      </c>
      <c r="T807" s="1" t="s">
        <v>97</v>
      </c>
      <c r="U807" s="1" t="b">
        <v>1</v>
      </c>
      <c r="V807" s="1" t="b">
        <v>0</v>
      </c>
      <c r="W807" s="1" t="b">
        <v>0</v>
      </c>
      <c r="X807" s="1">
        <v>5</v>
      </c>
      <c r="Y807" s="1" t="b">
        <v>1</v>
      </c>
      <c r="Z807" s="1" t="b">
        <v>1</v>
      </c>
      <c r="AA807" s="1"/>
      <c r="AB807" s="1" t="b">
        <v>1</v>
      </c>
      <c r="AC807" s="1">
        <v>150516442</v>
      </c>
      <c r="AD807" s="1">
        <v>740646</v>
      </c>
      <c r="AE807" s="1">
        <v>0</v>
      </c>
      <c r="AF807" s="1" t="s">
        <v>3349</v>
      </c>
      <c r="AG807" s="1" t="s">
        <v>3350</v>
      </c>
      <c r="AH807" s="1">
        <v>70.5</v>
      </c>
      <c r="AI807" s="1">
        <v>69.900000000000006</v>
      </c>
      <c r="AJ807" s="1" t="s">
        <v>3351</v>
      </c>
      <c r="AK807" s="1" t="s">
        <v>3352</v>
      </c>
      <c r="AL807" s="1" t="s">
        <v>3353</v>
      </c>
    </row>
    <row r="808" spans="1:38" x14ac:dyDescent="0.6">
      <c r="A808" s="1">
        <v>568</v>
      </c>
      <c r="B808" s="1" t="s">
        <v>88</v>
      </c>
      <c r="C808" s="1">
        <v>60</v>
      </c>
      <c r="D808" s="1" t="s">
        <v>127</v>
      </c>
      <c r="E808" s="1" t="s">
        <v>108</v>
      </c>
      <c r="F808" s="1"/>
      <c r="G808" s="1"/>
      <c r="H808" s="1" t="s">
        <v>220</v>
      </c>
      <c r="I808" s="1" t="s">
        <v>221</v>
      </c>
      <c r="J808" s="1" t="s">
        <v>222</v>
      </c>
      <c r="K808" s="1">
        <v>1.25</v>
      </c>
      <c r="L808" s="1">
        <v>120</v>
      </c>
      <c r="M808" s="1" t="s">
        <v>7</v>
      </c>
      <c r="N808" s="1" t="s">
        <v>7</v>
      </c>
      <c r="O808" s="1" t="s">
        <v>96</v>
      </c>
      <c r="P808" s="1" t="s">
        <v>96</v>
      </c>
      <c r="Q808" s="1" t="s">
        <v>9</v>
      </c>
      <c r="R808" s="1">
        <v>0</v>
      </c>
      <c r="S808" s="1" t="s">
        <v>97</v>
      </c>
      <c r="T808" s="1" t="s">
        <v>97</v>
      </c>
      <c r="U808" s="1" t="b">
        <v>1</v>
      </c>
      <c r="V808" s="1" t="b">
        <v>0</v>
      </c>
      <c r="W808" s="1" t="b">
        <v>0</v>
      </c>
      <c r="X808" s="1">
        <v>5</v>
      </c>
      <c r="Y808" s="1" t="b">
        <v>1</v>
      </c>
      <c r="Z808" s="1" t="b">
        <v>1</v>
      </c>
      <c r="AA808" s="1">
        <v>74.8</v>
      </c>
      <c r="AB808" s="1" t="b">
        <v>0</v>
      </c>
      <c r="AC808" s="1">
        <v>0</v>
      </c>
      <c r="AD808" s="1">
        <v>2895617</v>
      </c>
      <c r="AE808" s="1">
        <v>158847231</v>
      </c>
      <c r="AF808" s="1" t="s">
        <v>3354</v>
      </c>
      <c r="AG808" s="1" t="s">
        <v>3354</v>
      </c>
      <c r="AH808" s="1">
        <v>74.8</v>
      </c>
      <c r="AI808" s="1">
        <v>72.2</v>
      </c>
      <c r="AJ808" s="1" t="s">
        <v>3355</v>
      </c>
      <c r="AK808" s="1" t="s">
        <v>3356</v>
      </c>
      <c r="AL808" s="1" t="s">
        <v>3357</v>
      </c>
    </row>
    <row r="809" spans="1:38" x14ac:dyDescent="0.6">
      <c r="A809" s="1">
        <v>570</v>
      </c>
      <c r="B809" s="1" t="s">
        <v>103</v>
      </c>
      <c r="C809" s="1">
        <v>50</v>
      </c>
      <c r="D809" s="1" t="s">
        <v>89</v>
      </c>
      <c r="E809" s="1" t="s">
        <v>108</v>
      </c>
      <c r="F809" s="1"/>
      <c r="G809" s="1"/>
      <c r="H809" s="1" t="s">
        <v>220</v>
      </c>
      <c r="I809" s="1" t="s">
        <v>221</v>
      </c>
      <c r="J809" s="1" t="s">
        <v>222</v>
      </c>
      <c r="K809" s="1">
        <v>0.625</v>
      </c>
      <c r="L809" s="1">
        <v>120</v>
      </c>
      <c r="M809" s="1" t="s">
        <v>94</v>
      </c>
      <c r="N809" s="1" t="s">
        <v>95</v>
      </c>
      <c r="O809" s="1"/>
      <c r="P809" s="1" t="s">
        <v>96</v>
      </c>
      <c r="Q809" s="1" t="s">
        <v>9</v>
      </c>
      <c r="R809" s="1">
        <v>0</v>
      </c>
      <c r="S809" s="1" t="s">
        <v>97</v>
      </c>
      <c r="T809" s="1" t="s">
        <v>97</v>
      </c>
      <c r="U809" s="1" t="b">
        <v>1</v>
      </c>
      <c r="V809" s="1" t="b">
        <v>0</v>
      </c>
      <c r="W809" s="1" t="b">
        <v>0</v>
      </c>
      <c r="X809" s="1">
        <v>0</v>
      </c>
      <c r="Y809" s="1" t="b">
        <v>1</v>
      </c>
      <c r="Z809" s="1" t="b">
        <v>1</v>
      </c>
      <c r="AA809" s="1">
        <v>54.2</v>
      </c>
      <c r="AB809" s="1" t="b">
        <v>1</v>
      </c>
      <c r="AC809" s="1">
        <v>190405573</v>
      </c>
      <c r="AD809" s="1">
        <v>3318843</v>
      </c>
      <c r="AE809" s="1">
        <v>0</v>
      </c>
      <c r="AF809" s="1" t="s">
        <v>3358</v>
      </c>
      <c r="AG809" s="1" t="s">
        <v>3359</v>
      </c>
      <c r="AH809" s="1">
        <v>53.4</v>
      </c>
      <c r="AI809" s="1">
        <v>52.9</v>
      </c>
      <c r="AJ809" s="1" t="s">
        <v>3360</v>
      </c>
      <c r="AK809" s="1" t="s">
        <v>3361</v>
      </c>
      <c r="AL809" s="1" t="s">
        <v>3362</v>
      </c>
    </row>
    <row r="810" spans="1:38" x14ac:dyDescent="0.6">
      <c r="A810" s="1">
        <v>573</v>
      </c>
      <c r="B810" s="1" t="s">
        <v>88</v>
      </c>
      <c r="C810" s="1">
        <v>60</v>
      </c>
      <c r="D810" s="1" t="s">
        <v>127</v>
      </c>
      <c r="E810" s="1" t="s">
        <v>90</v>
      </c>
      <c r="F810" s="1"/>
      <c r="G810" s="1"/>
      <c r="H810" s="1" t="s">
        <v>220</v>
      </c>
      <c r="I810" s="1" t="s">
        <v>221</v>
      </c>
      <c r="J810" s="1" t="s">
        <v>222</v>
      </c>
      <c r="K810" s="1">
        <v>1.25</v>
      </c>
      <c r="L810" s="1">
        <v>120</v>
      </c>
      <c r="M810" s="1" t="s">
        <v>14</v>
      </c>
      <c r="N810" s="1" t="s">
        <v>95</v>
      </c>
      <c r="O810" s="1" t="s">
        <v>96</v>
      </c>
      <c r="P810" s="1"/>
      <c r="Q810" s="1" t="s">
        <v>9</v>
      </c>
      <c r="R810" s="1">
        <v>0</v>
      </c>
      <c r="S810" s="1" t="s">
        <v>97</v>
      </c>
      <c r="T810" s="1" t="s">
        <v>97</v>
      </c>
      <c r="U810" s="1" t="b">
        <v>1</v>
      </c>
      <c r="V810" s="1" t="b">
        <v>0</v>
      </c>
      <c r="W810" s="1" t="b">
        <v>0</v>
      </c>
      <c r="X810" s="1">
        <v>5</v>
      </c>
      <c r="Y810" s="1" t="b">
        <v>1</v>
      </c>
      <c r="Z810" s="1" t="b">
        <v>1</v>
      </c>
      <c r="AA810" s="1"/>
      <c r="AB810" s="1" t="b">
        <v>1</v>
      </c>
      <c r="AC810" s="1">
        <v>122182434</v>
      </c>
      <c r="AD810" s="1">
        <v>500958</v>
      </c>
      <c r="AE810" s="1">
        <v>0</v>
      </c>
      <c r="AF810" s="1" t="s">
        <v>3363</v>
      </c>
      <c r="AG810" s="1" t="s">
        <v>3364</v>
      </c>
      <c r="AH810" s="1">
        <v>72.2</v>
      </c>
      <c r="AI810" s="1">
        <v>64</v>
      </c>
      <c r="AJ810" s="1" t="s">
        <v>3365</v>
      </c>
      <c r="AK810" s="1" t="s">
        <v>3366</v>
      </c>
      <c r="AL810" s="1" t="s">
        <v>3367</v>
      </c>
    </row>
    <row r="811" spans="1:38" x14ac:dyDescent="0.6">
      <c r="A811" s="1">
        <v>574</v>
      </c>
      <c r="B811" s="1" t="s">
        <v>103</v>
      </c>
      <c r="C811" s="1">
        <v>60</v>
      </c>
      <c r="D811" s="1" t="s">
        <v>127</v>
      </c>
      <c r="E811" s="1" t="s">
        <v>90</v>
      </c>
      <c r="F811" s="1"/>
      <c r="G811" s="1"/>
      <c r="H811" s="1" t="s">
        <v>220</v>
      </c>
      <c r="I811" s="1" t="s">
        <v>221</v>
      </c>
      <c r="J811" s="1" t="s">
        <v>222</v>
      </c>
      <c r="K811" s="1">
        <v>1.25</v>
      </c>
      <c r="L811" s="1">
        <v>120</v>
      </c>
      <c r="M811" s="1" t="s">
        <v>94</v>
      </c>
      <c r="N811" s="1" t="s">
        <v>95</v>
      </c>
      <c r="O811" s="1"/>
      <c r="P811" s="1" t="s">
        <v>96</v>
      </c>
      <c r="Q811" s="1" t="s">
        <v>9</v>
      </c>
      <c r="R811" s="1">
        <v>0</v>
      </c>
      <c r="S811" s="1" t="s">
        <v>97</v>
      </c>
      <c r="T811" s="1" t="s">
        <v>97</v>
      </c>
      <c r="U811" s="1" t="b">
        <v>1</v>
      </c>
      <c r="V811" s="1" t="b">
        <v>0</v>
      </c>
      <c r="W811" s="1" t="b">
        <v>0</v>
      </c>
      <c r="X811" s="1">
        <v>0</v>
      </c>
      <c r="Y811" s="1" t="b">
        <v>1</v>
      </c>
      <c r="Z811" s="1" t="b">
        <v>1</v>
      </c>
      <c r="AA811" s="1">
        <v>57.1</v>
      </c>
      <c r="AB811" s="1" t="b">
        <v>1</v>
      </c>
      <c r="AC811" s="1">
        <v>111974956</v>
      </c>
      <c r="AD811" s="1">
        <v>1795540</v>
      </c>
      <c r="AE811" s="1">
        <v>0</v>
      </c>
      <c r="AF811" s="1" t="s">
        <v>3340</v>
      </c>
      <c r="AG811" s="1" t="s">
        <v>3341</v>
      </c>
      <c r="AH811" s="1">
        <v>51.2</v>
      </c>
      <c r="AI811" s="1">
        <v>53.6</v>
      </c>
      <c r="AJ811" s="1" t="s">
        <v>3368</v>
      </c>
      <c r="AK811" s="1" t="s">
        <v>3369</v>
      </c>
      <c r="AL811" s="1" t="s">
        <v>3370</v>
      </c>
    </row>
    <row r="812" spans="1:38" x14ac:dyDescent="0.6">
      <c r="A812" s="1">
        <v>573</v>
      </c>
      <c r="B812" s="1" t="s">
        <v>88</v>
      </c>
      <c r="C812" s="1">
        <v>60</v>
      </c>
      <c r="D812" s="1" t="s">
        <v>127</v>
      </c>
      <c r="E812" s="1" t="s">
        <v>90</v>
      </c>
      <c r="F812" s="1"/>
      <c r="G812" s="1"/>
      <c r="H812" s="1" t="s">
        <v>220</v>
      </c>
      <c r="I812" s="1" t="s">
        <v>221</v>
      </c>
      <c r="J812" s="1" t="s">
        <v>222</v>
      </c>
      <c r="K812" s="1">
        <v>1.25</v>
      </c>
      <c r="L812" s="1">
        <v>120</v>
      </c>
      <c r="M812" s="1" t="s">
        <v>94</v>
      </c>
      <c r="N812" s="1" t="s">
        <v>95</v>
      </c>
      <c r="O812" s="1"/>
      <c r="P812" s="1" t="s">
        <v>96</v>
      </c>
      <c r="Q812" s="1" t="s">
        <v>9</v>
      </c>
      <c r="R812" s="1">
        <v>0</v>
      </c>
      <c r="S812" s="1" t="s">
        <v>97</v>
      </c>
      <c r="T812" s="1" t="s">
        <v>97</v>
      </c>
      <c r="U812" s="1" t="b">
        <v>1</v>
      </c>
      <c r="V812" s="1" t="b">
        <v>0</v>
      </c>
      <c r="W812" s="1" t="b">
        <v>0</v>
      </c>
      <c r="X812" s="1">
        <v>0</v>
      </c>
      <c r="Y812" s="1" t="b">
        <v>1</v>
      </c>
      <c r="Z812" s="1" t="b">
        <v>1</v>
      </c>
      <c r="AA812" s="1">
        <v>65.099999999999994</v>
      </c>
      <c r="AB812" s="1" t="b">
        <v>1</v>
      </c>
      <c r="AC812" s="1">
        <v>122425168</v>
      </c>
      <c r="AD812" s="1">
        <v>1306800</v>
      </c>
      <c r="AE812" s="1">
        <v>0</v>
      </c>
      <c r="AF812" s="1" t="s">
        <v>3363</v>
      </c>
      <c r="AG812" s="1" t="s">
        <v>3364</v>
      </c>
      <c r="AH812" s="1">
        <v>72.2</v>
      </c>
      <c r="AI812" s="1">
        <v>64</v>
      </c>
      <c r="AJ812" s="1" t="s">
        <v>3371</v>
      </c>
      <c r="AK812" s="1" t="s">
        <v>3372</v>
      </c>
      <c r="AL812" s="1" t="s">
        <v>3373</v>
      </c>
    </row>
    <row r="813" spans="1:38" x14ac:dyDescent="0.6">
      <c r="A813" s="1">
        <v>572</v>
      </c>
      <c r="B813" s="1" t="s">
        <v>88</v>
      </c>
      <c r="C813" s="1">
        <v>50</v>
      </c>
      <c r="D813" s="1" t="s">
        <v>89</v>
      </c>
      <c r="E813" s="1" t="s">
        <v>108</v>
      </c>
      <c r="F813" s="1"/>
      <c r="G813" s="1"/>
      <c r="H813" s="1" t="s">
        <v>220</v>
      </c>
      <c r="I813" s="1" t="s">
        <v>221</v>
      </c>
      <c r="J813" s="1" t="s">
        <v>222</v>
      </c>
      <c r="K813" s="1">
        <v>1.25</v>
      </c>
      <c r="L813" s="1">
        <v>120</v>
      </c>
      <c r="M813" s="1" t="s">
        <v>94</v>
      </c>
      <c r="N813" s="1" t="s">
        <v>95</v>
      </c>
      <c r="O813" s="1"/>
      <c r="P813" s="1" t="s">
        <v>96</v>
      </c>
      <c r="Q813" s="1" t="s">
        <v>9</v>
      </c>
      <c r="R813" s="1">
        <v>0</v>
      </c>
      <c r="S813" s="1" t="s">
        <v>97</v>
      </c>
      <c r="T813" s="1" t="s">
        <v>97</v>
      </c>
      <c r="U813" s="1" t="b">
        <v>1</v>
      </c>
      <c r="V813" s="1" t="b">
        <v>0</v>
      </c>
      <c r="W813" s="1" t="b">
        <v>0</v>
      </c>
      <c r="X813" s="1">
        <v>0</v>
      </c>
      <c r="Y813" s="1" t="b">
        <v>1</v>
      </c>
      <c r="Z813" s="1" t="b">
        <v>1</v>
      </c>
      <c r="AA813" s="1">
        <v>72.099999999999994</v>
      </c>
      <c r="AB813" s="1" t="b">
        <v>1</v>
      </c>
      <c r="AC813" s="1">
        <v>162027845</v>
      </c>
      <c r="AD813" s="1">
        <v>2074299</v>
      </c>
      <c r="AE813" s="1">
        <v>0</v>
      </c>
      <c r="AF813" s="1" t="s">
        <v>3349</v>
      </c>
      <c r="AG813" s="1" t="s">
        <v>3350</v>
      </c>
      <c r="AH813" s="1">
        <v>70.5</v>
      </c>
      <c r="AI813" s="1">
        <v>69.900000000000006</v>
      </c>
      <c r="AJ813" s="1" t="s">
        <v>3374</v>
      </c>
      <c r="AK813" s="1" t="s">
        <v>3375</v>
      </c>
      <c r="AL813" s="1" t="s">
        <v>3376</v>
      </c>
    </row>
    <row r="814" spans="1:38" x14ac:dyDescent="0.6">
      <c r="A814" s="1">
        <v>565</v>
      </c>
      <c r="B814" s="1" t="s">
        <v>88</v>
      </c>
      <c r="C814" s="1">
        <v>60</v>
      </c>
      <c r="D814" s="1" t="s">
        <v>127</v>
      </c>
      <c r="E814" s="1" t="s">
        <v>90</v>
      </c>
      <c r="F814" s="1"/>
      <c r="G814" s="1"/>
      <c r="H814" s="1" t="s">
        <v>220</v>
      </c>
      <c r="I814" s="1" t="s">
        <v>221</v>
      </c>
      <c r="J814" s="1" t="s">
        <v>222</v>
      </c>
      <c r="K814" s="1">
        <v>1.25</v>
      </c>
      <c r="L814" s="1">
        <v>120</v>
      </c>
      <c r="M814" s="1" t="s">
        <v>14</v>
      </c>
      <c r="N814" s="1" t="s">
        <v>95</v>
      </c>
      <c r="O814" s="1" t="s">
        <v>96</v>
      </c>
      <c r="P814" s="1"/>
      <c r="Q814" s="1" t="s">
        <v>9</v>
      </c>
      <c r="R814" s="1">
        <v>0</v>
      </c>
      <c r="S814" s="1" t="s">
        <v>97</v>
      </c>
      <c r="T814" s="1" t="s">
        <v>97</v>
      </c>
      <c r="U814" s="1" t="b">
        <v>1</v>
      </c>
      <c r="V814" s="1" t="b">
        <v>0</v>
      </c>
      <c r="W814" s="1" t="b">
        <v>0</v>
      </c>
      <c r="X814" s="1">
        <v>5</v>
      </c>
      <c r="Y814" s="1" t="b">
        <v>1</v>
      </c>
      <c r="Z814" s="1" t="b">
        <v>1</v>
      </c>
      <c r="AA814" s="1"/>
      <c r="AB814" s="1" t="b">
        <v>1</v>
      </c>
      <c r="AC814" s="1">
        <v>141208007</v>
      </c>
      <c r="AD814" s="1">
        <v>611897</v>
      </c>
      <c r="AE814" s="1">
        <v>0</v>
      </c>
      <c r="AF814" s="1" t="s">
        <v>3312</v>
      </c>
      <c r="AG814" s="1" t="s">
        <v>3313</v>
      </c>
      <c r="AH814" s="1">
        <v>88.5</v>
      </c>
      <c r="AI814" s="1">
        <v>81.099999999999994</v>
      </c>
      <c r="AJ814" s="1" t="s">
        <v>3377</v>
      </c>
      <c r="AK814" s="1" t="s">
        <v>3378</v>
      </c>
      <c r="AL814" s="1" t="s">
        <v>3379</v>
      </c>
    </row>
    <row r="815" spans="1:38" x14ac:dyDescent="0.6">
      <c r="A815" s="1">
        <v>567</v>
      </c>
      <c r="B815" s="1" t="s">
        <v>103</v>
      </c>
      <c r="C815" s="1">
        <v>60</v>
      </c>
      <c r="D815" s="1" t="s">
        <v>127</v>
      </c>
      <c r="E815" s="1" t="s">
        <v>90</v>
      </c>
      <c r="F815" s="1"/>
      <c r="G815" s="1"/>
      <c r="H815" s="1" t="s">
        <v>220</v>
      </c>
      <c r="I815" s="1" t="s">
        <v>221</v>
      </c>
      <c r="J815" s="1" t="s">
        <v>222</v>
      </c>
      <c r="K815" s="1">
        <v>1.25</v>
      </c>
      <c r="L815" s="1">
        <v>120</v>
      </c>
      <c r="M815" s="1" t="s">
        <v>14</v>
      </c>
      <c r="N815" s="1" t="s">
        <v>95</v>
      </c>
      <c r="O815" s="1" t="s">
        <v>96</v>
      </c>
      <c r="P815" s="1"/>
      <c r="Q815" s="1" t="s">
        <v>9</v>
      </c>
      <c r="R815" s="1">
        <v>0</v>
      </c>
      <c r="S815" s="1" t="s">
        <v>97</v>
      </c>
      <c r="T815" s="1" t="s">
        <v>97</v>
      </c>
      <c r="U815" s="1" t="b">
        <v>1</v>
      </c>
      <c r="V815" s="1" t="b">
        <v>0</v>
      </c>
      <c r="W815" s="1" t="b">
        <v>0</v>
      </c>
      <c r="X815" s="1">
        <v>5</v>
      </c>
      <c r="Y815" s="1" t="b">
        <v>1</v>
      </c>
      <c r="Z815" s="1" t="b">
        <v>1</v>
      </c>
      <c r="AA815" s="1"/>
      <c r="AB815" s="1" t="b">
        <v>1</v>
      </c>
      <c r="AC815" s="1">
        <v>133504163</v>
      </c>
      <c r="AD815" s="1">
        <v>713565</v>
      </c>
      <c r="AE815" s="1">
        <v>0</v>
      </c>
      <c r="AF815" s="1" t="s">
        <v>3332</v>
      </c>
      <c r="AG815" s="1" t="s">
        <v>3333</v>
      </c>
      <c r="AH815" s="1">
        <v>69</v>
      </c>
      <c r="AI815" s="1">
        <v>63.5</v>
      </c>
      <c r="AJ815" s="1" t="s">
        <v>3380</v>
      </c>
      <c r="AK815" s="1" t="s">
        <v>3381</v>
      </c>
      <c r="AL815" s="1" t="s">
        <v>3382</v>
      </c>
    </row>
    <row r="816" spans="1:38" x14ac:dyDescent="0.6">
      <c r="A816" s="1">
        <v>582</v>
      </c>
      <c r="B816" s="1" t="s">
        <v>88</v>
      </c>
      <c r="C816" s="1">
        <v>50</v>
      </c>
      <c r="D816" s="1" t="s">
        <v>89</v>
      </c>
      <c r="E816" s="1" t="s">
        <v>90</v>
      </c>
      <c r="F816" s="1">
        <v>10.5</v>
      </c>
      <c r="G816" s="1"/>
      <c r="H816" s="1" t="s">
        <v>120</v>
      </c>
      <c r="I816" s="1" t="s">
        <v>121</v>
      </c>
      <c r="J816" s="1" t="s">
        <v>122</v>
      </c>
      <c r="K816" s="1">
        <v>1</v>
      </c>
      <c r="L816" s="1">
        <v>120</v>
      </c>
      <c r="M816" s="1" t="s">
        <v>14</v>
      </c>
      <c r="N816" s="1" t="s">
        <v>95</v>
      </c>
      <c r="O816" s="1" t="s">
        <v>96</v>
      </c>
      <c r="P816" s="1"/>
      <c r="Q816" s="1" t="s">
        <v>9</v>
      </c>
      <c r="R816" s="1">
        <v>0</v>
      </c>
      <c r="S816" s="1" t="s">
        <v>97</v>
      </c>
      <c r="T816" s="1" t="s">
        <v>97</v>
      </c>
      <c r="U816" s="1" t="b">
        <v>1</v>
      </c>
      <c r="V816" s="1" t="b">
        <v>0</v>
      </c>
      <c r="W816" s="1" t="b">
        <v>0</v>
      </c>
      <c r="X816" s="1">
        <v>5</v>
      </c>
      <c r="Y816" s="1" t="b">
        <v>1</v>
      </c>
      <c r="Z816" s="1" t="b">
        <v>1</v>
      </c>
      <c r="AA816" s="1"/>
      <c r="AB816" s="1" t="b">
        <v>1</v>
      </c>
      <c r="AC816" s="1">
        <v>142200338</v>
      </c>
      <c r="AD816" s="1">
        <v>668142</v>
      </c>
      <c r="AE816" s="1">
        <v>0</v>
      </c>
      <c r="AF816" s="1" t="s">
        <v>3383</v>
      </c>
      <c r="AG816" s="1" t="s">
        <v>3384</v>
      </c>
      <c r="AH816" s="1">
        <v>69.400000000000006</v>
      </c>
      <c r="AI816" s="1">
        <v>71.3</v>
      </c>
      <c r="AJ816" s="1" t="s">
        <v>3385</v>
      </c>
      <c r="AK816" s="1" t="s">
        <v>3386</v>
      </c>
      <c r="AL816" s="1" t="s">
        <v>3387</v>
      </c>
    </row>
    <row r="817" spans="1:38" x14ac:dyDescent="0.6">
      <c r="A817" s="1">
        <v>566</v>
      </c>
      <c r="B817" s="1" t="s">
        <v>88</v>
      </c>
      <c r="C817" s="1">
        <v>70</v>
      </c>
      <c r="D817" s="1" t="s">
        <v>119</v>
      </c>
      <c r="E817" s="1" t="s">
        <v>90</v>
      </c>
      <c r="F817" s="1"/>
      <c r="G817" s="1"/>
      <c r="H817" s="1" t="s">
        <v>220</v>
      </c>
      <c r="I817" s="1" t="s">
        <v>221</v>
      </c>
      <c r="J817" s="1" t="s">
        <v>222</v>
      </c>
      <c r="K817" s="1">
        <v>1.25</v>
      </c>
      <c r="L817" s="1">
        <v>120</v>
      </c>
      <c r="M817" s="1" t="s">
        <v>7</v>
      </c>
      <c r="N817" s="1" t="s">
        <v>7</v>
      </c>
      <c r="O817" s="1" t="s">
        <v>96</v>
      </c>
      <c r="P817" s="1" t="s">
        <v>96</v>
      </c>
      <c r="Q817" s="1" t="s">
        <v>9</v>
      </c>
      <c r="R817" s="1">
        <v>0</v>
      </c>
      <c r="S817" s="1" t="s">
        <v>97</v>
      </c>
      <c r="T817" s="1" t="s">
        <v>97</v>
      </c>
      <c r="U817" s="1" t="b">
        <v>1</v>
      </c>
      <c r="V817" s="1" t="b">
        <v>0</v>
      </c>
      <c r="W817" s="1" t="b">
        <v>0</v>
      </c>
      <c r="X817" s="1">
        <v>5</v>
      </c>
      <c r="Y817" s="1" t="b">
        <v>1</v>
      </c>
      <c r="Z817" s="1" t="b">
        <v>1</v>
      </c>
      <c r="AA817" s="1">
        <v>73.099999999999994</v>
      </c>
      <c r="AB817" s="1" t="b">
        <v>0</v>
      </c>
      <c r="AC817" s="1">
        <v>0</v>
      </c>
      <c r="AD817" s="1">
        <v>2657196</v>
      </c>
      <c r="AE817" s="1">
        <v>139424852</v>
      </c>
      <c r="AF817" s="1" t="s">
        <v>3388</v>
      </c>
      <c r="AG817" s="1" t="s">
        <v>3388</v>
      </c>
      <c r="AH817" s="1">
        <v>68.099999999999994</v>
      </c>
      <c r="AI817" s="1">
        <v>69.5</v>
      </c>
      <c r="AJ817" s="1" t="s">
        <v>3389</v>
      </c>
      <c r="AK817" s="1" t="s">
        <v>3390</v>
      </c>
      <c r="AL817" s="1" t="s">
        <v>3391</v>
      </c>
    </row>
    <row r="818" spans="1:38" x14ac:dyDescent="0.6">
      <c r="A818" s="1">
        <v>580</v>
      </c>
      <c r="B818" s="1" t="s">
        <v>88</v>
      </c>
      <c r="C818" s="1">
        <v>50</v>
      </c>
      <c r="D818" s="1" t="s">
        <v>89</v>
      </c>
      <c r="E818" s="1" t="s">
        <v>90</v>
      </c>
      <c r="F818" s="1"/>
      <c r="G818" s="1"/>
      <c r="H818" s="1" t="s">
        <v>220</v>
      </c>
      <c r="I818" s="1" t="s">
        <v>221</v>
      </c>
      <c r="J818" s="1" t="s">
        <v>1176</v>
      </c>
      <c r="K818" s="1">
        <v>1.25</v>
      </c>
      <c r="L818" s="1">
        <v>120</v>
      </c>
      <c r="M818" s="1" t="s">
        <v>7</v>
      </c>
      <c r="N818" s="1" t="s">
        <v>7</v>
      </c>
      <c r="O818" s="1" t="s">
        <v>96</v>
      </c>
      <c r="P818" s="1" t="s">
        <v>96</v>
      </c>
      <c r="Q818" s="1" t="s">
        <v>9</v>
      </c>
      <c r="R818" s="1">
        <v>0</v>
      </c>
      <c r="S818" s="1" t="s">
        <v>97</v>
      </c>
      <c r="T818" s="1" t="s">
        <v>97</v>
      </c>
      <c r="U818" s="1" t="b">
        <v>1</v>
      </c>
      <c r="V818" s="1" t="b">
        <v>0</v>
      </c>
      <c r="W818" s="1" t="b">
        <v>0</v>
      </c>
      <c r="X818" s="1">
        <v>5</v>
      </c>
      <c r="Y818" s="1" t="b">
        <v>1</v>
      </c>
      <c r="Z818" s="1" t="b">
        <v>1</v>
      </c>
      <c r="AA818" s="1">
        <v>66.400000000000006</v>
      </c>
      <c r="AB818" s="1" t="b">
        <v>0</v>
      </c>
      <c r="AC818" s="1">
        <v>0</v>
      </c>
      <c r="AD818" s="1">
        <v>1810632</v>
      </c>
      <c r="AE818" s="1">
        <v>139222840</v>
      </c>
      <c r="AF818" s="1" t="s">
        <v>3392</v>
      </c>
      <c r="AG818" s="1" t="s">
        <v>3392</v>
      </c>
      <c r="AH818" s="1">
        <v>63.8</v>
      </c>
      <c r="AI818" s="1">
        <v>62.4</v>
      </c>
      <c r="AJ818" s="1" t="s">
        <v>3393</v>
      </c>
      <c r="AK818" s="1" t="s">
        <v>3394</v>
      </c>
      <c r="AL818" s="1" t="s">
        <v>3395</v>
      </c>
    </row>
    <row r="819" spans="1:38" x14ac:dyDescent="0.6">
      <c r="A819" s="1">
        <v>578</v>
      </c>
      <c r="B819" s="1" t="s">
        <v>88</v>
      </c>
      <c r="C819" s="1">
        <v>60</v>
      </c>
      <c r="D819" s="1" t="s">
        <v>127</v>
      </c>
      <c r="E819" s="1" t="s">
        <v>108</v>
      </c>
      <c r="F819" s="1"/>
      <c r="G819" s="1"/>
      <c r="H819" s="1" t="s">
        <v>220</v>
      </c>
      <c r="I819" s="1" t="s">
        <v>221</v>
      </c>
      <c r="J819" s="1" t="s">
        <v>1176</v>
      </c>
      <c r="K819" s="1">
        <v>1.25</v>
      </c>
      <c r="L819" s="1">
        <v>120</v>
      </c>
      <c r="M819" s="1" t="s">
        <v>7</v>
      </c>
      <c r="N819" s="1" t="s">
        <v>7</v>
      </c>
      <c r="O819" s="1" t="s">
        <v>96</v>
      </c>
      <c r="P819" s="1" t="s">
        <v>96</v>
      </c>
      <c r="Q819" s="1" t="s">
        <v>9</v>
      </c>
      <c r="R819" s="1">
        <v>0</v>
      </c>
      <c r="S819" s="1" t="s">
        <v>97</v>
      </c>
      <c r="T819" s="1" t="s">
        <v>97</v>
      </c>
      <c r="U819" s="1" t="b">
        <v>1</v>
      </c>
      <c r="V819" s="1" t="b">
        <v>0</v>
      </c>
      <c r="W819" s="1" t="b">
        <v>0</v>
      </c>
      <c r="X819" s="1">
        <v>5</v>
      </c>
      <c r="Y819" s="1" t="b">
        <v>1</v>
      </c>
      <c r="Z819" s="1" t="b">
        <v>1</v>
      </c>
      <c r="AA819" s="1">
        <v>84.3</v>
      </c>
      <c r="AB819" s="1" t="b">
        <v>0</v>
      </c>
      <c r="AC819" s="1">
        <v>0</v>
      </c>
      <c r="AD819" s="1">
        <v>1740650</v>
      </c>
      <c r="AE819" s="1">
        <v>163410070</v>
      </c>
      <c r="AF819" s="1" t="s">
        <v>3396</v>
      </c>
      <c r="AG819" s="1" t="s">
        <v>3396</v>
      </c>
      <c r="AH819" s="1">
        <v>77</v>
      </c>
      <c r="AI819" s="1">
        <v>80.3</v>
      </c>
      <c r="AJ819" s="1" t="s">
        <v>3397</v>
      </c>
      <c r="AK819" s="1" t="s">
        <v>3398</v>
      </c>
      <c r="AL819" s="1" t="s">
        <v>3399</v>
      </c>
    </row>
    <row r="820" spans="1:38" x14ac:dyDescent="0.6">
      <c r="A820" s="1">
        <v>583</v>
      </c>
      <c r="B820" s="1" t="s">
        <v>88</v>
      </c>
      <c r="C820" s="1">
        <v>60</v>
      </c>
      <c r="D820" s="1" t="s">
        <v>127</v>
      </c>
      <c r="E820" s="1" t="s">
        <v>90</v>
      </c>
      <c r="F820" s="1"/>
      <c r="G820" s="1"/>
      <c r="H820" s="1" t="s">
        <v>91</v>
      </c>
      <c r="I820" s="1" t="s">
        <v>92</v>
      </c>
      <c r="J820" s="1" t="s">
        <v>109</v>
      </c>
      <c r="K820" s="1">
        <v>1</v>
      </c>
      <c r="L820" s="1">
        <v>120</v>
      </c>
      <c r="M820" s="1" t="s">
        <v>7</v>
      </c>
      <c r="N820" s="1" t="s">
        <v>7</v>
      </c>
      <c r="O820" s="1" t="s">
        <v>96</v>
      </c>
      <c r="P820" s="1" t="s">
        <v>96</v>
      </c>
      <c r="Q820" s="1" t="s">
        <v>9</v>
      </c>
      <c r="R820" s="1">
        <v>0</v>
      </c>
      <c r="S820" s="1" t="s">
        <v>97</v>
      </c>
      <c r="T820" s="1" t="s">
        <v>97</v>
      </c>
      <c r="U820" s="1" t="b">
        <v>1</v>
      </c>
      <c r="V820" s="1" t="b">
        <v>0</v>
      </c>
      <c r="W820" s="1" t="b">
        <v>0</v>
      </c>
      <c r="X820" s="1">
        <v>5</v>
      </c>
      <c r="Y820" s="1" t="b">
        <v>1</v>
      </c>
      <c r="Z820" s="1" t="b">
        <v>1</v>
      </c>
      <c r="AA820" s="1">
        <v>69.7</v>
      </c>
      <c r="AB820" s="1" t="b">
        <v>0</v>
      </c>
      <c r="AC820" s="1">
        <v>0</v>
      </c>
      <c r="AD820" s="1">
        <v>2076569</v>
      </c>
      <c r="AE820" s="1">
        <v>136073319</v>
      </c>
      <c r="AF820" s="1" t="s">
        <v>3400</v>
      </c>
      <c r="AG820" s="1" t="s">
        <v>3400</v>
      </c>
      <c r="AH820" s="1">
        <v>67</v>
      </c>
      <c r="AI820" s="1">
        <v>67.8</v>
      </c>
      <c r="AJ820" s="1" t="s">
        <v>3401</v>
      </c>
      <c r="AK820" s="1" t="s">
        <v>3402</v>
      </c>
      <c r="AL820" s="1" t="s">
        <v>3403</v>
      </c>
    </row>
    <row r="821" spans="1:38" x14ac:dyDescent="0.6">
      <c r="A821" s="1">
        <v>579</v>
      </c>
      <c r="B821" s="1" t="s">
        <v>88</v>
      </c>
      <c r="C821" s="1">
        <v>60</v>
      </c>
      <c r="D821" s="1" t="s">
        <v>127</v>
      </c>
      <c r="E821" s="1" t="s">
        <v>108</v>
      </c>
      <c r="F821" s="1"/>
      <c r="G821" s="1"/>
      <c r="H821" s="1" t="s">
        <v>220</v>
      </c>
      <c r="I821" s="1" t="s">
        <v>221</v>
      </c>
      <c r="J821" s="1" t="s">
        <v>1176</v>
      </c>
      <c r="K821" s="1">
        <v>1.25</v>
      </c>
      <c r="L821" s="1">
        <v>120</v>
      </c>
      <c r="M821" s="1" t="s">
        <v>7</v>
      </c>
      <c r="N821" s="1" t="s">
        <v>7</v>
      </c>
      <c r="O821" s="1" t="s">
        <v>96</v>
      </c>
      <c r="P821" s="1" t="s">
        <v>96</v>
      </c>
      <c r="Q821" s="1" t="s">
        <v>9</v>
      </c>
      <c r="R821" s="1">
        <v>0</v>
      </c>
      <c r="S821" s="1" t="s">
        <v>97</v>
      </c>
      <c r="T821" s="1" t="s">
        <v>97</v>
      </c>
      <c r="U821" s="1" t="b">
        <v>1</v>
      </c>
      <c r="V821" s="1" t="b">
        <v>0</v>
      </c>
      <c r="W821" s="1" t="b">
        <v>0</v>
      </c>
      <c r="X821" s="1">
        <v>5</v>
      </c>
      <c r="Y821" s="1" t="b">
        <v>1</v>
      </c>
      <c r="Z821" s="1" t="b">
        <v>1</v>
      </c>
      <c r="AA821" s="1">
        <v>59.9</v>
      </c>
      <c r="AB821" s="1" t="b">
        <v>0</v>
      </c>
      <c r="AC821" s="1">
        <v>0</v>
      </c>
      <c r="AD821" s="1">
        <v>3181671</v>
      </c>
      <c r="AE821" s="1">
        <v>166687641</v>
      </c>
      <c r="AF821" s="1" t="s">
        <v>3404</v>
      </c>
      <c r="AG821" s="1" t="s">
        <v>3404</v>
      </c>
      <c r="AH821" s="1">
        <v>51.7</v>
      </c>
      <c r="AI821" s="1">
        <v>56.8</v>
      </c>
      <c r="AJ821" s="1" t="s">
        <v>3405</v>
      </c>
      <c r="AK821" s="1" t="s">
        <v>3406</v>
      </c>
      <c r="AL821" s="1" t="s">
        <v>3407</v>
      </c>
    </row>
    <row r="822" spans="1:38" x14ac:dyDescent="0.6">
      <c r="A822" s="1">
        <v>582</v>
      </c>
      <c r="B822" s="1" t="s">
        <v>88</v>
      </c>
      <c r="C822" s="1">
        <v>50</v>
      </c>
      <c r="D822" s="1" t="s">
        <v>89</v>
      </c>
      <c r="E822" s="1" t="s">
        <v>90</v>
      </c>
      <c r="F822" s="1">
        <v>10.5</v>
      </c>
      <c r="G822" s="1"/>
      <c r="H822" s="1" t="s">
        <v>120</v>
      </c>
      <c r="I822" s="1" t="s">
        <v>121</v>
      </c>
      <c r="J822" s="1" t="s">
        <v>122</v>
      </c>
      <c r="K822" s="1">
        <v>1</v>
      </c>
      <c r="L822" s="1">
        <v>120</v>
      </c>
      <c r="M822" s="1" t="s">
        <v>94</v>
      </c>
      <c r="N822" s="1" t="s">
        <v>95</v>
      </c>
      <c r="O822" s="1"/>
      <c r="P822" s="1" t="s">
        <v>96</v>
      </c>
      <c r="Q822" s="1" t="s">
        <v>9</v>
      </c>
      <c r="R822" s="1">
        <v>0</v>
      </c>
      <c r="S822" s="1" t="s">
        <v>97</v>
      </c>
      <c r="T822" s="1" t="s">
        <v>97</v>
      </c>
      <c r="U822" s="1" t="b">
        <v>1</v>
      </c>
      <c r="V822" s="1" t="b">
        <v>0</v>
      </c>
      <c r="W822" s="1" t="b">
        <v>0</v>
      </c>
      <c r="X822" s="1">
        <v>0</v>
      </c>
      <c r="Y822" s="1" t="b">
        <v>1</v>
      </c>
      <c r="Z822" s="1" t="b">
        <v>1</v>
      </c>
      <c r="AA822" s="1">
        <v>76.3</v>
      </c>
      <c r="AB822" s="1" t="b">
        <v>1</v>
      </c>
      <c r="AC822" s="1">
        <v>145219377</v>
      </c>
      <c r="AD822" s="1">
        <v>1843407</v>
      </c>
      <c r="AE822" s="1">
        <v>0</v>
      </c>
      <c r="AF822" s="1" t="s">
        <v>3383</v>
      </c>
      <c r="AG822" s="1" t="s">
        <v>3384</v>
      </c>
      <c r="AH822" s="1">
        <v>69.400000000000006</v>
      </c>
      <c r="AI822" s="1">
        <v>71.3</v>
      </c>
      <c r="AJ822" s="1" t="s">
        <v>3408</v>
      </c>
      <c r="AK822" s="1" t="s">
        <v>3409</v>
      </c>
      <c r="AL822" s="1" t="s">
        <v>3410</v>
      </c>
    </row>
    <row r="823" spans="1:38" x14ac:dyDescent="0.6">
      <c r="A823" s="1">
        <v>587</v>
      </c>
      <c r="B823" s="1" t="s">
        <v>103</v>
      </c>
      <c r="C823" s="1">
        <v>80</v>
      </c>
      <c r="D823" s="1" t="s">
        <v>153</v>
      </c>
      <c r="E823" s="1" t="s">
        <v>108</v>
      </c>
      <c r="F823" s="1"/>
      <c r="G823" s="1"/>
      <c r="H823" s="1" t="s">
        <v>91</v>
      </c>
      <c r="I823" s="1" t="s">
        <v>92</v>
      </c>
      <c r="J823" s="1" t="s">
        <v>109</v>
      </c>
      <c r="K823" s="1">
        <v>1</v>
      </c>
      <c r="L823" s="1">
        <v>120</v>
      </c>
      <c r="M823" s="1" t="s">
        <v>94</v>
      </c>
      <c r="N823" s="1" t="s">
        <v>95</v>
      </c>
      <c r="O823" s="1"/>
      <c r="P823" s="1" t="s">
        <v>96</v>
      </c>
      <c r="Q823" s="1" t="s">
        <v>200</v>
      </c>
      <c r="R823" s="1">
        <v>1</v>
      </c>
      <c r="S823" s="1" t="s">
        <v>97</v>
      </c>
      <c r="T823" s="1" t="s">
        <v>200</v>
      </c>
      <c r="U823" s="1" t="b">
        <v>0</v>
      </c>
      <c r="V823" s="1" t="b">
        <v>1</v>
      </c>
      <c r="W823" s="1" t="b">
        <v>0</v>
      </c>
      <c r="X823" s="1">
        <v>0</v>
      </c>
      <c r="Y823" s="1" t="b">
        <v>1</v>
      </c>
      <c r="Z823" s="1" t="b">
        <v>1</v>
      </c>
      <c r="AA823" s="1">
        <v>54.2</v>
      </c>
      <c r="AB823" s="1" t="b">
        <v>1</v>
      </c>
      <c r="AC823" s="1">
        <v>149840950</v>
      </c>
      <c r="AD823" s="1">
        <v>2726858</v>
      </c>
      <c r="AE823" s="1">
        <v>0</v>
      </c>
      <c r="AF823" s="1" t="s">
        <v>3411</v>
      </c>
      <c r="AG823" s="1" t="s">
        <v>3412</v>
      </c>
      <c r="AH823" s="1">
        <v>57.7</v>
      </c>
      <c r="AI823" s="1">
        <v>54.8</v>
      </c>
      <c r="AJ823" s="1" t="s">
        <v>3413</v>
      </c>
      <c r="AK823" s="1" t="s">
        <v>3414</v>
      </c>
      <c r="AL823" s="1" t="s">
        <v>3415</v>
      </c>
    </row>
    <row r="824" spans="1:38" x14ac:dyDescent="0.6">
      <c r="A824" s="1">
        <v>587</v>
      </c>
      <c r="B824" s="1" t="s">
        <v>103</v>
      </c>
      <c r="C824" s="1">
        <v>80</v>
      </c>
      <c r="D824" s="1" t="s">
        <v>153</v>
      </c>
      <c r="E824" s="1" t="s">
        <v>108</v>
      </c>
      <c r="F824" s="1"/>
      <c r="G824" s="1"/>
      <c r="H824" s="1" t="s">
        <v>91</v>
      </c>
      <c r="I824" s="1" t="s">
        <v>92</v>
      </c>
      <c r="J824" s="1" t="s">
        <v>109</v>
      </c>
      <c r="K824" s="1">
        <v>1</v>
      </c>
      <c r="L824" s="1">
        <v>120</v>
      </c>
      <c r="M824" s="1" t="s">
        <v>14</v>
      </c>
      <c r="N824" s="1" t="s">
        <v>95</v>
      </c>
      <c r="O824" s="1" t="s">
        <v>96</v>
      </c>
      <c r="P824" s="1"/>
      <c r="Q824" s="1" t="s">
        <v>200</v>
      </c>
      <c r="R824" s="1">
        <v>1</v>
      </c>
      <c r="S824" s="1" t="s">
        <v>97</v>
      </c>
      <c r="T824" s="1" t="s">
        <v>200</v>
      </c>
      <c r="U824" s="1" t="b">
        <v>0</v>
      </c>
      <c r="V824" s="1" t="b">
        <v>1</v>
      </c>
      <c r="W824" s="1" t="b">
        <v>1</v>
      </c>
      <c r="X824" s="1">
        <v>6</v>
      </c>
      <c r="Y824" s="1" t="b">
        <v>1</v>
      </c>
      <c r="Z824" s="1" t="b">
        <v>1</v>
      </c>
      <c r="AA824" s="1"/>
      <c r="AB824" s="1" t="b">
        <v>1</v>
      </c>
      <c r="AC824" s="1">
        <v>145235550</v>
      </c>
      <c r="AD824" s="1">
        <v>1302946</v>
      </c>
      <c r="AE824" s="1">
        <v>0</v>
      </c>
      <c r="AF824" s="1" t="s">
        <v>3411</v>
      </c>
      <c r="AG824" s="1" t="s">
        <v>3412</v>
      </c>
      <c r="AH824" s="1">
        <v>57.7</v>
      </c>
      <c r="AI824" s="1">
        <v>54.8</v>
      </c>
      <c r="AJ824" s="1" t="s">
        <v>3416</v>
      </c>
      <c r="AK824" s="1" t="s">
        <v>3417</v>
      </c>
      <c r="AL824" s="1" t="s">
        <v>3418</v>
      </c>
    </row>
    <row r="825" spans="1:38" x14ac:dyDescent="0.6">
      <c r="A825" s="1">
        <v>588</v>
      </c>
      <c r="B825" s="1" t="s">
        <v>103</v>
      </c>
      <c r="C825" s="1">
        <v>60</v>
      </c>
      <c r="D825" s="1" t="s">
        <v>127</v>
      </c>
      <c r="E825" s="1" t="s">
        <v>90</v>
      </c>
      <c r="F825" s="1"/>
      <c r="G825" s="1"/>
      <c r="H825" s="1" t="s">
        <v>91</v>
      </c>
      <c r="I825" s="1" t="s">
        <v>92</v>
      </c>
      <c r="J825" s="1" t="s">
        <v>109</v>
      </c>
      <c r="K825" s="1">
        <v>1</v>
      </c>
      <c r="L825" s="1">
        <v>120</v>
      </c>
      <c r="M825" s="1" t="s">
        <v>14</v>
      </c>
      <c r="N825" s="1" t="s">
        <v>95</v>
      </c>
      <c r="O825" s="1" t="s">
        <v>96</v>
      </c>
      <c r="P825" s="1"/>
      <c r="Q825" s="1" t="s">
        <v>9</v>
      </c>
      <c r="R825" s="1">
        <v>0</v>
      </c>
      <c r="S825" s="1" t="s">
        <v>97</v>
      </c>
      <c r="T825" s="1" t="s">
        <v>97</v>
      </c>
      <c r="U825" s="1" t="b">
        <v>1</v>
      </c>
      <c r="V825" s="1" t="b">
        <v>0</v>
      </c>
      <c r="W825" s="1" t="b">
        <v>0</v>
      </c>
      <c r="X825" s="1">
        <v>5</v>
      </c>
      <c r="Y825" s="1" t="b">
        <v>1</v>
      </c>
      <c r="Z825" s="1" t="b">
        <v>1</v>
      </c>
      <c r="AA825" s="1"/>
      <c r="AB825" s="1" t="b">
        <v>1</v>
      </c>
      <c r="AC825" s="1">
        <v>142765106</v>
      </c>
      <c r="AD825" s="1">
        <v>627662</v>
      </c>
      <c r="AE825" s="1">
        <v>0</v>
      </c>
      <c r="AF825" s="1" t="s">
        <v>3419</v>
      </c>
      <c r="AG825" s="1" t="s">
        <v>3420</v>
      </c>
      <c r="AH825" s="1">
        <v>59.2</v>
      </c>
      <c r="AI825" s="1">
        <v>53.8</v>
      </c>
      <c r="AJ825" s="1" t="s">
        <v>3421</v>
      </c>
      <c r="AK825" s="1" t="s">
        <v>3422</v>
      </c>
      <c r="AL825" s="1" t="s">
        <v>3423</v>
      </c>
    </row>
    <row r="826" spans="1:38" x14ac:dyDescent="0.6">
      <c r="A826" s="1">
        <v>589</v>
      </c>
      <c r="B826" s="1" t="s">
        <v>88</v>
      </c>
      <c r="C826" s="1">
        <v>70</v>
      </c>
      <c r="D826" s="1" t="s">
        <v>119</v>
      </c>
      <c r="E826" s="1" t="s">
        <v>90</v>
      </c>
      <c r="F826" s="1"/>
      <c r="G826" s="1"/>
      <c r="H826" s="1" t="s">
        <v>91</v>
      </c>
      <c r="I826" s="1" t="s">
        <v>92</v>
      </c>
      <c r="J826" s="1" t="s">
        <v>109</v>
      </c>
      <c r="K826" s="1">
        <v>1</v>
      </c>
      <c r="L826" s="1">
        <v>120</v>
      </c>
      <c r="M826" s="1" t="s">
        <v>94</v>
      </c>
      <c r="N826" s="1" t="s">
        <v>95</v>
      </c>
      <c r="O826" s="1"/>
      <c r="P826" s="1" t="s">
        <v>96</v>
      </c>
      <c r="Q826" s="1" t="s">
        <v>9</v>
      </c>
      <c r="R826" s="1">
        <v>0</v>
      </c>
      <c r="S826" s="1" t="s">
        <v>97</v>
      </c>
      <c r="T826" s="1" t="s">
        <v>97</v>
      </c>
      <c r="U826" s="1" t="b">
        <v>1</v>
      </c>
      <c r="V826" s="1" t="b">
        <v>0</v>
      </c>
      <c r="W826" s="1" t="b">
        <v>0</v>
      </c>
      <c r="X826" s="1">
        <v>0</v>
      </c>
      <c r="Y826" s="1" t="b">
        <v>1</v>
      </c>
      <c r="Z826" s="1" t="b">
        <v>1</v>
      </c>
      <c r="AA826" s="1">
        <v>79.2</v>
      </c>
      <c r="AB826" s="1" t="b">
        <v>1</v>
      </c>
      <c r="AC826" s="1">
        <v>156317041</v>
      </c>
      <c r="AD826" s="1">
        <v>1755791</v>
      </c>
      <c r="AE826" s="1">
        <v>0</v>
      </c>
      <c r="AF826" s="1" t="s">
        <v>3424</v>
      </c>
      <c r="AG826" s="1" t="s">
        <v>3425</v>
      </c>
      <c r="AH826" s="1">
        <v>78.900000000000006</v>
      </c>
      <c r="AI826" s="1">
        <v>77.599999999999994</v>
      </c>
      <c r="AJ826" s="1" t="s">
        <v>3426</v>
      </c>
      <c r="AK826" s="1" t="s">
        <v>3427</v>
      </c>
      <c r="AL826" s="1" t="s">
        <v>3428</v>
      </c>
    </row>
    <row r="827" spans="1:38" x14ac:dyDescent="0.6">
      <c r="A827" s="1">
        <v>586</v>
      </c>
      <c r="B827" s="1" t="s">
        <v>88</v>
      </c>
      <c r="C827" s="1">
        <v>80</v>
      </c>
      <c r="D827" s="1" t="s">
        <v>153</v>
      </c>
      <c r="E827" s="1" t="s">
        <v>108</v>
      </c>
      <c r="F827" s="1"/>
      <c r="G827" s="1"/>
      <c r="H827" s="1" t="s">
        <v>91</v>
      </c>
      <c r="I827" s="1" t="s">
        <v>92</v>
      </c>
      <c r="J827" s="1" t="s">
        <v>109</v>
      </c>
      <c r="K827" s="1">
        <v>1</v>
      </c>
      <c r="L827" s="1">
        <v>120</v>
      </c>
      <c r="M827" s="1" t="s">
        <v>14</v>
      </c>
      <c r="N827" s="1" t="s">
        <v>14</v>
      </c>
      <c r="O827" s="1" t="s">
        <v>96</v>
      </c>
      <c r="P827" s="1"/>
      <c r="Q827" s="1" t="s">
        <v>9</v>
      </c>
      <c r="R827" s="1">
        <v>0</v>
      </c>
      <c r="S827" s="1"/>
      <c r="T827" s="1" t="s">
        <v>97</v>
      </c>
      <c r="U827" s="1"/>
      <c r="V827" s="1" t="b">
        <v>0</v>
      </c>
      <c r="W827" s="1" t="b">
        <v>0</v>
      </c>
      <c r="X827" s="1">
        <v>5</v>
      </c>
      <c r="Y827" s="1" t="b">
        <v>1</v>
      </c>
      <c r="Z827" s="1" t="b">
        <v>1</v>
      </c>
      <c r="AA827" s="1"/>
      <c r="AB827" s="1" t="b">
        <v>1</v>
      </c>
      <c r="AC827" s="1">
        <v>179425889</v>
      </c>
      <c r="AD827" s="1">
        <v>667039</v>
      </c>
      <c r="AE827" s="1">
        <v>0</v>
      </c>
      <c r="AF827" s="1" t="s">
        <v>3429</v>
      </c>
      <c r="AG827" s="1"/>
      <c r="AH827" s="1">
        <v>68</v>
      </c>
      <c r="AI827" s="1"/>
      <c r="AJ827" s="1" t="s">
        <v>3430</v>
      </c>
      <c r="AK827" s="1" t="s">
        <v>3431</v>
      </c>
      <c r="AL827" s="1" t="s">
        <v>3432</v>
      </c>
    </row>
    <row r="828" spans="1:38" x14ac:dyDescent="0.6">
      <c r="A828" s="1">
        <v>570</v>
      </c>
      <c r="B828" s="1" t="s">
        <v>103</v>
      </c>
      <c r="C828" s="1">
        <v>50</v>
      </c>
      <c r="D828" s="1" t="s">
        <v>89</v>
      </c>
      <c r="E828" s="1" t="s">
        <v>108</v>
      </c>
      <c r="F828" s="1"/>
      <c r="G828" s="1"/>
      <c r="H828" s="1" t="s">
        <v>220</v>
      </c>
      <c r="I828" s="1" t="s">
        <v>221</v>
      </c>
      <c r="J828" s="1" t="s">
        <v>222</v>
      </c>
      <c r="K828" s="1">
        <v>0.625</v>
      </c>
      <c r="L828" s="1">
        <v>120</v>
      </c>
      <c r="M828" s="1" t="s">
        <v>14</v>
      </c>
      <c r="N828" s="1" t="s">
        <v>95</v>
      </c>
      <c r="O828" s="1" t="s">
        <v>96</v>
      </c>
      <c r="P828" s="1"/>
      <c r="Q828" s="1" t="s">
        <v>9</v>
      </c>
      <c r="R828" s="1">
        <v>0</v>
      </c>
      <c r="S828" s="1" t="s">
        <v>97</v>
      </c>
      <c r="T828" s="1" t="s">
        <v>97</v>
      </c>
      <c r="U828" s="1" t="b">
        <v>1</v>
      </c>
      <c r="V828" s="1" t="b">
        <v>0</v>
      </c>
      <c r="W828" s="1" t="b">
        <v>0</v>
      </c>
      <c r="X828" s="1">
        <v>5</v>
      </c>
      <c r="Y828" s="1" t="b">
        <v>1</v>
      </c>
      <c r="Z828" s="1" t="b">
        <v>1</v>
      </c>
      <c r="AA828" s="1"/>
      <c r="AB828" s="1" t="b">
        <v>1</v>
      </c>
      <c r="AC828" s="1">
        <v>191857852</v>
      </c>
      <c r="AD828" s="1">
        <v>1080132</v>
      </c>
      <c r="AE828" s="1">
        <v>0</v>
      </c>
      <c r="AF828" s="1" t="s">
        <v>3358</v>
      </c>
      <c r="AG828" s="1" t="s">
        <v>3359</v>
      </c>
      <c r="AH828" s="1">
        <v>53.4</v>
      </c>
      <c r="AI828" s="1">
        <v>52.9</v>
      </c>
      <c r="AJ828" s="1" t="s">
        <v>3433</v>
      </c>
      <c r="AK828" s="1" t="s">
        <v>3434</v>
      </c>
      <c r="AL828" s="1" t="s">
        <v>3435</v>
      </c>
    </row>
    <row r="829" spans="1:38" x14ac:dyDescent="0.6">
      <c r="A829" s="1">
        <v>585</v>
      </c>
      <c r="B829" s="1" t="s">
        <v>88</v>
      </c>
      <c r="C829" s="1">
        <v>50</v>
      </c>
      <c r="D829" s="1" t="s">
        <v>89</v>
      </c>
      <c r="E829" s="1" t="s">
        <v>90</v>
      </c>
      <c r="F829" s="1"/>
      <c r="G829" s="1"/>
      <c r="H829" s="1" t="s">
        <v>91</v>
      </c>
      <c r="I829" s="1" t="s">
        <v>92</v>
      </c>
      <c r="J829" s="1" t="s">
        <v>109</v>
      </c>
      <c r="K829" s="1">
        <v>1</v>
      </c>
      <c r="L829" s="1">
        <v>120</v>
      </c>
      <c r="M829" s="1" t="s">
        <v>7</v>
      </c>
      <c r="N829" s="1" t="s">
        <v>7</v>
      </c>
      <c r="O829" s="1" t="s">
        <v>96</v>
      </c>
      <c r="P829" s="1" t="s">
        <v>96</v>
      </c>
      <c r="Q829" s="1" t="s">
        <v>9</v>
      </c>
      <c r="R829" s="1">
        <v>0</v>
      </c>
      <c r="S829" s="1" t="s">
        <v>97</v>
      </c>
      <c r="T829" s="1" t="s">
        <v>97</v>
      </c>
      <c r="U829" s="1" t="b">
        <v>1</v>
      </c>
      <c r="V829" s="1" t="b">
        <v>0</v>
      </c>
      <c r="W829" s="1" t="b">
        <v>0</v>
      </c>
      <c r="X829" s="1">
        <v>5</v>
      </c>
      <c r="Y829" s="1" t="b">
        <v>1</v>
      </c>
      <c r="Z829" s="1" t="b">
        <v>1</v>
      </c>
      <c r="AA829" s="1">
        <v>89</v>
      </c>
      <c r="AB829" s="1" t="b">
        <v>0</v>
      </c>
      <c r="AC829" s="1">
        <v>0</v>
      </c>
      <c r="AD829" s="1">
        <v>2501159</v>
      </c>
      <c r="AE829" s="1">
        <v>146920921</v>
      </c>
      <c r="AF829" s="1" t="s">
        <v>3436</v>
      </c>
      <c r="AG829" s="1" t="s">
        <v>3436</v>
      </c>
      <c r="AH829" s="1">
        <v>85.6</v>
      </c>
      <c r="AI829" s="1">
        <v>84.5</v>
      </c>
      <c r="AJ829" s="1" t="s">
        <v>3437</v>
      </c>
      <c r="AK829" s="1" t="s">
        <v>3438</v>
      </c>
      <c r="AL829" s="1" t="s">
        <v>3439</v>
      </c>
    </row>
    <row r="830" spans="1:38" x14ac:dyDescent="0.6">
      <c r="A830" s="1">
        <v>590</v>
      </c>
      <c r="B830" s="1" t="s">
        <v>88</v>
      </c>
      <c r="C830" s="1">
        <v>70</v>
      </c>
      <c r="D830" s="1" t="s">
        <v>119</v>
      </c>
      <c r="E830" s="1" t="s">
        <v>108</v>
      </c>
      <c r="F830" s="1"/>
      <c r="G830" s="1"/>
      <c r="H830" s="1" t="s">
        <v>91</v>
      </c>
      <c r="I830" s="1" t="s">
        <v>92</v>
      </c>
      <c r="J830" s="1" t="s">
        <v>109</v>
      </c>
      <c r="K830" s="1">
        <v>1</v>
      </c>
      <c r="L830" s="1">
        <v>120</v>
      </c>
      <c r="M830" s="1" t="s">
        <v>14</v>
      </c>
      <c r="N830" s="1" t="s">
        <v>95</v>
      </c>
      <c r="O830" s="1" t="s">
        <v>96</v>
      </c>
      <c r="P830" s="1"/>
      <c r="Q830" s="1" t="s">
        <v>9</v>
      </c>
      <c r="R830" s="1">
        <v>0</v>
      </c>
      <c r="S830" s="1" t="s">
        <v>97</v>
      </c>
      <c r="T830" s="1" t="s">
        <v>97</v>
      </c>
      <c r="U830" s="1" t="b">
        <v>1</v>
      </c>
      <c r="V830" s="1" t="b">
        <v>0</v>
      </c>
      <c r="W830" s="1" t="b">
        <v>0</v>
      </c>
      <c r="X830" s="1">
        <v>5</v>
      </c>
      <c r="Y830" s="1" t="b">
        <v>1</v>
      </c>
      <c r="Z830" s="1" t="b">
        <v>1</v>
      </c>
      <c r="AA830" s="1"/>
      <c r="AB830" s="1" t="b">
        <v>1</v>
      </c>
      <c r="AC830" s="1">
        <v>135674968</v>
      </c>
      <c r="AD830" s="1">
        <v>902056</v>
      </c>
      <c r="AE830" s="1">
        <v>0</v>
      </c>
      <c r="AF830" s="1" t="s">
        <v>3440</v>
      </c>
      <c r="AG830" s="1" t="s">
        <v>3441</v>
      </c>
      <c r="AH830" s="1">
        <v>73</v>
      </c>
      <c r="AI830" s="1">
        <v>74.400000000000006</v>
      </c>
      <c r="AJ830" s="1" t="s">
        <v>3442</v>
      </c>
      <c r="AK830" s="1" t="s">
        <v>3443</v>
      </c>
      <c r="AL830" s="1" t="s">
        <v>3444</v>
      </c>
    </row>
    <row r="831" spans="1:38" x14ac:dyDescent="0.6">
      <c r="A831" s="1">
        <v>577</v>
      </c>
      <c r="B831" s="1" t="s">
        <v>88</v>
      </c>
      <c r="C831" s="1">
        <v>50</v>
      </c>
      <c r="D831" s="1" t="s">
        <v>89</v>
      </c>
      <c r="E831" s="1" t="s">
        <v>90</v>
      </c>
      <c r="F831" s="1"/>
      <c r="G831" s="1"/>
      <c r="H831" s="1" t="s">
        <v>220</v>
      </c>
      <c r="I831" s="1" t="s">
        <v>221</v>
      </c>
      <c r="J831" s="1" t="s">
        <v>222</v>
      </c>
      <c r="K831" s="1">
        <v>1.25</v>
      </c>
      <c r="L831" s="1">
        <v>120</v>
      </c>
      <c r="M831" s="1" t="s">
        <v>7</v>
      </c>
      <c r="N831" s="1" t="s">
        <v>7</v>
      </c>
      <c r="O831" s="1" t="s">
        <v>96</v>
      </c>
      <c r="P831" s="1" t="s">
        <v>96</v>
      </c>
      <c r="Q831" s="1" t="s">
        <v>9</v>
      </c>
      <c r="R831" s="1">
        <v>0</v>
      </c>
      <c r="S831" s="1" t="s">
        <v>97</v>
      </c>
      <c r="T831" s="1" t="s">
        <v>97</v>
      </c>
      <c r="U831" s="1" t="b">
        <v>1</v>
      </c>
      <c r="V831" s="1" t="b">
        <v>0</v>
      </c>
      <c r="W831" s="1" t="b">
        <v>0</v>
      </c>
      <c r="X831" s="1">
        <v>5</v>
      </c>
      <c r="Y831" s="1" t="b">
        <v>1</v>
      </c>
      <c r="Z831" s="1" t="b">
        <v>1</v>
      </c>
      <c r="AA831" s="1">
        <v>77.400000000000006</v>
      </c>
      <c r="AB831" s="1" t="b">
        <v>0</v>
      </c>
      <c r="AC831" s="1">
        <v>0</v>
      </c>
      <c r="AD831" s="1">
        <v>2312270</v>
      </c>
      <c r="AE831" s="1">
        <v>128759730</v>
      </c>
      <c r="AF831" s="1" t="s">
        <v>3445</v>
      </c>
      <c r="AG831" s="1" t="s">
        <v>3445</v>
      </c>
      <c r="AH831" s="1">
        <v>76.8</v>
      </c>
      <c r="AI831" s="1">
        <v>73.400000000000006</v>
      </c>
      <c r="AJ831" s="1" t="s">
        <v>3446</v>
      </c>
      <c r="AK831" s="1" t="s">
        <v>3447</v>
      </c>
      <c r="AL831" s="1" t="s">
        <v>3448</v>
      </c>
    </row>
    <row r="832" spans="1:38" x14ac:dyDescent="0.6">
      <c r="A832" s="1">
        <v>581</v>
      </c>
      <c r="B832" s="1" t="s">
        <v>103</v>
      </c>
      <c r="C832" s="1">
        <v>70</v>
      </c>
      <c r="D832" s="1" t="s">
        <v>119</v>
      </c>
      <c r="E832" s="1" t="s">
        <v>90</v>
      </c>
      <c r="F832" s="1">
        <v>10.5</v>
      </c>
      <c r="G832" s="1"/>
      <c r="H832" s="1" t="s">
        <v>120</v>
      </c>
      <c r="I832" s="1" t="s">
        <v>121</v>
      </c>
      <c r="J832" s="1" t="s">
        <v>122</v>
      </c>
      <c r="K832" s="1">
        <v>1</v>
      </c>
      <c r="L832" s="1">
        <v>120</v>
      </c>
      <c r="M832" s="1" t="s">
        <v>7</v>
      </c>
      <c r="N832" s="1" t="s">
        <v>7</v>
      </c>
      <c r="O832" s="1" t="s">
        <v>96</v>
      </c>
      <c r="P832" s="1" t="s">
        <v>96</v>
      </c>
      <c r="Q832" s="1" t="s">
        <v>9</v>
      </c>
      <c r="R832" s="1">
        <v>0</v>
      </c>
      <c r="S832" s="1" t="s">
        <v>97</v>
      </c>
      <c r="T832" s="1" t="s">
        <v>97</v>
      </c>
      <c r="U832" s="1" t="b">
        <v>1</v>
      </c>
      <c r="V832" s="1" t="b">
        <v>0</v>
      </c>
      <c r="W832" s="1" t="b">
        <v>0</v>
      </c>
      <c r="X832" s="1">
        <v>5</v>
      </c>
      <c r="Y832" s="1" t="b">
        <v>1</v>
      </c>
      <c r="Z832" s="1" t="b">
        <v>1</v>
      </c>
      <c r="AA832" s="1">
        <v>72.2</v>
      </c>
      <c r="AB832" s="1" t="b">
        <v>0</v>
      </c>
      <c r="AC832" s="1">
        <v>0</v>
      </c>
      <c r="AD832" s="1">
        <v>2832987</v>
      </c>
      <c r="AE832" s="1">
        <v>143967653</v>
      </c>
      <c r="AF832" s="1" t="s">
        <v>3449</v>
      </c>
      <c r="AG832" s="1" t="s">
        <v>3449</v>
      </c>
      <c r="AH832" s="1">
        <v>67.2</v>
      </c>
      <c r="AI832" s="1">
        <v>65.8</v>
      </c>
      <c r="AJ832" s="1" t="s">
        <v>3450</v>
      </c>
      <c r="AK832" s="1" t="s">
        <v>3451</v>
      </c>
      <c r="AL832" s="1" t="s">
        <v>3452</v>
      </c>
    </row>
    <row r="833" spans="1:38" x14ac:dyDescent="0.6">
      <c r="A833" s="1">
        <v>575</v>
      </c>
      <c r="B833" s="1" t="s">
        <v>88</v>
      </c>
      <c r="C833" s="1">
        <v>60</v>
      </c>
      <c r="D833" s="1" t="s">
        <v>127</v>
      </c>
      <c r="E833" s="1" t="s">
        <v>108</v>
      </c>
      <c r="F833" s="1"/>
      <c r="G833" s="1"/>
      <c r="H833" s="1" t="s">
        <v>220</v>
      </c>
      <c r="I833" s="1" t="s">
        <v>221</v>
      </c>
      <c r="J833" s="1" t="s">
        <v>222</v>
      </c>
      <c r="K833" s="1">
        <v>1.25</v>
      </c>
      <c r="L833" s="1">
        <v>120</v>
      </c>
      <c r="M833" s="1" t="s">
        <v>7</v>
      </c>
      <c r="N833" s="1" t="s">
        <v>7</v>
      </c>
      <c r="O833" s="1" t="s">
        <v>96</v>
      </c>
      <c r="P833" s="1" t="s">
        <v>96</v>
      </c>
      <c r="Q833" s="1" t="s">
        <v>9</v>
      </c>
      <c r="R833" s="1">
        <v>0</v>
      </c>
      <c r="S833" s="1" t="s">
        <v>97</v>
      </c>
      <c r="T833" s="1" t="s">
        <v>97</v>
      </c>
      <c r="U833" s="1" t="b">
        <v>1</v>
      </c>
      <c r="V833" s="1" t="b">
        <v>0</v>
      </c>
      <c r="W833" s="1" t="b">
        <v>0</v>
      </c>
      <c r="X833" s="1">
        <v>5</v>
      </c>
      <c r="Y833" s="1" t="b">
        <v>1</v>
      </c>
      <c r="Z833" s="1" t="b">
        <v>1</v>
      </c>
      <c r="AA833" s="1">
        <v>67.599999999999994</v>
      </c>
      <c r="AB833" s="1" t="b">
        <v>0</v>
      </c>
      <c r="AC833" s="1">
        <v>0</v>
      </c>
      <c r="AD833" s="1">
        <v>3134997</v>
      </c>
      <c r="AE833" s="1">
        <v>133704171</v>
      </c>
      <c r="AF833" s="1" t="s">
        <v>3453</v>
      </c>
      <c r="AG833" s="1" t="s">
        <v>3453</v>
      </c>
      <c r="AH833" s="1">
        <v>68</v>
      </c>
      <c r="AI833" s="1">
        <v>65.5</v>
      </c>
      <c r="AJ833" s="1" t="s">
        <v>3454</v>
      </c>
      <c r="AK833" s="1" t="s">
        <v>3455</v>
      </c>
      <c r="AL833" s="1" t="s">
        <v>3456</v>
      </c>
    </row>
    <row r="834" spans="1:38" x14ac:dyDescent="0.6">
      <c r="A834" s="1">
        <v>576</v>
      </c>
      <c r="B834" s="1" t="s">
        <v>103</v>
      </c>
      <c r="C834" s="1">
        <v>60</v>
      </c>
      <c r="D834" s="1" t="s">
        <v>127</v>
      </c>
      <c r="E834" s="1" t="s">
        <v>90</v>
      </c>
      <c r="F834" s="1"/>
      <c r="G834" s="1"/>
      <c r="H834" s="1" t="s">
        <v>220</v>
      </c>
      <c r="I834" s="1" t="s">
        <v>221</v>
      </c>
      <c r="J834" s="1" t="s">
        <v>222</v>
      </c>
      <c r="K834" s="1">
        <v>1.25</v>
      </c>
      <c r="L834" s="1">
        <v>120</v>
      </c>
      <c r="M834" s="1" t="s">
        <v>7</v>
      </c>
      <c r="N834" s="1" t="s">
        <v>7</v>
      </c>
      <c r="O834" s="1" t="s">
        <v>96</v>
      </c>
      <c r="P834" s="1" t="s">
        <v>96</v>
      </c>
      <c r="Q834" s="1" t="s">
        <v>9</v>
      </c>
      <c r="R834" s="1">
        <v>0</v>
      </c>
      <c r="S834" s="1" t="s">
        <v>97</v>
      </c>
      <c r="T834" s="1" t="s">
        <v>97</v>
      </c>
      <c r="U834" s="1" t="b">
        <v>1</v>
      </c>
      <c r="V834" s="1" t="b">
        <v>0</v>
      </c>
      <c r="W834" s="1" t="b">
        <v>0</v>
      </c>
      <c r="X834" s="1">
        <v>5</v>
      </c>
      <c r="Y834" s="1" t="b">
        <v>1</v>
      </c>
      <c r="Z834" s="1" t="b">
        <v>1</v>
      </c>
      <c r="AA834" s="1">
        <v>81.599999999999994</v>
      </c>
      <c r="AB834" s="1" t="b">
        <v>0</v>
      </c>
      <c r="AC834" s="1">
        <v>0</v>
      </c>
      <c r="AD834" s="1">
        <v>2294473</v>
      </c>
      <c r="AE834" s="1">
        <v>135593271</v>
      </c>
      <c r="AF834" s="1" t="s">
        <v>3457</v>
      </c>
      <c r="AG834" s="1" t="s">
        <v>3457</v>
      </c>
      <c r="AH834" s="1">
        <v>72.900000000000006</v>
      </c>
      <c r="AI834" s="1">
        <v>75.900000000000006</v>
      </c>
      <c r="AJ834" s="1" t="s">
        <v>3458</v>
      </c>
      <c r="AK834" s="1" t="s">
        <v>3459</v>
      </c>
      <c r="AL834" s="1" t="s">
        <v>3460</v>
      </c>
    </row>
    <row r="835" spans="1:38" x14ac:dyDescent="0.6">
      <c r="A835" s="1">
        <v>589</v>
      </c>
      <c r="B835" s="1" t="s">
        <v>88</v>
      </c>
      <c r="C835" s="1">
        <v>70</v>
      </c>
      <c r="D835" s="1" t="s">
        <v>119</v>
      </c>
      <c r="E835" s="1" t="s">
        <v>90</v>
      </c>
      <c r="F835" s="1"/>
      <c r="G835" s="1"/>
      <c r="H835" s="1" t="s">
        <v>91</v>
      </c>
      <c r="I835" s="1" t="s">
        <v>92</v>
      </c>
      <c r="J835" s="1" t="s">
        <v>109</v>
      </c>
      <c r="K835" s="1">
        <v>1</v>
      </c>
      <c r="L835" s="1">
        <v>120</v>
      </c>
      <c r="M835" s="1" t="s">
        <v>14</v>
      </c>
      <c r="N835" s="1" t="s">
        <v>95</v>
      </c>
      <c r="O835" s="1" t="s">
        <v>96</v>
      </c>
      <c r="P835" s="1"/>
      <c r="Q835" s="1" t="s">
        <v>9</v>
      </c>
      <c r="R835" s="1">
        <v>0</v>
      </c>
      <c r="S835" s="1" t="s">
        <v>97</v>
      </c>
      <c r="T835" s="1" t="s">
        <v>97</v>
      </c>
      <c r="U835" s="1" t="b">
        <v>1</v>
      </c>
      <c r="V835" s="1" t="b">
        <v>0</v>
      </c>
      <c r="W835" s="1" t="b">
        <v>0</v>
      </c>
      <c r="X835" s="1">
        <v>5</v>
      </c>
      <c r="Y835" s="1" t="b">
        <v>1</v>
      </c>
      <c r="Z835" s="1" t="b">
        <v>1</v>
      </c>
      <c r="AA835" s="1"/>
      <c r="AB835" s="1" t="b">
        <v>1</v>
      </c>
      <c r="AC835" s="1">
        <v>150390015</v>
      </c>
      <c r="AD835" s="1">
        <v>604929</v>
      </c>
      <c r="AE835" s="1">
        <v>0</v>
      </c>
      <c r="AF835" s="1" t="s">
        <v>3424</v>
      </c>
      <c r="AG835" s="1" t="s">
        <v>3425</v>
      </c>
      <c r="AH835" s="1">
        <v>78.900000000000006</v>
      </c>
      <c r="AI835" s="1">
        <v>77.599999999999994</v>
      </c>
      <c r="AJ835" s="1" t="s">
        <v>3461</v>
      </c>
      <c r="AK835" s="1" t="s">
        <v>3462</v>
      </c>
      <c r="AL835" s="1" t="s">
        <v>3463</v>
      </c>
    </row>
    <row r="836" spans="1:38" x14ac:dyDescent="0.6">
      <c r="A836" s="1">
        <v>588</v>
      </c>
      <c r="B836" s="1" t="s">
        <v>103</v>
      </c>
      <c r="C836" s="1">
        <v>60</v>
      </c>
      <c r="D836" s="1" t="s">
        <v>127</v>
      </c>
      <c r="E836" s="1" t="s">
        <v>90</v>
      </c>
      <c r="F836" s="1"/>
      <c r="G836" s="1"/>
      <c r="H836" s="1" t="s">
        <v>91</v>
      </c>
      <c r="I836" s="1" t="s">
        <v>92</v>
      </c>
      <c r="J836" s="1" t="s">
        <v>109</v>
      </c>
      <c r="K836" s="1">
        <v>1</v>
      </c>
      <c r="L836" s="1">
        <v>120</v>
      </c>
      <c r="M836" s="1" t="s">
        <v>94</v>
      </c>
      <c r="N836" s="1" t="s">
        <v>95</v>
      </c>
      <c r="O836" s="1"/>
      <c r="P836" s="1" t="s">
        <v>96</v>
      </c>
      <c r="Q836" s="1" t="s">
        <v>9</v>
      </c>
      <c r="R836" s="1">
        <v>0</v>
      </c>
      <c r="S836" s="1" t="s">
        <v>97</v>
      </c>
      <c r="T836" s="1" t="s">
        <v>97</v>
      </c>
      <c r="U836" s="1" t="b">
        <v>1</v>
      </c>
      <c r="V836" s="1" t="b">
        <v>0</v>
      </c>
      <c r="W836" s="1" t="b">
        <v>0</v>
      </c>
      <c r="X836" s="1">
        <v>0</v>
      </c>
      <c r="Y836" s="1" t="b">
        <v>1</v>
      </c>
      <c r="Z836" s="1" t="b">
        <v>1</v>
      </c>
      <c r="AA836" s="1">
        <v>54.7</v>
      </c>
      <c r="AB836" s="1" t="b">
        <v>1</v>
      </c>
      <c r="AC836" s="1">
        <v>146692345</v>
      </c>
      <c r="AD836" s="1">
        <v>1681159</v>
      </c>
      <c r="AE836" s="1">
        <v>0</v>
      </c>
      <c r="AF836" s="1" t="s">
        <v>3419</v>
      </c>
      <c r="AG836" s="1" t="s">
        <v>3420</v>
      </c>
      <c r="AH836" s="1">
        <v>59.2</v>
      </c>
      <c r="AI836" s="1">
        <v>53.8</v>
      </c>
      <c r="AJ836" s="1" t="s">
        <v>3464</v>
      </c>
      <c r="AK836" s="1" t="s">
        <v>3465</v>
      </c>
      <c r="AL836" s="1" t="s">
        <v>3466</v>
      </c>
    </row>
    <row r="837" spans="1:38" x14ac:dyDescent="0.6">
      <c r="A837" s="1">
        <v>592</v>
      </c>
      <c r="B837" s="1" t="s">
        <v>88</v>
      </c>
      <c r="C837" s="1">
        <v>50</v>
      </c>
      <c r="D837" s="1" t="s">
        <v>89</v>
      </c>
      <c r="E837" s="1" t="s">
        <v>90</v>
      </c>
      <c r="F837" s="1"/>
      <c r="G837" s="1"/>
      <c r="H837" s="1" t="s">
        <v>91</v>
      </c>
      <c r="I837" s="1" t="s">
        <v>92</v>
      </c>
      <c r="J837" s="1" t="s">
        <v>109</v>
      </c>
      <c r="K837" s="1">
        <v>1</v>
      </c>
      <c r="L837" s="1">
        <v>120</v>
      </c>
      <c r="M837" s="1" t="s">
        <v>14</v>
      </c>
      <c r="N837" s="1" t="s">
        <v>95</v>
      </c>
      <c r="O837" s="1" t="s">
        <v>96</v>
      </c>
      <c r="P837" s="1"/>
      <c r="Q837" s="1" t="s">
        <v>9</v>
      </c>
      <c r="R837" s="1">
        <v>0</v>
      </c>
      <c r="S837" s="1" t="s">
        <v>97</v>
      </c>
      <c r="T837" s="1" t="s">
        <v>97</v>
      </c>
      <c r="U837" s="1" t="b">
        <v>1</v>
      </c>
      <c r="V837" s="1" t="b">
        <v>0</v>
      </c>
      <c r="W837" s="1" t="b">
        <v>0</v>
      </c>
      <c r="X837" s="1">
        <v>5</v>
      </c>
      <c r="Y837" s="1" t="b">
        <v>1</v>
      </c>
      <c r="Z837" s="1" t="b">
        <v>1</v>
      </c>
      <c r="AA837" s="1"/>
      <c r="AB837" s="1" t="b">
        <v>1</v>
      </c>
      <c r="AC837" s="1">
        <v>124692416</v>
      </c>
      <c r="AD837" s="1">
        <v>612416</v>
      </c>
      <c r="AE837" s="1">
        <v>0</v>
      </c>
      <c r="AF837" s="1" t="s">
        <v>3467</v>
      </c>
      <c r="AG837" s="1" t="s">
        <v>3468</v>
      </c>
      <c r="AH837" s="1">
        <v>70.599999999999994</v>
      </c>
      <c r="AI837" s="1">
        <v>67.400000000000006</v>
      </c>
      <c r="AJ837" s="1" t="s">
        <v>3469</v>
      </c>
      <c r="AK837" s="1" t="s">
        <v>3470</v>
      </c>
      <c r="AL837" s="1" t="s">
        <v>3471</v>
      </c>
    </row>
    <row r="838" spans="1:38" x14ac:dyDescent="0.6">
      <c r="A838" s="1">
        <v>593</v>
      </c>
      <c r="B838" s="1" t="s">
        <v>88</v>
      </c>
      <c r="C838" s="1">
        <v>50</v>
      </c>
      <c r="D838" s="1" t="s">
        <v>89</v>
      </c>
      <c r="E838" s="1" t="s">
        <v>108</v>
      </c>
      <c r="F838" s="1"/>
      <c r="G838" s="1"/>
      <c r="H838" s="1" t="s">
        <v>91</v>
      </c>
      <c r="I838" s="1" t="s">
        <v>92</v>
      </c>
      <c r="J838" s="1" t="s">
        <v>109</v>
      </c>
      <c r="K838" s="1">
        <v>1</v>
      </c>
      <c r="L838" s="1">
        <v>120</v>
      </c>
      <c r="M838" s="1" t="s">
        <v>14</v>
      </c>
      <c r="N838" s="1" t="s">
        <v>14</v>
      </c>
      <c r="O838" s="1" t="s">
        <v>96</v>
      </c>
      <c r="P838" s="1"/>
      <c r="Q838" s="1" t="s">
        <v>9</v>
      </c>
      <c r="R838" s="1">
        <v>0</v>
      </c>
      <c r="S838" s="1"/>
      <c r="T838" s="1" t="s">
        <v>97</v>
      </c>
      <c r="U838" s="1"/>
      <c r="V838" s="1" t="b">
        <v>0</v>
      </c>
      <c r="W838" s="1" t="b">
        <v>0</v>
      </c>
      <c r="X838" s="1">
        <v>5</v>
      </c>
      <c r="Y838" s="1" t="b">
        <v>1</v>
      </c>
      <c r="Z838" s="1" t="b">
        <v>1</v>
      </c>
      <c r="AA838" s="1"/>
      <c r="AB838" s="1" t="b">
        <v>1</v>
      </c>
      <c r="AC838" s="1">
        <v>143819570</v>
      </c>
      <c r="AD838" s="1">
        <v>883918</v>
      </c>
      <c r="AE838" s="1">
        <v>0</v>
      </c>
      <c r="AF838" s="1" t="s">
        <v>3472</v>
      </c>
      <c r="AG838" s="1"/>
      <c r="AH838" s="1">
        <v>51</v>
      </c>
      <c r="AI838" s="1"/>
      <c r="AJ838" s="1" t="s">
        <v>3473</v>
      </c>
      <c r="AK838" s="1" t="s">
        <v>3474</v>
      </c>
      <c r="AL838" s="1" t="s">
        <v>3475</v>
      </c>
    </row>
    <row r="839" spans="1:38" x14ac:dyDescent="0.6">
      <c r="A839" s="1">
        <v>596</v>
      </c>
      <c r="B839" s="1" t="s">
        <v>88</v>
      </c>
      <c r="C839" s="1">
        <v>60</v>
      </c>
      <c r="D839" s="1" t="s">
        <v>127</v>
      </c>
      <c r="E839" s="1" t="s">
        <v>90</v>
      </c>
      <c r="F839" s="1"/>
      <c r="G839" s="1"/>
      <c r="H839" s="1" t="s">
        <v>91</v>
      </c>
      <c r="I839" s="1" t="s">
        <v>92</v>
      </c>
      <c r="J839" s="1" t="s">
        <v>109</v>
      </c>
      <c r="K839" s="1">
        <v>1</v>
      </c>
      <c r="L839" s="1">
        <v>120</v>
      </c>
      <c r="M839" s="1" t="s">
        <v>14</v>
      </c>
      <c r="N839" s="1" t="s">
        <v>95</v>
      </c>
      <c r="O839" s="1" t="s">
        <v>96</v>
      </c>
      <c r="P839" s="1"/>
      <c r="Q839" s="1" t="s">
        <v>9</v>
      </c>
      <c r="R839" s="1">
        <v>0</v>
      </c>
      <c r="S839" s="1" t="s">
        <v>97</v>
      </c>
      <c r="T839" s="1" t="s">
        <v>97</v>
      </c>
      <c r="U839" s="1" t="b">
        <v>1</v>
      </c>
      <c r="V839" s="1" t="b">
        <v>0</v>
      </c>
      <c r="W839" s="1" t="b">
        <v>0</v>
      </c>
      <c r="X839" s="1">
        <v>5</v>
      </c>
      <c r="Y839" s="1" t="b">
        <v>1</v>
      </c>
      <c r="Z839" s="1" t="b">
        <v>1</v>
      </c>
      <c r="AA839" s="1"/>
      <c r="AB839" s="1" t="b">
        <v>1</v>
      </c>
      <c r="AC839" s="1">
        <v>141646055</v>
      </c>
      <c r="AD839" s="1">
        <v>435993</v>
      </c>
      <c r="AE839" s="1">
        <v>0</v>
      </c>
      <c r="AF839" s="1" t="s">
        <v>3476</v>
      </c>
      <c r="AG839" s="1" t="s">
        <v>3477</v>
      </c>
      <c r="AH839" s="1">
        <v>78.400000000000006</v>
      </c>
      <c r="AI839" s="1">
        <v>82.8</v>
      </c>
      <c r="AJ839" s="1" t="s">
        <v>3478</v>
      </c>
      <c r="AK839" s="1" t="s">
        <v>3479</v>
      </c>
      <c r="AL839" s="1" t="s">
        <v>3480</v>
      </c>
    </row>
    <row r="840" spans="1:38" x14ac:dyDescent="0.6">
      <c r="A840" s="1">
        <v>596</v>
      </c>
      <c r="B840" s="1" t="s">
        <v>88</v>
      </c>
      <c r="C840" s="1">
        <v>60</v>
      </c>
      <c r="D840" s="1" t="s">
        <v>127</v>
      </c>
      <c r="E840" s="1" t="s">
        <v>90</v>
      </c>
      <c r="F840" s="1"/>
      <c r="G840" s="1"/>
      <c r="H840" s="1" t="s">
        <v>91</v>
      </c>
      <c r="I840" s="1" t="s">
        <v>92</v>
      </c>
      <c r="J840" s="1" t="s">
        <v>109</v>
      </c>
      <c r="K840" s="1">
        <v>1</v>
      </c>
      <c r="L840" s="1">
        <v>120</v>
      </c>
      <c r="M840" s="1" t="s">
        <v>94</v>
      </c>
      <c r="N840" s="1" t="s">
        <v>95</v>
      </c>
      <c r="O840" s="1"/>
      <c r="P840" s="1" t="s">
        <v>96</v>
      </c>
      <c r="Q840" s="1" t="s">
        <v>9</v>
      </c>
      <c r="R840" s="1">
        <v>0</v>
      </c>
      <c r="S840" s="1" t="s">
        <v>97</v>
      </c>
      <c r="T840" s="1" t="s">
        <v>97</v>
      </c>
      <c r="U840" s="1" t="b">
        <v>1</v>
      </c>
      <c r="V840" s="1" t="b">
        <v>0</v>
      </c>
      <c r="W840" s="1" t="b">
        <v>0</v>
      </c>
      <c r="X840" s="1">
        <v>0</v>
      </c>
      <c r="Y840" s="1" t="b">
        <v>1</v>
      </c>
      <c r="Z840" s="1" t="b">
        <v>1</v>
      </c>
      <c r="AA840" s="1">
        <v>89.2</v>
      </c>
      <c r="AB840" s="1" t="b">
        <v>1</v>
      </c>
      <c r="AC840" s="1">
        <v>142072212</v>
      </c>
      <c r="AD840" s="1">
        <v>1320556</v>
      </c>
      <c r="AE840" s="1">
        <v>0</v>
      </c>
      <c r="AF840" s="1" t="s">
        <v>3476</v>
      </c>
      <c r="AG840" s="1" t="s">
        <v>3477</v>
      </c>
      <c r="AH840" s="1">
        <v>78.400000000000006</v>
      </c>
      <c r="AI840" s="1">
        <v>82.8</v>
      </c>
      <c r="AJ840" s="1" t="s">
        <v>3481</v>
      </c>
      <c r="AK840" s="1" t="s">
        <v>3482</v>
      </c>
      <c r="AL840" s="1" t="s">
        <v>3483</v>
      </c>
    </row>
    <row r="841" spans="1:38" x14ac:dyDescent="0.6">
      <c r="A841" s="1">
        <v>584</v>
      </c>
      <c r="B841" s="1" t="s">
        <v>88</v>
      </c>
      <c r="C841" s="1">
        <v>60</v>
      </c>
      <c r="D841" s="1" t="s">
        <v>127</v>
      </c>
      <c r="E841" s="1" t="s">
        <v>90</v>
      </c>
      <c r="F841" s="1"/>
      <c r="G841" s="1"/>
      <c r="H841" s="1" t="s">
        <v>91</v>
      </c>
      <c r="I841" s="1" t="s">
        <v>92</v>
      </c>
      <c r="J841" s="1" t="s">
        <v>109</v>
      </c>
      <c r="K841" s="1">
        <v>1</v>
      </c>
      <c r="L841" s="1">
        <v>120</v>
      </c>
      <c r="M841" s="1" t="s">
        <v>7</v>
      </c>
      <c r="N841" s="1" t="s">
        <v>7</v>
      </c>
      <c r="O841" s="1" t="s">
        <v>96</v>
      </c>
      <c r="P841" s="1" t="s">
        <v>96</v>
      </c>
      <c r="Q841" s="1" t="s">
        <v>9</v>
      </c>
      <c r="R841" s="1">
        <v>0</v>
      </c>
      <c r="S841" s="1" t="s">
        <v>97</v>
      </c>
      <c r="T841" s="1" t="s">
        <v>97</v>
      </c>
      <c r="U841" s="1" t="b">
        <v>1</v>
      </c>
      <c r="V841" s="1" t="b">
        <v>0</v>
      </c>
      <c r="W841" s="1" t="b">
        <v>0</v>
      </c>
      <c r="X841" s="1">
        <v>5</v>
      </c>
      <c r="Y841" s="1" t="b">
        <v>1</v>
      </c>
      <c r="Z841" s="1" t="b">
        <v>1</v>
      </c>
      <c r="AA841" s="1">
        <v>67.400000000000006</v>
      </c>
      <c r="AB841" s="1" t="b">
        <v>0</v>
      </c>
      <c r="AC841" s="1">
        <v>0</v>
      </c>
      <c r="AD841" s="1">
        <v>2343553</v>
      </c>
      <c r="AE841" s="1">
        <v>152059263</v>
      </c>
      <c r="AF841" s="1" t="s">
        <v>3484</v>
      </c>
      <c r="AG841" s="1" t="s">
        <v>3484</v>
      </c>
      <c r="AH841" s="1">
        <v>67.2</v>
      </c>
      <c r="AI841" s="1">
        <v>64.5</v>
      </c>
      <c r="AJ841" s="1" t="s">
        <v>3485</v>
      </c>
      <c r="AK841" s="1" t="s">
        <v>3486</v>
      </c>
      <c r="AL841" s="1" t="s">
        <v>3487</v>
      </c>
    </row>
    <row r="842" spans="1:38" x14ac:dyDescent="0.6">
      <c r="A842" s="1">
        <v>595</v>
      </c>
      <c r="B842" s="1" t="s">
        <v>103</v>
      </c>
      <c r="C842" s="1">
        <v>60</v>
      </c>
      <c r="D842" s="1" t="s">
        <v>127</v>
      </c>
      <c r="E842" s="1" t="s">
        <v>108</v>
      </c>
      <c r="F842" s="1"/>
      <c r="G842" s="1"/>
      <c r="H842" s="1" t="s">
        <v>91</v>
      </c>
      <c r="I842" s="1" t="s">
        <v>92</v>
      </c>
      <c r="J842" s="1" t="s">
        <v>109</v>
      </c>
      <c r="K842" s="1">
        <v>1</v>
      </c>
      <c r="L842" s="1">
        <v>120</v>
      </c>
      <c r="M842" s="1" t="s">
        <v>7</v>
      </c>
      <c r="N842" s="1" t="s">
        <v>7</v>
      </c>
      <c r="O842" s="1" t="s">
        <v>96</v>
      </c>
      <c r="P842" s="1" t="s">
        <v>96</v>
      </c>
      <c r="Q842" s="1" t="s">
        <v>9</v>
      </c>
      <c r="R842" s="1">
        <v>0</v>
      </c>
      <c r="S842" s="1" t="s">
        <v>97</v>
      </c>
      <c r="T842" s="1" t="s">
        <v>97</v>
      </c>
      <c r="U842" s="1" t="b">
        <v>1</v>
      </c>
      <c r="V842" s="1" t="b">
        <v>0</v>
      </c>
      <c r="W842" s="1" t="b">
        <v>0</v>
      </c>
      <c r="X842" s="1">
        <v>5</v>
      </c>
      <c r="Y842" s="1" t="b">
        <v>1</v>
      </c>
      <c r="Z842" s="1" t="b">
        <v>1</v>
      </c>
      <c r="AA842" s="1">
        <v>66.900000000000006</v>
      </c>
      <c r="AB842" s="1" t="b">
        <v>0</v>
      </c>
      <c r="AC842" s="1">
        <v>0</v>
      </c>
      <c r="AD842" s="1">
        <v>2612106</v>
      </c>
      <c r="AE842" s="1">
        <v>137110646</v>
      </c>
      <c r="AF842" s="1" t="s">
        <v>3488</v>
      </c>
      <c r="AG842" s="1" t="s">
        <v>3488</v>
      </c>
      <c r="AH842" s="1">
        <v>73.2</v>
      </c>
      <c r="AI842" s="1">
        <v>65.5</v>
      </c>
      <c r="AJ842" s="1" t="s">
        <v>3489</v>
      </c>
      <c r="AK842" s="1" t="s">
        <v>3490</v>
      </c>
      <c r="AL842" s="1" t="s">
        <v>3491</v>
      </c>
    </row>
    <row r="843" spans="1:38" x14ac:dyDescent="0.6">
      <c r="A843" s="1">
        <v>597</v>
      </c>
      <c r="B843" s="1" t="s">
        <v>88</v>
      </c>
      <c r="C843" s="1">
        <v>60</v>
      </c>
      <c r="D843" s="1" t="s">
        <v>127</v>
      </c>
      <c r="E843" s="1" t="s">
        <v>90</v>
      </c>
      <c r="F843" s="1"/>
      <c r="G843" s="1"/>
      <c r="H843" s="1" t="s">
        <v>91</v>
      </c>
      <c r="I843" s="1" t="s">
        <v>92</v>
      </c>
      <c r="J843" s="1" t="s">
        <v>109</v>
      </c>
      <c r="K843" s="1">
        <v>1</v>
      </c>
      <c r="L843" s="1">
        <v>120</v>
      </c>
      <c r="M843" s="1" t="s">
        <v>14</v>
      </c>
      <c r="N843" s="1" t="s">
        <v>95</v>
      </c>
      <c r="O843" s="1" t="s">
        <v>96</v>
      </c>
      <c r="P843" s="1"/>
      <c r="Q843" s="1" t="s">
        <v>9</v>
      </c>
      <c r="R843" s="1">
        <v>0</v>
      </c>
      <c r="S843" s="1" t="s">
        <v>97</v>
      </c>
      <c r="T843" s="1" t="s">
        <v>97</v>
      </c>
      <c r="U843" s="1" t="b">
        <v>1</v>
      </c>
      <c r="V843" s="1" t="b">
        <v>0</v>
      </c>
      <c r="W843" s="1" t="b">
        <v>0</v>
      </c>
      <c r="X843" s="1">
        <v>5</v>
      </c>
      <c r="Y843" s="1" t="b">
        <v>1</v>
      </c>
      <c r="Z843" s="1" t="b">
        <v>1</v>
      </c>
      <c r="AA843" s="1"/>
      <c r="AB843" s="1" t="b">
        <v>1</v>
      </c>
      <c r="AC843" s="1">
        <v>129080472</v>
      </c>
      <c r="AD843" s="1">
        <v>680808</v>
      </c>
      <c r="AE843" s="1">
        <v>0</v>
      </c>
      <c r="AF843" s="1" t="s">
        <v>3492</v>
      </c>
      <c r="AG843" s="1" t="s">
        <v>3493</v>
      </c>
      <c r="AH843" s="1">
        <v>54.6</v>
      </c>
      <c r="AI843" s="1">
        <v>55.1</v>
      </c>
      <c r="AJ843" s="1" t="s">
        <v>3494</v>
      </c>
      <c r="AK843" s="1" t="s">
        <v>3495</v>
      </c>
      <c r="AL843" s="1" t="s">
        <v>3496</v>
      </c>
    </row>
    <row r="844" spans="1:38" x14ac:dyDescent="0.6">
      <c r="A844" s="1">
        <v>597</v>
      </c>
      <c r="B844" s="1" t="s">
        <v>88</v>
      </c>
      <c r="C844" s="1">
        <v>60</v>
      </c>
      <c r="D844" s="1" t="s">
        <v>127</v>
      </c>
      <c r="E844" s="1" t="s">
        <v>90</v>
      </c>
      <c r="F844" s="1"/>
      <c r="G844" s="1"/>
      <c r="H844" s="1" t="s">
        <v>91</v>
      </c>
      <c r="I844" s="1" t="s">
        <v>92</v>
      </c>
      <c r="J844" s="1" t="s">
        <v>109</v>
      </c>
      <c r="K844" s="1">
        <v>1</v>
      </c>
      <c r="L844" s="1">
        <v>120</v>
      </c>
      <c r="M844" s="1" t="s">
        <v>94</v>
      </c>
      <c r="N844" s="1" t="s">
        <v>95</v>
      </c>
      <c r="O844" s="1"/>
      <c r="P844" s="1" t="s">
        <v>96</v>
      </c>
      <c r="Q844" s="1" t="s">
        <v>9</v>
      </c>
      <c r="R844" s="1">
        <v>0</v>
      </c>
      <c r="S844" s="1" t="s">
        <v>97</v>
      </c>
      <c r="T844" s="1" t="s">
        <v>97</v>
      </c>
      <c r="U844" s="1" t="b">
        <v>1</v>
      </c>
      <c r="V844" s="1" t="b">
        <v>0</v>
      </c>
      <c r="W844" s="1" t="b">
        <v>0</v>
      </c>
      <c r="X844" s="1">
        <v>0</v>
      </c>
      <c r="Y844" s="1" t="b">
        <v>1</v>
      </c>
      <c r="Z844" s="1" t="b">
        <v>1</v>
      </c>
      <c r="AA844" s="1">
        <v>57.7</v>
      </c>
      <c r="AB844" s="1" t="b">
        <v>1</v>
      </c>
      <c r="AC844" s="1">
        <v>132307231</v>
      </c>
      <c r="AD844" s="1">
        <v>1910497</v>
      </c>
      <c r="AE844" s="1">
        <v>0</v>
      </c>
      <c r="AF844" s="1" t="s">
        <v>3492</v>
      </c>
      <c r="AG844" s="1" t="s">
        <v>3493</v>
      </c>
      <c r="AH844" s="1">
        <v>54.6</v>
      </c>
      <c r="AI844" s="1">
        <v>55.1</v>
      </c>
      <c r="AJ844" s="1" t="s">
        <v>3497</v>
      </c>
      <c r="AK844" s="1" t="s">
        <v>3498</v>
      </c>
      <c r="AL844" s="1" t="s">
        <v>3499</v>
      </c>
    </row>
    <row r="845" spans="1:38" x14ac:dyDescent="0.6">
      <c r="A845" s="1">
        <v>594</v>
      </c>
      <c r="B845" s="1" t="s">
        <v>103</v>
      </c>
      <c r="C845" s="1">
        <v>60</v>
      </c>
      <c r="D845" s="1" t="s">
        <v>127</v>
      </c>
      <c r="E845" s="1" t="s">
        <v>108</v>
      </c>
      <c r="F845" s="1"/>
      <c r="G845" s="1"/>
      <c r="H845" s="1" t="s">
        <v>91</v>
      </c>
      <c r="I845" s="1" t="s">
        <v>92</v>
      </c>
      <c r="J845" s="1" t="s">
        <v>109</v>
      </c>
      <c r="K845" s="1">
        <v>1</v>
      </c>
      <c r="L845" s="1">
        <v>120</v>
      </c>
      <c r="M845" s="1" t="s">
        <v>7</v>
      </c>
      <c r="N845" s="1" t="s">
        <v>7</v>
      </c>
      <c r="O845" s="1" t="s">
        <v>96</v>
      </c>
      <c r="P845" s="1" t="s">
        <v>96</v>
      </c>
      <c r="Q845" s="1" t="s">
        <v>9</v>
      </c>
      <c r="R845" s="1">
        <v>0</v>
      </c>
      <c r="S845" s="1" t="s">
        <v>97</v>
      </c>
      <c r="T845" s="1" t="s">
        <v>97</v>
      </c>
      <c r="U845" s="1" t="b">
        <v>1</v>
      </c>
      <c r="V845" s="1" t="b">
        <v>0</v>
      </c>
      <c r="W845" s="1" t="b">
        <v>0</v>
      </c>
      <c r="X845" s="1">
        <v>5</v>
      </c>
      <c r="Y845" s="1" t="b">
        <v>1</v>
      </c>
      <c r="Z845" s="1" t="b">
        <v>1</v>
      </c>
      <c r="AA845" s="1">
        <v>62.8</v>
      </c>
      <c r="AB845" s="1" t="b">
        <v>0</v>
      </c>
      <c r="AC845" s="1">
        <v>0</v>
      </c>
      <c r="AD845" s="1">
        <v>2219798</v>
      </c>
      <c r="AE845" s="1">
        <v>155066602</v>
      </c>
      <c r="AF845" s="1" t="s">
        <v>3500</v>
      </c>
      <c r="AG845" s="1" t="s">
        <v>3500</v>
      </c>
      <c r="AH845" s="1">
        <v>59.4</v>
      </c>
      <c r="AI845" s="1">
        <v>59.4</v>
      </c>
      <c r="AJ845" s="1" t="s">
        <v>3501</v>
      </c>
      <c r="AK845" s="1" t="s">
        <v>3502</v>
      </c>
      <c r="AL845" s="1" t="s">
        <v>3503</v>
      </c>
    </row>
    <row r="846" spans="1:38" x14ac:dyDescent="0.6">
      <c r="A846" s="1">
        <v>598</v>
      </c>
      <c r="B846" s="1" t="s">
        <v>103</v>
      </c>
      <c r="C846" s="1">
        <v>60</v>
      </c>
      <c r="D846" s="1" t="s">
        <v>127</v>
      </c>
      <c r="E846" s="1" t="s">
        <v>90</v>
      </c>
      <c r="F846" s="1"/>
      <c r="G846" s="1"/>
      <c r="H846" s="1" t="s">
        <v>91</v>
      </c>
      <c r="I846" s="1" t="s">
        <v>92</v>
      </c>
      <c r="J846" s="1" t="s">
        <v>93</v>
      </c>
      <c r="K846" s="1">
        <v>1</v>
      </c>
      <c r="L846" s="1">
        <v>120</v>
      </c>
      <c r="M846" s="1" t="s">
        <v>14</v>
      </c>
      <c r="N846" s="1" t="s">
        <v>95</v>
      </c>
      <c r="O846" s="1" t="s">
        <v>96</v>
      </c>
      <c r="P846" s="1"/>
      <c r="Q846" s="1" t="s">
        <v>9</v>
      </c>
      <c r="R846" s="1">
        <v>0</v>
      </c>
      <c r="S846" s="1" t="s">
        <v>97</v>
      </c>
      <c r="T846" s="1" t="s">
        <v>97</v>
      </c>
      <c r="U846" s="1" t="b">
        <v>1</v>
      </c>
      <c r="V846" s="1" t="b">
        <v>0</v>
      </c>
      <c r="W846" s="1" t="b">
        <v>0</v>
      </c>
      <c r="X846" s="1">
        <v>5</v>
      </c>
      <c r="Y846" s="1" t="b">
        <v>1</v>
      </c>
      <c r="Z846" s="1" t="b">
        <v>1</v>
      </c>
      <c r="AA846" s="1"/>
      <c r="AB846" s="1" t="b">
        <v>1</v>
      </c>
      <c r="AC846" s="1">
        <v>130804635</v>
      </c>
      <c r="AD846" s="1">
        <v>529509</v>
      </c>
      <c r="AE846" s="1">
        <v>0</v>
      </c>
      <c r="AF846" s="1" t="s">
        <v>3504</v>
      </c>
      <c r="AG846" s="1" t="s">
        <v>3505</v>
      </c>
      <c r="AH846" s="1">
        <v>60.1</v>
      </c>
      <c r="AI846" s="1">
        <v>59.5</v>
      </c>
      <c r="AJ846" s="1" t="s">
        <v>3506</v>
      </c>
      <c r="AK846" s="1" t="s">
        <v>3507</v>
      </c>
      <c r="AL846" s="1" t="s">
        <v>3508</v>
      </c>
    </row>
    <row r="847" spans="1:38" x14ac:dyDescent="0.6">
      <c r="A847" s="1">
        <v>599</v>
      </c>
      <c r="B847" s="1" t="s">
        <v>103</v>
      </c>
      <c r="C847" s="1">
        <v>50</v>
      </c>
      <c r="D847" s="1" t="s">
        <v>89</v>
      </c>
      <c r="E847" s="1" t="s">
        <v>90</v>
      </c>
      <c r="F847" s="1"/>
      <c r="G847" s="1"/>
      <c r="H847" s="1" t="s">
        <v>91</v>
      </c>
      <c r="I847" s="1" t="s">
        <v>92</v>
      </c>
      <c r="J847" s="1" t="s">
        <v>93</v>
      </c>
      <c r="K847" s="1">
        <v>1</v>
      </c>
      <c r="L847" s="1">
        <v>120</v>
      </c>
      <c r="M847" s="1" t="s">
        <v>14</v>
      </c>
      <c r="N847" s="1" t="s">
        <v>95</v>
      </c>
      <c r="O847" s="1" t="s">
        <v>96</v>
      </c>
      <c r="P847" s="1"/>
      <c r="Q847" s="1" t="s">
        <v>9</v>
      </c>
      <c r="R847" s="1">
        <v>0</v>
      </c>
      <c r="S847" s="1" t="s">
        <v>97</v>
      </c>
      <c r="T847" s="1" t="s">
        <v>97</v>
      </c>
      <c r="U847" s="1" t="b">
        <v>1</v>
      </c>
      <c r="V847" s="1" t="b">
        <v>0</v>
      </c>
      <c r="W847" s="1" t="b">
        <v>0</v>
      </c>
      <c r="X847" s="1">
        <v>5</v>
      </c>
      <c r="Y847" s="1" t="b">
        <v>1</v>
      </c>
      <c r="Z847" s="1" t="b">
        <v>1</v>
      </c>
      <c r="AA847" s="1"/>
      <c r="AB847" s="1" t="b">
        <v>1</v>
      </c>
      <c r="AC847" s="1">
        <v>127707572</v>
      </c>
      <c r="AD847" s="1">
        <v>480844</v>
      </c>
      <c r="AE847" s="1">
        <v>0</v>
      </c>
      <c r="AF847" s="1" t="s">
        <v>3509</v>
      </c>
      <c r="AG847" s="1" t="s">
        <v>3510</v>
      </c>
      <c r="AH847" s="1">
        <v>74.8</v>
      </c>
      <c r="AI847" s="1">
        <v>74.400000000000006</v>
      </c>
      <c r="AJ847" s="1" t="s">
        <v>3511</v>
      </c>
      <c r="AK847" s="1" t="s">
        <v>3512</v>
      </c>
      <c r="AL847" s="1" t="s">
        <v>3513</v>
      </c>
    </row>
    <row r="848" spans="1:38" x14ac:dyDescent="0.6">
      <c r="A848" s="1">
        <v>590</v>
      </c>
      <c r="B848" s="1" t="s">
        <v>88</v>
      </c>
      <c r="C848" s="1">
        <v>70</v>
      </c>
      <c r="D848" s="1" t="s">
        <v>119</v>
      </c>
      <c r="E848" s="1" t="s">
        <v>108</v>
      </c>
      <c r="F848" s="1"/>
      <c r="G848" s="1"/>
      <c r="H848" s="1" t="s">
        <v>91</v>
      </c>
      <c r="I848" s="1" t="s">
        <v>92</v>
      </c>
      <c r="J848" s="1" t="s">
        <v>109</v>
      </c>
      <c r="K848" s="1">
        <v>1</v>
      </c>
      <c r="L848" s="1">
        <v>120</v>
      </c>
      <c r="M848" s="1" t="s">
        <v>94</v>
      </c>
      <c r="N848" s="1" t="s">
        <v>95</v>
      </c>
      <c r="O848" s="1"/>
      <c r="P848" s="1" t="s">
        <v>96</v>
      </c>
      <c r="Q848" s="1" t="s">
        <v>9</v>
      </c>
      <c r="R848" s="1">
        <v>0</v>
      </c>
      <c r="S848" s="1" t="s">
        <v>97</v>
      </c>
      <c r="T848" s="1" t="s">
        <v>97</v>
      </c>
      <c r="U848" s="1" t="b">
        <v>1</v>
      </c>
      <c r="V848" s="1" t="b">
        <v>0</v>
      </c>
      <c r="W848" s="1" t="b">
        <v>0</v>
      </c>
      <c r="X848" s="1">
        <v>0</v>
      </c>
      <c r="Y848" s="1" t="b">
        <v>1</v>
      </c>
      <c r="Z848" s="1" t="b">
        <v>1</v>
      </c>
      <c r="AA848" s="1">
        <v>77.7</v>
      </c>
      <c r="AB848" s="1" t="b">
        <v>1</v>
      </c>
      <c r="AC848" s="1">
        <v>141650940</v>
      </c>
      <c r="AD848" s="1">
        <v>2266116</v>
      </c>
      <c r="AE848" s="1">
        <v>0</v>
      </c>
      <c r="AF848" s="1" t="s">
        <v>3440</v>
      </c>
      <c r="AG848" s="1" t="s">
        <v>3441</v>
      </c>
      <c r="AH848" s="1">
        <v>73</v>
      </c>
      <c r="AI848" s="1">
        <v>74.400000000000006</v>
      </c>
      <c r="AJ848" s="1" t="s">
        <v>3514</v>
      </c>
      <c r="AK848" s="1" t="s">
        <v>3515</v>
      </c>
      <c r="AL848" s="1" t="s">
        <v>3516</v>
      </c>
    </row>
    <row r="849" spans="1:38" x14ac:dyDescent="0.6">
      <c r="A849" s="1">
        <v>598</v>
      </c>
      <c r="B849" s="1" t="s">
        <v>103</v>
      </c>
      <c r="C849" s="1">
        <v>60</v>
      </c>
      <c r="D849" s="1" t="s">
        <v>127</v>
      </c>
      <c r="E849" s="1" t="s">
        <v>90</v>
      </c>
      <c r="F849" s="1"/>
      <c r="G849" s="1"/>
      <c r="H849" s="1" t="s">
        <v>91</v>
      </c>
      <c r="I849" s="1" t="s">
        <v>92</v>
      </c>
      <c r="J849" s="1" t="s">
        <v>93</v>
      </c>
      <c r="K849" s="1">
        <v>1</v>
      </c>
      <c r="L849" s="1">
        <v>120</v>
      </c>
      <c r="M849" s="1" t="s">
        <v>94</v>
      </c>
      <c r="N849" s="1" t="s">
        <v>95</v>
      </c>
      <c r="O849" s="1"/>
      <c r="P849" s="1" t="s">
        <v>96</v>
      </c>
      <c r="Q849" s="1" t="s">
        <v>9</v>
      </c>
      <c r="R849" s="1">
        <v>0</v>
      </c>
      <c r="S849" s="1" t="s">
        <v>97</v>
      </c>
      <c r="T849" s="1" t="s">
        <v>97</v>
      </c>
      <c r="U849" s="1" t="b">
        <v>1</v>
      </c>
      <c r="V849" s="1" t="b">
        <v>0</v>
      </c>
      <c r="W849" s="1" t="b">
        <v>0</v>
      </c>
      <c r="X849" s="1">
        <v>0</v>
      </c>
      <c r="Y849" s="1" t="b">
        <v>1</v>
      </c>
      <c r="Z849" s="1" t="b">
        <v>1</v>
      </c>
      <c r="AA849" s="1">
        <v>61.4</v>
      </c>
      <c r="AB849" s="1" t="b">
        <v>1</v>
      </c>
      <c r="AC849" s="1">
        <v>139760961</v>
      </c>
      <c r="AD849" s="1">
        <v>1534655</v>
      </c>
      <c r="AE849" s="1">
        <v>0</v>
      </c>
      <c r="AF849" s="1" t="s">
        <v>3504</v>
      </c>
      <c r="AG849" s="1" t="s">
        <v>3505</v>
      </c>
      <c r="AH849" s="1">
        <v>60.1</v>
      </c>
      <c r="AI849" s="1">
        <v>59.5</v>
      </c>
      <c r="AJ849" s="1" t="s">
        <v>3517</v>
      </c>
      <c r="AK849" s="1" t="s">
        <v>3518</v>
      </c>
      <c r="AL849" s="1" t="s">
        <v>3519</v>
      </c>
    </row>
    <row r="850" spans="1:38" x14ac:dyDescent="0.6">
      <c r="A850" s="1">
        <v>601</v>
      </c>
      <c r="B850" s="1" t="s">
        <v>88</v>
      </c>
      <c r="C850" s="1">
        <v>60</v>
      </c>
      <c r="D850" s="1" t="s">
        <v>127</v>
      </c>
      <c r="E850" s="1" t="s">
        <v>90</v>
      </c>
      <c r="F850" s="1"/>
      <c r="G850" s="1"/>
      <c r="H850" s="1" t="s">
        <v>91</v>
      </c>
      <c r="I850" s="1" t="s">
        <v>92</v>
      </c>
      <c r="J850" s="1" t="s">
        <v>93</v>
      </c>
      <c r="K850" s="1">
        <v>1</v>
      </c>
      <c r="L850" s="1">
        <v>120</v>
      </c>
      <c r="M850" s="1" t="s">
        <v>14</v>
      </c>
      <c r="N850" s="1" t="s">
        <v>14</v>
      </c>
      <c r="O850" s="1" t="s">
        <v>96</v>
      </c>
      <c r="P850" s="1"/>
      <c r="Q850" s="1" t="s">
        <v>9</v>
      </c>
      <c r="R850" s="1">
        <v>0</v>
      </c>
      <c r="S850" s="1"/>
      <c r="T850" s="1" t="s">
        <v>97</v>
      </c>
      <c r="U850" s="1"/>
      <c r="V850" s="1" t="b">
        <v>0</v>
      </c>
      <c r="W850" s="1" t="b">
        <v>0</v>
      </c>
      <c r="X850" s="1">
        <v>5</v>
      </c>
      <c r="Y850" s="1" t="b">
        <v>1</v>
      </c>
      <c r="Z850" s="1" t="b">
        <v>1</v>
      </c>
      <c r="AA850" s="1"/>
      <c r="AB850" s="1" t="b">
        <v>1</v>
      </c>
      <c r="AC850" s="1">
        <v>142092637</v>
      </c>
      <c r="AD850" s="1">
        <v>513699</v>
      </c>
      <c r="AE850" s="1">
        <v>0</v>
      </c>
      <c r="AF850" s="1" t="s">
        <v>3520</v>
      </c>
      <c r="AG850" s="1"/>
      <c r="AH850" s="1">
        <v>70.400000000000006</v>
      </c>
      <c r="AI850" s="1"/>
      <c r="AJ850" s="1" t="s">
        <v>3521</v>
      </c>
      <c r="AK850" s="1" t="s">
        <v>3522</v>
      </c>
      <c r="AL850" s="1" t="s">
        <v>3523</v>
      </c>
    </row>
    <row r="851" spans="1:38" x14ac:dyDescent="0.6">
      <c r="A851" s="1">
        <v>592</v>
      </c>
      <c r="B851" s="1" t="s">
        <v>88</v>
      </c>
      <c r="C851" s="1">
        <v>50</v>
      </c>
      <c r="D851" s="1" t="s">
        <v>89</v>
      </c>
      <c r="E851" s="1" t="s">
        <v>90</v>
      </c>
      <c r="F851" s="1"/>
      <c r="G851" s="1"/>
      <c r="H851" s="1" t="s">
        <v>91</v>
      </c>
      <c r="I851" s="1" t="s">
        <v>92</v>
      </c>
      <c r="J851" s="1" t="s">
        <v>109</v>
      </c>
      <c r="K851" s="1">
        <v>1</v>
      </c>
      <c r="L851" s="1">
        <v>120</v>
      </c>
      <c r="M851" s="1" t="s">
        <v>94</v>
      </c>
      <c r="N851" s="1" t="s">
        <v>95</v>
      </c>
      <c r="O851" s="1"/>
      <c r="P851" s="1" t="s">
        <v>96</v>
      </c>
      <c r="Q851" s="1" t="s">
        <v>9</v>
      </c>
      <c r="R851" s="1">
        <v>0</v>
      </c>
      <c r="S851" s="1" t="s">
        <v>97</v>
      </c>
      <c r="T851" s="1" t="s">
        <v>97</v>
      </c>
      <c r="U851" s="1" t="b">
        <v>1</v>
      </c>
      <c r="V851" s="1" t="b">
        <v>0</v>
      </c>
      <c r="W851" s="1" t="b">
        <v>0</v>
      </c>
      <c r="X851" s="1">
        <v>0</v>
      </c>
      <c r="Y851" s="1" t="b">
        <v>1</v>
      </c>
      <c r="Z851" s="1" t="b">
        <v>1</v>
      </c>
      <c r="AA851" s="1">
        <v>72</v>
      </c>
      <c r="AB851" s="1" t="b">
        <v>1</v>
      </c>
      <c r="AC851" s="1">
        <v>132403098</v>
      </c>
      <c r="AD851" s="1">
        <v>1814630</v>
      </c>
      <c r="AE851" s="1">
        <v>0</v>
      </c>
      <c r="AF851" s="1" t="s">
        <v>3467</v>
      </c>
      <c r="AG851" s="1" t="s">
        <v>3468</v>
      </c>
      <c r="AH851" s="1">
        <v>70.599999999999994</v>
      </c>
      <c r="AI851" s="1">
        <v>67.400000000000006</v>
      </c>
      <c r="AJ851" s="1" t="s">
        <v>3524</v>
      </c>
      <c r="AK851" s="1" t="s">
        <v>3525</v>
      </c>
      <c r="AL851" s="1" t="s">
        <v>3526</v>
      </c>
    </row>
    <row r="852" spans="1:38" x14ac:dyDescent="0.6">
      <c r="A852" s="1">
        <v>604</v>
      </c>
      <c r="B852" s="1" t="s">
        <v>103</v>
      </c>
      <c r="C852" s="1">
        <v>70</v>
      </c>
      <c r="D852" s="1" t="s">
        <v>119</v>
      </c>
      <c r="E852" s="1" t="s">
        <v>90</v>
      </c>
      <c r="F852" s="1"/>
      <c r="G852" s="1"/>
      <c r="H852" s="1" t="s">
        <v>91</v>
      </c>
      <c r="I852" s="1" t="s">
        <v>92</v>
      </c>
      <c r="J852" s="1" t="s">
        <v>93</v>
      </c>
      <c r="K852" s="1">
        <v>1</v>
      </c>
      <c r="L852" s="1">
        <v>120</v>
      </c>
      <c r="M852" s="1" t="s">
        <v>14</v>
      </c>
      <c r="N852" s="1" t="s">
        <v>95</v>
      </c>
      <c r="O852" s="1" t="s">
        <v>96</v>
      </c>
      <c r="P852" s="1"/>
      <c r="Q852" s="1" t="s">
        <v>9</v>
      </c>
      <c r="R852" s="1">
        <v>0</v>
      </c>
      <c r="S852" s="1" t="s">
        <v>97</v>
      </c>
      <c r="T852" s="1" t="s">
        <v>97</v>
      </c>
      <c r="U852" s="1" t="b">
        <v>1</v>
      </c>
      <c r="V852" s="1" t="b">
        <v>0</v>
      </c>
      <c r="W852" s="1" t="b">
        <v>0</v>
      </c>
      <c r="X852" s="1">
        <v>5</v>
      </c>
      <c r="Y852" s="1" t="b">
        <v>1</v>
      </c>
      <c r="Z852" s="1" t="b">
        <v>1</v>
      </c>
      <c r="AA852" s="1"/>
      <c r="AB852" s="1" t="b">
        <v>1</v>
      </c>
      <c r="AC852" s="1">
        <v>136130090</v>
      </c>
      <c r="AD852" s="1">
        <v>446934</v>
      </c>
      <c r="AE852" s="1">
        <v>0</v>
      </c>
      <c r="AF852" s="1" t="s">
        <v>3527</v>
      </c>
      <c r="AG852" s="1" t="s">
        <v>3528</v>
      </c>
      <c r="AH852" s="1">
        <v>64.8</v>
      </c>
      <c r="AI852" s="1">
        <v>62.3</v>
      </c>
      <c r="AJ852" s="1" t="s">
        <v>3529</v>
      </c>
      <c r="AK852" s="1" t="s">
        <v>3530</v>
      </c>
      <c r="AL852" s="1" t="s">
        <v>3531</v>
      </c>
    </row>
    <row r="853" spans="1:38" x14ac:dyDescent="0.6">
      <c r="A853" s="1">
        <v>591</v>
      </c>
      <c r="B853" s="1" t="s">
        <v>88</v>
      </c>
      <c r="C853" s="1">
        <v>50</v>
      </c>
      <c r="D853" s="1" t="s">
        <v>89</v>
      </c>
      <c r="E853" s="1" t="s">
        <v>108</v>
      </c>
      <c r="F853" s="1"/>
      <c r="G853" s="1"/>
      <c r="H853" s="1" t="s">
        <v>91</v>
      </c>
      <c r="I853" s="1" t="s">
        <v>92</v>
      </c>
      <c r="J853" s="1" t="s">
        <v>109</v>
      </c>
      <c r="K853" s="1">
        <v>1</v>
      </c>
      <c r="L853" s="1">
        <v>120</v>
      </c>
      <c r="M853" s="1" t="s">
        <v>14</v>
      </c>
      <c r="N853" s="1" t="s">
        <v>14</v>
      </c>
      <c r="O853" s="1" t="s">
        <v>96</v>
      </c>
      <c r="P853" s="1"/>
      <c r="Q853" s="1" t="s">
        <v>9</v>
      </c>
      <c r="R853" s="1">
        <v>0</v>
      </c>
      <c r="S853" s="1"/>
      <c r="T853" s="1" t="s">
        <v>97</v>
      </c>
      <c r="U853" s="1"/>
      <c r="V853" s="1" t="b">
        <v>0</v>
      </c>
      <c r="W853" s="1" t="b">
        <v>0</v>
      </c>
      <c r="X853" s="1">
        <v>5</v>
      </c>
      <c r="Y853" s="1" t="b">
        <v>1</v>
      </c>
      <c r="Z853" s="1" t="b">
        <v>1</v>
      </c>
      <c r="AA853" s="1"/>
      <c r="AB853" s="1" t="b">
        <v>1</v>
      </c>
      <c r="AC853" s="1">
        <v>144666467</v>
      </c>
      <c r="AD853" s="1">
        <v>823453</v>
      </c>
      <c r="AE853" s="1">
        <v>0</v>
      </c>
      <c r="AF853" s="1" t="s">
        <v>3532</v>
      </c>
      <c r="AG853" s="1"/>
      <c r="AH853" s="1">
        <v>80</v>
      </c>
      <c r="AI853" s="1"/>
      <c r="AJ853" s="1" t="s">
        <v>3533</v>
      </c>
      <c r="AK853" s="1" t="s">
        <v>3534</v>
      </c>
      <c r="AL853" s="1" t="s">
        <v>3535</v>
      </c>
    </row>
    <row r="854" spans="1:38" x14ac:dyDescent="0.6">
      <c r="A854" s="1">
        <v>602</v>
      </c>
      <c r="B854" s="1" t="s">
        <v>103</v>
      </c>
      <c r="C854" s="1">
        <v>60</v>
      </c>
      <c r="D854" s="1" t="s">
        <v>127</v>
      </c>
      <c r="E854" s="1" t="s">
        <v>108</v>
      </c>
      <c r="F854" s="1"/>
      <c r="G854" s="1"/>
      <c r="H854" s="1" t="s">
        <v>91</v>
      </c>
      <c r="I854" s="1" t="s">
        <v>92</v>
      </c>
      <c r="J854" s="1" t="s">
        <v>93</v>
      </c>
      <c r="K854" s="1">
        <v>1</v>
      </c>
      <c r="L854" s="1">
        <v>120</v>
      </c>
      <c r="M854" s="1" t="s">
        <v>94</v>
      </c>
      <c r="N854" s="1" t="s">
        <v>95</v>
      </c>
      <c r="O854" s="1"/>
      <c r="P854" s="1" t="s">
        <v>96</v>
      </c>
      <c r="Q854" s="1" t="s">
        <v>9</v>
      </c>
      <c r="R854" s="1">
        <v>0</v>
      </c>
      <c r="S854" s="1" t="s">
        <v>97</v>
      </c>
      <c r="T854" s="1" t="s">
        <v>97</v>
      </c>
      <c r="U854" s="1" t="b">
        <v>1</v>
      </c>
      <c r="V854" s="1" t="b">
        <v>0</v>
      </c>
      <c r="W854" s="1" t="b">
        <v>0</v>
      </c>
      <c r="X854" s="1">
        <v>0</v>
      </c>
      <c r="Y854" s="1" t="b">
        <v>1</v>
      </c>
      <c r="Z854" s="1" t="b">
        <v>1</v>
      </c>
      <c r="AA854" s="1">
        <v>62.3</v>
      </c>
      <c r="AB854" s="1" t="b">
        <v>1</v>
      </c>
      <c r="AC854" s="1">
        <v>165216587</v>
      </c>
      <c r="AD854" s="1">
        <v>2031285</v>
      </c>
      <c r="AE854" s="1">
        <v>0</v>
      </c>
      <c r="AF854" s="1" t="s">
        <v>3536</v>
      </c>
      <c r="AG854" s="1" t="s">
        <v>3537</v>
      </c>
      <c r="AH854" s="1">
        <v>62</v>
      </c>
      <c r="AI854" s="1">
        <v>60.5</v>
      </c>
      <c r="AJ854" s="1" t="s">
        <v>3538</v>
      </c>
      <c r="AK854" s="1" t="s">
        <v>3539</v>
      </c>
      <c r="AL854" s="1" t="s">
        <v>3540</v>
      </c>
    </row>
    <row r="855" spans="1:38" x14ac:dyDescent="0.6">
      <c r="A855" s="1">
        <v>605</v>
      </c>
      <c r="B855" s="1" t="s">
        <v>103</v>
      </c>
      <c r="C855" s="1">
        <v>70</v>
      </c>
      <c r="D855" s="1" t="s">
        <v>119</v>
      </c>
      <c r="E855" s="1" t="s">
        <v>90</v>
      </c>
      <c r="F855" s="1"/>
      <c r="G855" s="1"/>
      <c r="H855" s="1" t="s">
        <v>91</v>
      </c>
      <c r="I855" s="1" t="s">
        <v>92</v>
      </c>
      <c r="J855" s="1" t="s">
        <v>93</v>
      </c>
      <c r="K855" s="1">
        <v>1</v>
      </c>
      <c r="L855" s="1">
        <v>120</v>
      </c>
      <c r="M855" s="1" t="s">
        <v>14</v>
      </c>
      <c r="N855" s="1" t="s">
        <v>95</v>
      </c>
      <c r="O855" s="1" t="s">
        <v>96</v>
      </c>
      <c r="P855" s="1"/>
      <c r="Q855" s="1" t="s">
        <v>9</v>
      </c>
      <c r="R855" s="1">
        <v>0</v>
      </c>
      <c r="S855" s="1" t="s">
        <v>97</v>
      </c>
      <c r="T855" s="1" t="s">
        <v>97</v>
      </c>
      <c r="U855" s="1" t="b">
        <v>1</v>
      </c>
      <c r="V855" s="1" t="b">
        <v>0</v>
      </c>
      <c r="W855" s="1" t="b">
        <v>0</v>
      </c>
      <c r="X855" s="1">
        <v>5</v>
      </c>
      <c r="Y855" s="1" t="b">
        <v>1</v>
      </c>
      <c r="Z855" s="1" t="b">
        <v>1</v>
      </c>
      <c r="AA855" s="1"/>
      <c r="AB855" s="1" t="b">
        <v>1</v>
      </c>
      <c r="AC855" s="1">
        <v>137056947</v>
      </c>
      <c r="AD855" s="1">
        <v>568653</v>
      </c>
      <c r="AE855" s="1">
        <v>0</v>
      </c>
      <c r="AF855" s="1" t="s">
        <v>3541</v>
      </c>
      <c r="AG855" s="1" t="s">
        <v>3542</v>
      </c>
      <c r="AH855" s="1">
        <v>61</v>
      </c>
      <c r="AI855" s="1">
        <v>57.2</v>
      </c>
      <c r="AJ855" s="1" t="s">
        <v>3543</v>
      </c>
      <c r="AK855" s="1" t="s">
        <v>3544</v>
      </c>
      <c r="AL855" s="1" t="s">
        <v>3545</v>
      </c>
    </row>
    <row r="856" spans="1:38" x14ac:dyDescent="0.6">
      <c r="A856" s="1">
        <v>605</v>
      </c>
      <c r="B856" s="1" t="s">
        <v>103</v>
      </c>
      <c r="C856" s="1">
        <v>70</v>
      </c>
      <c r="D856" s="1" t="s">
        <v>119</v>
      </c>
      <c r="E856" s="1" t="s">
        <v>90</v>
      </c>
      <c r="F856" s="1"/>
      <c r="G856" s="1"/>
      <c r="H856" s="1" t="s">
        <v>91</v>
      </c>
      <c r="I856" s="1" t="s">
        <v>92</v>
      </c>
      <c r="J856" s="1" t="s">
        <v>93</v>
      </c>
      <c r="K856" s="1">
        <v>1</v>
      </c>
      <c r="L856" s="1">
        <v>120</v>
      </c>
      <c r="M856" s="1" t="s">
        <v>94</v>
      </c>
      <c r="N856" s="1" t="s">
        <v>95</v>
      </c>
      <c r="O856" s="1"/>
      <c r="P856" s="1" t="s">
        <v>96</v>
      </c>
      <c r="Q856" s="1" t="s">
        <v>9</v>
      </c>
      <c r="R856" s="1">
        <v>0</v>
      </c>
      <c r="S856" s="1" t="s">
        <v>97</v>
      </c>
      <c r="T856" s="1" t="s">
        <v>97</v>
      </c>
      <c r="U856" s="1" t="b">
        <v>1</v>
      </c>
      <c r="V856" s="1" t="b">
        <v>0</v>
      </c>
      <c r="W856" s="1" t="b">
        <v>0</v>
      </c>
      <c r="X856" s="1">
        <v>0</v>
      </c>
      <c r="Y856" s="1" t="b">
        <v>1</v>
      </c>
      <c r="Z856" s="1" t="b">
        <v>1</v>
      </c>
      <c r="AA856" s="1">
        <v>58</v>
      </c>
      <c r="AB856" s="1" t="b">
        <v>1</v>
      </c>
      <c r="AC856" s="1">
        <v>136438587</v>
      </c>
      <c r="AD856" s="1">
        <v>1711301</v>
      </c>
      <c r="AE856" s="1">
        <v>0</v>
      </c>
      <c r="AF856" s="1" t="s">
        <v>3541</v>
      </c>
      <c r="AG856" s="1" t="s">
        <v>3542</v>
      </c>
      <c r="AH856" s="1">
        <v>61</v>
      </c>
      <c r="AI856" s="1">
        <v>57.2</v>
      </c>
      <c r="AJ856" s="1" t="s">
        <v>3546</v>
      </c>
      <c r="AK856" s="1" t="s">
        <v>3547</v>
      </c>
      <c r="AL856" s="1" t="s">
        <v>3548</v>
      </c>
    </row>
    <row r="857" spans="1:38" x14ac:dyDescent="0.6">
      <c r="A857" s="1">
        <v>600</v>
      </c>
      <c r="B857" s="1" t="s">
        <v>88</v>
      </c>
      <c r="C857" s="1">
        <v>50</v>
      </c>
      <c r="D857" s="1" t="s">
        <v>89</v>
      </c>
      <c r="E857" s="1" t="s">
        <v>108</v>
      </c>
      <c r="F857" s="1"/>
      <c r="G857" s="1"/>
      <c r="H857" s="1" t="s">
        <v>91</v>
      </c>
      <c r="I857" s="1" t="s">
        <v>92</v>
      </c>
      <c r="J857" s="1" t="s">
        <v>93</v>
      </c>
      <c r="K857" s="1">
        <v>1</v>
      </c>
      <c r="L857" s="1">
        <v>120</v>
      </c>
      <c r="M857" s="1" t="s">
        <v>7</v>
      </c>
      <c r="N857" s="1" t="s">
        <v>7</v>
      </c>
      <c r="O857" s="1" t="s">
        <v>96</v>
      </c>
      <c r="P857" s="1" t="s">
        <v>96</v>
      </c>
      <c r="Q857" s="1" t="s">
        <v>9</v>
      </c>
      <c r="R857" s="1">
        <v>0</v>
      </c>
      <c r="S857" s="1" t="s">
        <v>97</v>
      </c>
      <c r="T857" s="1" t="s">
        <v>97</v>
      </c>
      <c r="U857" s="1" t="b">
        <v>1</v>
      </c>
      <c r="V857" s="1" t="b">
        <v>0</v>
      </c>
      <c r="W857" s="1" t="b">
        <v>0</v>
      </c>
      <c r="X857" s="1">
        <v>5</v>
      </c>
      <c r="Y857" s="1" t="b">
        <v>1</v>
      </c>
      <c r="Z857" s="1" t="b">
        <v>1</v>
      </c>
      <c r="AA857" s="1">
        <v>82.9</v>
      </c>
      <c r="AB857" s="1" t="b">
        <v>0</v>
      </c>
      <c r="AC857" s="1">
        <v>0</v>
      </c>
      <c r="AD857" s="1">
        <v>1830587</v>
      </c>
      <c r="AE857" s="1">
        <v>167252293</v>
      </c>
      <c r="AF857" s="1" t="s">
        <v>3549</v>
      </c>
      <c r="AG857" s="1" t="s">
        <v>3549</v>
      </c>
      <c r="AH857" s="1">
        <v>80.900000000000006</v>
      </c>
      <c r="AI857" s="1">
        <v>81.3</v>
      </c>
      <c r="AJ857" s="1" t="s">
        <v>3550</v>
      </c>
      <c r="AK857" s="1" t="s">
        <v>3551</v>
      </c>
      <c r="AL857" s="1" t="s">
        <v>3552</v>
      </c>
    </row>
    <row r="858" spans="1:38" x14ac:dyDescent="0.6">
      <c r="A858" s="1">
        <v>606</v>
      </c>
      <c r="B858" s="1" t="s">
        <v>103</v>
      </c>
      <c r="C858" s="1">
        <v>50</v>
      </c>
      <c r="D858" s="1" t="s">
        <v>89</v>
      </c>
      <c r="E858" s="1" t="s">
        <v>108</v>
      </c>
      <c r="F858" s="1"/>
      <c r="G858" s="1"/>
      <c r="H858" s="1" t="s">
        <v>91</v>
      </c>
      <c r="I858" s="1" t="s">
        <v>92</v>
      </c>
      <c r="J858" s="1" t="s">
        <v>93</v>
      </c>
      <c r="K858" s="1">
        <v>1</v>
      </c>
      <c r="L858" s="1">
        <v>120</v>
      </c>
      <c r="M858" s="1" t="s">
        <v>14</v>
      </c>
      <c r="N858" s="1" t="s">
        <v>95</v>
      </c>
      <c r="O858" s="1" t="s">
        <v>96</v>
      </c>
      <c r="P858" s="1"/>
      <c r="Q858" s="1" t="s">
        <v>9</v>
      </c>
      <c r="R858" s="1">
        <v>0</v>
      </c>
      <c r="S858" s="1" t="s">
        <v>97</v>
      </c>
      <c r="T858" s="1" t="s">
        <v>97</v>
      </c>
      <c r="U858" s="1" t="b">
        <v>1</v>
      </c>
      <c r="V858" s="1" t="b">
        <v>0</v>
      </c>
      <c r="W858" s="1" t="b">
        <v>0</v>
      </c>
      <c r="X858" s="1">
        <v>5</v>
      </c>
      <c r="Y858" s="1" t="b">
        <v>1</v>
      </c>
      <c r="Z858" s="1" t="b">
        <v>1</v>
      </c>
      <c r="AA858" s="1"/>
      <c r="AB858" s="1" t="b">
        <v>1</v>
      </c>
      <c r="AC858" s="1">
        <v>143931054</v>
      </c>
      <c r="AD858" s="1">
        <v>772434</v>
      </c>
      <c r="AE858" s="1">
        <v>0</v>
      </c>
      <c r="AF858" s="1" t="s">
        <v>3553</v>
      </c>
      <c r="AG858" s="1" t="s">
        <v>3554</v>
      </c>
      <c r="AH858" s="1">
        <v>59.4</v>
      </c>
      <c r="AI858" s="1">
        <v>51.8</v>
      </c>
      <c r="AJ858" s="1" t="s">
        <v>3555</v>
      </c>
      <c r="AK858" s="1" t="s">
        <v>3556</v>
      </c>
      <c r="AL858" s="1" t="s">
        <v>3557</v>
      </c>
    </row>
    <row r="859" spans="1:38" x14ac:dyDescent="0.6">
      <c r="A859" s="1">
        <v>607</v>
      </c>
      <c r="B859" s="1" t="s">
        <v>103</v>
      </c>
      <c r="C859" s="1">
        <v>50</v>
      </c>
      <c r="D859" s="1" t="s">
        <v>89</v>
      </c>
      <c r="E859" s="1" t="s">
        <v>90</v>
      </c>
      <c r="F859" s="1"/>
      <c r="G859" s="1"/>
      <c r="H859" s="1" t="s">
        <v>91</v>
      </c>
      <c r="I859" s="1" t="s">
        <v>92</v>
      </c>
      <c r="J859" s="1" t="s">
        <v>93</v>
      </c>
      <c r="K859" s="1">
        <v>1</v>
      </c>
      <c r="L859" s="1">
        <v>120</v>
      </c>
      <c r="M859" s="1" t="s">
        <v>94</v>
      </c>
      <c r="N859" s="1" t="s">
        <v>95</v>
      </c>
      <c r="O859" s="1"/>
      <c r="P859" s="1" t="s">
        <v>96</v>
      </c>
      <c r="Q859" s="1" t="s">
        <v>9</v>
      </c>
      <c r="R859" s="1">
        <v>0</v>
      </c>
      <c r="S859" s="1" t="s">
        <v>97</v>
      </c>
      <c r="T859" s="1" t="s">
        <v>97</v>
      </c>
      <c r="U859" s="1" t="b">
        <v>1</v>
      </c>
      <c r="V859" s="1" t="b">
        <v>0</v>
      </c>
      <c r="W859" s="1" t="b">
        <v>0</v>
      </c>
      <c r="X859" s="1">
        <v>0</v>
      </c>
      <c r="Y859" s="1" t="b">
        <v>1</v>
      </c>
      <c r="Z859" s="1" t="b">
        <v>1</v>
      </c>
      <c r="AA859" s="1">
        <v>68.8</v>
      </c>
      <c r="AB859" s="1" t="b">
        <v>1</v>
      </c>
      <c r="AC859" s="1">
        <v>134109108</v>
      </c>
      <c r="AD859" s="1">
        <v>1157196</v>
      </c>
      <c r="AE859" s="1">
        <v>0</v>
      </c>
      <c r="AF859" s="1" t="s">
        <v>3558</v>
      </c>
      <c r="AG859" s="1" t="s">
        <v>3559</v>
      </c>
      <c r="AH859" s="1">
        <v>68.099999999999994</v>
      </c>
      <c r="AI859" s="1">
        <v>66.3</v>
      </c>
      <c r="AJ859" s="1" t="s">
        <v>3560</v>
      </c>
      <c r="AK859" s="1" t="s">
        <v>3561</v>
      </c>
      <c r="AL859" s="1" t="s">
        <v>3562</v>
      </c>
    </row>
    <row r="860" spans="1:38" x14ac:dyDescent="0.6">
      <c r="A860" s="1">
        <v>606</v>
      </c>
      <c r="B860" s="1" t="s">
        <v>103</v>
      </c>
      <c r="C860" s="1">
        <v>50</v>
      </c>
      <c r="D860" s="1" t="s">
        <v>89</v>
      </c>
      <c r="E860" s="1" t="s">
        <v>108</v>
      </c>
      <c r="F860" s="1"/>
      <c r="G860" s="1"/>
      <c r="H860" s="1" t="s">
        <v>91</v>
      </c>
      <c r="I860" s="1" t="s">
        <v>92</v>
      </c>
      <c r="J860" s="1" t="s">
        <v>93</v>
      </c>
      <c r="K860" s="1">
        <v>1</v>
      </c>
      <c r="L860" s="1">
        <v>120</v>
      </c>
      <c r="M860" s="1" t="s">
        <v>94</v>
      </c>
      <c r="N860" s="1" t="s">
        <v>95</v>
      </c>
      <c r="O860" s="1"/>
      <c r="P860" s="1" t="s">
        <v>96</v>
      </c>
      <c r="Q860" s="1" t="s">
        <v>9</v>
      </c>
      <c r="R860" s="1">
        <v>0</v>
      </c>
      <c r="S860" s="1" t="s">
        <v>97</v>
      </c>
      <c r="T860" s="1" t="s">
        <v>97</v>
      </c>
      <c r="U860" s="1" t="b">
        <v>1</v>
      </c>
      <c r="V860" s="1" t="b">
        <v>0</v>
      </c>
      <c r="W860" s="1" t="b">
        <v>0</v>
      </c>
      <c r="X860" s="1">
        <v>0</v>
      </c>
      <c r="Y860" s="1" t="b">
        <v>1</v>
      </c>
      <c r="Z860" s="1" t="b">
        <v>1</v>
      </c>
      <c r="AA860" s="1">
        <v>53</v>
      </c>
      <c r="AB860" s="1" t="b">
        <v>1</v>
      </c>
      <c r="AC860" s="1">
        <v>152913428</v>
      </c>
      <c r="AD860" s="1">
        <v>2275820</v>
      </c>
      <c r="AE860" s="1">
        <v>0</v>
      </c>
      <c r="AF860" s="1" t="s">
        <v>3553</v>
      </c>
      <c r="AG860" s="1" t="s">
        <v>3554</v>
      </c>
      <c r="AH860" s="1">
        <v>59.4</v>
      </c>
      <c r="AI860" s="1">
        <v>51.8</v>
      </c>
      <c r="AJ860" s="1" t="s">
        <v>3563</v>
      </c>
      <c r="AK860" s="1" t="s">
        <v>3564</v>
      </c>
      <c r="AL860" s="1" t="s">
        <v>3565</v>
      </c>
    </row>
    <row r="861" spans="1:38" x14ac:dyDescent="0.6">
      <c r="A861" s="1">
        <v>603</v>
      </c>
      <c r="B861" s="1" t="s">
        <v>103</v>
      </c>
      <c r="C861" s="1">
        <v>60</v>
      </c>
      <c r="D861" s="1" t="s">
        <v>127</v>
      </c>
      <c r="E861" s="1" t="s">
        <v>90</v>
      </c>
      <c r="F861" s="1"/>
      <c r="G861" s="1"/>
      <c r="H861" s="1" t="s">
        <v>91</v>
      </c>
      <c r="I861" s="1" t="s">
        <v>92</v>
      </c>
      <c r="J861" s="1" t="s">
        <v>93</v>
      </c>
      <c r="K861" s="1">
        <v>1</v>
      </c>
      <c r="L861" s="1">
        <v>120</v>
      </c>
      <c r="M861" s="1" t="s">
        <v>14</v>
      </c>
      <c r="N861" s="1" t="s">
        <v>95</v>
      </c>
      <c r="O861" s="1" t="s">
        <v>96</v>
      </c>
      <c r="P861" s="1"/>
      <c r="Q861" s="1" t="s">
        <v>9</v>
      </c>
      <c r="R861" s="1">
        <v>0</v>
      </c>
      <c r="S861" s="1" t="s">
        <v>97</v>
      </c>
      <c r="T861" s="1" t="s">
        <v>97</v>
      </c>
      <c r="U861" s="1" t="b">
        <v>1</v>
      </c>
      <c r="V861" s="1" t="b">
        <v>0</v>
      </c>
      <c r="W861" s="1" t="b">
        <v>0</v>
      </c>
      <c r="X861" s="1">
        <v>5</v>
      </c>
      <c r="Y861" s="1" t="b">
        <v>1</v>
      </c>
      <c r="Z861" s="1" t="b">
        <v>1</v>
      </c>
      <c r="AA861" s="1"/>
      <c r="AB861" s="1" t="b">
        <v>1</v>
      </c>
      <c r="AC861" s="1">
        <v>133484141</v>
      </c>
      <c r="AD861" s="1">
        <v>471443</v>
      </c>
      <c r="AE861" s="1">
        <v>0</v>
      </c>
      <c r="AF861" s="1" t="s">
        <v>3566</v>
      </c>
      <c r="AG861" s="1" t="s">
        <v>3567</v>
      </c>
      <c r="AH861" s="1">
        <v>59.2</v>
      </c>
      <c r="AI861" s="1">
        <v>61.4</v>
      </c>
      <c r="AJ861" s="1" t="s">
        <v>3568</v>
      </c>
      <c r="AK861" s="1" t="s">
        <v>3569</v>
      </c>
      <c r="AL861" s="1" t="s">
        <v>3570</v>
      </c>
    </row>
    <row r="862" spans="1:38" x14ac:dyDescent="0.6">
      <c r="A862" s="1">
        <v>599</v>
      </c>
      <c r="B862" s="1" t="s">
        <v>103</v>
      </c>
      <c r="C862" s="1">
        <v>50</v>
      </c>
      <c r="D862" s="1" t="s">
        <v>89</v>
      </c>
      <c r="E862" s="1" t="s">
        <v>90</v>
      </c>
      <c r="F862" s="1"/>
      <c r="G862" s="1"/>
      <c r="H862" s="1" t="s">
        <v>91</v>
      </c>
      <c r="I862" s="1" t="s">
        <v>92</v>
      </c>
      <c r="J862" s="1" t="s">
        <v>93</v>
      </c>
      <c r="K862" s="1">
        <v>1</v>
      </c>
      <c r="L862" s="1">
        <v>120</v>
      </c>
      <c r="M862" s="1" t="s">
        <v>94</v>
      </c>
      <c r="N862" s="1" t="s">
        <v>95</v>
      </c>
      <c r="O862" s="1"/>
      <c r="P862" s="1" t="s">
        <v>96</v>
      </c>
      <c r="Q862" s="1" t="s">
        <v>9</v>
      </c>
      <c r="R862" s="1">
        <v>0</v>
      </c>
      <c r="S862" s="1" t="s">
        <v>97</v>
      </c>
      <c r="T862" s="1" t="s">
        <v>97</v>
      </c>
      <c r="U862" s="1" t="b">
        <v>1</v>
      </c>
      <c r="V862" s="1" t="b">
        <v>0</v>
      </c>
      <c r="W862" s="1" t="b">
        <v>0</v>
      </c>
      <c r="X862" s="1">
        <v>0</v>
      </c>
      <c r="Y862" s="1" t="b">
        <v>1</v>
      </c>
      <c r="Z862" s="1" t="b">
        <v>1</v>
      </c>
      <c r="AA862" s="1">
        <v>78.7</v>
      </c>
      <c r="AB862" s="1" t="b">
        <v>1</v>
      </c>
      <c r="AC862" s="1">
        <v>140801474</v>
      </c>
      <c r="AD862" s="1">
        <v>1280574</v>
      </c>
      <c r="AE862" s="1">
        <v>0</v>
      </c>
      <c r="AF862" s="1" t="s">
        <v>3509</v>
      </c>
      <c r="AG862" s="1" t="s">
        <v>3510</v>
      </c>
      <c r="AH862" s="1">
        <v>74.8</v>
      </c>
      <c r="AI862" s="1">
        <v>74.400000000000006</v>
      </c>
      <c r="AJ862" s="1" t="s">
        <v>3571</v>
      </c>
      <c r="AK862" s="1" t="s">
        <v>3572</v>
      </c>
      <c r="AL862" s="1" t="s">
        <v>3573</v>
      </c>
    </row>
    <row r="863" spans="1:38" x14ac:dyDescent="0.6">
      <c r="A863" s="1">
        <v>609</v>
      </c>
      <c r="B863" s="1" t="s">
        <v>103</v>
      </c>
      <c r="C863" s="1">
        <v>60</v>
      </c>
      <c r="D863" s="1" t="s">
        <v>127</v>
      </c>
      <c r="E863" s="1" t="s">
        <v>108</v>
      </c>
      <c r="F863" s="1"/>
      <c r="G863" s="1"/>
      <c r="H863" s="1" t="s">
        <v>91</v>
      </c>
      <c r="I863" s="1" t="s">
        <v>92</v>
      </c>
      <c r="J863" s="1" t="s">
        <v>93</v>
      </c>
      <c r="K863" s="1">
        <v>1</v>
      </c>
      <c r="L863" s="1">
        <v>120</v>
      </c>
      <c r="M863" s="1" t="s">
        <v>7</v>
      </c>
      <c r="N863" s="1" t="s">
        <v>7</v>
      </c>
      <c r="O863" s="1" t="s">
        <v>96</v>
      </c>
      <c r="P863" s="1" t="s">
        <v>96</v>
      </c>
      <c r="Q863" s="1" t="s">
        <v>9</v>
      </c>
      <c r="R863" s="1">
        <v>0</v>
      </c>
      <c r="S863" s="1" t="s">
        <v>97</v>
      </c>
      <c r="T863" s="1" t="s">
        <v>97</v>
      </c>
      <c r="U863" s="1" t="b">
        <v>1</v>
      </c>
      <c r="V863" s="1" t="b">
        <v>0</v>
      </c>
      <c r="W863" s="1" t="b">
        <v>0</v>
      </c>
      <c r="X863" s="1">
        <v>5</v>
      </c>
      <c r="Y863" s="1" t="b">
        <v>1</v>
      </c>
      <c r="Z863" s="1" t="b">
        <v>1</v>
      </c>
      <c r="AA863" s="1">
        <v>56.4</v>
      </c>
      <c r="AB863" s="1" t="b">
        <v>0</v>
      </c>
      <c r="AC863" s="1">
        <v>0</v>
      </c>
      <c r="AD863" s="1">
        <v>3324758</v>
      </c>
      <c r="AE863" s="1">
        <v>128009386</v>
      </c>
      <c r="AF863" s="1" t="s">
        <v>3574</v>
      </c>
      <c r="AG863" s="1" t="s">
        <v>3574</v>
      </c>
      <c r="AH863" s="1">
        <v>51.6</v>
      </c>
      <c r="AI863" s="1">
        <v>53.2</v>
      </c>
      <c r="AJ863" s="1" t="s">
        <v>3575</v>
      </c>
      <c r="AK863" s="1" t="s">
        <v>3576</v>
      </c>
      <c r="AL863" s="1" t="s">
        <v>3577</v>
      </c>
    </row>
    <row r="864" spans="1:38" x14ac:dyDescent="0.6">
      <c r="A864" s="1">
        <v>610</v>
      </c>
      <c r="B864" s="1" t="s">
        <v>88</v>
      </c>
      <c r="C864" s="1">
        <v>70</v>
      </c>
      <c r="D864" s="1" t="s">
        <v>119</v>
      </c>
      <c r="E864" s="1" t="s">
        <v>108</v>
      </c>
      <c r="F864" s="1"/>
      <c r="G864" s="1"/>
      <c r="H864" s="1" t="s">
        <v>91</v>
      </c>
      <c r="I864" s="1" t="s">
        <v>92</v>
      </c>
      <c r="J864" s="1" t="s">
        <v>93</v>
      </c>
      <c r="K864" s="1">
        <v>1</v>
      </c>
      <c r="L864" s="1">
        <v>120</v>
      </c>
      <c r="M864" s="1" t="s">
        <v>14</v>
      </c>
      <c r="N864" s="1" t="s">
        <v>14</v>
      </c>
      <c r="O864" s="1" t="s">
        <v>96</v>
      </c>
      <c r="P864" s="1"/>
      <c r="Q864" s="1" t="s">
        <v>9</v>
      </c>
      <c r="R864" s="1">
        <v>0</v>
      </c>
      <c r="S864" s="1"/>
      <c r="T864" s="1" t="s">
        <v>97</v>
      </c>
      <c r="U864" s="1"/>
      <c r="V864" s="1" t="b">
        <v>0</v>
      </c>
      <c r="W864" s="1" t="b">
        <v>0</v>
      </c>
      <c r="X864" s="1">
        <v>5</v>
      </c>
      <c r="Y864" s="1" t="b">
        <v>1</v>
      </c>
      <c r="Z864" s="1" t="b">
        <v>1</v>
      </c>
      <c r="AA864" s="1"/>
      <c r="AB864" s="1" t="b">
        <v>1</v>
      </c>
      <c r="AC864" s="1">
        <v>146812027</v>
      </c>
      <c r="AD864" s="1">
        <v>1037189</v>
      </c>
      <c r="AE864" s="1">
        <v>0</v>
      </c>
      <c r="AF864" s="1" t="s">
        <v>3578</v>
      </c>
      <c r="AG864" s="1"/>
      <c r="AH864" s="1">
        <v>55.8</v>
      </c>
      <c r="AI864" s="1"/>
      <c r="AJ864" s="1" t="s">
        <v>3579</v>
      </c>
      <c r="AK864" s="1" t="s">
        <v>3580</v>
      </c>
      <c r="AL864" s="1" t="s">
        <v>3581</v>
      </c>
    </row>
    <row r="865" spans="1:38" x14ac:dyDescent="0.6">
      <c r="A865" s="1">
        <v>611</v>
      </c>
      <c r="B865" s="1" t="s">
        <v>88</v>
      </c>
      <c r="C865" s="1">
        <v>60</v>
      </c>
      <c r="D865" s="1" t="s">
        <v>127</v>
      </c>
      <c r="E865" s="1" t="s">
        <v>90</v>
      </c>
      <c r="F865" s="1"/>
      <c r="G865" s="1"/>
      <c r="H865" s="1" t="s">
        <v>91</v>
      </c>
      <c r="I865" s="1" t="s">
        <v>92</v>
      </c>
      <c r="J865" s="1" t="s">
        <v>93</v>
      </c>
      <c r="K865" s="1">
        <v>1</v>
      </c>
      <c r="L865" s="1">
        <v>120</v>
      </c>
      <c r="M865" s="1" t="s">
        <v>7</v>
      </c>
      <c r="N865" s="1" t="s">
        <v>7</v>
      </c>
      <c r="O865" s="1" t="s">
        <v>96</v>
      </c>
      <c r="P865" s="1" t="s">
        <v>96</v>
      </c>
      <c r="Q865" s="1" t="s">
        <v>9</v>
      </c>
      <c r="R865" s="1">
        <v>0</v>
      </c>
      <c r="S865" s="1" t="s">
        <v>97</v>
      </c>
      <c r="T865" s="1" t="s">
        <v>97</v>
      </c>
      <c r="U865" s="1" t="b">
        <v>1</v>
      </c>
      <c r="V865" s="1" t="b">
        <v>0</v>
      </c>
      <c r="W865" s="1" t="b">
        <v>0</v>
      </c>
      <c r="X865" s="1">
        <v>5</v>
      </c>
      <c r="Y865" s="1" t="b">
        <v>1</v>
      </c>
      <c r="Z865" s="1" t="b">
        <v>1</v>
      </c>
      <c r="AA865" s="1">
        <v>76.2</v>
      </c>
      <c r="AB865" s="1" t="b">
        <v>0</v>
      </c>
      <c r="AC865" s="1">
        <v>0</v>
      </c>
      <c r="AD865" s="1">
        <v>3256686</v>
      </c>
      <c r="AE865" s="1">
        <v>136990354</v>
      </c>
      <c r="AF865" s="1" t="s">
        <v>3582</v>
      </c>
      <c r="AG865" s="1" t="s">
        <v>3582</v>
      </c>
      <c r="AH865" s="1">
        <v>83</v>
      </c>
      <c r="AI865" s="1">
        <v>74.3</v>
      </c>
      <c r="AJ865" s="1" t="s">
        <v>3583</v>
      </c>
      <c r="AK865" s="1" t="s">
        <v>3584</v>
      </c>
      <c r="AL865" s="1" t="s">
        <v>3585</v>
      </c>
    </row>
    <row r="866" spans="1:38" x14ac:dyDescent="0.6">
      <c r="A866" s="1">
        <v>612</v>
      </c>
      <c r="B866" s="1" t="s">
        <v>103</v>
      </c>
      <c r="C866" s="1">
        <v>50</v>
      </c>
      <c r="D866" s="1" t="s">
        <v>89</v>
      </c>
      <c r="E866" s="1" t="s">
        <v>108</v>
      </c>
      <c r="F866" s="1"/>
      <c r="G866" s="1"/>
      <c r="H866" s="1" t="s">
        <v>91</v>
      </c>
      <c r="I866" s="1" t="s">
        <v>92</v>
      </c>
      <c r="J866" s="1" t="s">
        <v>93</v>
      </c>
      <c r="K866" s="1">
        <v>1</v>
      </c>
      <c r="L866" s="1">
        <v>120</v>
      </c>
      <c r="M866" s="1" t="s">
        <v>14</v>
      </c>
      <c r="N866" s="1" t="s">
        <v>95</v>
      </c>
      <c r="O866" s="1" t="s">
        <v>96</v>
      </c>
      <c r="P866" s="1"/>
      <c r="Q866" s="1" t="s">
        <v>9</v>
      </c>
      <c r="R866" s="1">
        <v>0</v>
      </c>
      <c r="S866" s="1" t="s">
        <v>97</v>
      </c>
      <c r="T866" s="1" t="s">
        <v>97</v>
      </c>
      <c r="U866" s="1" t="b">
        <v>1</v>
      </c>
      <c r="V866" s="1" t="b">
        <v>0</v>
      </c>
      <c r="W866" s="1" t="b">
        <v>0</v>
      </c>
      <c r="X866" s="1">
        <v>5</v>
      </c>
      <c r="Y866" s="1" t="b">
        <v>1</v>
      </c>
      <c r="Z866" s="1" t="b">
        <v>1</v>
      </c>
      <c r="AA866" s="1"/>
      <c r="AB866" s="1" t="b">
        <v>1</v>
      </c>
      <c r="AC866" s="1">
        <v>150622107</v>
      </c>
      <c r="AD866" s="1">
        <v>634981</v>
      </c>
      <c r="AE866" s="1">
        <v>0</v>
      </c>
      <c r="AF866" s="1" t="s">
        <v>3586</v>
      </c>
      <c r="AG866" s="1" t="s">
        <v>3587</v>
      </c>
      <c r="AH866" s="1">
        <v>77.2</v>
      </c>
      <c r="AI866" s="1">
        <v>71.900000000000006</v>
      </c>
      <c r="AJ866" s="1" t="s">
        <v>3588</v>
      </c>
      <c r="AK866" s="1" t="s">
        <v>3589</v>
      </c>
      <c r="AL866" s="1" t="s">
        <v>3590</v>
      </c>
    </row>
    <row r="867" spans="1:38" x14ac:dyDescent="0.6">
      <c r="A867" s="1">
        <v>603</v>
      </c>
      <c r="B867" s="1" t="s">
        <v>103</v>
      </c>
      <c r="C867" s="1">
        <v>60</v>
      </c>
      <c r="D867" s="1" t="s">
        <v>127</v>
      </c>
      <c r="E867" s="1" t="s">
        <v>90</v>
      </c>
      <c r="F867" s="1"/>
      <c r="G867" s="1"/>
      <c r="H867" s="1" t="s">
        <v>91</v>
      </c>
      <c r="I867" s="1" t="s">
        <v>92</v>
      </c>
      <c r="J867" s="1" t="s">
        <v>93</v>
      </c>
      <c r="K867" s="1">
        <v>1</v>
      </c>
      <c r="L867" s="1">
        <v>120</v>
      </c>
      <c r="M867" s="1" t="s">
        <v>94</v>
      </c>
      <c r="N867" s="1" t="s">
        <v>95</v>
      </c>
      <c r="O867" s="1"/>
      <c r="P867" s="1" t="s">
        <v>96</v>
      </c>
      <c r="Q867" s="1" t="s">
        <v>9</v>
      </c>
      <c r="R867" s="1">
        <v>0</v>
      </c>
      <c r="S867" s="1" t="s">
        <v>97</v>
      </c>
      <c r="T867" s="1" t="s">
        <v>97</v>
      </c>
      <c r="U867" s="1" t="b">
        <v>1</v>
      </c>
      <c r="V867" s="1" t="b">
        <v>0</v>
      </c>
      <c r="W867" s="1" t="b">
        <v>0</v>
      </c>
      <c r="X867" s="1">
        <v>0</v>
      </c>
      <c r="Y867" s="1" t="b">
        <v>1</v>
      </c>
      <c r="Z867" s="1" t="b">
        <v>1</v>
      </c>
      <c r="AA867" s="1">
        <v>66.5</v>
      </c>
      <c r="AB867" s="1" t="b">
        <v>1</v>
      </c>
      <c r="AC867" s="1">
        <v>132737644</v>
      </c>
      <c r="AD867" s="1">
        <v>1480084</v>
      </c>
      <c r="AE867" s="1">
        <v>0</v>
      </c>
      <c r="AF867" s="1" t="s">
        <v>3566</v>
      </c>
      <c r="AG867" s="1" t="s">
        <v>3567</v>
      </c>
      <c r="AH867" s="1">
        <v>59.2</v>
      </c>
      <c r="AI867" s="1">
        <v>61.4</v>
      </c>
      <c r="AJ867" s="1" t="s">
        <v>3591</v>
      </c>
      <c r="AK867" s="1" t="s">
        <v>3592</v>
      </c>
      <c r="AL867" s="1" t="s">
        <v>3593</v>
      </c>
    </row>
    <row r="868" spans="1:38" x14ac:dyDescent="0.6">
      <c r="A868" s="1">
        <v>604</v>
      </c>
      <c r="B868" s="1" t="s">
        <v>103</v>
      </c>
      <c r="C868" s="1">
        <v>70</v>
      </c>
      <c r="D868" s="1" t="s">
        <v>119</v>
      </c>
      <c r="E868" s="1" t="s">
        <v>90</v>
      </c>
      <c r="F868" s="1"/>
      <c r="G868" s="1"/>
      <c r="H868" s="1" t="s">
        <v>91</v>
      </c>
      <c r="I868" s="1" t="s">
        <v>92</v>
      </c>
      <c r="J868" s="1" t="s">
        <v>93</v>
      </c>
      <c r="K868" s="1">
        <v>1</v>
      </c>
      <c r="L868" s="1">
        <v>120</v>
      </c>
      <c r="M868" s="1" t="s">
        <v>94</v>
      </c>
      <c r="N868" s="1" t="s">
        <v>95</v>
      </c>
      <c r="O868" s="1"/>
      <c r="P868" s="1" t="s">
        <v>96</v>
      </c>
      <c r="Q868" s="1" t="s">
        <v>9</v>
      </c>
      <c r="R868" s="1">
        <v>0</v>
      </c>
      <c r="S868" s="1" t="s">
        <v>97</v>
      </c>
      <c r="T868" s="1" t="s">
        <v>97</v>
      </c>
      <c r="U868" s="1" t="b">
        <v>1</v>
      </c>
      <c r="V868" s="1" t="b">
        <v>0</v>
      </c>
      <c r="W868" s="1" t="b">
        <v>0</v>
      </c>
      <c r="X868" s="1">
        <v>0</v>
      </c>
      <c r="Y868" s="1" t="b">
        <v>1</v>
      </c>
      <c r="Z868" s="1" t="b">
        <v>1</v>
      </c>
      <c r="AA868" s="1">
        <v>66.2</v>
      </c>
      <c r="AB868" s="1" t="b">
        <v>1</v>
      </c>
      <c r="AC868" s="1">
        <v>135586402</v>
      </c>
      <c r="AD868" s="1">
        <v>1252766</v>
      </c>
      <c r="AE868" s="1">
        <v>0</v>
      </c>
      <c r="AF868" s="1" t="s">
        <v>3527</v>
      </c>
      <c r="AG868" s="1" t="s">
        <v>3528</v>
      </c>
      <c r="AH868" s="1">
        <v>64.8</v>
      </c>
      <c r="AI868" s="1">
        <v>62.3</v>
      </c>
      <c r="AJ868" s="1" t="s">
        <v>3594</v>
      </c>
      <c r="AK868" s="1" t="s">
        <v>3595</v>
      </c>
      <c r="AL868" s="1" t="s">
        <v>3596</v>
      </c>
    </row>
    <row r="869" spans="1:38" x14ac:dyDescent="0.6">
      <c r="A869" s="1">
        <v>602</v>
      </c>
      <c r="B869" s="1" t="s">
        <v>103</v>
      </c>
      <c r="C869" s="1">
        <v>60</v>
      </c>
      <c r="D869" s="1" t="s">
        <v>127</v>
      </c>
      <c r="E869" s="1" t="s">
        <v>108</v>
      </c>
      <c r="F869" s="1"/>
      <c r="G869" s="1"/>
      <c r="H869" s="1" t="s">
        <v>91</v>
      </c>
      <c r="I869" s="1" t="s">
        <v>92</v>
      </c>
      <c r="J869" s="1" t="s">
        <v>93</v>
      </c>
      <c r="K869" s="1">
        <v>1</v>
      </c>
      <c r="L869" s="1">
        <v>120</v>
      </c>
      <c r="M869" s="1" t="s">
        <v>14</v>
      </c>
      <c r="N869" s="1" t="s">
        <v>95</v>
      </c>
      <c r="O869" s="1" t="s">
        <v>96</v>
      </c>
      <c r="P869" s="1"/>
      <c r="Q869" s="1" t="s">
        <v>9</v>
      </c>
      <c r="R869" s="1">
        <v>0</v>
      </c>
      <c r="S869" s="1" t="s">
        <v>97</v>
      </c>
      <c r="T869" s="1" t="s">
        <v>97</v>
      </c>
      <c r="U869" s="1" t="b">
        <v>1</v>
      </c>
      <c r="V869" s="1" t="b">
        <v>0</v>
      </c>
      <c r="W869" s="1" t="b">
        <v>0</v>
      </c>
      <c r="X869" s="1">
        <v>5</v>
      </c>
      <c r="Y869" s="1" t="b">
        <v>1</v>
      </c>
      <c r="Z869" s="1" t="b">
        <v>1</v>
      </c>
      <c r="AA869" s="1"/>
      <c r="AB869" s="1" t="b">
        <v>1</v>
      </c>
      <c r="AC869" s="1">
        <v>149668199</v>
      </c>
      <c r="AD869" s="1">
        <v>802457</v>
      </c>
      <c r="AE869" s="1">
        <v>0</v>
      </c>
      <c r="AF869" s="1" t="s">
        <v>3536</v>
      </c>
      <c r="AG869" s="1" t="s">
        <v>3537</v>
      </c>
      <c r="AH869" s="1">
        <v>62</v>
      </c>
      <c r="AI869" s="1">
        <v>60.5</v>
      </c>
      <c r="AJ869" s="1" t="s">
        <v>3597</v>
      </c>
      <c r="AK869" s="1" t="s">
        <v>3598</v>
      </c>
      <c r="AL869" s="1" t="s">
        <v>3599</v>
      </c>
    </row>
    <row r="870" spans="1:38" x14ac:dyDescent="0.6">
      <c r="A870" s="1">
        <v>613</v>
      </c>
      <c r="B870" s="1" t="s">
        <v>88</v>
      </c>
      <c r="C870" s="1">
        <v>50</v>
      </c>
      <c r="D870" s="1" t="s">
        <v>89</v>
      </c>
      <c r="E870" s="1" t="s">
        <v>108</v>
      </c>
      <c r="F870" s="1"/>
      <c r="G870" s="1"/>
      <c r="H870" s="1" t="s">
        <v>91</v>
      </c>
      <c r="I870" s="1" t="s">
        <v>92</v>
      </c>
      <c r="J870" s="1" t="s">
        <v>93</v>
      </c>
      <c r="K870" s="1">
        <v>1</v>
      </c>
      <c r="L870" s="1">
        <v>120</v>
      </c>
      <c r="M870" s="1" t="s">
        <v>7</v>
      </c>
      <c r="N870" s="1" t="s">
        <v>7</v>
      </c>
      <c r="O870" s="1" t="s">
        <v>96</v>
      </c>
      <c r="P870" s="1" t="s">
        <v>96</v>
      </c>
      <c r="Q870" s="1" t="s">
        <v>9</v>
      </c>
      <c r="R870" s="1">
        <v>0</v>
      </c>
      <c r="S870" s="1" t="s">
        <v>97</v>
      </c>
      <c r="T870" s="1" t="s">
        <v>97</v>
      </c>
      <c r="U870" s="1" t="b">
        <v>1</v>
      </c>
      <c r="V870" s="1" t="b">
        <v>0</v>
      </c>
      <c r="W870" s="1" t="b">
        <v>0</v>
      </c>
      <c r="X870" s="1">
        <v>5</v>
      </c>
      <c r="Y870" s="1" t="b">
        <v>1</v>
      </c>
      <c r="Z870" s="1" t="b">
        <v>1</v>
      </c>
      <c r="AA870" s="1">
        <v>72.099999999999994</v>
      </c>
      <c r="AB870" s="1" t="b">
        <v>0</v>
      </c>
      <c r="AC870" s="1">
        <v>0</v>
      </c>
      <c r="AD870" s="1">
        <v>2353161</v>
      </c>
      <c r="AE870" s="1">
        <v>143661047</v>
      </c>
      <c r="AF870" s="1" t="s">
        <v>3600</v>
      </c>
      <c r="AG870" s="1" t="s">
        <v>3600</v>
      </c>
      <c r="AH870" s="1">
        <v>76.099999999999994</v>
      </c>
      <c r="AI870" s="1">
        <v>69.7</v>
      </c>
      <c r="AJ870" s="1" t="s">
        <v>3601</v>
      </c>
      <c r="AK870" s="1" t="s">
        <v>3602</v>
      </c>
      <c r="AL870" s="1" t="s">
        <v>3603</v>
      </c>
    </row>
    <row r="871" spans="1:38" x14ac:dyDescent="0.6">
      <c r="A871" s="1">
        <v>616</v>
      </c>
      <c r="B871" s="1" t="s">
        <v>103</v>
      </c>
      <c r="C871" s="1">
        <v>50</v>
      </c>
      <c r="D871" s="1" t="s">
        <v>89</v>
      </c>
      <c r="E871" s="1" t="s">
        <v>90</v>
      </c>
      <c r="F871" s="1"/>
      <c r="G871" s="1"/>
      <c r="H871" s="1" t="s">
        <v>91</v>
      </c>
      <c r="I871" s="1" t="s">
        <v>92</v>
      </c>
      <c r="J871" s="1" t="s">
        <v>93</v>
      </c>
      <c r="K871" s="1">
        <v>1</v>
      </c>
      <c r="L871" s="1">
        <v>120</v>
      </c>
      <c r="M871" s="1" t="s">
        <v>7</v>
      </c>
      <c r="N871" s="1" t="s">
        <v>7</v>
      </c>
      <c r="O871" s="1" t="s">
        <v>96</v>
      </c>
      <c r="P871" s="1" t="s">
        <v>96</v>
      </c>
      <c r="Q871" s="1" t="s">
        <v>9</v>
      </c>
      <c r="R871" s="1">
        <v>0</v>
      </c>
      <c r="S871" s="1" t="s">
        <v>97</v>
      </c>
      <c r="T871" s="1" t="s">
        <v>97</v>
      </c>
      <c r="U871" s="1" t="b">
        <v>1</v>
      </c>
      <c r="V871" s="1" t="b">
        <v>0</v>
      </c>
      <c r="W871" s="1" t="b">
        <v>0</v>
      </c>
      <c r="X871" s="1">
        <v>5</v>
      </c>
      <c r="Y871" s="1" t="b">
        <v>1</v>
      </c>
      <c r="Z871" s="1" t="b">
        <v>1</v>
      </c>
      <c r="AA871" s="1">
        <v>85</v>
      </c>
      <c r="AB871" s="1" t="b">
        <v>0</v>
      </c>
      <c r="AC871" s="1">
        <v>0</v>
      </c>
      <c r="AD871" s="1">
        <v>3580924</v>
      </c>
      <c r="AE871" s="1">
        <v>140860420</v>
      </c>
      <c r="AF871" s="1" t="s">
        <v>3604</v>
      </c>
      <c r="AG871" s="1" t="s">
        <v>3604</v>
      </c>
      <c r="AH871" s="1">
        <v>84</v>
      </c>
      <c r="AI871" s="1">
        <v>80.5</v>
      </c>
      <c r="AJ871" s="1" t="s">
        <v>3605</v>
      </c>
      <c r="AK871" s="1" t="s">
        <v>3606</v>
      </c>
      <c r="AL871" s="1" t="s">
        <v>3607</v>
      </c>
    </row>
    <row r="872" spans="1:38" x14ac:dyDescent="0.6">
      <c r="A872" s="1">
        <v>614</v>
      </c>
      <c r="B872" s="1" t="s">
        <v>88</v>
      </c>
      <c r="C872" s="1">
        <v>60</v>
      </c>
      <c r="D872" s="1" t="s">
        <v>127</v>
      </c>
      <c r="E872" s="1" t="s">
        <v>108</v>
      </c>
      <c r="F872" s="1"/>
      <c r="G872" s="1"/>
      <c r="H872" s="1" t="s">
        <v>91</v>
      </c>
      <c r="I872" s="1" t="s">
        <v>92</v>
      </c>
      <c r="J872" s="1" t="s">
        <v>93</v>
      </c>
      <c r="K872" s="1">
        <v>1</v>
      </c>
      <c r="L872" s="1">
        <v>120</v>
      </c>
      <c r="M872" s="1" t="s">
        <v>7</v>
      </c>
      <c r="N872" s="1" t="s">
        <v>7</v>
      </c>
      <c r="O872" s="1" t="s">
        <v>96</v>
      </c>
      <c r="P872" s="1" t="s">
        <v>96</v>
      </c>
      <c r="Q872" s="1" t="s">
        <v>9</v>
      </c>
      <c r="R872" s="1">
        <v>0</v>
      </c>
      <c r="S872" s="1" t="s">
        <v>97</v>
      </c>
      <c r="T872" s="1" t="s">
        <v>97</v>
      </c>
      <c r="U872" s="1" t="b">
        <v>1</v>
      </c>
      <c r="V872" s="1" t="b">
        <v>0</v>
      </c>
      <c r="W872" s="1" t="b">
        <v>0</v>
      </c>
      <c r="X872" s="1">
        <v>5</v>
      </c>
      <c r="Y872" s="1" t="b">
        <v>1</v>
      </c>
      <c r="Z872" s="1" t="b">
        <v>1</v>
      </c>
      <c r="AA872" s="1">
        <v>66.8</v>
      </c>
      <c r="AB872" s="1" t="b">
        <v>0</v>
      </c>
      <c r="AC872" s="1">
        <v>0</v>
      </c>
      <c r="AD872" s="1">
        <v>2436100</v>
      </c>
      <c r="AE872" s="1">
        <v>140432380</v>
      </c>
      <c r="AF872" s="1" t="s">
        <v>3608</v>
      </c>
      <c r="AG872" s="1" t="s">
        <v>3608</v>
      </c>
      <c r="AH872" s="1">
        <v>71.5</v>
      </c>
      <c r="AI872" s="1">
        <v>67</v>
      </c>
      <c r="AJ872" s="1" t="s">
        <v>3609</v>
      </c>
      <c r="AK872" s="1" t="s">
        <v>3610</v>
      </c>
      <c r="AL872" s="1" t="s">
        <v>3611</v>
      </c>
    </row>
    <row r="873" spans="1:38" x14ac:dyDescent="0.6">
      <c r="A873" s="1">
        <v>619</v>
      </c>
      <c r="B873" s="1" t="s">
        <v>88</v>
      </c>
      <c r="C873" s="1">
        <v>60</v>
      </c>
      <c r="D873" s="1" t="s">
        <v>127</v>
      </c>
      <c r="E873" s="1" t="s">
        <v>90</v>
      </c>
      <c r="F873" s="1"/>
      <c r="G873" s="1"/>
      <c r="H873" s="1" t="s">
        <v>189</v>
      </c>
      <c r="I873" s="1" t="s">
        <v>190</v>
      </c>
      <c r="J873" s="1" t="s">
        <v>191</v>
      </c>
      <c r="K873" s="1">
        <v>1</v>
      </c>
      <c r="L873" s="1">
        <v>120</v>
      </c>
      <c r="M873" s="1" t="s">
        <v>14</v>
      </c>
      <c r="N873" s="1" t="s">
        <v>95</v>
      </c>
      <c r="O873" s="1" t="s">
        <v>96</v>
      </c>
      <c r="P873" s="1"/>
      <c r="Q873" s="1" t="s">
        <v>9</v>
      </c>
      <c r="R873" s="1">
        <v>0</v>
      </c>
      <c r="S873" s="1" t="s">
        <v>97</v>
      </c>
      <c r="T873" s="1" t="s">
        <v>97</v>
      </c>
      <c r="U873" s="1" t="b">
        <v>1</v>
      </c>
      <c r="V873" s="1" t="b">
        <v>0</v>
      </c>
      <c r="W873" s="1" t="b">
        <v>0</v>
      </c>
      <c r="X873" s="1">
        <v>5</v>
      </c>
      <c r="Y873" s="1" t="b">
        <v>1</v>
      </c>
      <c r="Z873" s="1" t="b">
        <v>1</v>
      </c>
      <c r="AA873" s="1"/>
      <c r="AB873" s="1" t="b">
        <v>1</v>
      </c>
      <c r="AC873" s="1">
        <v>138625217</v>
      </c>
      <c r="AD873" s="1">
        <v>835391</v>
      </c>
      <c r="AE873" s="1">
        <v>0</v>
      </c>
      <c r="AF873" s="1" t="s">
        <v>3612</v>
      </c>
      <c r="AG873" s="1" t="s">
        <v>3613</v>
      </c>
      <c r="AH873" s="1">
        <v>72.5</v>
      </c>
      <c r="AI873" s="1">
        <v>66</v>
      </c>
      <c r="AJ873" s="1" t="s">
        <v>3614</v>
      </c>
      <c r="AK873" s="1" t="s">
        <v>3615</v>
      </c>
      <c r="AL873" s="1" t="s">
        <v>3616</v>
      </c>
    </row>
    <row r="874" spans="1:38" x14ac:dyDescent="0.6">
      <c r="A874" s="1">
        <v>607</v>
      </c>
      <c r="B874" s="1" t="s">
        <v>103</v>
      </c>
      <c r="C874" s="1">
        <v>50</v>
      </c>
      <c r="D874" s="1" t="s">
        <v>89</v>
      </c>
      <c r="E874" s="1" t="s">
        <v>90</v>
      </c>
      <c r="F874" s="1"/>
      <c r="G874" s="1"/>
      <c r="H874" s="1" t="s">
        <v>91</v>
      </c>
      <c r="I874" s="1" t="s">
        <v>92</v>
      </c>
      <c r="J874" s="1" t="s">
        <v>93</v>
      </c>
      <c r="K874" s="1">
        <v>1</v>
      </c>
      <c r="L874" s="1">
        <v>120</v>
      </c>
      <c r="M874" s="1" t="s">
        <v>14</v>
      </c>
      <c r="N874" s="1" t="s">
        <v>95</v>
      </c>
      <c r="O874" s="1" t="s">
        <v>96</v>
      </c>
      <c r="P874" s="1"/>
      <c r="Q874" s="1" t="s">
        <v>9</v>
      </c>
      <c r="R874" s="1">
        <v>0</v>
      </c>
      <c r="S874" s="1" t="s">
        <v>97</v>
      </c>
      <c r="T874" s="1" t="s">
        <v>97</v>
      </c>
      <c r="U874" s="1" t="b">
        <v>1</v>
      </c>
      <c r="V874" s="1" t="b">
        <v>0</v>
      </c>
      <c r="W874" s="1" t="b">
        <v>0</v>
      </c>
      <c r="X874" s="1">
        <v>5</v>
      </c>
      <c r="Y874" s="1" t="b">
        <v>1</v>
      </c>
      <c r="Z874" s="1" t="b">
        <v>1</v>
      </c>
      <c r="AA874" s="1"/>
      <c r="AB874" s="1" t="b">
        <v>1</v>
      </c>
      <c r="AC874" s="1">
        <v>130802476</v>
      </c>
      <c r="AD874" s="1">
        <v>531668</v>
      </c>
      <c r="AE874" s="1">
        <v>0</v>
      </c>
      <c r="AF874" s="1" t="s">
        <v>3558</v>
      </c>
      <c r="AG874" s="1" t="s">
        <v>3559</v>
      </c>
      <c r="AH874" s="1">
        <v>68.099999999999994</v>
      </c>
      <c r="AI874" s="1">
        <v>66.3</v>
      </c>
      <c r="AJ874" s="1" t="s">
        <v>3617</v>
      </c>
      <c r="AK874" s="1" t="s">
        <v>3618</v>
      </c>
      <c r="AL874" s="1" t="s">
        <v>3619</v>
      </c>
    </row>
    <row r="875" spans="1:38" x14ac:dyDescent="0.6">
      <c r="A875" s="1">
        <v>620</v>
      </c>
      <c r="B875" s="1" t="s">
        <v>103</v>
      </c>
      <c r="C875" s="1">
        <v>60</v>
      </c>
      <c r="D875" s="1" t="s">
        <v>127</v>
      </c>
      <c r="E875" s="1" t="s">
        <v>90</v>
      </c>
      <c r="F875" s="1"/>
      <c r="G875" s="1"/>
      <c r="H875" s="1" t="s">
        <v>220</v>
      </c>
      <c r="I875" s="1" t="s">
        <v>221</v>
      </c>
      <c r="J875" s="1" t="s">
        <v>222</v>
      </c>
      <c r="K875" s="1">
        <v>1.25</v>
      </c>
      <c r="L875" s="1">
        <v>120</v>
      </c>
      <c r="M875" s="1" t="s">
        <v>14</v>
      </c>
      <c r="N875" s="1" t="s">
        <v>95</v>
      </c>
      <c r="O875" s="1" t="s">
        <v>96</v>
      </c>
      <c r="P875" s="1"/>
      <c r="Q875" s="1" t="s">
        <v>9</v>
      </c>
      <c r="R875" s="1">
        <v>0</v>
      </c>
      <c r="S875" s="1" t="s">
        <v>97</v>
      </c>
      <c r="T875" s="1" t="s">
        <v>97</v>
      </c>
      <c r="U875" s="1" t="b">
        <v>1</v>
      </c>
      <c r="V875" s="1" t="b">
        <v>0</v>
      </c>
      <c r="W875" s="1" t="b">
        <v>0</v>
      </c>
      <c r="X875" s="1">
        <v>5</v>
      </c>
      <c r="Y875" s="1" t="b">
        <v>1</v>
      </c>
      <c r="Z875" s="1" t="b">
        <v>1</v>
      </c>
      <c r="AA875" s="1"/>
      <c r="AB875" s="1" t="b">
        <v>1</v>
      </c>
      <c r="AC875" s="1">
        <v>128525251</v>
      </c>
      <c r="AD875" s="1">
        <v>449597</v>
      </c>
      <c r="AE875" s="1">
        <v>0</v>
      </c>
      <c r="AF875" s="1" t="s">
        <v>3620</v>
      </c>
      <c r="AG875" s="1" t="s">
        <v>3621</v>
      </c>
      <c r="AH875" s="1">
        <v>63.3</v>
      </c>
      <c r="AI875" s="1">
        <v>64.099999999999994</v>
      </c>
      <c r="AJ875" s="1" t="s">
        <v>3622</v>
      </c>
      <c r="AK875" s="1" t="s">
        <v>3623</v>
      </c>
      <c r="AL875" s="1" t="s">
        <v>3624</v>
      </c>
    </row>
    <row r="876" spans="1:38" x14ac:dyDescent="0.6">
      <c r="A876" s="1">
        <v>620</v>
      </c>
      <c r="B876" s="1" t="s">
        <v>103</v>
      </c>
      <c r="C876" s="1">
        <v>60</v>
      </c>
      <c r="D876" s="1" t="s">
        <v>127</v>
      </c>
      <c r="E876" s="1" t="s">
        <v>90</v>
      </c>
      <c r="F876" s="1"/>
      <c r="G876" s="1"/>
      <c r="H876" s="1" t="s">
        <v>220</v>
      </c>
      <c r="I876" s="1" t="s">
        <v>221</v>
      </c>
      <c r="J876" s="1" t="s">
        <v>222</v>
      </c>
      <c r="K876" s="1">
        <v>1.25</v>
      </c>
      <c r="L876" s="1">
        <v>120</v>
      </c>
      <c r="M876" s="1" t="s">
        <v>94</v>
      </c>
      <c r="N876" s="1" t="s">
        <v>95</v>
      </c>
      <c r="O876" s="1"/>
      <c r="P876" s="1" t="s">
        <v>96</v>
      </c>
      <c r="Q876" s="1" t="s">
        <v>9</v>
      </c>
      <c r="R876" s="1">
        <v>0</v>
      </c>
      <c r="S876" s="1" t="s">
        <v>97</v>
      </c>
      <c r="T876" s="1" t="s">
        <v>97</v>
      </c>
      <c r="U876" s="1" t="b">
        <v>1</v>
      </c>
      <c r="V876" s="1" t="b">
        <v>0</v>
      </c>
      <c r="W876" s="1" t="b">
        <v>0</v>
      </c>
      <c r="X876" s="1">
        <v>0</v>
      </c>
      <c r="Y876" s="1" t="b">
        <v>1</v>
      </c>
      <c r="Z876" s="1" t="b">
        <v>1</v>
      </c>
      <c r="AA876" s="1">
        <v>67.7</v>
      </c>
      <c r="AB876" s="1" t="b">
        <v>1</v>
      </c>
      <c r="AC876" s="1">
        <v>138282149</v>
      </c>
      <c r="AD876" s="1">
        <v>1440603</v>
      </c>
      <c r="AE876" s="1">
        <v>0</v>
      </c>
      <c r="AF876" s="1" t="s">
        <v>3620</v>
      </c>
      <c r="AG876" s="1" t="s">
        <v>3621</v>
      </c>
      <c r="AH876" s="1">
        <v>63.3</v>
      </c>
      <c r="AI876" s="1">
        <v>64.099999999999994</v>
      </c>
      <c r="AJ876" s="1" t="s">
        <v>3625</v>
      </c>
      <c r="AK876" s="1" t="s">
        <v>3626</v>
      </c>
      <c r="AL876" s="1" t="s">
        <v>3627</v>
      </c>
    </row>
    <row r="877" spans="1:38" x14ac:dyDescent="0.6">
      <c r="A877" s="1">
        <v>619</v>
      </c>
      <c r="B877" s="1" t="s">
        <v>88</v>
      </c>
      <c r="C877" s="1">
        <v>60</v>
      </c>
      <c r="D877" s="1" t="s">
        <v>127</v>
      </c>
      <c r="E877" s="1" t="s">
        <v>90</v>
      </c>
      <c r="F877" s="1"/>
      <c r="G877" s="1"/>
      <c r="H877" s="1" t="s">
        <v>189</v>
      </c>
      <c r="I877" s="1" t="s">
        <v>190</v>
      </c>
      <c r="J877" s="1" t="s">
        <v>191</v>
      </c>
      <c r="K877" s="1">
        <v>1</v>
      </c>
      <c r="L877" s="1">
        <v>120</v>
      </c>
      <c r="M877" s="1" t="s">
        <v>94</v>
      </c>
      <c r="N877" s="1" t="s">
        <v>95</v>
      </c>
      <c r="O877" s="1"/>
      <c r="P877" s="1" t="s">
        <v>96</v>
      </c>
      <c r="Q877" s="1" t="s">
        <v>9</v>
      </c>
      <c r="R877" s="1">
        <v>0</v>
      </c>
      <c r="S877" s="1" t="s">
        <v>97</v>
      </c>
      <c r="T877" s="1" t="s">
        <v>97</v>
      </c>
      <c r="U877" s="1" t="b">
        <v>1</v>
      </c>
      <c r="V877" s="1" t="b">
        <v>0</v>
      </c>
      <c r="W877" s="1" t="b">
        <v>0</v>
      </c>
      <c r="X877" s="1">
        <v>0</v>
      </c>
      <c r="Y877" s="1" t="b">
        <v>1</v>
      </c>
      <c r="Z877" s="1" t="b">
        <v>1</v>
      </c>
      <c r="AA877" s="1">
        <v>72.3</v>
      </c>
      <c r="AB877" s="1" t="b">
        <v>1</v>
      </c>
      <c r="AC877" s="1">
        <v>150105563</v>
      </c>
      <c r="AD877" s="1">
        <v>2462245</v>
      </c>
      <c r="AE877" s="1">
        <v>0</v>
      </c>
      <c r="AF877" s="1" t="s">
        <v>3612</v>
      </c>
      <c r="AG877" s="1" t="s">
        <v>3613</v>
      </c>
      <c r="AH877" s="1">
        <v>72.5</v>
      </c>
      <c r="AI877" s="1">
        <v>66</v>
      </c>
      <c r="AJ877" s="1" t="s">
        <v>3628</v>
      </c>
      <c r="AK877" s="1" t="s">
        <v>3629</v>
      </c>
      <c r="AL877" s="1" t="s">
        <v>3630</v>
      </c>
    </row>
    <row r="878" spans="1:38" x14ac:dyDescent="0.6">
      <c r="A878" s="1">
        <v>621</v>
      </c>
      <c r="B878" s="1" t="s">
        <v>88</v>
      </c>
      <c r="C878" s="1">
        <v>50</v>
      </c>
      <c r="D878" s="1" t="s">
        <v>89</v>
      </c>
      <c r="E878" s="1" t="s">
        <v>90</v>
      </c>
      <c r="F878" s="1"/>
      <c r="G878" s="1"/>
      <c r="H878" s="1" t="s">
        <v>220</v>
      </c>
      <c r="I878" s="1" t="s">
        <v>221</v>
      </c>
      <c r="J878" s="1" t="s">
        <v>222</v>
      </c>
      <c r="K878" s="1">
        <v>1.25</v>
      </c>
      <c r="L878" s="1">
        <v>120</v>
      </c>
      <c r="M878" s="1" t="s">
        <v>7</v>
      </c>
      <c r="N878" s="1" t="s">
        <v>7</v>
      </c>
      <c r="O878" s="1" t="s">
        <v>96</v>
      </c>
      <c r="P878" s="1" t="s">
        <v>96</v>
      </c>
      <c r="Q878" s="1" t="s">
        <v>9</v>
      </c>
      <c r="R878" s="1">
        <v>0</v>
      </c>
      <c r="S878" s="1" t="s">
        <v>97</v>
      </c>
      <c r="T878" s="1" t="s">
        <v>97</v>
      </c>
      <c r="U878" s="1" t="b">
        <v>1</v>
      </c>
      <c r="V878" s="1" t="b">
        <v>0</v>
      </c>
      <c r="W878" s="1" t="b">
        <v>0</v>
      </c>
      <c r="X878" s="1">
        <v>5</v>
      </c>
      <c r="Y878" s="1" t="b">
        <v>1</v>
      </c>
      <c r="Z878" s="1" t="b">
        <v>1</v>
      </c>
      <c r="AA878" s="1">
        <v>69.400000000000006</v>
      </c>
      <c r="AB878" s="1" t="b">
        <v>0</v>
      </c>
      <c r="AC878" s="1">
        <v>0</v>
      </c>
      <c r="AD878" s="1">
        <v>1493070</v>
      </c>
      <c r="AE878" s="1">
        <v>147929010</v>
      </c>
      <c r="AF878" s="1" t="s">
        <v>3631</v>
      </c>
      <c r="AG878" s="1" t="s">
        <v>3631</v>
      </c>
      <c r="AH878" s="1">
        <v>64.3</v>
      </c>
      <c r="AI878" s="1">
        <v>63.4</v>
      </c>
      <c r="AJ878" s="1" t="s">
        <v>3632</v>
      </c>
      <c r="AK878" s="1" t="s">
        <v>3633</v>
      </c>
      <c r="AL878" s="1" t="s">
        <v>3634</v>
      </c>
    </row>
    <row r="879" spans="1:38" x14ac:dyDescent="0.6">
      <c r="A879" s="1">
        <v>622</v>
      </c>
      <c r="B879" s="1" t="s">
        <v>103</v>
      </c>
      <c r="C879" s="1">
        <v>50</v>
      </c>
      <c r="D879" s="1" t="s">
        <v>89</v>
      </c>
      <c r="E879" s="1" t="s">
        <v>90</v>
      </c>
      <c r="F879" s="1"/>
      <c r="G879" s="1"/>
      <c r="H879" s="1" t="s">
        <v>220</v>
      </c>
      <c r="I879" s="1" t="s">
        <v>221</v>
      </c>
      <c r="J879" s="1" t="s">
        <v>222</v>
      </c>
      <c r="K879" s="1">
        <v>1.25</v>
      </c>
      <c r="L879" s="1">
        <v>120</v>
      </c>
      <c r="M879" s="1" t="s">
        <v>7</v>
      </c>
      <c r="N879" s="1" t="s">
        <v>7</v>
      </c>
      <c r="O879" s="1" t="s">
        <v>96</v>
      </c>
      <c r="P879" s="1" t="s">
        <v>96</v>
      </c>
      <c r="Q879" s="1" t="s">
        <v>9</v>
      </c>
      <c r="R879" s="1">
        <v>0</v>
      </c>
      <c r="S879" s="1" t="s">
        <v>97</v>
      </c>
      <c r="T879" s="1" t="s">
        <v>97</v>
      </c>
      <c r="U879" s="1" t="b">
        <v>1</v>
      </c>
      <c r="V879" s="1" t="b">
        <v>0</v>
      </c>
      <c r="W879" s="1" t="b">
        <v>0</v>
      </c>
      <c r="X879" s="1">
        <v>5</v>
      </c>
      <c r="Y879" s="1" t="b">
        <v>1</v>
      </c>
      <c r="Z879" s="1" t="b">
        <v>1</v>
      </c>
      <c r="AA879" s="1">
        <v>72.400000000000006</v>
      </c>
      <c r="AB879" s="1" t="b">
        <v>0</v>
      </c>
      <c r="AC879" s="1">
        <v>0</v>
      </c>
      <c r="AD879" s="1">
        <v>2028601</v>
      </c>
      <c r="AE879" s="1">
        <v>138742727</v>
      </c>
      <c r="AF879" s="1" t="s">
        <v>3635</v>
      </c>
      <c r="AG879" s="1" t="s">
        <v>3635</v>
      </c>
      <c r="AH879" s="1">
        <v>66</v>
      </c>
      <c r="AI879" s="1">
        <v>64.099999999999994</v>
      </c>
      <c r="AJ879" s="1" t="s">
        <v>3636</v>
      </c>
      <c r="AK879" s="1" t="s">
        <v>3637</v>
      </c>
      <c r="AL879" s="1" t="s">
        <v>3638</v>
      </c>
    </row>
    <row r="880" spans="1:38" x14ac:dyDescent="0.6">
      <c r="A880" s="1">
        <v>623</v>
      </c>
      <c r="B880" s="1" t="s">
        <v>88</v>
      </c>
      <c r="C880" s="1">
        <v>60</v>
      </c>
      <c r="D880" s="1" t="s">
        <v>127</v>
      </c>
      <c r="E880" s="1" t="s">
        <v>108</v>
      </c>
      <c r="F880" s="1"/>
      <c r="G880" s="1"/>
      <c r="H880" s="1" t="s">
        <v>220</v>
      </c>
      <c r="I880" s="1" t="s">
        <v>221</v>
      </c>
      <c r="J880" s="1" t="s">
        <v>222</v>
      </c>
      <c r="K880" s="1">
        <v>1.25</v>
      </c>
      <c r="L880" s="1">
        <v>120</v>
      </c>
      <c r="M880" s="1" t="s">
        <v>7</v>
      </c>
      <c r="N880" s="1" t="s">
        <v>7</v>
      </c>
      <c r="O880" s="1" t="s">
        <v>96</v>
      </c>
      <c r="P880" s="1" t="s">
        <v>96</v>
      </c>
      <c r="Q880" s="1" t="s">
        <v>9</v>
      </c>
      <c r="R880" s="1">
        <v>0</v>
      </c>
      <c r="S880" s="1" t="s">
        <v>97</v>
      </c>
      <c r="T880" s="1" t="s">
        <v>97</v>
      </c>
      <c r="U880" s="1" t="b">
        <v>1</v>
      </c>
      <c r="V880" s="1" t="b">
        <v>0</v>
      </c>
      <c r="W880" s="1" t="b">
        <v>0</v>
      </c>
      <c r="X880" s="1">
        <v>5</v>
      </c>
      <c r="Y880" s="1" t="b">
        <v>1</v>
      </c>
      <c r="Z880" s="1" t="b">
        <v>1</v>
      </c>
      <c r="AA880" s="1">
        <v>65.599999999999994</v>
      </c>
      <c r="AB880" s="1" t="b">
        <v>0</v>
      </c>
      <c r="AC880" s="1">
        <v>0</v>
      </c>
      <c r="AD880" s="1">
        <v>2574179</v>
      </c>
      <c r="AE880" s="1">
        <v>146847901</v>
      </c>
      <c r="AF880" s="1" t="s">
        <v>3639</v>
      </c>
      <c r="AG880" s="1" t="s">
        <v>3639</v>
      </c>
      <c r="AH880" s="1">
        <v>67.900000000000006</v>
      </c>
      <c r="AI880" s="1">
        <v>64</v>
      </c>
      <c r="AJ880" s="1" t="s">
        <v>3640</v>
      </c>
      <c r="AK880" s="1" t="s">
        <v>3641</v>
      </c>
      <c r="AL880" s="1" t="s">
        <v>3642</v>
      </c>
    </row>
    <row r="881" spans="1:38" x14ac:dyDescent="0.6">
      <c r="A881" s="1">
        <v>608</v>
      </c>
      <c r="B881" s="1" t="s">
        <v>103</v>
      </c>
      <c r="C881" s="1">
        <v>70</v>
      </c>
      <c r="D881" s="1" t="s">
        <v>119</v>
      </c>
      <c r="E881" s="1" t="s">
        <v>90</v>
      </c>
      <c r="F881" s="1"/>
      <c r="G881" s="1"/>
      <c r="H881" s="1" t="s">
        <v>91</v>
      </c>
      <c r="I881" s="1" t="s">
        <v>92</v>
      </c>
      <c r="J881" s="1" t="s">
        <v>93</v>
      </c>
      <c r="K881" s="1">
        <v>1</v>
      </c>
      <c r="L881" s="1">
        <v>120</v>
      </c>
      <c r="M881" s="1" t="s">
        <v>7</v>
      </c>
      <c r="N881" s="1" t="s">
        <v>7</v>
      </c>
      <c r="O881" s="1" t="s">
        <v>96</v>
      </c>
      <c r="P881" s="1" t="s">
        <v>96</v>
      </c>
      <c r="Q881" s="1" t="s">
        <v>9</v>
      </c>
      <c r="R881" s="1">
        <v>0</v>
      </c>
      <c r="S881" s="1" t="s">
        <v>97</v>
      </c>
      <c r="T881" s="1" t="s">
        <v>97</v>
      </c>
      <c r="U881" s="1" t="b">
        <v>1</v>
      </c>
      <c r="V881" s="1" t="b">
        <v>0</v>
      </c>
      <c r="W881" s="1" t="b">
        <v>0</v>
      </c>
      <c r="X881" s="1">
        <v>5</v>
      </c>
      <c r="Y881" s="1" t="b">
        <v>1</v>
      </c>
      <c r="Z881" s="1" t="b">
        <v>1</v>
      </c>
      <c r="AA881" s="1">
        <v>61.1</v>
      </c>
      <c r="AB881" s="1" t="b">
        <v>0</v>
      </c>
      <c r="AC881" s="1">
        <v>0</v>
      </c>
      <c r="AD881" s="1">
        <v>2077026</v>
      </c>
      <c r="AE881" s="1">
        <v>129257118</v>
      </c>
      <c r="AF881" s="1" t="s">
        <v>3643</v>
      </c>
      <c r="AG881" s="1" t="s">
        <v>3643</v>
      </c>
      <c r="AH881" s="1">
        <v>59.5</v>
      </c>
      <c r="AI881" s="1">
        <v>58.9</v>
      </c>
      <c r="AJ881" s="1" t="s">
        <v>3644</v>
      </c>
      <c r="AK881" s="1" t="s">
        <v>3645</v>
      </c>
      <c r="AL881" s="1" t="s">
        <v>3646</v>
      </c>
    </row>
    <row r="882" spans="1:38" x14ac:dyDescent="0.6">
      <c r="A882" s="1">
        <v>627</v>
      </c>
      <c r="B882" s="1" t="s">
        <v>103</v>
      </c>
      <c r="C882" s="1">
        <v>80</v>
      </c>
      <c r="D882" s="1" t="s">
        <v>153</v>
      </c>
      <c r="E882" s="1" t="s">
        <v>90</v>
      </c>
      <c r="F882" s="1"/>
      <c r="G882" s="1"/>
      <c r="H882" s="1" t="s">
        <v>220</v>
      </c>
      <c r="I882" s="1" t="s">
        <v>221</v>
      </c>
      <c r="J882" s="1" t="s">
        <v>222</v>
      </c>
      <c r="K882" s="1">
        <v>1.25</v>
      </c>
      <c r="L882" s="1">
        <v>120</v>
      </c>
      <c r="M882" s="1" t="s">
        <v>14</v>
      </c>
      <c r="N882" s="1" t="s">
        <v>95</v>
      </c>
      <c r="O882" s="1" t="s">
        <v>96</v>
      </c>
      <c r="P882" s="1"/>
      <c r="Q882" s="1" t="s">
        <v>9</v>
      </c>
      <c r="R882" s="1">
        <v>0</v>
      </c>
      <c r="S882" s="1" t="s">
        <v>97</v>
      </c>
      <c r="T882" s="1" t="s">
        <v>97</v>
      </c>
      <c r="U882" s="1" t="b">
        <v>1</v>
      </c>
      <c r="V882" s="1" t="b">
        <v>0</v>
      </c>
      <c r="W882" s="1" t="b">
        <v>0</v>
      </c>
      <c r="X882" s="1">
        <v>5</v>
      </c>
      <c r="Y882" s="1" t="b">
        <v>1</v>
      </c>
      <c r="Z882" s="1" t="b">
        <v>1</v>
      </c>
      <c r="AA882" s="1"/>
      <c r="AB882" s="1" t="b">
        <v>1</v>
      </c>
      <c r="AC882" s="1">
        <v>122193987</v>
      </c>
      <c r="AD882" s="1">
        <v>489405</v>
      </c>
      <c r="AE882" s="1">
        <v>0</v>
      </c>
      <c r="AF882" s="1" t="s">
        <v>3647</v>
      </c>
      <c r="AG882" s="1" t="s">
        <v>3648</v>
      </c>
      <c r="AH882" s="1">
        <v>71.900000000000006</v>
      </c>
      <c r="AI882" s="1">
        <v>75.599999999999994</v>
      </c>
      <c r="AJ882" s="1" t="s">
        <v>3649</v>
      </c>
      <c r="AK882" s="1" t="s">
        <v>3650</v>
      </c>
      <c r="AL882" s="1" t="s">
        <v>3651</v>
      </c>
    </row>
    <row r="883" spans="1:38" x14ac:dyDescent="0.6">
      <c r="A883" s="1">
        <v>612</v>
      </c>
      <c r="B883" s="1" t="s">
        <v>103</v>
      </c>
      <c r="C883" s="1">
        <v>50</v>
      </c>
      <c r="D883" s="1" t="s">
        <v>89</v>
      </c>
      <c r="E883" s="1" t="s">
        <v>108</v>
      </c>
      <c r="F883" s="1"/>
      <c r="G883" s="1"/>
      <c r="H883" s="1" t="s">
        <v>91</v>
      </c>
      <c r="I883" s="1" t="s">
        <v>92</v>
      </c>
      <c r="J883" s="1" t="s">
        <v>93</v>
      </c>
      <c r="K883" s="1">
        <v>1</v>
      </c>
      <c r="L883" s="1">
        <v>120</v>
      </c>
      <c r="M883" s="1" t="s">
        <v>94</v>
      </c>
      <c r="N883" s="1" t="s">
        <v>95</v>
      </c>
      <c r="O883" s="1"/>
      <c r="P883" s="1" t="s">
        <v>96</v>
      </c>
      <c r="Q883" s="1" t="s">
        <v>9</v>
      </c>
      <c r="R883" s="1">
        <v>0</v>
      </c>
      <c r="S883" s="1" t="s">
        <v>97</v>
      </c>
      <c r="T883" s="1" t="s">
        <v>97</v>
      </c>
      <c r="U883" s="1" t="b">
        <v>1</v>
      </c>
      <c r="V883" s="1" t="b">
        <v>0</v>
      </c>
      <c r="W883" s="1" t="b">
        <v>0</v>
      </c>
      <c r="X883" s="1">
        <v>0</v>
      </c>
      <c r="Y883" s="1" t="b">
        <v>1</v>
      </c>
      <c r="Z883" s="1" t="b">
        <v>1</v>
      </c>
      <c r="AA883" s="1">
        <v>74.2</v>
      </c>
      <c r="AB883" s="1" t="b">
        <v>1</v>
      </c>
      <c r="AC883" s="1">
        <v>151616753</v>
      </c>
      <c r="AD883" s="1">
        <v>2523919</v>
      </c>
      <c r="AE883" s="1">
        <v>0</v>
      </c>
      <c r="AF883" s="1" t="s">
        <v>3586</v>
      </c>
      <c r="AG883" s="1" t="s">
        <v>3587</v>
      </c>
      <c r="AH883" s="1">
        <v>77.2</v>
      </c>
      <c r="AI883" s="1">
        <v>71.900000000000006</v>
      </c>
      <c r="AJ883" s="1" t="s">
        <v>3652</v>
      </c>
      <c r="AK883" s="1" t="s">
        <v>3653</v>
      </c>
      <c r="AL883" s="1" t="s">
        <v>3654</v>
      </c>
    </row>
    <row r="884" spans="1:38" x14ac:dyDescent="0.6">
      <c r="A884" s="1">
        <v>625</v>
      </c>
      <c r="B884" s="1" t="s">
        <v>88</v>
      </c>
      <c r="C884" s="1">
        <v>70</v>
      </c>
      <c r="D884" s="1" t="s">
        <v>119</v>
      </c>
      <c r="E884" s="1" t="s">
        <v>90</v>
      </c>
      <c r="F884" s="1"/>
      <c r="G884" s="1"/>
      <c r="H884" s="1" t="s">
        <v>220</v>
      </c>
      <c r="I884" s="1" t="s">
        <v>221</v>
      </c>
      <c r="J884" s="1" t="s">
        <v>222</v>
      </c>
      <c r="K884" s="1">
        <v>1.25</v>
      </c>
      <c r="L884" s="1">
        <v>120</v>
      </c>
      <c r="M884" s="1" t="s">
        <v>14</v>
      </c>
      <c r="N884" s="1" t="s">
        <v>95</v>
      </c>
      <c r="O884" s="1" t="s">
        <v>96</v>
      </c>
      <c r="P884" s="1"/>
      <c r="Q884" s="1" t="s">
        <v>9</v>
      </c>
      <c r="R884" s="1">
        <v>0</v>
      </c>
      <c r="S884" s="1" t="s">
        <v>97</v>
      </c>
      <c r="T884" s="1" t="s">
        <v>97</v>
      </c>
      <c r="U884" s="1" t="b">
        <v>1</v>
      </c>
      <c r="V884" s="1" t="b">
        <v>0</v>
      </c>
      <c r="W884" s="1" t="b">
        <v>0</v>
      </c>
      <c r="X884" s="1">
        <v>5</v>
      </c>
      <c r="Y884" s="1" t="b">
        <v>1</v>
      </c>
      <c r="Z884" s="1" t="b">
        <v>1</v>
      </c>
      <c r="AA884" s="1"/>
      <c r="AB884" s="1" t="b">
        <v>1</v>
      </c>
      <c r="AC884" s="1">
        <v>154881997</v>
      </c>
      <c r="AD884" s="1">
        <v>569395</v>
      </c>
      <c r="AE884" s="1">
        <v>0</v>
      </c>
      <c r="AF884" s="1" t="s">
        <v>3655</v>
      </c>
      <c r="AG884" s="1" t="s">
        <v>3656</v>
      </c>
      <c r="AH884" s="1">
        <v>60.9</v>
      </c>
      <c r="AI884" s="1">
        <v>60.3</v>
      </c>
      <c r="AJ884" s="1" t="s">
        <v>3657</v>
      </c>
      <c r="AK884" s="1" t="s">
        <v>3658</v>
      </c>
      <c r="AL884" s="1" t="s">
        <v>3659</v>
      </c>
    </row>
    <row r="885" spans="1:38" x14ac:dyDescent="0.6">
      <c r="A885" s="1">
        <v>625</v>
      </c>
      <c r="B885" s="1" t="s">
        <v>88</v>
      </c>
      <c r="C885" s="1">
        <v>70</v>
      </c>
      <c r="D885" s="1" t="s">
        <v>119</v>
      </c>
      <c r="E885" s="1" t="s">
        <v>90</v>
      </c>
      <c r="F885" s="1"/>
      <c r="G885" s="1"/>
      <c r="H885" s="1" t="s">
        <v>220</v>
      </c>
      <c r="I885" s="1" t="s">
        <v>221</v>
      </c>
      <c r="J885" s="1" t="s">
        <v>222</v>
      </c>
      <c r="K885" s="1">
        <v>1.25</v>
      </c>
      <c r="L885" s="1">
        <v>120</v>
      </c>
      <c r="M885" s="1" t="s">
        <v>94</v>
      </c>
      <c r="N885" s="1" t="s">
        <v>95</v>
      </c>
      <c r="O885" s="1"/>
      <c r="P885" s="1" t="s">
        <v>96</v>
      </c>
      <c r="Q885" s="1" t="s">
        <v>9</v>
      </c>
      <c r="R885" s="1">
        <v>0</v>
      </c>
      <c r="S885" s="1" t="s">
        <v>97</v>
      </c>
      <c r="T885" s="1" t="s">
        <v>97</v>
      </c>
      <c r="U885" s="1" t="b">
        <v>1</v>
      </c>
      <c r="V885" s="1" t="b">
        <v>0</v>
      </c>
      <c r="W885" s="1" t="b">
        <v>0</v>
      </c>
      <c r="X885" s="1">
        <v>0</v>
      </c>
      <c r="Y885" s="1" t="b">
        <v>1</v>
      </c>
      <c r="Z885" s="1" t="b">
        <v>1</v>
      </c>
      <c r="AA885" s="1">
        <v>63</v>
      </c>
      <c r="AB885" s="1" t="b">
        <v>1</v>
      </c>
      <c r="AC885" s="1">
        <v>160773707</v>
      </c>
      <c r="AD885" s="1">
        <v>1755573</v>
      </c>
      <c r="AE885" s="1">
        <v>0</v>
      </c>
      <c r="AF885" s="1" t="s">
        <v>3655</v>
      </c>
      <c r="AG885" s="1" t="s">
        <v>3656</v>
      </c>
      <c r="AH885" s="1">
        <v>60.9</v>
      </c>
      <c r="AI885" s="1">
        <v>60.3</v>
      </c>
      <c r="AJ885" s="1" t="s">
        <v>3660</v>
      </c>
      <c r="AK885" s="1" t="s">
        <v>3661</v>
      </c>
      <c r="AL885" s="1" t="s">
        <v>3662</v>
      </c>
    </row>
    <row r="886" spans="1:38" x14ac:dyDescent="0.6">
      <c r="A886" s="1">
        <v>629</v>
      </c>
      <c r="B886" s="1" t="s">
        <v>88</v>
      </c>
      <c r="C886" s="1">
        <v>60</v>
      </c>
      <c r="D886" s="1" t="s">
        <v>127</v>
      </c>
      <c r="E886" s="1" t="s">
        <v>90</v>
      </c>
      <c r="F886" s="1"/>
      <c r="G886" s="1"/>
      <c r="H886" s="1" t="s">
        <v>220</v>
      </c>
      <c r="I886" s="1" t="s">
        <v>221</v>
      </c>
      <c r="J886" s="1" t="s">
        <v>222</v>
      </c>
      <c r="K886" s="1">
        <v>1.25</v>
      </c>
      <c r="L886" s="1">
        <v>120</v>
      </c>
      <c r="M886" s="1" t="s">
        <v>7</v>
      </c>
      <c r="N886" s="1" t="s">
        <v>7</v>
      </c>
      <c r="O886" s="1" t="s">
        <v>96</v>
      </c>
      <c r="P886" s="1" t="s">
        <v>96</v>
      </c>
      <c r="Q886" s="1" t="s">
        <v>9</v>
      </c>
      <c r="R886" s="1">
        <v>0</v>
      </c>
      <c r="S886" s="1" t="s">
        <v>97</v>
      </c>
      <c r="T886" s="1" t="s">
        <v>97</v>
      </c>
      <c r="U886" s="1" t="b">
        <v>1</v>
      </c>
      <c r="V886" s="1" t="b">
        <v>0</v>
      </c>
      <c r="W886" s="1" t="b">
        <v>0</v>
      </c>
      <c r="X886" s="1">
        <v>5</v>
      </c>
      <c r="Y886" s="1" t="b">
        <v>1</v>
      </c>
      <c r="Z886" s="1" t="b">
        <v>1</v>
      </c>
      <c r="AA886" s="1">
        <v>86.8</v>
      </c>
      <c r="AB886" s="1" t="b">
        <v>0</v>
      </c>
      <c r="AC886" s="1">
        <v>0</v>
      </c>
      <c r="AD886" s="1">
        <v>2610110</v>
      </c>
      <c r="AE886" s="1">
        <v>130559042</v>
      </c>
      <c r="AF886" s="1" t="s">
        <v>3663</v>
      </c>
      <c r="AG886" s="1" t="s">
        <v>3663</v>
      </c>
      <c r="AH886" s="1">
        <v>76.8</v>
      </c>
      <c r="AI886" s="1">
        <v>79.8</v>
      </c>
      <c r="AJ886" s="1" t="s">
        <v>3664</v>
      </c>
      <c r="AK886" s="1" t="s">
        <v>3665</v>
      </c>
      <c r="AL886" s="1" t="s">
        <v>3666</v>
      </c>
    </row>
    <row r="887" spans="1:38" x14ac:dyDescent="0.6">
      <c r="A887" s="1">
        <v>626</v>
      </c>
      <c r="B887" s="1" t="s">
        <v>103</v>
      </c>
      <c r="C887" s="1">
        <v>60</v>
      </c>
      <c r="D887" s="1" t="s">
        <v>127</v>
      </c>
      <c r="E887" s="1" t="s">
        <v>108</v>
      </c>
      <c r="F887" s="1"/>
      <c r="G887" s="1"/>
      <c r="H887" s="1" t="s">
        <v>220</v>
      </c>
      <c r="I887" s="1" t="s">
        <v>221</v>
      </c>
      <c r="J887" s="1" t="s">
        <v>222</v>
      </c>
      <c r="K887" s="1">
        <v>1.25</v>
      </c>
      <c r="L887" s="1">
        <v>120</v>
      </c>
      <c r="M887" s="1" t="s">
        <v>7</v>
      </c>
      <c r="N887" s="1" t="s">
        <v>7</v>
      </c>
      <c r="O887" s="1" t="s">
        <v>96</v>
      </c>
      <c r="P887" s="1" t="s">
        <v>96</v>
      </c>
      <c r="Q887" s="1" t="s">
        <v>9</v>
      </c>
      <c r="R887" s="1">
        <v>0</v>
      </c>
      <c r="S887" s="1" t="s">
        <v>97</v>
      </c>
      <c r="T887" s="1" t="s">
        <v>97</v>
      </c>
      <c r="U887" s="1" t="b">
        <v>1</v>
      </c>
      <c r="V887" s="1" t="b">
        <v>0</v>
      </c>
      <c r="W887" s="1" t="b">
        <v>0</v>
      </c>
      <c r="X887" s="1">
        <v>5</v>
      </c>
      <c r="Y887" s="1" t="b">
        <v>1</v>
      </c>
      <c r="Z887" s="1" t="b">
        <v>1</v>
      </c>
      <c r="AA887" s="1">
        <v>72.7</v>
      </c>
      <c r="AB887" s="1" t="b">
        <v>0</v>
      </c>
      <c r="AC887" s="1">
        <v>0</v>
      </c>
      <c r="AD887" s="1">
        <v>3022673</v>
      </c>
      <c r="AE887" s="1">
        <v>156098735</v>
      </c>
      <c r="AF887" s="1" t="s">
        <v>3667</v>
      </c>
      <c r="AG887" s="1" t="s">
        <v>3667</v>
      </c>
      <c r="AH887" s="1">
        <v>81.5</v>
      </c>
      <c r="AI887" s="1">
        <v>71.7</v>
      </c>
      <c r="AJ887" s="1" t="s">
        <v>3668</v>
      </c>
      <c r="AK887" s="1" t="s">
        <v>3669</v>
      </c>
      <c r="AL887" s="1" t="s">
        <v>3670</v>
      </c>
    </row>
    <row r="888" spans="1:38" x14ac:dyDescent="0.6">
      <c r="A888" s="1">
        <v>615</v>
      </c>
      <c r="B888" s="1" t="s">
        <v>88</v>
      </c>
      <c r="C888" s="1">
        <v>50</v>
      </c>
      <c r="D888" s="1" t="s">
        <v>89</v>
      </c>
      <c r="E888" s="1" t="s">
        <v>108</v>
      </c>
      <c r="F888" s="1"/>
      <c r="G888" s="1"/>
      <c r="H888" s="1" t="s">
        <v>91</v>
      </c>
      <c r="I888" s="1" t="s">
        <v>92</v>
      </c>
      <c r="J888" s="1" t="s">
        <v>93</v>
      </c>
      <c r="K888" s="1">
        <v>1</v>
      </c>
      <c r="L888" s="1">
        <v>120</v>
      </c>
      <c r="M888" s="1" t="s">
        <v>7</v>
      </c>
      <c r="N888" s="1" t="s">
        <v>7</v>
      </c>
      <c r="O888" s="1" t="s">
        <v>96</v>
      </c>
      <c r="P888" s="1" t="s">
        <v>96</v>
      </c>
      <c r="Q888" s="1" t="s">
        <v>110</v>
      </c>
      <c r="R888" s="1">
        <v>3</v>
      </c>
      <c r="S888" s="1" t="s">
        <v>97</v>
      </c>
      <c r="T888" s="1" t="s">
        <v>110</v>
      </c>
      <c r="U888" s="1" t="b">
        <v>0</v>
      </c>
      <c r="V888" s="1" t="b">
        <v>1</v>
      </c>
      <c r="W888" s="1" t="b">
        <v>0</v>
      </c>
      <c r="X888" s="1">
        <v>4</v>
      </c>
      <c r="Y888" s="1" t="b">
        <v>1</v>
      </c>
      <c r="Z888" s="1" t="b">
        <v>1</v>
      </c>
      <c r="AA888" s="1">
        <v>56.1</v>
      </c>
      <c r="AB888" s="1" t="b">
        <v>0</v>
      </c>
      <c r="AC888" s="1">
        <v>0</v>
      </c>
      <c r="AD888" s="1">
        <v>3278667</v>
      </c>
      <c r="AE888" s="1">
        <v>128055477</v>
      </c>
      <c r="AF888" s="1" t="s">
        <v>3671</v>
      </c>
      <c r="AG888" s="1" t="s">
        <v>3671</v>
      </c>
      <c r="AH888" s="1">
        <v>57</v>
      </c>
      <c r="AI888" s="1">
        <v>55</v>
      </c>
      <c r="AJ888" s="1" t="s">
        <v>3672</v>
      </c>
      <c r="AK888" s="1" t="s">
        <v>3673</v>
      </c>
      <c r="AL888" s="1" t="s">
        <v>3674</v>
      </c>
    </row>
    <row r="889" spans="1:38" x14ac:dyDescent="0.6">
      <c r="A889" s="1">
        <v>630</v>
      </c>
      <c r="B889" s="1" t="s">
        <v>103</v>
      </c>
      <c r="C889" s="1">
        <v>60</v>
      </c>
      <c r="D889" s="1" t="s">
        <v>127</v>
      </c>
      <c r="E889" s="1" t="s">
        <v>90</v>
      </c>
      <c r="F889" s="1"/>
      <c r="G889" s="1"/>
      <c r="H889" s="1" t="s">
        <v>220</v>
      </c>
      <c r="I889" s="1" t="s">
        <v>221</v>
      </c>
      <c r="J889" s="1" t="s">
        <v>222</v>
      </c>
      <c r="K889" s="1">
        <v>1.25</v>
      </c>
      <c r="L889" s="1">
        <v>120</v>
      </c>
      <c r="M889" s="1" t="s">
        <v>7</v>
      </c>
      <c r="N889" s="1" t="s">
        <v>7</v>
      </c>
      <c r="O889" s="1" t="s">
        <v>96</v>
      </c>
      <c r="P889" s="1" t="s">
        <v>96</v>
      </c>
      <c r="Q889" s="1" t="s">
        <v>9</v>
      </c>
      <c r="R889" s="1">
        <v>0</v>
      </c>
      <c r="S889" s="1" t="s">
        <v>97</v>
      </c>
      <c r="T889" s="1" t="s">
        <v>97</v>
      </c>
      <c r="U889" s="1" t="b">
        <v>1</v>
      </c>
      <c r="V889" s="1" t="b">
        <v>0</v>
      </c>
      <c r="W889" s="1" t="b">
        <v>0</v>
      </c>
      <c r="X889" s="1">
        <v>5</v>
      </c>
      <c r="Y889" s="1" t="b">
        <v>1</v>
      </c>
      <c r="Z889" s="1" t="b">
        <v>1</v>
      </c>
      <c r="AA889" s="1">
        <v>63.1</v>
      </c>
      <c r="AB889" s="1" t="b">
        <v>0</v>
      </c>
      <c r="AC889" s="1">
        <v>0</v>
      </c>
      <c r="AD889" s="1">
        <v>2295134</v>
      </c>
      <c r="AE889" s="1">
        <v>119339682</v>
      </c>
      <c r="AF889" s="1" t="s">
        <v>3675</v>
      </c>
      <c r="AG889" s="1" t="s">
        <v>3675</v>
      </c>
      <c r="AH889" s="1">
        <v>62.6</v>
      </c>
      <c r="AI889" s="1">
        <v>61.7</v>
      </c>
      <c r="AJ889" s="1" t="s">
        <v>3676</v>
      </c>
      <c r="AK889" s="1" t="s">
        <v>3677</v>
      </c>
      <c r="AL889" s="1" t="s">
        <v>3678</v>
      </c>
    </row>
    <row r="890" spans="1:38" x14ac:dyDescent="0.6">
      <c r="A890" s="1">
        <v>618</v>
      </c>
      <c r="B890" s="1" t="s">
        <v>103</v>
      </c>
      <c r="C890" s="1">
        <v>80</v>
      </c>
      <c r="D890" s="1" t="s">
        <v>153</v>
      </c>
      <c r="E890" s="1" t="s">
        <v>90</v>
      </c>
      <c r="F890" s="1"/>
      <c r="G890" s="1"/>
      <c r="H890" s="1" t="s">
        <v>189</v>
      </c>
      <c r="I890" s="1" t="s">
        <v>190</v>
      </c>
      <c r="J890" s="1" t="s">
        <v>191</v>
      </c>
      <c r="K890" s="1">
        <v>1</v>
      </c>
      <c r="L890" s="1">
        <v>120</v>
      </c>
      <c r="M890" s="1" t="s">
        <v>94</v>
      </c>
      <c r="N890" s="1" t="s">
        <v>236</v>
      </c>
      <c r="O890" s="1"/>
      <c r="P890" s="1" t="s">
        <v>96</v>
      </c>
      <c r="Q890" s="1" t="s">
        <v>9</v>
      </c>
      <c r="R890" s="1">
        <v>0</v>
      </c>
      <c r="S890" s="1" t="s">
        <v>97</v>
      </c>
      <c r="T890" s="1"/>
      <c r="U890" s="1"/>
      <c r="V890" s="1" t="b">
        <v>0</v>
      </c>
      <c r="W890" s="1" t="b">
        <v>0</v>
      </c>
      <c r="X890" s="1">
        <v>0</v>
      </c>
      <c r="Y890" s="1" t="b">
        <v>1</v>
      </c>
      <c r="Z890" s="1" t="b">
        <v>1</v>
      </c>
      <c r="AA890" s="1">
        <v>57.1</v>
      </c>
      <c r="AB890" s="1" t="b">
        <v>1</v>
      </c>
      <c r="AC890" s="1">
        <v>152237846</v>
      </c>
      <c r="AD890" s="1">
        <v>1902826</v>
      </c>
      <c r="AE890" s="1">
        <v>0</v>
      </c>
      <c r="AF890" s="1"/>
      <c r="AG890" s="1" t="s">
        <v>3679</v>
      </c>
      <c r="AH890" s="1"/>
      <c r="AI890" s="1">
        <v>53.8</v>
      </c>
      <c r="AJ890" s="1" t="s">
        <v>3680</v>
      </c>
      <c r="AK890" s="1" t="s">
        <v>3681</v>
      </c>
      <c r="AL890" s="1" t="s">
        <v>3682</v>
      </c>
    </row>
    <row r="891" spans="1:38" x14ac:dyDescent="0.6">
      <c r="A891" s="1">
        <v>631</v>
      </c>
      <c r="B891" s="1" t="s">
        <v>88</v>
      </c>
      <c r="C891" s="1">
        <v>60</v>
      </c>
      <c r="D891" s="1" t="s">
        <v>127</v>
      </c>
      <c r="E891" s="1" t="s">
        <v>108</v>
      </c>
      <c r="F891" s="1"/>
      <c r="G891" s="1"/>
      <c r="H891" s="1" t="s">
        <v>220</v>
      </c>
      <c r="I891" s="1" t="s">
        <v>221</v>
      </c>
      <c r="J891" s="1" t="s">
        <v>1176</v>
      </c>
      <c r="K891" s="1">
        <v>1.25</v>
      </c>
      <c r="L891" s="1">
        <v>120</v>
      </c>
      <c r="M891" s="1" t="s">
        <v>94</v>
      </c>
      <c r="N891" s="1" t="s">
        <v>95</v>
      </c>
      <c r="O891" s="1"/>
      <c r="P891" s="1" t="s">
        <v>96</v>
      </c>
      <c r="Q891" s="1" t="s">
        <v>9</v>
      </c>
      <c r="R891" s="1">
        <v>0</v>
      </c>
      <c r="S891" s="1" t="s">
        <v>97</v>
      </c>
      <c r="T891" s="1" t="s">
        <v>97</v>
      </c>
      <c r="U891" s="1" t="b">
        <v>1</v>
      </c>
      <c r="V891" s="1" t="b">
        <v>0</v>
      </c>
      <c r="W891" s="1" t="b">
        <v>0</v>
      </c>
      <c r="X891" s="1">
        <v>0</v>
      </c>
      <c r="Y891" s="1" t="b">
        <v>1</v>
      </c>
      <c r="Z891" s="1" t="b">
        <v>1</v>
      </c>
      <c r="AA891" s="1">
        <v>75.599999999999994</v>
      </c>
      <c r="AB891" s="1" t="b">
        <v>1</v>
      </c>
      <c r="AC891" s="1">
        <v>151864366</v>
      </c>
      <c r="AD891" s="1">
        <v>2014162</v>
      </c>
      <c r="AE891" s="1">
        <v>0</v>
      </c>
      <c r="AF891" s="1" t="s">
        <v>3683</v>
      </c>
      <c r="AG891" s="1" t="s">
        <v>3684</v>
      </c>
      <c r="AH891" s="1">
        <v>73.7</v>
      </c>
      <c r="AI891" s="1">
        <v>71.900000000000006</v>
      </c>
      <c r="AJ891" s="1" t="s">
        <v>3685</v>
      </c>
      <c r="AK891" s="1" t="s">
        <v>3686</v>
      </c>
      <c r="AL891" s="1" t="s">
        <v>3687</v>
      </c>
    </row>
    <row r="892" spans="1:38" x14ac:dyDescent="0.6">
      <c r="A892" s="1">
        <v>631</v>
      </c>
      <c r="B892" s="1" t="s">
        <v>88</v>
      </c>
      <c r="C892" s="1">
        <v>60</v>
      </c>
      <c r="D892" s="1" t="s">
        <v>127</v>
      </c>
      <c r="E892" s="1" t="s">
        <v>108</v>
      </c>
      <c r="F892" s="1"/>
      <c r="G892" s="1"/>
      <c r="H892" s="1" t="s">
        <v>220</v>
      </c>
      <c r="I892" s="1" t="s">
        <v>221</v>
      </c>
      <c r="J892" s="1" t="s">
        <v>1176</v>
      </c>
      <c r="K892" s="1">
        <v>1.25</v>
      </c>
      <c r="L892" s="1">
        <v>120</v>
      </c>
      <c r="M892" s="1" t="s">
        <v>14</v>
      </c>
      <c r="N892" s="1" t="s">
        <v>95</v>
      </c>
      <c r="O892" s="1" t="s">
        <v>96</v>
      </c>
      <c r="P892" s="1"/>
      <c r="Q892" s="1" t="s">
        <v>9</v>
      </c>
      <c r="R892" s="1">
        <v>0</v>
      </c>
      <c r="S892" s="1" t="s">
        <v>97</v>
      </c>
      <c r="T892" s="1" t="s">
        <v>97</v>
      </c>
      <c r="U892" s="1" t="b">
        <v>1</v>
      </c>
      <c r="V892" s="1" t="b">
        <v>0</v>
      </c>
      <c r="W892" s="1" t="b">
        <v>0</v>
      </c>
      <c r="X892" s="1">
        <v>5</v>
      </c>
      <c r="Y892" s="1" t="b">
        <v>1</v>
      </c>
      <c r="Z892" s="1" t="b">
        <v>1</v>
      </c>
      <c r="AA892" s="1"/>
      <c r="AB892" s="1" t="b">
        <v>1</v>
      </c>
      <c r="AC892" s="1">
        <v>149405409</v>
      </c>
      <c r="AD892" s="1">
        <v>803103</v>
      </c>
      <c r="AE892" s="1">
        <v>0</v>
      </c>
      <c r="AF892" s="1" t="s">
        <v>3683</v>
      </c>
      <c r="AG892" s="1" t="s">
        <v>3684</v>
      </c>
      <c r="AH892" s="1">
        <v>73.7</v>
      </c>
      <c r="AI892" s="1">
        <v>71.900000000000006</v>
      </c>
      <c r="AJ892" s="1" t="s">
        <v>3688</v>
      </c>
      <c r="AK892" s="1" t="s">
        <v>3689</v>
      </c>
      <c r="AL892" s="1" t="s">
        <v>3690</v>
      </c>
    </row>
    <row r="893" spans="1:38" x14ac:dyDescent="0.6">
      <c r="A893" s="1">
        <v>633</v>
      </c>
      <c r="B893" s="1" t="s">
        <v>88</v>
      </c>
      <c r="C893" s="1">
        <v>60</v>
      </c>
      <c r="D893" s="1" t="s">
        <v>127</v>
      </c>
      <c r="E893" s="1" t="s">
        <v>108</v>
      </c>
      <c r="F893" s="1">
        <v>100</v>
      </c>
      <c r="G893" s="1"/>
      <c r="H893" s="1" t="s">
        <v>120</v>
      </c>
      <c r="I893" s="1" t="s">
        <v>121</v>
      </c>
      <c r="J893" s="1" t="s">
        <v>122</v>
      </c>
      <c r="K893" s="1">
        <v>1</v>
      </c>
      <c r="L893" s="1">
        <v>120</v>
      </c>
      <c r="M893" s="1" t="s">
        <v>94</v>
      </c>
      <c r="N893" s="1" t="s">
        <v>95</v>
      </c>
      <c r="O893" s="1"/>
      <c r="P893" s="1" t="s">
        <v>96</v>
      </c>
      <c r="Q893" s="1" t="s">
        <v>9</v>
      </c>
      <c r="R893" s="1">
        <v>0</v>
      </c>
      <c r="S893" s="1" t="s">
        <v>97</v>
      </c>
      <c r="T893" s="1" t="s">
        <v>97</v>
      </c>
      <c r="U893" s="1" t="b">
        <v>1</v>
      </c>
      <c r="V893" s="1" t="b">
        <v>0</v>
      </c>
      <c r="W893" s="1" t="b">
        <v>0</v>
      </c>
      <c r="X893" s="1">
        <v>0</v>
      </c>
      <c r="Y893" s="1" t="b">
        <v>1</v>
      </c>
      <c r="Z893" s="1" t="b">
        <v>1</v>
      </c>
      <c r="AA893" s="1">
        <v>76.2</v>
      </c>
      <c r="AB893" s="1" t="b">
        <v>1</v>
      </c>
      <c r="AC893" s="1">
        <v>174267452</v>
      </c>
      <c r="AD893" s="1">
        <v>1369028</v>
      </c>
      <c r="AE893" s="1">
        <v>0</v>
      </c>
      <c r="AF893" s="1" t="s">
        <v>3691</v>
      </c>
      <c r="AG893" s="1" t="s">
        <v>3692</v>
      </c>
      <c r="AH893" s="1">
        <v>75.3</v>
      </c>
      <c r="AI893" s="1">
        <v>71.400000000000006</v>
      </c>
      <c r="AJ893" s="1" t="s">
        <v>3693</v>
      </c>
      <c r="AK893" s="1" t="s">
        <v>3694</v>
      </c>
      <c r="AL893" s="1" t="s">
        <v>3695</v>
      </c>
    </row>
    <row r="894" spans="1:38" x14ac:dyDescent="0.6">
      <c r="A894" s="1">
        <v>634</v>
      </c>
      <c r="B894" s="1" t="s">
        <v>103</v>
      </c>
      <c r="C894" s="1">
        <v>60</v>
      </c>
      <c r="D894" s="1" t="s">
        <v>127</v>
      </c>
      <c r="E894" s="1" t="s">
        <v>90</v>
      </c>
      <c r="F894" s="1">
        <v>86</v>
      </c>
      <c r="G894" s="1"/>
      <c r="H894" s="1" t="s">
        <v>120</v>
      </c>
      <c r="I894" s="1" t="s">
        <v>121</v>
      </c>
      <c r="J894" s="1" t="s">
        <v>122</v>
      </c>
      <c r="K894" s="1">
        <v>1</v>
      </c>
      <c r="L894" s="1">
        <v>120</v>
      </c>
      <c r="M894" s="1" t="s">
        <v>7</v>
      </c>
      <c r="N894" s="1" t="s">
        <v>7</v>
      </c>
      <c r="O894" s="1" t="s">
        <v>96</v>
      </c>
      <c r="P894" s="1" t="s">
        <v>96</v>
      </c>
      <c r="Q894" s="1" t="s">
        <v>9</v>
      </c>
      <c r="R894" s="1">
        <v>0</v>
      </c>
      <c r="S894" s="1" t="s">
        <v>97</v>
      </c>
      <c r="T894" s="1" t="s">
        <v>97</v>
      </c>
      <c r="U894" s="1" t="b">
        <v>1</v>
      </c>
      <c r="V894" s="1" t="b">
        <v>0</v>
      </c>
      <c r="W894" s="1" t="b">
        <v>0</v>
      </c>
      <c r="X894" s="1">
        <v>5</v>
      </c>
      <c r="Y894" s="1" t="b">
        <v>1</v>
      </c>
      <c r="Z894" s="1" t="b">
        <v>1</v>
      </c>
      <c r="AA894" s="1">
        <v>67.5</v>
      </c>
      <c r="AB894" s="1" t="b">
        <v>0</v>
      </c>
      <c r="AC894" s="1">
        <v>0</v>
      </c>
      <c r="AD894" s="1">
        <v>2349208</v>
      </c>
      <c r="AE894" s="1">
        <v>137897832</v>
      </c>
      <c r="AF894" s="1" t="s">
        <v>3696</v>
      </c>
      <c r="AG894" s="1" t="s">
        <v>3696</v>
      </c>
      <c r="AH894" s="1">
        <v>65.400000000000006</v>
      </c>
      <c r="AI894" s="1">
        <v>63.1</v>
      </c>
      <c r="AJ894" s="1" t="s">
        <v>3697</v>
      </c>
      <c r="AK894" s="1" t="s">
        <v>3698</v>
      </c>
      <c r="AL894" s="1" t="s">
        <v>3699</v>
      </c>
    </row>
    <row r="895" spans="1:38" x14ac:dyDescent="0.6">
      <c r="A895" s="1">
        <v>633</v>
      </c>
      <c r="B895" s="1" t="s">
        <v>88</v>
      </c>
      <c r="C895" s="1">
        <v>60</v>
      </c>
      <c r="D895" s="1" t="s">
        <v>127</v>
      </c>
      <c r="E895" s="1" t="s">
        <v>108</v>
      </c>
      <c r="F895" s="1">
        <v>100</v>
      </c>
      <c r="G895" s="1"/>
      <c r="H895" s="1" t="s">
        <v>120</v>
      </c>
      <c r="I895" s="1" t="s">
        <v>121</v>
      </c>
      <c r="J895" s="1" t="s">
        <v>122</v>
      </c>
      <c r="K895" s="1">
        <v>1</v>
      </c>
      <c r="L895" s="1">
        <v>120</v>
      </c>
      <c r="M895" s="1" t="s">
        <v>14</v>
      </c>
      <c r="N895" s="1" t="s">
        <v>95</v>
      </c>
      <c r="O895" s="1" t="s">
        <v>96</v>
      </c>
      <c r="P895" s="1"/>
      <c r="Q895" s="1" t="s">
        <v>9</v>
      </c>
      <c r="R895" s="1">
        <v>0</v>
      </c>
      <c r="S895" s="1" t="s">
        <v>97</v>
      </c>
      <c r="T895" s="1" t="s">
        <v>97</v>
      </c>
      <c r="U895" s="1" t="b">
        <v>1</v>
      </c>
      <c r="V895" s="1" t="b">
        <v>0</v>
      </c>
      <c r="W895" s="1" t="b">
        <v>0</v>
      </c>
      <c r="X895" s="1">
        <v>5</v>
      </c>
      <c r="Y895" s="1" t="b">
        <v>1</v>
      </c>
      <c r="Z895" s="1" t="b">
        <v>1</v>
      </c>
      <c r="AA895" s="1"/>
      <c r="AB895" s="1" t="b">
        <v>1</v>
      </c>
      <c r="AC895" s="1">
        <v>187165996</v>
      </c>
      <c r="AD895" s="1">
        <v>529108</v>
      </c>
      <c r="AE895" s="1">
        <v>0</v>
      </c>
      <c r="AF895" s="1" t="s">
        <v>3691</v>
      </c>
      <c r="AG895" s="1" t="s">
        <v>3692</v>
      </c>
      <c r="AH895" s="1">
        <v>75.3</v>
      </c>
      <c r="AI895" s="1">
        <v>71.400000000000006</v>
      </c>
      <c r="AJ895" s="1" t="s">
        <v>3700</v>
      </c>
      <c r="AK895" s="1" t="s">
        <v>3701</v>
      </c>
      <c r="AL895" s="1" t="s">
        <v>3702</v>
      </c>
    </row>
    <row r="896" spans="1:38" x14ac:dyDescent="0.6">
      <c r="A896" s="1">
        <v>635</v>
      </c>
      <c r="B896" s="1" t="s">
        <v>88</v>
      </c>
      <c r="C896" s="1">
        <v>50</v>
      </c>
      <c r="D896" s="1" t="s">
        <v>89</v>
      </c>
      <c r="E896" s="1" t="s">
        <v>108</v>
      </c>
      <c r="F896" s="1">
        <v>86</v>
      </c>
      <c r="G896" s="1"/>
      <c r="H896" s="1" t="s">
        <v>120</v>
      </c>
      <c r="I896" s="1" t="s">
        <v>121</v>
      </c>
      <c r="J896" s="1" t="s">
        <v>122</v>
      </c>
      <c r="K896" s="1">
        <v>1</v>
      </c>
      <c r="L896" s="1">
        <v>120</v>
      </c>
      <c r="M896" s="1" t="s">
        <v>94</v>
      </c>
      <c r="N896" s="1" t="s">
        <v>95</v>
      </c>
      <c r="O896" s="1"/>
      <c r="P896" s="1" t="s">
        <v>96</v>
      </c>
      <c r="Q896" s="1" t="s">
        <v>9</v>
      </c>
      <c r="R896" s="1">
        <v>0</v>
      </c>
      <c r="S896" s="1" t="s">
        <v>97</v>
      </c>
      <c r="T896" s="1" t="s">
        <v>97</v>
      </c>
      <c r="U896" s="1" t="b">
        <v>1</v>
      </c>
      <c r="V896" s="1" t="b">
        <v>0</v>
      </c>
      <c r="W896" s="1" t="b">
        <v>0</v>
      </c>
      <c r="X896" s="1">
        <v>0</v>
      </c>
      <c r="Y896" s="1" t="b">
        <v>1</v>
      </c>
      <c r="Z896" s="1" t="b">
        <v>1</v>
      </c>
      <c r="AA896" s="1">
        <v>75.3</v>
      </c>
      <c r="AB896" s="1" t="b">
        <v>1</v>
      </c>
      <c r="AC896" s="1">
        <v>154484697</v>
      </c>
      <c r="AD896" s="1">
        <v>2277415</v>
      </c>
      <c r="AE896" s="1">
        <v>0</v>
      </c>
      <c r="AF896" s="1" t="s">
        <v>3703</v>
      </c>
      <c r="AG896" s="1" t="s">
        <v>3704</v>
      </c>
      <c r="AH896" s="1">
        <v>76.7</v>
      </c>
      <c r="AI896" s="1">
        <v>73.400000000000006</v>
      </c>
      <c r="AJ896" s="1" t="s">
        <v>3705</v>
      </c>
      <c r="AK896" s="1" t="s">
        <v>3706</v>
      </c>
      <c r="AL896" s="1" t="s">
        <v>3707</v>
      </c>
    </row>
    <row r="897" spans="1:38" x14ac:dyDescent="0.6">
      <c r="A897" s="1">
        <v>636</v>
      </c>
      <c r="B897" s="1" t="s">
        <v>103</v>
      </c>
      <c r="C897" s="1">
        <v>50</v>
      </c>
      <c r="D897" s="1" t="s">
        <v>89</v>
      </c>
      <c r="E897" s="1" t="s">
        <v>90</v>
      </c>
      <c r="F897" s="1">
        <v>86</v>
      </c>
      <c r="G897" s="1"/>
      <c r="H897" s="1" t="s">
        <v>120</v>
      </c>
      <c r="I897" s="1" t="s">
        <v>121</v>
      </c>
      <c r="J897" s="1" t="s">
        <v>122</v>
      </c>
      <c r="K897" s="1">
        <v>1</v>
      </c>
      <c r="L897" s="1">
        <v>120</v>
      </c>
      <c r="M897" s="1" t="s">
        <v>14</v>
      </c>
      <c r="N897" s="1" t="s">
        <v>14</v>
      </c>
      <c r="O897" s="1" t="s">
        <v>96</v>
      </c>
      <c r="P897" s="1"/>
      <c r="Q897" s="1" t="s">
        <v>9</v>
      </c>
      <c r="R897" s="1">
        <v>0</v>
      </c>
      <c r="S897" s="1"/>
      <c r="T897" s="1" t="s">
        <v>97</v>
      </c>
      <c r="U897" s="1"/>
      <c r="V897" s="1" t="b">
        <v>0</v>
      </c>
      <c r="W897" s="1" t="b">
        <v>0</v>
      </c>
      <c r="X897" s="1">
        <v>5</v>
      </c>
      <c r="Y897" s="1" t="b">
        <v>1</v>
      </c>
      <c r="Z897" s="1" t="b">
        <v>1</v>
      </c>
      <c r="AA897" s="1"/>
      <c r="AB897" s="1" t="b">
        <v>1</v>
      </c>
      <c r="AC897" s="1">
        <v>140024555</v>
      </c>
      <c r="AD897" s="1">
        <v>746773</v>
      </c>
      <c r="AE897" s="1">
        <v>0</v>
      </c>
      <c r="AF897" s="1" t="s">
        <v>3708</v>
      </c>
      <c r="AG897" s="1"/>
      <c r="AH897" s="1">
        <v>79.5</v>
      </c>
      <c r="AI897" s="1"/>
      <c r="AJ897" s="1" t="s">
        <v>3709</v>
      </c>
      <c r="AK897" s="1" t="s">
        <v>3710</v>
      </c>
      <c r="AL897" s="1" t="s">
        <v>3711</v>
      </c>
    </row>
    <row r="898" spans="1:38" x14ac:dyDescent="0.6">
      <c r="A898" s="1">
        <v>637</v>
      </c>
      <c r="B898" s="1" t="s">
        <v>103</v>
      </c>
      <c r="C898" s="1">
        <v>60</v>
      </c>
      <c r="D898" s="1" t="s">
        <v>127</v>
      </c>
      <c r="E898" s="1" t="s">
        <v>90</v>
      </c>
      <c r="F898" s="1"/>
      <c r="G898" s="1"/>
      <c r="H898" s="1" t="s">
        <v>91</v>
      </c>
      <c r="I898" s="1" t="s">
        <v>92</v>
      </c>
      <c r="J898" s="1" t="s">
        <v>109</v>
      </c>
      <c r="K898" s="1">
        <v>1</v>
      </c>
      <c r="L898" s="1">
        <v>120</v>
      </c>
      <c r="M898" s="1" t="s">
        <v>94</v>
      </c>
      <c r="N898" s="1" t="s">
        <v>95</v>
      </c>
      <c r="O898" s="1"/>
      <c r="P898" s="1" t="s">
        <v>96</v>
      </c>
      <c r="Q898" s="1" t="s">
        <v>9</v>
      </c>
      <c r="R898" s="1">
        <v>0</v>
      </c>
      <c r="S898" s="1" t="s">
        <v>97</v>
      </c>
      <c r="T898" s="1" t="s">
        <v>97</v>
      </c>
      <c r="U898" s="1" t="b">
        <v>1</v>
      </c>
      <c r="V898" s="1" t="b">
        <v>0</v>
      </c>
      <c r="W898" s="1" t="b">
        <v>0</v>
      </c>
      <c r="X898" s="1">
        <v>0</v>
      </c>
      <c r="Y898" s="1" t="b">
        <v>1</v>
      </c>
      <c r="Z898" s="1" t="b">
        <v>1</v>
      </c>
      <c r="AA898" s="1">
        <v>67</v>
      </c>
      <c r="AB898" s="1" t="b">
        <v>1</v>
      </c>
      <c r="AC898" s="1">
        <v>145674896</v>
      </c>
      <c r="AD898" s="1">
        <v>1650032</v>
      </c>
      <c r="AE898" s="1">
        <v>0</v>
      </c>
      <c r="AF898" s="1" t="s">
        <v>3712</v>
      </c>
      <c r="AG898" s="1" t="s">
        <v>3713</v>
      </c>
      <c r="AH898" s="1">
        <v>61.9</v>
      </c>
      <c r="AI898" s="1">
        <v>63.4</v>
      </c>
      <c r="AJ898" s="1" t="s">
        <v>3714</v>
      </c>
      <c r="AK898" s="1" t="s">
        <v>3715</v>
      </c>
      <c r="AL898" s="1" t="s">
        <v>3716</v>
      </c>
    </row>
    <row r="899" spans="1:38" x14ac:dyDescent="0.6">
      <c r="A899" s="1">
        <v>635</v>
      </c>
      <c r="B899" s="1" t="s">
        <v>88</v>
      </c>
      <c r="C899" s="1">
        <v>50</v>
      </c>
      <c r="D899" s="1" t="s">
        <v>89</v>
      </c>
      <c r="E899" s="1" t="s">
        <v>108</v>
      </c>
      <c r="F899" s="1">
        <v>86</v>
      </c>
      <c r="G899" s="1"/>
      <c r="H899" s="1" t="s">
        <v>120</v>
      </c>
      <c r="I899" s="1" t="s">
        <v>121</v>
      </c>
      <c r="J899" s="1" t="s">
        <v>122</v>
      </c>
      <c r="K899" s="1">
        <v>1</v>
      </c>
      <c r="L899" s="1">
        <v>120</v>
      </c>
      <c r="M899" s="1" t="s">
        <v>14</v>
      </c>
      <c r="N899" s="1" t="s">
        <v>95</v>
      </c>
      <c r="O899" s="1" t="s">
        <v>96</v>
      </c>
      <c r="P899" s="1"/>
      <c r="Q899" s="1" t="s">
        <v>9</v>
      </c>
      <c r="R899" s="1">
        <v>0</v>
      </c>
      <c r="S899" s="1" t="s">
        <v>97</v>
      </c>
      <c r="T899" s="1" t="s">
        <v>97</v>
      </c>
      <c r="U899" s="1" t="b">
        <v>1</v>
      </c>
      <c r="V899" s="1" t="b">
        <v>0</v>
      </c>
      <c r="W899" s="1" t="b">
        <v>0</v>
      </c>
      <c r="X899" s="1">
        <v>5</v>
      </c>
      <c r="Y899" s="1" t="b">
        <v>1</v>
      </c>
      <c r="Z899" s="1" t="b">
        <v>1</v>
      </c>
      <c r="AA899" s="1"/>
      <c r="AB899" s="1" t="b">
        <v>1</v>
      </c>
      <c r="AC899" s="1">
        <v>161558565</v>
      </c>
      <c r="AD899" s="1">
        <v>708571</v>
      </c>
      <c r="AE899" s="1">
        <v>0</v>
      </c>
      <c r="AF899" s="1" t="s">
        <v>3703</v>
      </c>
      <c r="AG899" s="1" t="s">
        <v>3704</v>
      </c>
      <c r="AH899" s="1">
        <v>76.7</v>
      </c>
      <c r="AI899" s="1">
        <v>73.400000000000006</v>
      </c>
      <c r="AJ899" s="1" t="s">
        <v>3717</v>
      </c>
      <c r="AK899" s="1" t="s">
        <v>3718</v>
      </c>
      <c r="AL899" s="1" t="s">
        <v>3719</v>
      </c>
    </row>
    <row r="900" spans="1:38" x14ac:dyDescent="0.6">
      <c r="A900" s="1">
        <v>627</v>
      </c>
      <c r="B900" s="1" t="s">
        <v>103</v>
      </c>
      <c r="C900" s="1">
        <v>80</v>
      </c>
      <c r="D900" s="1" t="s">
        <v>153</v>
      </c>
      <c r="E900" s="1" t="s">
        <v>90</v>
      </c>
      <c r="F900" s="1"/>
      <c r="G900" s="1"/>
      <c r="H900" s="1" t="s">
        <v>220</v>
      </c>
      <c r="I900" s="1" t="s">
        <v>221</v>
      </c>
      <c r="J900" s="1" t="s">
        <v>222</v>
      </c>
      <c r="K900" s="1">
        <v>1.25</v>
      </c>
      <c r="L900" s="1">
        <v>120</v>
      </c>
      <c r="M900" s="1" t="s">
        <v>94</v>
      </c>
      <c r="N900" s="1" t="s">
        <v>95</v>
      </c>
      <c r="O900" s="1"/>
      <c r="P900" s="1" t="s">
        <v>96</v>
      </c>
      <c r="Q900" s="1" t="s">
        <v>9</v>
      </c>
      <c r="R900" s="1">
        <v>0</v>
      </c>
      <c r="S900" s="1" t="s">
        <v>97</v>
      </c>
      <c r="T900" s="1" t="s">
        <v>97</v>
      </c>
      <c r="U900" s="1" t="b">
        <v>1</v>
      </c>
      <c r="V900" s="1" t="b">
        <v>0</v>
      </c>
      <c r="W900" s="1" t="b">
        <v>0</v>
      </c>
      <c r="X900" s="1">
        <v>0</v>
      </c>
      <c r="Y900" s="1" t="b">
        <v>1</v>
      </c>
      <c r="Z900" s="1" t="b">
        <v>1</v>
      </c>
      <c r="AA900" s="1">
        <v>79.7</v>
      </c>
      <c r="AB900" s="1" t="b">
        <v>1</v>
      </c>
      <c r="AC900" s="1">
        <v>138854365</v>
      </c>
      <c r="AD900" s="1">
        <v>1392675</v>
      </c>
      <c r="AE900" s="1">
        <v>0</v>
      </c>
      <c r="AF900" s="1" t="s">
        <v>3647</v>
      </c>
      <c r="AG900" s="1" t="s">
        <v>3648</v>
      </c>
      <c r="AH900" s="1">
        <v>71.900000000000006</v>
      </c>
      <c r="AI900" s="1">
        <v>75.599999999999994</v>
      </c>
      <c r="AJ900" s="1" t="s">
        <v>3720</v>
      </c>
      <c r="AK900" s="1" t="s">
        <v>3721</v>
      </c>
      <c r="AL900" s="1" t="s">
        <v>3722</v>
      </c>
    </row>
    <row r="901" spans="1:38" x14ac:dyDescent="0.6">
      <c r="A901" s="1">
        <v>628</v>
      </c>
      <c r="B901" s="1" t="s">
        <v>103</v>
      </c>
      <c r="C901" s="1">
        <v>60</v>
      </c>
      <c r="D901" s="1" t="s">
        <v>127</v>
      </c>
      <c r="E901" s="1" t="s">
        <v>90</v>
      </c>
      <c r="F901" s="1"/>
      <c r="G901" s="1"/>
      <c r="H901" s="1" t="s">
        <v>220</v>
      </c>
      <c r="I901" s="1" t="s">
        <v>221</v>
      </c>
      <c r="J901" s="1" t="s">
        <v>222</v>
      </c>
      <c r="K901" s="1">
        <v>1.25</v>
      </c>
      <c r="L901" s="1">
        <v>120</v>
      </c>
      <c r="M901" s="1" t="s">
        <v>14</v>
      </c>
      <c r="N901" s="1" t="s">
        <v>95</v>
      </c>
      <c r="O901" s="1" t="s">
        <v>96</v>
      </c>
      <c r="P901" s="1"/>
      <c r="Q901" s="1" t="s">
        <v>9</v>
      </c>
      <c r="R901" s="1">
        <v>0</v>
      </c>
      <c r="S901" s="1" t="s">
        <v>97</v>
      </c>
      <c r="T901" s="1" t="s">
        <v>97</v>
      </c>
      <c r="U901" s="1" t="b">
        <v>1</v>
      </c>
      <c r="V901" s="1" t="b">
        <v>0</v>
      </c>
      <c r="W901" s="1" t="b">
        <v>0</v>
      </c>
      <c r="X901" s="1">
        <v>5</v>
      </c>
      <c r="Y901" s="1" t="b">
        <v>1</v>
      </c>
      <c r="Z901" s="1" t="b">
        <v>1</v>
      </c>
      <c r="AA901" s="1"/>
      <c r="AB901" s="1" t="b">
        <v>1</v>
      </c>
      <c r="AC901" s="1">
        <v>132117051</v>
      </c>
      <c r="AD901" s="1">
        <v>527813</v>
      </c>
      <c r="AE901" s="1">
        <v>0</v>
      </c>
      <c r="AF901" s="1" t="s">
        <v>3723</v>
      </c>
      <c r="AG901" s="1" t="s">
        <v>3724</v>
      </c>
      <c r="AH901" s="1">
        <v>64.3</v>
      </c>
      <c r="AI901" s="1">
        <v>67.3</v>
      </c>
      <c r="AJ901" s="1" t="s">
        <v>3725</v>
      </c>
      <c r="AK901" s="1" t="s">
        <v>3726</v>
      </c>
      <c r="AL901" s="1" t="s">
        <v>3727</v>
      </c>
    </row>
    <row r="902" spans="1:38" x14ac:dyDescent="0.6">
      <c r="A902" s="1">
        <v>624</v>
      </c>
      <c r="B902" s="1" t="s">
        <v>103</v>
      </c>
      <c r="C902" s="1">
        <v>50</v>
      </c>
      <c r="D902" s="1" t="s">
        <v>89</v>
      </c>
      <c r="E902" s="1" t="s">
        <v>90</v>
      </c>
      <c r="F902" s="1"/>
      <c r="G902" s="1"/>
      <c r="H902" s="1" t="s">
        <v>220</v>
      </c>
      <c r="I902" s="1" t="s">
        <v>221</v>
      </c>
      <c r="J902" s="1" t="s">
        <v>222</v>
      </c>
      <c r="K902" s="1">
        <v>1.25</v>
      </c>
      <c r="L902" s="1">
        <v>120</v>
      </c>
      <c r="M902" s="1" t="s">
        <v>94</v>
      </c>
      <c r="N902" s="1" t="s">
        <v>95</v>
      </c>
      <c r="O902" s="1"/>
      <c r="P902" s="1" t="s">
        <v>96</v>
      </c>
      <c r="Q902" s="1" t="s">
        <v>9</v>
      </c>
      <c r="R902" s="1">
        <v>0</v>
      </c>
      <c r="S902" s="1" t="s">
        <v>97</v>
      </c>
      <c r="T902" s="1" t="s">
        <v>97</v>
      </c>
      <c r="U902" s="1" t="b">
        <v>1</v>
      </c>
      <c r="V902" s="1" t="b">
        <v>0</v>
      </c>
      <c r="W902" s="1" t="b">
        <v>0</v>
      </c>
      <c r="X902" s="1">
        <v>0</v>
      </c>
      <c r="Y902" s="1" t="b">
        <v>1</v>
      </c>
      <c r="Z902" s="1" t="b">
        <v>1</v>
      </c>
      <c r="AA902" s="1">
        <v>75.900000000000006</v>
      </c>
      <c r="AB902" s="1" t="b">
        <v>1</v>
      </c>
      <c r="AC902" s="1">
        <v>154259782</v>
      </c>
      <c r="AD902" s="1">
        <v>1715898</v>
      </c>
      <c r="AE902" s="1">
        <v>0</v>
      </c>
      <c r="AF902" s="1" t="s">
        <v>3728</v>
      </c>
      <c r="AG902" s="1" t="s">
        <v>3729</v>
      </c>
      <c r="AH902" s="1">
        <v>76.400000000000006</v>
      </c>
      <c r="AI902" s="1">
        <v>72</v>
      </c>
      <c r="AJ902" s="1" t="s">
        <v>3730</v>
      </c>
      <c r="AK902" s="1" t="s">
        <v>3731</v>
      </c>
      <c r="AL902" s="1" t="s">
        <v>3732</v>
      </c>
    </row>
    <row r="903" spans="1:38" x14ac:dyDescent="0.6">
      <c r="A903" s="1">
        <v>641</v>
      </c>
      <c r="B903" s="1" t="s">
        <v>88</v>
      </c>
      <c r="C903" s="1">
        <v>70</v>
      </c>
      <c r="D903" s="1" t="s">
        <v>119</v>
      </c>
      <c r="E903" s="1" t="s">
        <v>90</v>
      </c>
      <c r="F903" s="1"/>
      <c r="G903" s="1"/>
      <c r="H903" s="1" t="s">
        <v>91</v>
      </c>
      <c r="I903" s="1" t="s">
        <v>92</v>
      </c>
      <c r="J903" s="1" t="s">
        <v>109</v>
      </c>
      <c r="K903" s="1">
        <v>1</v>
      </c>
      <c r="L903" s="1">
        <v>120</v>
      </c>
      <c r="M903" s="1" t="s">
        <v>14</v>
      </c>
      <c r="N903" s="1" t="s">
        <v>95</v>
      </c>
      <c r="O903" s="1" t="s">
        <v>96</v>
      </c>
      <c r="P903" s="1"/>
      <c r="Q903" s="1" t="s">
        <v>9</v>
      </c>
      <c r="R903" s="1">
        <v>0</v>
      </c>
      <c r="S903" s="1" t="s">
        <v>97</v>
      </c>
      <c r="T903" s="1" t="s">
        <v>97</v>
      </c>
      <c r="U903" s="1" t="b">
        <v>1</v>
      </c>
      <c r="V903" s="1" t="b">
        <v>0</v>
      </c>
      <c r="W903" s="1" t="b">
        <v>0</v>
      </c>
      <c r="X903" s="1">
        <v>5</v>
      </c>
      <c r="Y903" s="1" t="b">
        <v>1</v>
      </c>
      <c r="Z903" s="1" t="b">
        <v>1</v>
      </c>
      <c r="AA903" s="1"/>
      <c r="AB903" s="1" t="b">
        <v>1</v>
      </c>
      <c r="AC903" s="1">
        <v>112300632</v>
      </c>
      <c r="AD903" s="1">
        <v>683432</v>
      </c>
      <c r="AE903" s="1">
        <v>0</v>
      </c>
      <c r="AF903" s="1" t="s">
        <v>3733</v>
      </c>
      <c r="AG903" s="1" t="s">
        <v>3734</v>
      </c>
      <c r="AH903" s="1">
        <v>87.3</v>
      </c>
      <c r="AI903" s="1">
        <v>78.2</v>
      </c>
      <c r="AJ903" s="1" t="s">
        <v>3735</v>
      </c>
      <c r="AK903" s="1" t="s">
        <v>3736</v>
      </c>
      <c r="AL903" s="1" t="s">
        <v>3737</v>
      </c>
    </row>
    <row r="904" spans="1:38" x14ac:dyDescent="0.6">
      <c r="A904" s="1">
        <v>624</v>
      </c>
      <c r="B904" s="1" t="s">
        <v>103</v>
      </c>
      <c r="C904" s="1">
        <v>50</v>
      </c>
      <c r="D904" s="1" t="s">
        <v>89</v>
      </c>
      <c r="E904" s="1" t="s">
        <v>90</v>
      </c>
      <c r="F904" s="1"/>
      <c r="G904" s="1"/>
      <c r="H904" s="1" t="s">
        <v>220</v>
      </c>
      <c r="I904" s="1" t="s">
        <v>221</v>
      </c>
      <c r="J904" s="1" t="s">
        <v>222</v>
      </c>
      <c r="K904" s="1">
        <v>1.25</v>
      </c>
      <c r="L904" s="1">
        <v>120</v>
      </c>
      <c r="M904" s="1" t="s">
        <v>14</v>
      </c>
      <c r="N904" s="1" t="s">
        <v>95</v>
      </c>
      <c r="O904" s="1" t="s">
        <v>96</v>
      </c>
      <c r="P904" s="1"/>
      <c r="Q904" s="1" t="s">
        <v>9</v>
      </c>
      <c r="R904" s="1">
        <v>0</v>
      </c>
      <c r="S904" s="1" t="s">
        <v>97</v>
      </c>
      <c r="T904" s="1" t="s">
        <v>97</v>
      </c>
      <c r="U904" s="1" t="b">
        <v>1</v>
      </c>
      <c r="V904" s="1" t="b">
        <v>0</v>
      </c>
      <c r="W904" s="1" t="b">
        <v>0</v>
      </c>
      <c r="X904" s="1">
        <v>5</v>
      </c>
      <c r="Y904" s="1" t="b">
        <v>1</v>
      </c>
      <c r="Z904" s="1" t="b">
        <v>1</v>
      </c>
      <c r="AA904" s="1"/>
      <c r="AB904" s="1" t="b">
        <v>1</v>
      </c>
      <c r="AC904" s="1">
        <v>148038437</v>
      </c>
      <c r="AD904" s="1">
        <v>597211</v>
      </c>
      <c r="AE904" s="1">
        <v>0</v>
      </c>
      <c r="AF904" s="1" t="s">
        <v>3728</v>
      </c>
      <c r="AG904" s="1" t="s">
        <v>3729</v>
      </c>
      <c r="AH904" s="1">
        <v>76.400000000000006</v>
      </c>
      <c r="AI904" s="1">
        <v>72</v>
      </c>
      <c r="AJ904" s="1" t="s">
        <v>3738</v>
      </c>
      <c r="AK904" s="1" t="s">
        <v>3739</v>
      </c>
      <c r="AL904" s="1" t="s">
        <v>3740</v>
      </c>
    </row>
    <row r="905" spans="1:38" x14ac:dyDescent="0.6">
      <c r="A905" s="1">
        <v>638</v>
      </c>
      <c r="B905" s="1" t="s">
        <v>103</v>
      </c>
      <c r="C905" s="1">
        <v>50</v>
      </c>
      <c r="D905" s="1" t="s">
        <v>89</v>
      </c>
      <c r="E905" s="1" t="s">
        <v>90</v>
      </c>
      <c r="F905" s="1"/>
      <c r="G905" s="1"/>
      <c r="H905" s="1" t="s">
        <v>91</v>
      </c>
      <c r="I905" s="1" t="s">
        <v>92</v>
      </c>
      <c r="J905" s="1" t="s">
        <v>109</v>
      </c>
      <c r="K905" s="1">
        <v>1</v>
      </c>
      <c r="L905" s="1">
        <v>120</v>
      </c>
      <c r="M905" s="1" t="s">
        <v>94</v>
      </c>
      <c r="N905" s="1" t="s">
        <v>95</v>
      </c>
      <c r="O905" s="1"/>
      <c r="P905" s="1" t="s">
        <v>96</v>
      </c>
      <c r="Q905" s="1" t="s">
        <v>9</v>
      </c>
      <c r="R905" s="1">
        <v>0</v>
      </c>
      <c r="S905" s="1" t="s">
        <v>97</v>
      </c>
      <c r="T905" s="1" t="s">
        <v>97</v>
      </c>
      <c r="U905" s="1" t="b">
        <v>1</v>
      </c>
      <c r="V905" s="1" t="b">
        <v>0</v>
      </c>
      <c r="W905" s="1" t="b">
        <v>0</v>
      </c>
      <c r="X905" s="1">
        <v>0</v>
      </c>
      <c r="Y905" s="1" t="b">
        <v>1</v>
      </c>
      <c r="Z905" s="1" t="b">
        <v>1</v>
      </c>
      <c r="AA905" s="1">
        <v>57.2</v>
      </c>
      <c r="AB905" s="1" t="b">
        <v>1</v>
      </c>
      <c r="AC905" s="1">
        <v>140525433</v>
      </c>
      <c r="AD905" s="1">
        <v>1818759</v>
      </c>
      <c r="AE905" s="1">
        <v>0</v>
      </c>
      <c r="AF905" s="1" t="s">
        <v>3741</v>
      </c>
      <c r="AG905" s="1" t="s">
        <v>3742</v>
      </c>
      <c r="AH905" s="1">
        <v>57.9</v>
      </c>
      <c r="AI905" s="1">
        <v>55.2</v>
      </c>
      <c r="AJ905" s="1" t="s">
        <v>3743</v>
      </c>
      <c r="AK905" s="1" t="s">
        <v>3744</v>
      </c>
      <c r="AL905" s="1" t="s">
        <v>3745</v>
      </c>
    </row>
    <row r="906" spans="1:38" x14ac:dyDescent="0.6">
      <c r="A906" s="1">
        <v>628</v>
      </c>
      <c r="B906" s="1" t="s">
        <v>103</v>
      </c>
      <c r="C906" s="1">
        <v>60</v>
      </c>
      <c r="D906" s="1" t="s">
        <v>127</v>
      </c>
      <c r="E906" s="1" t="s">
        <v>90</v>
      </c>
      <c r="F906" s="1"/>
      <c r="G906" s="1"/>
      <c r="H906" s="1" t="s">
        <v>220</v>
      </c>
      <c r="I906" s="1" t="s">
        <v>221</v>
      </c>
      <c r="J906" s="1" t="s">
        <v>222</v>
      </c>
      <c r="K906" s="1">
        <v>1.25</v>
      </c>
      <c r="L906" s="1">
        <v>120</v>
      </c>
      <c r="M906" s="1" t="s">
        <v>94</v>
      </c>
      <c r="N906" s="1" t="s">
        <v>95</v>
      </c>
      <c r="O906" s="1"/>
      <c r="P906" s="1" t="s">
        <v>96</v>
      </c>
      <c r="Q906" s="1" t="s">
        <v>9</v>
      </c>
      <c r="R906" s="1">
        <v>0</v>
      </c>
      <c r="S906" s="1" t="s">
        <v>97</v>
      </c>
      <c r="T906" s="1" t="s">
        <v>97</v>
      </c>
      <c r="U906" s="1" t="b">
        <v>1</v>
      </c>
      <c r="V906" s="1" t="b">
        <v>0</v>
      </c>
      <c r="W906" s="1" t="b">
        <v>0</v>
      </c>
      <c r="X906" s="1">
        <v>0</v>
      </c>
      <c r="Y906" s="1" t="b">
        <v>1</v>
      </c>
      <c r="Z906" s="1" t="b">
        <v>1</v>
      </c>
      <c r="AA906" s="1">
        <v>70.3</v>
      </c>
      <c r="AB906" s="1" t="b">
        <v>1</v>
      </c>
      <c r="AC906" s="1">
        <v>145596193</v>
      </c>
      <c r="AD906" s="1">
        <v>1466591</v>
      </c>
      <c r="AE906" s="1">
        <v>0</v>
      </c>
      <c r="AF906" s="1" t="s">
        <v>3723</v>
      </c>
      <c r="AG906" s="1" t="s">
        <v>3724</v>
      </c>
      <c r="AH906" s="1">
        <v>64.3</v>
      </c>
      <c r="AI906" s="1">
        <v>67.3</v>
      </c>
      <c r="AJ906" s="1" t="s">
        <v>3746</v>
      </c>
      <c r="AK906" s="1" t="s">
        <v>3747</v>
      </c>
      <c r="AL906" s="1" t="s">
        <v>3748</v>
      </c>
    </row>
    <row r="907" spans="1:38" x14ac:dyDescent="0.6">
      <c r="A907" s="1">
        <v>639</v>
      </c>
      <c r="B907" s="1" t="s">
        <v>103</v>
      </c>
      <c r="C907" s="1">
        <v>60</v>
      </c>
      <c r="D907" s="1" t="s">
        <v>127</v>
      </c>
      <c r="E907" s="1" t="s">
        <v>90</v>
      </c>
      <c r="F907" s="1"/>
      <c r="G907" s="1"/>
      <c r="H907" s="1" t="s">
        <v>91</v>
      </c>
      <c r="I907" s="1" t="s">
        <v>92</v>
      </c>
      <c r="J907" s="1" t="s">
        <v>109</v>
      </c>
      <c r="K907" s="1">
        <v>1</v>
      </c>
      <c r="L907" s="1">
        <v>120</v>
      </c>
      <c r="M907" s="1" t="s">
        <v>7</v>
      </c>
      <c r="N907" s="1" t="s">
        <v>7</v>
      </c>
      <c r="O907" s="1" t="s">
        <v>96</v>
      </c>
      <c r="P907" s="1" t="s">
        <v>96</v>
      </c>
      <c r="Q907" s="1" t="s">
        <v>9</v>
      </c>
      <c r="R907" s="1">
        <v>0</v>
      </c>
      <c r="S907" s="1" t="s">
        <v>97</v>
      </c>
      <c r="T907" s="1" t="s">
        <v>97</v>
      </c>
      <c r="U907" s="1" t="b">
        <v>1</v>
      </c>
      <c r="V907" s="1" t="b">
        <v>0</v>
      </c>
      <c r="W907" s="1" t="b">
        <v>0</v>
      </c>
      <c r="X907" s="1">
        <v>5</v>
      </c>
      <c r="Y907" s="1" t="b">
        <v>1</v>
      </c>
      <c r="Z907" s="1" t="b">
        <v>1</v>
      </c>
      <c r="AA907" s="1">
        <v>66.900000000000006</v>
      </c>
      <c r="AB907" s="1" t="b">
        <v>0</v>
      </c>
      <c r="AC907" s="1">
        <v>0</v>
      </c>
      <c r="AD907" s="1">
        <v>1959585</v>
      </c>
      <c r="AE907" s="1">
        <v>137238879</v>
      </c>
      <c r="AF907" s="1" t="s">
        <v>3749</v>
      </c>
      <c r="AG907" s="1" t="s">
        <v>3749</v>
      </c>
      <c r="AH907" s="1">
        <v>61.1</v>
      </c>
      <c r="AI907" s="1">
        <v>62.6</v>
      </c>
      <c r="AJ907" s="1" t="s">
        <v>3750</v>
      </c>
      <c r="AK907" s="1" t="s">
        <v>3751</v>
      </c>
      <c r="AL907" s="1" t="s">
        <v>3752</v>
      </c>
    </row>
    <row r="908" spans="1:38" x14ac:dyDescent="0.6">
      <c r="A908" s="1">
        <v>642</v>
      </c>
      <c r="B908" s="1" t="s">
        <v>88</v>
      </c>
      <c r="C908" s="1">
        <v>60</v>
      </c>
      <c r="D908" s="1" t="s">
        <v>127</v>
      </c>
      <c r="E908" s="1" t="s">
        <v>90</v>
      </c>
      <c r="F908" s="1"/>
      <c r="G908" s="1"/>
      <c r="H908" s="1" t="s">
        <v>91</v>
      </c>
      <c r="I908" s="1" t="s">
        <v>92</v>
      </c>
      <c r="J908" s="1" t="s">
        <v>109</v>
      </c>
      <c r="K908" s="1">
        <v>1</v>
      </c>
      <c r="L908" s="1">
        <v>120</v>
      </c>
      <c r="M908" s="1" t="s">
        <v>7</v>
      </c>
      <c r="N908" s="1" t="s">
        <v>7</v>
      </c>
      <c r="O908" s="1" t="s">
        <v>96</v>
      </c>
      <c r="P908" s="1" t="s">
        <v>96</v>
      </c>
      <c r="Q908" s="1" t="s">
        <v>9</v>
      </c>
      <c r="R908" s="1">
        <v>0</v>
      </c>
      <c r="S908" s="1" t="s">
        <v>97</v>
      </c>
      <c r="T908" s="1" t="s">
        <v>97</v>
      </c>
      <c r="U908" s="1" t="b">
        <v>1</v>
      </c>
      <c r="V908" s="1" t="b">
        <v>0</v>
      </c>
      <c r="W908" s="1" t="b">
        <v>0</v>
      </c>
      <c r="X908" s="1">
        <v>5</v>
      </c>
      <c r="Y908" s="1" t="b">
        <v>1</v>
      </c>
      <c r="Z908" s="1" t="b">
        <v>1</v>
      </c>
      <c r="AA908" s="1">
        <v>45.3</v>
      </c>
      <c r="AB908" s="1" t="b">
        <v>0</v>
      </c>
      <c r="AC908" s="1">
        <v>0</v>
      </c>
      <c r="AD908" s="1">
        <v>3356188</v>
      </c>
      <c r="AE908" s="1">
        <v>130861540</v>
      </c>
      <c r="AF908" s="1" t="s">
        <v>3753</v>
      </c>
      <c r="AG908" s="1" t="s">
        <v>3753</v>
      </c>
      <c r="AH908" s="1">
        <v>49.6</v>
      </c>
      <c r="AI908" s="1">
        <v>43.9</v>
      </c>
      <c r="AJ908" s="1" t="s">
        <v>3754</v>
      </c>
      <c r="AK908" s="1" t="s">
        <v>3755</v>
      </c>
      <c r="AL908" s="1" t="s">
        <v>3756</v>
      </c>
    </row>
    <row r="909" spans="1:38" x14ac:dyDescent="0.6">
      <c r="A909" s="1">
        <v>644</v>
      </c>
      <c r="B909" s="1" t="s">
        <v>103</v>
      </c>
      <c r="C909" s="1">
        <v>50</v>
      </c>
      <c r="D909" s="1" t="s">
        <v>89</v>
      </c>
      <c r="E909" s="1" t="s">
        <v>90</v>
      </c>
      <c r="F909" s="1"/>
      <c r="G909" s="1"/>
      <c r="H909" s="1" t="s">
        <v>91</v>
      </c>
      <c r="I909" s="1" t="s">
        <v>92</v>
      </c>
      <c r="J909" s="1" t="s">
        <v>93</v>
      </c>
      <c r="K909" s="1">
        <v>1</v>
      </c>
      <c r="L909" s="1">
        <v>120</v>
      </c>
      <c r="M909" s="1" t="s">
        <v>14</v>
      </c>
      <c r="N909" s="1" t="s">
        <v>95</v>
      </c>
      <c r="O909" s="1" t="s">
        <v>96</v>
      </c>
      <c r="P909" s="1"/>
      <c r="Q909" s="1" t="s">
        <v>9</v>
      </c>
      <c r="R909" s="1">
        <v>0</v>
      </c>
      <c r="S909" s="1" t="s">
        <v>97</v>
      </c>
      <c r="T909" s="1" t="s">
        <v>97</v>
      </c>
      <c r="U909" s="1" t="b">
        <v>1</v>
      </c>
      <c r="V909" s="1" t="b">
        <v>0</v>
      </c>
      <c r="W909" s="1" t="b">
        <v>0</v>
      </c>
      <c r="X909" s="1">
        <v>5</v>
      </c>
      <c r="Y909" s="1" t="b">
        <v>1</v>
      </c>
      <c r="Z909" s="1" t="b">
        <v>1</v>
      </c>
      <c r="AA909" s="1"/>
      <c r="AB909" s="1" t="b">
        <v>1</v>
      </c>
      <c r="AC909" s="1">
        <v>140385261</v>
      </c>
      <c r="AD909" s="1">
        <v>386067</v>
      </c>
      <c r="AE909" s="1">
        <v>0</v>
      </c>
      <c r="AF909" s="1" t="s">
        <v>3757</v>
      </c>
      <c r="AG909" s="1" t="s">
        <v>3758</v>
      </c>
      <c r="AH909" s="1">
        <v>57.1</v>
      </c>
      <c r="AI909" s="1">
        <v>60</v>
      </c>
      <c r="AJ909" s="1" t="s">
        <v>3759</v>
      </c>
      <c r="AK909" s="1" t="s">
        <v>3760</v>
      </c>
      <c r="AL909" s="1" t="s">
        <v>3761</v>
      </c>
    </row>
    <row r="910" spans="1:38" x14ac:dyDescent="0.6">
      <c r="A910" s="1">
        <v>644</v>
      </c>
      <c r="B910" s="1" t="s">
        <v>103</v>
      </c>
      <c r="C910" s="1">
        <v>50</v>
      </c>
      <c r="D910" s="1" t="s">
        <v>89</v>
      </c>
      <c r="E910" s="1" t="s">
        <v>90</v>
      </c>
      <c r="F910" s="1"/>
      <c r="G910" s="1"/>
      <c r="H910" s="1" t="s">
        <v>91</v>
      </c>
      <c r="I910" s="1" t="s">
        <v>92</v>
      </c>
      <c r="J910" s="1" t="s">
        <v>93</v>
      </c>
      <c r="K910" s="1">
        <v>1</v>
      </c>
      <c r="L910" s="1">
        <v>120</v>
      </c>
      <c r="M910" s="1" t="s">
        <v>94</v>
      </c>
      <c r="N910" s="1" t="s">
        <v>95</v>
      </c>
      <c r="O910" s="1"/>
      <c r="P910" s="1" t="s">
        <v>96</v>
      </c>
      <c r="Q910" s="1" t="s">
        <v>9</v>
      </c>
      <c r="R910" s="1">
        <v>0</v>
      </c>
      <c r="S910" s="1" t="s">
        <v>97</v>
      </c>
      <c r="T910" s="1" t="s">
        <v>97</v>
      </c>
      <c r="U910" s="1" t="b">
        <v>1</v>
      </c>
      <c r="V910" s="1" t="b">
        <v>0</v>
      </c>
      <c r="W910" s="1" t="b">
        <v>0</v>
      </c>
      <c r="X910" s="1">
        <v>0</v>
      </c>
      <c r="Y910" s="1" t="b">
        <v>1</v>
      </c>
      <c r="Z910" s="1" t="b">
        <v>1</v>
      </c>
      <c r="AA910" s="1">
        <v>65.099999999999994</v>
      </c>
      <c r="AB910" s="1" t="b">
        <v>1</v>
      </c>
      <c r="AC910" s="1">
        <v>147415850</v>
      </c>
      <c r="AD910" s="1">
        <v>1219798</v>
      </c>
      <c r="AE910" s="1">
        <v>0</v>
      </c>
      <c r="AF910" s="1" t="s">
        <v>3757</v>
      </c>
      <c r="AG910" s="1" t="s">
        <v>3758</v>
      </c>
      <c r="AH910" s="1">
        <v>57.1</v>
      </c>
      <c r="AI910" s="1">
        <v>60</v>
      </c>
      <c r="AJ910" s="1" t="s">
        <v>3762</v>
      </c>
      <c r="AK910" s="1" t="s">
        <v>3763</v>
      </c>
      <c r="AL910" s="1" t="s">
        <v>3764</v>
      </c>
    </row>
    <row r="911" spans="1:38" x14ac:dyDescent="0.6">
      <c r="A911" s="1">
        <v>640</v>
      </c>
      <c r="B911" s="1" t="s">
        <v>88</v>
      </c>
      <c r="C911" s="1">
        <v>70</v>
      </c>
      <c r="D911" s="1" t="s">
        <v>119</v>
      </c>
      <c r="E911" s="1" t="s">
        <v>90</v>
      </c>
      <c r="F911" s="1"/>
      <c r="G911" s="1"/>
      <c r="H911" s="1" t="s">
        <v>91</v>
      </c>
      <c r="I911" s="1" t="s">
        <v>92</v>
      </c>
      <c r="J911" s="1" t="s">
        <v>109</v>
      </c>
      <c r="K911" s="1">
        <v>1</v>
      </c>
      <c r="L911" s="1">
        <v>120</v>
      </c>
      <c r="M911" s="1" t="s">
        <v>7</v>
      </c>
      <c r="N911" s="1" t="s">
        <v>7</v>
      </c>
      <c r="O911" s="1" t="s">
        <v>96</v>
      </c>
      <c r="P911" s="1" t="s">
        <v>96</v>
      </c>
      <c r="Q911" s="1" t="s">
        <v>9</v>
      </c>
      <c r="R911" s="1">
        <v>0</v>
      </c>
      <c r="S911" s="1" t="s">
        <v>97</v>
      </c>
      <c r="T911" s="1" t="s">
        <v>97</v>
      </c>
      <c r="U911" s="1" t="b">
        <v>1</v>
      </c>
      <c r="V911" s="1" t="b">
        <v>0</v>
      </c>
      <c r="W911" s="1" t="b">
        <v>0</v>
      </c>
      <c r="X911" s="1">
        <v>5</v>
      </c>
      <c r="Y911" s="1" t="b">
        <v>1</v>
      </c>
      <c r="Z911" s="1" t="b">
        <v>1</v>
      </c>
      <c r="AA911" s="1">
        <v>77.400000000000006</v>
      </c>
      <c r="AB911" s="1" t="b">
        <v>0</v>
      </c>
      <c r="AC911" s="1">
        <v>0</v>
      </c>
      <c r="AD911" s="1">
        <v>1719943</v>
      </c>
      <c r="AE911" s="1">
        <v>154780025</v>
      </c>
      <c r="AF911" s="1" t="s">
        <v>3765</v>
      </c>
      <c r="AG911" s="1" t="s">
        <v>3765</v>
      </c>
      <c r="AH911" s="1">
        <v>62.6</v>
      </c>
      <c r="AI911" s="1">
        <v>68.900000000000006</v>
      </c>
      <c r="AJ911" s="1" t="s">
        <v>3766</v>
      </c>
      <c r="AK911" s="1" t="s">
        <v>3767</v>
      </c>
      <c r="AL911" s="1" t="s">
        <v>3768</v>
      </c>
    </row>
    <row r="912" spans="1:38" x14ac:dyDescent="0.6">
      <c r="A912" s="1">
        <v>645</v>
      </c>
      <c r="B912" s="1" t="s">
        <v>88</v>
      </c>
      <c r="C912" s="1">
        <v>60</v>
      </c>
      <c r="D912" s="1" t="s">
        <v>127</v>
      </c>
      <c r="E912" s="1" t="s">
        <v>90</v>
      </c>
      <c r="F912" s="1"/>
      <c r="G912" s="1"/>
      <c r="H912" s="1" t="s">
        <v>91</v>
      </c>
      <c r="I912" s="1" t="s">
        <v>92</v>
      </c>
      <c r="J912" s="1" t="s">
        <v>93</v>
      </c>
      <c r="K912" s="1">
        <v>1</v>
      </c>
      <c r="L912" s="1">
        <v>120</v>
      </c>
      <c r="M912" s="1" t="s">
        <v>14</v>
      </c>
      <c r="N912" s="1" t="s">
        <v>95</v>
      </c>
      <c r="O912" s="1" t="s">
        <v>96</v>
      </c>
      <c r="P912" s="1"/>
      <c r="Q912" s="1" t="s">
        <v>9</v>
      </c>
      <c r="R912" s="1">
        <v>0</v>
      </c>
      <c r="S912" s="1" t="s">
        <v>97</v>
      </c>
      <c r="T912" s="1" t="s">
        <v>97</v>
      </c>
      <c r="U912" s="1" t="b">
        <v>1</v>
      </c>
      <c r="V912" s="1" t="b">
        <v>0</v>
      </c>
      <c r="W912" s="1" t="b">
        <v>0</v>
      </c>
      <c r="X912" s="1">
        <v>5</v>
      </c>
      <c r="Y912" s="1" t="b">
        <v>1</v>
      </c>
      <c r="Z912" s="1" t="b">
        <v>1</v>
      </c>
      <c r="AA912" s="1"/>
      <c r="AB912" s="1" t="b">
        <v>1</v>
      </c>
      <c r="AC912" s="1">
        <v>126619891</v>
      </c>
      <c r="AD912" s="1">
        <v>519949</v>
      </c>
      <c r="AE912" s="1">
        <v>0</v>
      </c>
      <c r="AF912" s="1" t="s">
        <v>3769</v>
      </c>
      <c r="AG912" s="1" t="s">
        <v>3770</v>
      </c>
      <c r="AH912" s="1">
        <v>74.2</v>
      </c>
      <c r="AI912" s="1">
        <v>72.5</v>
      </c>
      <c r="AJ912" s="1" t="s">
        <v>3771</v>
      </c>
      <c r="AK912" s="1" t="s">
        <v>3772</v>
      </c>
      <c r="AL912" s="1" t="s">
        <v>3773</v>
      </c>
    </row>
    <row r="913" spans="1:38" x14ac:dyDescent="0.6">
      <c r="A913" s="1">
        <v>645</v>
      </c>
      <c r="B913" s="1" t="s">
        <v>88</v>
      </c>
      <c r="C913" s="1">
        <v>60</v>
      </c>
      <c r="D913" s="1" t="s">
        <v>127</v>
      </c>
      <c r="E913" s="1" t="s">
        <v>90</v>
      </c>
      <c r="F913" s="1"/>
      <c r="G913" s="1"/>
      <c r="H913" s="1" t="s">
        <v>91</v>
      </c>
      <c r="I913" s="1" t="s">
        <v>92</v>
      </c>
      <c r="J913" s="1" t="s">
        <v>93</v>
      </c>
      <c r="K913" s="1">
        <v>1</v>
      </c>
      <c r="L913" s="1">
        <v>120</v>
      </c>
      <c r="M913" s="1" t="s">
        <v>94</v>
      </c>
      <c r="N913" s="1" t="s">
        <v>95</v>
      </c>
      <c r="O913" s="1"/>
      <c r="P913" s="1" t="s">
        <v>96</v>
      </c>
      <c r="Q913" s="1" t="s">
        <v>9</v>
      </c>
      <c r="R913" s="1">
        <v>0</v>
      </c>
      <c r="S913" s="1" t="s">
        <v>97</v>
      </c>
      <c r="T913" s="1" t="s">
        <v>97</v>
      </c>
      <c r="U913" s="1" t="b">
        <v>1</v>
      </c>
      <c r="V913" s="1" t="b">
        <v>0</v>
      </c>
      <c r="W913" s="1" t="b">
        <v>0</v>
      </c>
      <c r="X913" s="1">
        <v>0</v>
      </c>
      <c r="Y913" s="1" t="b">
        <v>1</v>
      </c>
      <c r="Z913" s="1" t="b">
        <v>1</v>
      </c>
      <c r="AA913" s="1">
        <v>79.5</v>
      </c>
      <c r="AB913" s="1" t="b">
        <v>1</v>
      </c>
      <c r="AC913" s="1">
        <v>127477962</v>
      </c>
      <c r="AD913" s="1">
        <v>1496886</v>
      </c>
      <c r="AE913" s="1">
        <v>0</v>
      </c>
      <c r="AF913" s="1" t="s">
        <v>3769</v>
      </c>
      <c r="AG913" s="1" t="s">
        <v>3770</v>
      </c>
      <c r="AH913" s="1">
        <v>74.2</v>
      </c>
      <c r="AI913" s="1">
        <v>72.5</v>
      </c>
      <c r="AJ913" s="1" t="s">
        <v>3774</v>
      </c>
      <c r="AK913" s="1" t="s">
        <v>3775</v>
      </c>
      <c r="AL913" s="1" t="s">
        <v>3776</v>
      </c>
    </row>
    <row r="914" spans="1:38" x14ac:dyDescent="0.6">
      <c r="A914" s="1">
        <v>641</v>
      </c>
      <c r="B914" s="1" t="s">
        <v>88</v>
      </c>
      <c r="C914" s="1">
        <v>70</v>
      </c>
      <c r="D914" s="1" t="s">
        <v>119</v>
      </c>
      <c r="E914" s="1" t="s">
        <v>90</v>
      </c>
      <c r="F914" s="1"/>
      <c r="G914" s="1"/>
      <c r="H914" s="1" t="s">
        <v>91</v>
      </c>
      <c r="I914" s="1" t="s">
        <v>92</v>
      </c>
      <c r="J914" s="1" t="s">
        <v>109</v>
      </c>
      <c r="K914" s="1">
        <v>1</v>
      </c>
      <c r="L914" s="1">
        <v>120</v>
      </c>
      <c r="M914" s="1" t="s">
        <v>94</v>
      </c>
      <c r="N914" s="1" t="s">
        <v>95</v>
      </c>
      <c r="O914" s="1"/>
      <c r="P914" s="1" t="s">
        <v>96</v>
      </c>
      <c r="Q914" s="1" t="s">
        <v>9</v>
      </c>
      <c r="R914" s="1">
        <v>0</v>
      </c>
      <c r="S914" s="1" t="s">
        <v>97</v>
      </c>
      <c r="T914" s="1" t="s">
        <v>97</v>
      </c>
      <c r="U914" s="1" t="b">
        <v>1</v>
      </c>
      <c r="V914" s="1" t="b">
        <v>0</v>
      </c>
      <c r="W914" s="1" t="b">
        <v>0</v>
      </c>
      <c r="X914" s="1">
        <v>0</v>
      </c>
      <c r="Y914" s="1" t="b">
        <v>1</v>
      </c>
      <c r="Z914" s="1" t="b">
        <v>1</v>
      </c>
      <c r="AA914" s="1">
        <v>82.7</v>
      </c>
      <c r="AB914" s="1" t="b">
        <v>1</v>
      </c>
      <c r="AC914" s="1">
        <v>114555770</v>
      </c>
      <c r="AD914" s="1">
        <v>2098310</v>
      </c>
      <c r="AE914" s="1">
        <v>0</v>
      </c>
      <c r="AF914" s="1" t="s">
        <v>3733</v>
      </c>
      <c r="AG914" s="1" t="s">
        <v>3734</v>
      </c>
      <c r="AH914" s="1">
        <v>87.3</v>
      </c>
      <c r="AI914" s="1">
        <v>78.2</v>
      </c>
      <c r="AJ914" s="1" t="s">
        <v>3777</v>
      </c>
      <c r="AK914" s="1" t="s">
        <v>3778</v>
      </c>
      <c r="AL914" s="1" t="s">
        <v>3779</v>
      </c>
    </row>
    <row r="915" spans="1:38" x14ac:dyDescent="0.6">
      <c r="A915" s="1">
        <v>648</v>
      </c>
      <c r="B915" s="1" t="s">
        <v>103</v>
      </c>
      <c r="C915" s="1">
        <v>70</v>
      </c>
      <c r="D915" s="1" t="s">
        <v>119</v>
      </c>
      <c r="E915" s="1" t="s">
        <v>90</v>
      </c>
      <c r="F915" s="1"/>
      <c r="G915" s="1"/>
      <c r="H915" s="1" t="s">
        <v>91</v>
      </c>
      <c r="I915" s="1" t="s">
        <v>92</v>
      </c>
      <c r="J915" s="1" t="s">
        <v>93</v>
      </c>
      <c r="K915" s="1">
        <v>1</v>
      </c>
      <c r="L915" s="1">
        <v>120</v>
      </c>
      <c r="M915" s="1" t="s">
        <v>14</v>
      </c>
      <c r="N915" s="1" t="s">
        <v>95</v>
      </c>
      <c r="O915" s="1" t="s">
        <v>96</v>
      </c>
      <c r="P915" s="1"/>
      <c r="Q915" s="1" t="s">
        <v>9</v>
      </c>
      <c r="R915" s="1">
        <v>0</v>
      </c>
      <c r="S915" s="1" t="s">
        <v>97</v>
      </c>
      <c r="T915" s="1" t="s">
        <v>97</v>
      </c>
      <c r="U915" s="1" t="b">
        <v>1</v>
      </c>
      <c r="V915" s="1" t="b">
        <v>0</v>
      </c>
      <c r="W915" s="1" t="b">
        <v>0</v>
      </c>
      <c r="X915" s="1">
        <v>5</v>
      </c>
      <c r="Y915" s="1" t="b">
        <v>1</v>
      </c>
      <c r="Z915" s="1" t="b">
        <v>1</v>
      </c>
      <c r="AA915" s="1"/>
      <c r="AB915" s="1" t="b">
        <v>1</v>
      </c>
      <c r="AC915" s="1">
        <v>132604446</v>
      </c>
      <c r="AD915" s="1">
        <v>564706</v>
      </c>
      <c r="AE915" s="1">
        <v>0</v>
      </c>
      <c r="AF915" s="1" t="s">
        <v>3780</v>
      </c>
      <c r="AG915" s="1" t="s">
        <v>3781</v>
      </c>
      <c r="AH915" s="1">
        <v>55.2</v>
      </c>
      <c r="AI915" s="1">
        <v>55.9</v>
      </c>
      <c r="AJ915" s="1" t="s">
        <v>3782</v>
      </c>
      <c r="AK915" s="1" t="s">
        <v>3783</v>
      </c>
      <c r="AL915" s="1" t="s">
        <v>3784</v>
      </c>
    </row>
    <row r="916" spans="1:38" x14ac:dyDescent="0.6">
      <c r="A916" s="1">
        <v>637</v>
      </c>
      <c r="B916" s="1" t="s">
        <v>103</v>
      </c>
      <c r="C916" s="1">
        <v>60</v>
      </c>
      <c r="D916" s="1" t="s">
        <v>127</v>
      </c>
      <c r="E916" s="1" t="s">
        <v>90</v>
      </c>
      <c r="F916" s="1"/>
      <c r="G916" s="1"/>
      <c r="H916" s="1" t="s">
        <v>91</v>
      </c>
      <c r="I916" s="1" t="s">
        <v>92</v>
      </c>
      <c r="J916" s="1" t="s">
        <v>109</v>
      </c>
      <c r="K916" s="1">
        <v>1</v>
      </c>
      <c r="L916" s="1">
        <v>120</v>
      </c>
      <c r="M916" s="1" t="s">
        <v>14</v>
      </c>
      <c r="N916" s="1" t="s">
        <v>95</v>
      </c>
      <c r="O916" s="1" t="s">
        <v>96</v>
      </c>
      <c r="P916" s="1"/>
      <c r="Q916" s="1" t="s">
        <v>9</v>
      </c>
      <c r="R916" s="1">
        <v>0</v>
      </c>
      <c r="S916" s="1" t="s">
        <v>97</v>
      </c>
      <c r="T916" s="1" t="s">
        <v>97</v>
      </c>
      <c r="U916" s="1" t="b">
        <v>1</v>
      </c>
      <c r="V916" s="1" t="b">
        <v>0</v>
      </c>
      <c r="W916" s="1" t="b">
        <v>0</v>
      </c>
      <c r="X916" s="1">
        <v>5</v>
      </c>
      <c r="Y916" s="1" t="b">
        <v>1</v>
      </c>
      <c r="Z916" s="1" t="b">
        <v>1</v>
      </c>
      <c r="AA916" s="1"/>
      <c r="AB916" s="1" t="b">
        <v>1</v>
      </c>
      <c r="AC916" s="1">
        <v>144301376</v>
      </c>
      <c r="AD916" s="1">
        <v>664256</v>
      </c>
      <c r="AE916" s="1">
        <v>0</v>
      </c>
      <c r="AF916" s="1" t="s">
        <v>3712</v>
      </c>
      <c r="AG916" s="1" t="s">
        <v>3713</v>
      </c>
      <c r="AH916" s="1">
        <v>61.9</v>
      </c>
      <c r="AI916" s="1">
        <v>63.4</v>
      </c>
      <c r="AJ916" s="1" t="s">
        <v>3785</v>
      </c>
      <c r="AK916" s="1" t="s">
        <v>3786</v>
      </c>
      <c r="AL916" s="1" t="s">
        <v>3787</v>
      </c>
    </row>
    <row r="917" spans="1:38" x14ac:dyDescent="0.6">
      <c r="A917" s="1">
        <v>646</v>
      </c>
      <c r="B917" s="1" t="s">
        <v>88</v>
      </c>
      <c r="C917" s="1">
        <v>50</v>
      </c>
      <c r="D917" s="1" t="s">
        <v>89</v>
      </c>
      <c r="E917" s="1" t="s">
        <v>90</v>
      </c>
      <c r="F917" s="1"/>
      <c r="G917" s="1"/>
      <c r="H917" s="1" t="s">
        <v>91</v>
      </c>
      <c r="I917" s="1" t="s">
        <v>92</v>
      </c>
      <c r="J917" s="1" t="s">
        <v>93</v>
      </c>
      <c r="K917" s="1">
        <v>1</v>
      </c>
      <c r="L917" s="1">
        <v>120</v>
      </c>
      <c r="M917" s="1" t="s">
        <v>94</v>
      </c>
      <c r="N917" s="1" t="s">
        <v>95</v>
      </c>
      <c r="O917" s="1"/>
      <c r="P917" s="1" t="s">
        <v>96</v>
      </c>
      <c r="Q917" s="1" t="s">
        <v>9</v>
      </c>
      <c r="R917" s="1">
        <v>0</v>
      </c>
      <c r="S917" s="1" t="s">
        <v>97</v>
      </c>
      <c r="T917" s="1" t="s">
        <v>97</v>
      </c>
      <c r="U917" s="1" t="b">
        <v>1</v>
      </c>
      <c r="V917" s="1" t="b">
        <v>0</v>
      </c>
      <c r="W917" s="1" t="b">
        <v>0</v>
      </c>
      <c r="X917" s="1">
        <v>0</v>
      </c>
      <c r="Y917" s="1" t="b">
        <v>1</v>
      </c>
      <c r="Z917" s="1" t="b">
        <v>1</v>
      </c>
      <c r="AA917" s="1">
        <v>83.9</v>
      </c>
      <c r="AB917" s="1" t="b">
        <v>1</v>
      </c>
      <c r="AC917" s="1">
        <v>157116473</v>
      </c>
      <c r="AD917" s="1">
        <v>956359</v>
      </c>
      <c r="AE917" s="1">
        <v>0</v>
      </c>
      <c r="AF917" s="1" t="s">
        <v>3788</v>
      </c>
      <c r="AG917" s="1" t="s">
        <v>3789</v>
      </c>
      <c r="AH917" s="1">
        <v>71</v>
      </c>
      <c r="AI917" s="1">
        <v>76</v>
      </c>
      <c r="AJ917" s="1" t="s">
        <v>3790</v>
      </c>
      <c r="AK917" s="1" t="s">
        <v>3791</v>
      </c>
      <c r="AL917" s="1" t="s">
        <v>3792</v>
      </c>
    </row>
    <row r="918" spans="1:38" x14ac:dyDescent="0.6">
      <c r="A918" s="1">
        <v>646</v>
      </c>
      <c r="B918" s="1" t="s">
        <v>88</v>
      </c>
      <c r="C918" s="1">
        <v>50</v>
      </c>
      <c r="D918" s="1" t="s">
        <v>89</v>
      </c>
      <c r="E918" s="1" t="s">
        <v>90</v>
      </c>
      <c r="F918" s="1"/>
      <c r="G918" s="1"/>
      <c r="H918" s="1" t="s">
        <v>91</v>
      </c>
      <c r="I918" s="1" t="s">
        <v>92</v>
      </c>
      <c r="J918" s="1" t="s">
        <v>93</v>
      </c>
      <c r="K918" s="1">
        <v>1</v>
      </c>
      <c r="L918" s="1">
        <v>120</v>
      </c>
      <c r="M918" s="1" t="s">
        <v>14</v>
      </c>
      <c r="N918" s="1" t="s">
        <v>95</v>
      </c>
      <c r="O918" s="1" t="s">
        <v>96</v>
      </c>
      <c r="P918" s="1"/>
      <c r="Q918" s="1" t="s">
        <v>9</v>
      </c>
      <c r="R918" s="1">
        <v>0</v>
      </c>
      <c r="S918" s="1" t="s">
        <v>97</v>
      </c>
      <c r="T918" s="1" t="s">
        <v>97</v>
      </c>
      <c r="U918" s="1" t="b">
        <v>1</v>
      </c>
      <c r="V918" s="1" t="b">
        <v>0</v>
      </c>
      <c r="W918" s="1" t="b">
        <v>0</v>
      </c>
      <c r="X918" s="1">
        <v>5</v>
      </c>
      <c r="Y918" s="1" t="b">
        <v>1</v>
      </c>
      <c r="Z918" s="1" t="b">
        <v>1</v>
      </c>
      <c r="AA918" s="1"/>
      <c r="AB918" s="1" t="b">
        <v>1</v>
      </c>
      <c r="AC918" s="1">
        <v>156173220</v>
      </c>
      <c r="AD918" s="1">
        <v>326748</v>
      </c>
      <c r="AE918" s="1">
        <v>0</v>
      </c>
      <c r="AF918" s="1" t="s">
        <v>3788</v>
      </c>
      <c r="AG918" s="1" t="s">
        <v>3789</v>
      </c>
      <c r="AH918" s="1">
        <v>71</v>
      </c>
      <c r="AI918" s="1">
        <v>76</v>
      </c>
      <c r="AJ918" s="1" t="s">
        <v>3793</v>
      </c>
      <c r="AK918" s="1" t="s">
        <v>3794</v>
      </c>
      <c r="AL918" s="1" t="s">
        <v>3795</v>
      </c>
    </row>
    <row r="919" spans="1:38" x14ac:dyDescent="0.6">
      <c r="A919" s="1">
        <v>647</v>
      </c>
      <c r="B919" s="1" t="s">
        <v>88</v>
      </c>
      <c r="C919" s="1">
        <v>70</v>
      </c>
      <c r="D919" s="1" t="s">
        <v>119</v>
      </c>
      <c r="E919" s="1" t="s">
        <v>108</v>
      </c>
      <c r="F919" s="1"/>
      <c r="G919" s="1"/>
      <c r="H919" s="1" t="s">
        <v>91</v>
      </c>
      <c r="I919" s="1" t="s">
        <v>92</v>
      </c>
      <c r="J919" s="1" t="s">
        <v>93</v>
      </c>
      <c r="K919" s="1">
        <v>1</v>
      </c>
      <c r="L919" s="1">
        <v>120</v>
      </c>
      <c r="M919" s="1" t="s">
        <v>94</v>
      </c>
      <c r="N919" s="1" t="s">
        <v>95</v>
      </c>
      <c r="O919" s="1"/>
      <c r="P919" s="1" t="s">
        <v>96</v>
      </c>
      <c r="Q919" s="1" t="s">
        <v>9</v>
      </c>
      <c r="R919" s="1">
        <v>0</v>
      </c>
      <c r="S919" s="1" t="s">
        <v>97</v>
      </c>
      <c r="T919" s="1" t="s">
        <v>97</v>
      </c>
      <c r="U919" s="1" t="b">
        <v>1</v>
      </c>
      <c r="V919" s="1" t="b">
        <v>0</v>
      </c>
      <c r="W919" s="1" t="b">
        <v>0</v>
      </c>
      <c r="X919" s="1">
        <v>0</v>
      </c>
      <c r="Y919" s="1" t="b">
        <v>1</v>
      </c>
      <c r="Z919" s="1" t="b">
        <v>1</v>
      </c>
      <c r="AA919" s="1">
        <v>56.4</v>
      </c>
      <c r="AB919" s="1" t="b">
        <v>1</v>
      </c>
      <c r="AC919" s="1">
        <v>152550793</v>
      </c>
      <c r="AD919" s="1">
        <v>2376311</v>
      </c>
      <c r="AE919" s="1">
        <v>0</v>
      </c>
      <c r="AF919" s="1" t="s">
        <v>3796</v>
      </c>
      <c r="AG919" s="1" t="s">
        <v>3797</v>
      </c>
      <c r="AH919" s="1">
        <v>56.8</v>
      </c>
      <c r="AI919" s="1">
        <v>54.5</v>
      </c>
      <c r="AJ919" s="1" t="s">
        <v>3798</v>
      </c>
      <c r="AK919" s="1" t="s">
        <v>3799</v>
      </c>
      <c r="AL919" s="1" t="s">
        <v>3800</v>
      </c>
    </row>
    <row r="920" spans="1:38" x14ac:dyDescent="0.6">
      <c r="A920" s="1">
        <v>632</v>
      </c>
      <c r="B920" s="1" t="s">
        <v>103</v>
      </c>
      <c r="C920" s="1">
        <v>50</v>
      </c>
      <c r="D920" s="1" t="s">
        <v>89</v>
      </c>
      <c r="E920" s="1" t="s">
        <v>108</v>
      </c>
      <c r="F920" s="1"/>
      <c r="G920" s="1"/>
      <c r="H920" s="1" t="s">
        <v>220</v>
      </c>
      <c r="I920" s="1" t="s">
        <v>221</v>
      </c>
      <c r="J920" s="1" t="s">
        <v>1176</v>
      </c>
      <c r="K920" s="1">
        <v>1.25</v>
      </c>
      <c r="L920" s="1">
        <v>120</v>
      </c>
      <c r="M920" s="1" t="s">
        <v>7</v>
      </c>
      <c r="N920" s="1" t="s">
        <v>7</v>
      </c>
      <c r="O920" s="1" t="s">
        <v>96</v>
      </c>
      <c r="P920" s="1" t="s">
        <v>96</v>
      </c>
      <c r="Q920" s="1" t="s">
        <v>9</v>
      </c>
      <c r="R920" s="1">
        <v>0</v>
      </c>
      <c r="S920" s="1" t="s">
        <v>97</v>
      </c>
      <c r="T920" s="1" t="s">
        <v>97</v>
      </c>
      <c r="U920" s="1" t="b">
        <v>1</v>
      </c>
      <c r="V920" s="1" t="b">
        <v>0</v>
      </c>
      <c r="W920" s="1" t="b">
        <v>0</v>
      </c>
      <c r="X920" s="1">
        <v>5</v>
      </c>
      <c r="Y920" s="1" t="b">
        <v>1</v>
      </c>
      <c r="Z920" s="1" t="b">
        <v>1</v>
      </c>
      <c r="AA920" s="1">
        <v>70.5</v>
      </c>
      <c r="AB920" s="1" t="b">
        <v>0</v>
      </c>
      <c r="AC920" s="1">
        <v>0</v>
      </c>
      <c r="AD920" s="1">
        <v>1736760</v>
      </c>
      <c r="AE920" s="1">
        <v>168132552</v>
      </c>
      <c r="AF920" s="1" t="s">
        <v>3801</v>
      </c>
      <c r="AG920" s="1" t="s">
        <v>3801</v>
      </c>
      <c r="AH920" s="1">
        <v>59.2</v>
      </c>
      <c r="AI920" s="1">
        <v>63</v>
      </c>
      <c r="AJ920" s="1" t="s">
        <v>3802</v>
      </c>
      <c r="AK920" s="1" t="s">
        <v>3803</v>
      </c>
      <c r="AL920" s="1" t="s">
        <v>3804</v>
      </c>
    </row>
    <row r="921" spans="1:38" x14ac:dyDescent="0.6">
      <c r="A921" s="1">
        <v>652</v>
      </c>
      <c r="B921" s="1" t="s">
        <v>88</v>
      </c>
      <c r="C921" s="1">
        <v>50</v>
      </c>
      <c r="D921" s="1" t="s">
        <v>89</v>
      </c>
      <c r="E921" s="1" t="s">
        <v>90</v>
      </c>
      <c r="F921" s="1"/>
      <c r="G921" s="1"/>
      <c r="H921" s="1" t="s">
        <v>91</v>
      </c>
      <c r="I921" s="1" t="s">
        <v>92</v>
      </c>
      <c r="J921" s="1" t="s">
        <v>93</v>
      </c>
      <c r="K921" s="1">
        <v>1</v>
      </c>
      <c r="L921" s="1">
        <v>120</v>
      </c>
      <c r="M921" s="1" t="s">
        <v>14</v>
      </c>
      <c r="N921" s="1" t="s">
        <v>95</v>
      </c>
      <c r="O921" s="1" t="s">
        <v>96</v>
      </c>
      <c r="P921" s="1"/>
      <c r="Q921" s="1" t="s">
        <v>9</v>
      </c>
      <c r="R921" s="1">
        <v>0</v>
      </c>
      <c r="S921" s="1" t="s">
        <v>97</v>
      </c>
      <c r="T921" s="1" t="s">
        <v>97</v>
      </c>
      <c r="U921" s="1" t="b">
        <v>1</v>
      </c>
      <c r="V921" s="1" t="b">
        <v>0</v>
      </c>
      <c r="W921" s="1" t="b">
        <v>0</v>
      </c>
      <c r="X921" s="1">
        <v>5</v>
      </c>
      <c r="Y921" s="1" t="b">
        <v>1</v>
      </c>
      <c r="Z921" s="1" t="b">
        <v>1</v>
      </c>
      <c r="AA921" s="1"/>
      <c r="AB921" s="1" t="b">
        <v>1</v>
      </c>
      <c r="AC921" s="1">
        <v>130506318</v>
      </c>
      <c r="AD921" s="1">
        <v>827826</v>
      </c>
      <c r="AE921" s="1">
        <v>0</v>
      </c>
      <c r="AF921" s="1" t="s">
        <v>3805</v>
      </c>
      <c r="AG921" s="1" t="s">
        <v>3806</v>
      </c>
      <c r="AH921" s="1">
        <v>72.8</v>
      </c>
      <c r="AI921" s="1">
        <v>67.8</v>
      </c>
      <c r="AJ921" s="1" t="s">
        <v>3807</v>
      </c>
      <c r="AK921" s="1" t="s">
        <v>3808</v>
      </c>
      <c r="AL921" s="1" t="s">
        <v>3809</v>
      </c>
    </row>
    <row r="922" spans="1:38" x14ac:dyDescent="0.6">
      <c r="A922" s="1">
        <v>647</v>
      </c>
      <c r="B922" s="1" t="s">
        <v>88</v>
      </c>
      <c r="C922" s="1">
        <v>70</v>
      </c>
      <c r="D922" s="1" t="s">
        <v>119</v>
      </c>
      <c r="E922" s="1" t="s">
        <v>108</v>
      </c>
      <c r="F922" s="1"/>
      <c r="G922" s="1"/>
      <c r="H922" s="1" t="s">
        <v>91</v>
      </c>
      <c r="I922" s="1" t="s">
        <v>92</v>
      </c>
      <c r="J922" s="1" t="s">
        <v>93</v>
      </c>
      <c r="K922" s="1">
        <v>1</v>
      </c>
      <c r="L922" s="1">
        <v>120</v>
      </c>
      <c r="M922" s="1" t="s">
        <v>14</v>
      </c>
      <c r="N922" s="1" t="s">
        <v>95</v>
      </c>
      <c r="O922" s="1" t="s">
        <v>96</v>
      </c>
      <c r="P922" s="1"/>
      <c r="Q922" s="1" t="s">
        <v>9</v>
      </c>
      <c r="R922" s="1">
        <v>0</v>
      </c>
      <c r="S922" s="1" t="s">
        <v>97</v>
      </c>
      <c r="T922" s="1" t="s">
        <v>97</v>
      </c>
      <c r="U922" s="1" t="b">
        <v>1</v>
      </c>
      <c r="V922" s="1" t="b">
        <v>0</v>
      </c>
      <c r="W922" s="1" t="b">
        <v>0</v>
      </c>
      <c r="X922" s="1">
        <v>5</v>
      </c>
      <c r="Y922" s="1" t="b">
        <v>1</v>
      </c>
      <c r="Z922" s="1" t="b">
        <v>1</v>
      </c>
      <c r="AA922" s="1"/>
      <c r="AB922" s="1" t="b">
        <v>1</v>
      </c>
      <c r="AC922" s="1">
        <v>152064285</v>
      </c>
      <c r="AD922" s="1">
        <v>765667</v>
      </c>
      <c r="AE922" s="1">
        <v>0</v>
      </c>
      <c r="AF922" s="1" t="s">
        <v>3796</v>
      </c>
      <c r="AG922" s="1" t="s">
        <v>3797</v>
      </c>
      <c r="AH922" s="1">
        <v>56.8</v>
      </c>
      <c r="AI922" s="1">
        <v>54.5</v>
      </c>
      <c r="AJ922" s="1" t="s">
        <v>3810</v>
      </c>
      <c r="AK922" s="1" t="s">
        <v>3811</v>
      </c>
      <c r="AL922" s="1" t="s">
        <v>3812</v>
      </c>
    </row>
    <row r="923" spans="1:38" x14ac:dyDescent="0.6">
      <c r="A923" s="1">
        <v>638</v>
      </c>
      <c r="B923" s="1" t="s">
        <v>103</v>
      </c>
      <c r="C923" s="1">
        <v>50</v>
      </c>
      <c r="D923" s="1" t="s">
        <v>89</v>
      </c>
      <c r="E923" s="1" t="s">
        <v>90</v>
      </c>
      <c r="F923" s="1"/>
      <c r="G923" s="1"/>
      <c r="H923" s="1" t="s">
        <v>91</v>
      </c>
      <c r="I923" s="1" t="s">
        <v>92</v>
      </c>
      <c r="J923" s="1" t="s">
        <v>109</v>
      </c>
      <c r="K923" s="1">
        <v>1</v>
      </c>
      <c r="L923" s="1">
        <v>120</v>
      </c>
      <c r="M923" s="1" t="s">
        <v>14</v>
      </c>
      <c r="N923" s="1" t="s">
        <v>95</v>
      </c>
      <c r="O923" s="1" t="s">
        <v>96</v>
      </c>
      <c r="P923" s="1"/>
      <c r="Q923" s="1" t="s">
        <v>9</v>
      </c>
      <c r="R923" s="1">
        <v>0</v>
      </c>
      <c r="S923" s="1" t="s">
        <v>97</v>
      </c>
      <c r="T923" s="1" t="s">
        <v>97</v>
      </c>
      <c r="U923" s="1" t="b">
        <v>1</v>
      </c>
      <c r="V923" s="1" t="b">
        <v>0</v>
      </c>
      <c r="W923" s="1" t="b">
        <v>0</v>
      </c>
      <c r="X923" s="1">
        <v>5</v>
      </c>
      <c r="Y923" s="1" t="b">
        <v>1</v>
      </c>
      <c r="Z923" s="1" t="b">
        <v>1</v>
      </c>
      <c r="AA923" s="1"/>
      <c r="AB923" s="1" t="b">
        <v>1</v>
      </c>
      <c r="AC923" s="1">
        <v>139351463</v>
      </c>
      <c r="AD923" s="1">
        <v>633433</v>
      </c>
      <c r="AE923" s="1">
        <v>0</v>
      </c>
      <c r="AF923" s="1" t="s">
        <v>3741</v>
      </c>
      <c r="AG923" s="1" t="s">
        <v>3742</v>
      </c>
      <c r="AH923" s="1">
        <v>57.9</v>
      </c>
      <c r="AI923" s="1">
        <v>55.2</v>
      </c>
      <c r="AJ923" s="1" t="s">
        <v>3813</v>
      </c>
      <c r="AK923" s="1" t="s">
        <v>3814</v>
      </c>
      <c r="AL923" s="1" t="s">
        <v>3815</v>
      </c>
    </row>
    <row r="924" spans="1:38" x14ac:dyDescent="0.6">
      <c r="A924" s="1">
        <v>650</v>
      </c>
      <c r="B924" s="1" t="s">
        <v>103</v>
      </c>
      <c r="C924" s="1">
        <v>70</v>
      </c>
      <c r="D924" s="1" t="s">
        <v>119</v>
      </c>
      <c r="E924" s="1" t="s">
        <v>90</v>
      </c>
      <c r="F924" s="1"/>
      <c r="G924" s="1"/>
      <c r="H924" s="1" t="s">
        <v>91</v>
      </c>
      <c r="I924" s="1" t="s">
        <v>92</v>
      </c>
      <c r="J924" s="1" t="s">
        <v>93</v>
      </c>
      <c r="K924" s="1">
        <v>1</v>
      </c>
      <c r="L924" s="1">
        <v>120</v>
      </c>
      <c r="M924" s="1" t="s">
        <v>7</v>
      </c>
      <c r="N924" s="1" t="s">
        <v>7</v>
      </c>
      <c r="O924" s="1" t="s">
        <v>96</v>
      </c>
      <c r="P924" s="1" t="s">
        <v>96</v>
      </c>
      <c r="Q924" s="1" t="s">
        <v>9</v>
      </c>
      <c r="R924" s="1">
        <v>0</v>
      </c>
      <c r="S924" s="1" t="s">
        <v>97</v>
      </c>
      <c r="T924" s="1" t="s">
        <v>97</v>
      </c>
      <c r="U924" s="1" t="b">
        <v>1</v>
      </c>
      <c r="V924" s="1" t="b">
        <v>0</v>
      </c>
      <c r="W924" s="1" t="b">
        <v>0</v>
      </c>
      <c r="X924" s="1">
        <v>5</v>
      </c>
      <c r="Y924" s="1" t="b">
        <v>1</v>
      </c>
      <c r="Z924" s="1" t="b">
        <v>1</v>
      </c>
      <c r="AA924" s="1">
        <v>53.7</v>
      </c>
      <c r="AB924" s="1" t="b">
        <v>0</v>
      </c>
      <c r="AC924" s="1">
        <v>0</v>
      </c>
      <c r="AD924" s="1">
        <v>2363002</v>
      </c>
      <c r="AE924" s="1">
        <v>154136966</v>
      </c>
      <c r="AF924" s="1" t="s">
        <v>3816</v>
      </c>
      <c r="AG924" s="1" t="s">
        <v>3816</v>
      </c>
      <c r="AH924" s="1">
        <v>52.8</v>
      </c>
      <c r="AI924" s="1">
        <v>49.8</v>
      </c>
      <c r="AJ924" s="1" t="s">
        <v>3817</v>
      </c>
      <c r="AK924" s="1" t="s">
        <v>3818</v>
      </c>
      <c r="AL924" s="1" t="s">
        <v>3819</v>
      </c>
    </row>
    <row r="925" spans="1:38" x14ac:dyDescent="0.6">
      <c r="A925" s="1">
        <v>655</v>
      </c>
      <c r="B925" s="1" t="s">
        <v>88</v>
      </c>
      <c r="C925" s="1">
        <v>80</v>
      </c>
      <c r="D925" s="1" t="s">
        <v>153</v>
      </c>
      <c r="E925" s="1" t="s">
        <v>108</v>
      </c>
      <c r="F925" s="1"/>
      <c r="G925" s="1"/>
      <c r="H925" s="1" t="s">
        <v>91</v>
      </c>
      <c r="I925" s="1" t="s">
        <v>92</v>
      </c>
      <c r="J925" s="1" t="s">
        <v>93</v>
      </c>
      <c r="K925" s="1">
        <v>1</v>
      </c>
      <c r="L925" s="1">
        <v>120</v>
      </c>
      <c r="M925" s="1" t="s">
        <v>94</v>
      </c>
      <c r="N925" s="1" t="s">
        <v>95</v>
      </c>
      <c r="O925" s="1"/>
      <c r="P925" s="1" t="s">
        <v>96</v>
      </c>
      <c r="Q925" s="1" t="s">
        <v>9</v>
      </c>
      <c r="R925" s="1">
        <v>0</v>
      </c>
      <c r="S925" s="1" t="s">
        <v>97</v>
      </c>
      <c r="T925" s="1" t="s">
        <v>97</v>
      </c>
      <c r="U925" s="1" t="b">
        <v>1</v>
      </c>
      <c r="V925" s="1" t="b">
        <v>0</v>
      </c>
      <c r="W925" s="1" t="b">
        <v>0</v>
      </c>
      <c r="X925" s="1">
        <v>0</v>
      </c>
      <c r="Y925" s="1" t="b">
        <v>1</v>
      </c>
      <c r="Z925" s="1" t="b">
        <v>1</v>
      </c>
      <c r="AA925" s="1">
        <v>55.6</v>
      </c>
      <c r="AB925" s="1" t="b">
        <v>1</v>
      </c>
      <c r="AC925" s="1">
        <v>134866013</v>
      </c>
      <c r="AD925" s="1">
        <v>2497443</v>
      </c>
      <c r="AE925" s="1">
        <v>0</v>
      </c>
      <c r="AF925" s="1" t="s">
        <v>3820</v>
      </c>
      <c r="AG925" s="1" t="s">
        <v>3821</v>
      </c>
      <c r="AH925" s="1">
        <v>61.8</v>
      </c>
      <c r="AI925" s="1">
        <v>54.1</v>
      </c>
      <c r="AJ925" s="1" t="s">
        <v>3822</v>
      </c>
      <c r="AK925" s="1" t="s">
        <v>3823</v>
      </c>
      <c r="AL925" s="1" t="s">
        <v>3824</v>
      </c>
    </row>
    <row r="926" spans="1:38" x14ac:dyDescent="0.6">
      <c r="A926" s="1">
        <v>654</v>
      </c>
      <c r="B926" s="1" t="s">
        <v>103</v>
      </c>
      <c r="C926" s="1">
        <v>60</v>
      </c>
      <c r="D926" s="1" t="s">
        <v>127</v>
      </c>
      <c r="E926" s="1" t="s">
        <v>108</v>
      </c>
      <c r="F926" s="1"/>
      <c r="G926" s="1"/>
      <c r="H926" s="1" t="s">
        <v>91</v>
      </c>
      <c r="I926" s="1" t="s">
        <v>92</v>
      </c>
      <c r="J926" s="1" t="s">
        <v>93</v>
      </c>
      <c r="K926" s="1">
        <v>1</v>
      </c>
      <c r="L926" s="1">
        <v>120</v>
      </c>
      <c r="M926" s="1" t="s">
        <v>14</v>
      </c>
      <c r="N926" s="1" t="s">
        <v>14</v>
      </c>
      <c r="O926" s="1" t="s">
        <v>96</v>
      </c>
      <c r="P926" s="1"/>
      <c r="Q926" s="1" t="s">
        <v>9</v>
      </c>
      <c r="R926" s="1">
        <v>0</v>
      </c>
      <c r="S926" s="1"/>
      <c r="T926" s="1" t="s">
        <v>97</v>
      </c>
      <c r="U926" s="1"/>
      <c r="V926" s="1" t="b">
        <v>0</v>
      </c>
      <c r="W926" s="1" t="b">
        <v>0</v>
      </c>
      <c r="X926" s="1">
        <v>5</v>
      </c>
      <c r="Y926" s="1" t="b">
        <v>1</v>
      </c>
      <c r="Z926" s="1" t="b">
        <v>1</v>
      </c>
      <c r="AA926" s="1"/>
      <c r="AB926" s="1" t="b">
        <v>1</v>
      </c>
      <c r="AC926" s="1">
        <v>139241482</v>
      </c>
      <c r="AD926" s="1">
        <v>743414</v>
      </c>
      <c r="AE926" s="1">
        <v>0</v>
      </c>
      <c r="AF926" s="1" t="s">
        <v>3825</v>
      </c>
      <c r="AG926" s="1"/>
      <c r="AH926" s="1">
        <v>62.3</v>
      </c>
      <c r="AI926" s="1"/>
      <c r="AJ926" s="1" t="s">
        <v>3826</v>
      </c>
      <c r="AK926" s="1" t="s">
        <v>3827</v>
      </c>
      <c r="AL926" s="1" t="s">
        <v>3828</v>
      </c>
    </row>
    <row r="927" spans="1:38" x14ac:dyDescent="0.6">
      <c r="A927" s="1">
        <v>653</v>
      </c>
      <c r="B927" s="1" t="s">
        <v>103</v>
      </c>
      <c r="C927" s="1">
        <v>70</v>
      </c>
      <c r="D927" s="1" t="s">
        <v>119</v>
      </c>
      <c r="E927" s="1" t="s">
        <v>90</v>
      </c>
      <c r="F927" s="1"/>
      <c r="G927" s="1"/>
      <c r="H927" s="1" t="s">
        <v>91</v>
      </c>
      <c r="I927" s="1" t="s">
        <v>92</v>
      </c>
      <c r="J927" s="1" t="s">
        <v>93</v>
      </c>
      <c r="K927" s="1">
        <v>1</v>
      </c>
      <c r="L927" s="1">
        <v>120</v>
      </c>
      <c r="M927" s="1" t="s">
        <v>7</v>
      </c>
      <c r="N927" s="1" t="s">
        <v>7</v>
      </c>
      <c r="O927" s="1" t="s">
        <v>96</v>
      </c>
      <c r="P927" s="1" t="s">
        <v>96</v>
      </c>
      <c r="Q927" s="1" t="s">
        <v>9</v>
      </c>
      <c r="R927" s="1">
        <v>0</v>
      </c>
      <c r="S927" s="1" t="s">
        <v>97</v>
      </c>
      <c r="T927" s="1" t="s">
        <v>97</v>
      </c>
      <c r="U927" s="1" t="b">
        <v>1</v>
      </c>
      <c r="V927" s="1" t="b">
        <v>0</v>
      </c>
      <c r="W927" s="1" t="b">
        <v>0</v>
      </c>
      <c r="X927" s="1">
        <v>5</v>
      </c>
      <c r="Y927" s="1" t="b">
        <v>1</v>
      </c>
      <c r="Z927" s="1" t="b">
        <v>1</v>
      </c>
      <c r="AA927" s="1">
        <v>62.1</v>
      </c>
      <c r="AB927" s="1" t="b">
        <v>0</v>
      </c>
      <c r="AC927" s="1">
        <v>0</v>
      </c>
      <c r="AD927" s="1">
        <v>2702496</v>
      </c>
      <c r="AE927" s="1">
        <v>126272352</v>
      </c>
      <c r="AF927" s="1" t="s">
        <v>3829</v>
      </c>
      <c r="AG927" s="1" t="s">
        <v>3829</v>
      </c>
      <c r="AH927" s="1">
        <v>57.3</v>
      </c>
      <c r="AI927" s="1">
        <v>57</v>
      </c>
      <c r="AJ927" s="1" t="s">
        <v>3830</v>
      </c>
      <c r="AK927" s="1" t="s">
        <v>3831</v>
      </c>
      <c r="AL927" s="1" t="s">
        <v>3832</v>
      </c>
    </row>
    <row r="928" spans="1:38" x14ac:dyDescent="0.6">
      <c r="A928" s="1">
        <v>649</v>
      </c>
      <c r="B928" s="1" t="s">
        <v>88</v>
      </c>
      <c r="C928" s="1">
        <v>50</v>
      </c>
      <c r="D928" s="1" t="s">
        <v>89</v>
      </c>
      <c r="E928" s="1" t="s">
        <v>90</v>
      </c>
      <c r="F928" s="1"/>
      <c r="G928" s="1"/>
      <c r="H928" s="1" t="s">
        <v>91</v>
      </c>
      <c r="I928" s="1" t="s">
        <v>92</v>
      </c>
      <c r="J928" s="1" t="s">
        <v>93</v>
      </c>
      <c r="K928" s="1">
        <v>1</v>
      </c>
      <c r="L928" s="1">
        <v>120</v>
      </c>
      <c r="M928" s="1" t="s">
        <v>94</v>
      </c>
      <c r="N928" s="1" t="s">
        <v>95</v>
      </c>
      <c r="O928" s="1"/>
      <c r="P928" s="1" t="s">
        <v>96</v>
      </c>
      <c r="Q928" s="1" t="s">
        <v>9</v>
      </c>
      <c r="R928" s="1">
        <v>0</v>
      </c>
      <c r="S928" s="1" t="s">
        <v>97</v>
      </c>
      <c r="T928" s="1" t="s">
        <v>97</v>
      </c>
      <c r="U928" s="1" t="b">
        <v>1</v>
      </c>
      <c r="V928" s="1" t="b">
        <v>0</v>
      </c>
      <c r="W928" s="1" t="b">
        <v>0</v>
      </c>
      <c r="X928" s="1">
        <v>0</v>
      </c>
      <c r="Y928" s="1" t="b">
        <v>1</v>
      </c>
      <c r="Z928" s="1" t="b">
        <v>1</v>
      </c>
      <c r="AA928" s="1">
        <v>71</v>
      </c>
      <c r="AB928" s="1" t="b">
        <v>1</v>
      </c>
      <c r="AC928" s="1">
        <v>115889228</v>
      </c>
      <c r="AD928" s="1">
        <v>1813428</v>
      </c>
      <c r="AE928" s="1">
        <v>0</v>
      </c>
      <c r="AF928" s="1" t="s">
        <v>3833</v>
      </c>
      <c r="AG928" s="1" t="s">
        <v>3834</v>
      </c>
      <c r="AH928" s="1">
        <v>67.8</v>
      </c>
      <c r="AI928" s="1">
        <v>66.900000000000006</v>
      </c>
      <c r="AJ928" s="1" t="s">
        <v>3835</v>
      </c>
      <c r="AK928" s="1" t="s">
        <v>3836</v>
      </c>
      <c r="AL928" s="1" t="s">
        <v>3837</v>
      </c>
    </row>
    <row r="929" spans="1:38" x14ac:dyDescent="0.6">
      <c r="A929" s="1">
        <v>643</v>
      </c>
      <c r="B929" s="1" t="s">
        <v>103</v>
      </c>
      <c r="C929" s="1">
        <v>50</v>
      </c>
      <c r="D929" s="1" t="s">
        <v>89</v>
      </c>
      <c r="E929" s="1" t="s">
        <v>90</v>
      </c>
      <c r="F929" s="1"/>
      <c r="G929" s="1"/>
      <c r="H929" s="1" t="s">
        <v>91</v>
      </c>
      <c r="I929" s="1" t="s">
        <v>92</v>
      </c>
      <c r="J929" s="1" t="s">
        <v>109</v>
      </c>
      <c r="K929" s="1">
        <v>1</v>
      </c>
      <c r="L929" s="1">
        <v>120</v>
      </c>
      <c r="M929" s="1" t="s">
        <v>7</v>
      </c>
      <c r="N929" s="1" t="s">
        <v>7</v>
      </c>
      <c r="O929" s="1" t="s">
        <v>96</v>
      </c>
      <c r="P929" s="1" t="s">
        <v>96</v>
      </c>
      <c r="Q929" s="1" t="s">
        <v>9</v>
      </c>
      <c r="R929" s="1">
        <v>0</v>
      </c>
      <c r="S929" s="1" t="s">
        <v>97</v>
      </c>
      <c r="T929" s="1" t="s">
        <v>97</v>
      </c>
      <c r="U929" s="1" t="b">
        <v>1</v>
      </c>
      <c r="V929" s="1" t="b">
        <v>0</v>
      </c>
      <c r="W929" s="1" t="b">
        <v>0</v>
      </c>
      <c r="X929" s="1">
        <v>5</v>
      </c>
      <c r="Y929" s="1" t="b">
        <v>1</v>
      </c>
      <c r="Z929" s="1" t="b">
        <v>1</v>
      </c>
      <c r="AA929" s="1">
        <v>69.2</v>
      </c>
      <c r="AB929" s="1" t="b">
        <v>0</v>
      </c>
      <c r="AC929" s="1">
        <v>0</v>
      </c>
      <c r="AD929" s="1">
        <v>2383172</v>
      </c>
      <c r="AE929" s="1">
        <v>131834556</v>
      </c>
      <c r="AF929" s="1" t="s">
        <v>3838</v>
      </c>
      <c r="AG929" s="1" t="s">
        <v>3838</v>
      </c>
      <c r="AH929" s="1">
        <v>62.6</v>
      </c>
      <c r="AI929" s="1">
        <v>63.3</v>
      </c>
      <c r="AJ929" s="1" t="s">
        <v>3839</v>
      </c>
      <c r="AK929" s="1" t="s">
        <v>3840</v>
      </c>
      <c r="AL929" s="1" t="s">
        <v>3841</v>
      </c>
    </row>
    <row r="930" spans="1:38" x14ac:dyDescent="0.6">
      <c r="A930" s="1">
        <v>656</v>
      </c>
      <c r="B930" s="1" t="s">
        <v>103</v>
      </c>
      <c r="C930" s="1">
        <v>50</v>
      </c>
      <c r="D930" s="1" t="s">
        <v>89</v>
      </c>
      <c r="E930" s="1" t="s">
        <v>90</v>
      </c>
      <c r="F930" s="1"/>
      <c r="G930" s="1"/>
      <c r="H930" s="1" t="s">
        <v>91</v>
      </c>
      <c r="I930" s="1" t="s">
        <v>92</v>
      </c>
      <c r="J930" s="1" t="s">
        <v>93</v>
      </c>
      <c r="K930" s="1">
        <v>1</v>
      </c>
      <c r="L930" s="1">
        <v>120</v>
      </c>
      <c r="M930" s="1" t="s">
        <v>14</v>
      </c>
      <c r="N930" s="1" t="s">
        <v>95</v>
      </c>
      <c r="O930" s="1" t="s">
        <v>96</v>
      </c>
      <c r="P930" s="1"/>
      <c r="Q930" s="1" t="s">
        <v>9</v>
      </c>
      <c r="R930" s="1">
        <v>0</v>
      </c>
      <c r="S930" s="1" t="s">
        <v>97</v>
      </c>
      <c r="T930" s="1" t="s">
        <v>97</v>
      </c>
      <c r="U930" s="1" t="b">
        <v>1</v>
      </c>
      <c r="V930" s="1" t="b">
        <v>0</v>
      </c>
      <c r="W930" s="1" t="b">
        <v>0</v>
      </c>
      <c r="X930" s="1">
        <v>5</v>
      </c>
      <c r="Y930" s="1" t="b">
        <v>1</v>
      </c>
      <c r="Z930" s="1" t="b">
        <v>1</v>
      </c>
      <c r="AA930" s="1"/>
      <c r="AB930" s="1" t="b">
        <v>1</v>
      </c>
      <c r="AC930" s="1">
        <v>144226617</v>
      </c>
      <c r="AD930" s="1">
        <v>476871</v>
      </c>
      <c r="AE930" s="1">
        <v>0</v>
      </c>
      <c r="AF930" s="1" t="s">
        <v>3842</v>
      </c>
      <c r="AG930" s="1" t="s">
        <v>3843</v>
      </c>
      <c r="AH930" s="1">
        <v>85.6</v>
      </c>
      <c r="AI930" s="1">
        <v>78.099999999999994</v>
      </c>
      <c r="AJ930" s="1" t="s">
        <v>3844</v>
      </c>
      <c r="AK930" s="1" t="s">
        <v>3845</v>
      </c>
      <c r="AL930" s="1" t="s">
        <v>3846</v>
      </c>
    </row>
    <row r="931" spans="1:38" x14ac:dyDescent="0.6">
      <c r="A931" s="1">
        <v>656</v>
      </c>
      <c r="B931" s="1" t="s">
        <v>103</v>
      </c>
      <c r="C931" s="1">
        <v>50</v>
      </c>
      <c r="D931" s="1" t="s">
        <v>89</v>
      </c>
      <c r="E931" s="1" t="s">
        <v>90</v>
      </c>
      <c r="F931" s="1"/>
      <c r="G931" s="1"/>
      <c r="H931" s="1" t="s">
        <v>91</v>
      </c>
      <c r="I931" s="1" t="s">
        <v>92</v>
      </c>
      <c r="J931" s="1" t="s">
        <v>93</v>
      </c>
      <c r="K931" s="1">
        <v>1</v>
      </c>
      <c r="L931" s="1">
        <v>120</v>
      </c>
      <c r="M931" s="1" t="s">
        <v>94</v>
      </c>
      <c r="N931" s="1" t="s">
        <v>95</v>
      </c>
      <c r="O931" s="1"/>
      <c r="P931" s="1" t="s">
        <v>96</v>
      </c>
      <c r="Q931" s="1" t="s">
        <v>9</v>
      </c>
      <c r="R931" s="1">
        <v>0</v>
      </c>
      <c r="S931" s="1" t="s">
        <v>97</v>
      </c>
      <c r="T931" s="1" t="s">
        <v>97</v>
      </c>
      <c r="U931" s="1" t="b">
        <v>1</v>
      </c>
      <c r="V931" s="1" t="b">
        <v>0</v>
      </c>
      <c r="W931" s="1" t="b">
        <v>0</v>
      </c>
      <c r="X931" s="1">
        <v>0</v>
      </c>
      <c r="Y931" s="1" t="b">
        <v>1</v>
      </c>
      <c r="Z931" s="1" t="b">
        <v>1</v>
      </c>
      <c r="AA931" s="1">
        <v>82.1</v>
      </c>
      <c r="AB931" s="1" t="b">
        <v>1</v>
      </c>
      <c r="AC931" s="1">
        <v>145978084</v>
      </c>
      <c r="AD931" s="1">
        <v>1346844</v>
      </c>
      <c r="AE931" s="1">
        <v>0</v>
      </c>
      <c r="AF931" s="1" t="s">
        <v>3842</v>
      </c>
      <c r="AG931" s="1" t="s">
        <v>3843</v>
      </c>
      <c r="AH931" s="1">
        <v>85.6</v>
      </c>
      <c r="AI931" s="1">
        <v>78.099999999999994</v>
      </c>
      <c r="AJ931" s="1" t="s">
        <v>3847</v>
      </c>
      <c r="AK931" s="1" t="s">
        <v>3848</v>
      </c>
      <c r="AL931" s="1" t="s">
        <v>3849</v>
      </c>
    </row>
    <row r="932" spans="1:38" x14ac:dyDescent="0.6">
      <c r="A932" s="1">
        <v>655</v>
      </c>
      <c r="B932" s="1" t="s">
        <v>88</v>
      </c>
      <c r="C932" s="1">
        <v>80</v>
      </c>
      <c r="D932" s="1" t="s">
        <v>153</v>
      </c>
      <c r="E932" s="1" t="s">
        <v>108</v>
      </c>
      <c r="F932" s="1"/>
      <c r="G932" s="1"/>
      <c r="H932" s="1" t="s">
        <v>91</v>
      </c>
      <c r="I932" s="1" t="s">
        <v>92</v>
      </c>
      <c r="J932" s="1" t="s">
        <v>93</v>
      </c>
      <c r="K932" s="1">
        <v>1</v>
      </c>
      <c r="L932" s="1">
        <v>120</v>
      </c>
      <c r="M932" s="1" t="s">
        <v>14</v>
      </c>
      <c r="N932" s="1" t="s">
        <v>95</v>
      </c>
      <c r="O932" s="1" t="s">
        <v>96</v>
      </c>
      <c r="P932" s="1"/>
      <c r="Q932" s="1" t="s">
        <v>9</v>
      </c>
      <c r="R932" s="1">
        <v>0</v>
      </c>
      <c r="S932" s="1" t="s">
        <v>97</v>
      </c>
      <c r="T932" s="1" t="s">
        <v>97</v>
      </c>
      <c r="U932" s="1" t="b">
        <v>1</v>
      </c>
      <c r="V932" s="1" t="b">
        <v>0</v>
      </c>
      <c r="W932" s="1" t="b">
        <v>0</v>
      </c>
      <c r="X932" s="1">
        <v>5</v>
      </c>
      <c r="Y932" s="1" t="b">
        <v>1</v>
      </c>
      <c r="Z932" s="1" t="b">
        <v>1</v>
      </c>
      <c r="AA932" s="1"/>
      <c r="AB932" s="1" t="b">
        <v>1</v>
      </c>
      <c r="AC932" s="1">
        <v>145917758</v>
      </c>
      <c r="AD932" s="1">
        <v>882882</v>
      </c>
      <c r="AE932" s="1">
        <v>0</v>
      </c>
      <c r="AF932" s="1" t="s">
        <v>3820</v>
      </c>
      <c r="AG932" s="1" t="s">
        <v>3821</v>
      </c>
      <c r="AH932" s="1">
        <v>61.8</v>
      </c>
      <c r="AI932" s="1">
        <v>54.1</v>
      </c>
      <c r="AJ932" s="1" t="s">
        <v>3850</v>
      </c>
      <c r="AK932" s="1" t="s">
        <v>3851</v>
      </c>
      <c r="AL932" s="1" t="s">
        <v>3852</v>
      </c>
    </row>
    <row r="933" spans="1:38" x14ac:dyDescent="0.6">
      <c r="A933" s="1">
        <v>658</v>
      </c>
      <c r="B933" s="1" t="s">
        <v>88</v>
      </c>
      <c r="C933" s="1">
        <v>50</v>
      </c>
      <c r="D933" s="1" t="s">
        <v>89</v>
      </c>
      <c r="E933" s="1" t="s">
        <v>90</v>
      </c>
      <c r="F933" s="1"/>
      <c r="G933" s="1"/>
      <c r="H933" s="1" t="s">
        <v>91</v>
      </c>
      <c r="I933" s="1" t="s">
        <v>92</v>
      </c>
      <c r="J933" s="1" t="s">
        <v>93</v>
      </c>
      <c r="K933" s="1">
        <v>1</v>
      </c>
      <c r="L933" s="1">
        <v>120</v>
      </c>
      <c r="M933" s="1" t="s">
        <v>94</v>
      </c>
      <c r="N933" s="1" t="s">
        <v>95</v>
      </c>
      <c r="O933" s="1"/>
      <c r="P933" s="1" t="s">
        <v>96</v>
      </c>
      <c r="Q933" s="1" t="s">
        <v>9</v>
      </c>
      <c r="R933" s="1">
        <v>0</v>
      </c>
      <c r="S933" s="1" t="s">
        <v>97</v>
      </c>
      <c r="T933" s="1" t="s">
        <v>97</v>
      </c>
      <c r="U933" s="1" t="b">
        <v>1</v>
      </c>
      <c r="V933" s="1" t="b">
        <v>0</v>
      </c>
      <c r="W933" s="1" t="b">
        <v>0</v>
      </c>
      <c r="X933" s="1">
        <v>0</v>
      </c>
      <c r="Y933" s="1" t="b">
        <v>1</v>
      </c>
      <c r="Z933" s="1" t="b">
        <v>1</v>
      </c>
      <c r="AA933" s="1">
        <v>82.9</v>
      </c>
      <c r="AB933" s="1" t="b">
        <v>1</v>
      </c>
      <c r="AC933" s="1">
        <v>141135596</v>
      </c>
      <c r="AD933" s="1">
        <v>1470740</v>
      </c>
      <c r="AE933" s="1">
        <v>0</v>
      </c>
      <c r="AF933" s="1" t="s">
        <v>3853</v>
      </c>
      <c r="AG933" s="1" t="s">
        <v>3854</v>
      </c>
      <c r="AH933" s="1">
        <v>84.9</v>
      </c>
      <c r="AI933" s="1">
        <v>78.3</v>
      </c>
      <c r="AJ933" s="1" t="s">
        <v>3855</v>
      </c>
      <c r="AK933" s="1" t="s">
        <v>3856</v>
      </c>
      <c r="AL933" s="1" t="s">
        <v>3857</v>
      </c>
    </row>
    <row r="934" spans="1:38" x14ac:dyDescent="0.6">
      <c r="A934" s="1">
        <v>657</v>
      </c>
      <c r="B934" s="1" t="s">
        <v>103</v>
      </c>
      <c r="C934" s="1">
        <v>60</v>
      </c>
      <c r="D934" s="1" t="s">
        <v>127</v>
      </c>
      <c r="E934" s="1" t="s">
        <v>90</v>
      </c>
      <c r="F934" s="1"/>
      <c r="G934" s="1"/>
      <c r="H934" s="1" t="s">
        <v>91</v>
      </c>
      <c r="I934" s="1" t="s">
        <v>92</v>
      </c>
      <c r="J934" s="1" t="s">
        <v>93</v>
      </c>
      <c r="K934" s="1">
        <v>1</v>
      </c>
      <c r="L934" s="1">
        <v>120</v>
      </c>
      <c r="M934" s="1" t="s">
        <v>7</v>
      </c>
      <c r="N934" s="1" t="s">
        <v>7</v>
      </c>
      <c r="O934" s="1" t="s">
        <v>96</v>
      </c>
      <c r="P934" s="1" t="s">
        <v>96</v>
      </c>
      <c r="Q934" s="1" t="s">
        <v>9</v>
      </c>
      <c r="R934" s="1">
        <v>0</v>
      </c>
      <c r="S934" s="1" t="s">
        <v>97</v>
      </c>
      <c r="T934" s="1" t="s">
        <v>97</v>
      </c>
      <c r="U934" s="1" t="b">
        <v>1</v>
      </c>
      <c r="V934" s="1" t="b">
        <v>0</v>
      </c>
      <c r="W934" s="1" t="b">
        <v>0</v>
      </c>
      <c r="X934" s="1">
        <v>5</v>
      </c>
      <c r="Y934" s="1" t="b">
        <v>1</v>
      </c>
      <c r="Z934" s="1" t="b">
        <v>1</v>
      </c>
      <c r="AA934" s="1">
        <v>74.5</v>
      </c>
      <c r="AB934" s="1" t="b">
        <v>0</v>
      </c>
      <c r="AC934" s="1">
        <v>0</v>
      </c>
      <c r="AD934" s="1">
        <v>2482360</v>
      </c>
      <c r="AE934" s="1">
        <v>134356808</v>
      </c>
      <c r="AF934" s="1" t="s">
        <v>3858</v>
      </c>
      <c r="AG934" s="1" t="s">
        <v>3858</v>
      </c>
      <c r="AH934" s="1">
        <v>70.400000000000006</v>
      </c>
      <c r="AI934" s="1">
        <v>69.099999999999994</v>
      </c>
      <c r="AJ934" s="1" t="s">
        <v>3859</v>
      </c>
      <c r="AK934" s="1" t="s">
        <v>3860</v>
      </c>
      <c r="AL934" s="1" t="s">
        <v>3861</v>
      </c>
    </row>
    <row r="935" spans="1:38" x14ac:dyDescent="0.6">
      <c r="A935" s="1">
        <v>648</v>
      </c>
      <c r="B935" s="1" t="s">
        <v>103</v>
      </c>
      <c r="C935" s="1">
        <v>70</v>
      </c>
      <c r="D935" s="1" t="s">
        <v>119</v>
      </c>
      <c r="E935" s="1" t="s">
        <v>90</v>
      </c>
      <c r="F935" s="1"/>
      <c r="G935" s="1"/>
      <c r="H935" s="1" t="s">
        <v>91</v>
      </c>
      <c r="I935" s="1" t="s">
        <v>92</v>
      </c>
      <c r="J935" s="1" t="s">
        <v>93</v>
      </c>
      <c r="K935" s="1">
        <v>1</v>
      </c>
      <c r="L935" s="1">
        <v>120</v>
      </c>
      <c r="M935" s="1" t="s">
        <v>94</v>
      </c>
      <c r="N935" s="1" t="s">
        <v>95</v>
      </c>
      <c r="O935" s="1"/>
      <c r="P935" s="1" t="s">
        <v>96</v>
      </c>
      <c r="Q935" s="1" t="s">
        <v>9</v>
      </c>
      <c r="R935" s="1">
        <v>0</v>
      </c>
      <c r="S935" s="1" t="s">
        <v>97</v>
      </c>
      <c r="T935" s="1" t="s">
        <v>97</v>
      </c>
      <c r="U935" s="1" t="b">
        <v>1</v>
      </c>
      <c r="V935" s="1" t="b">
        <v>0</v>
      </c>
      <c r="W935" s="1" t="b">
        <v>0</v>
      </c>
      <c r="X935" s="1">
        <v>0</v>
      </c>
      <c r="Y935" s="1" t="b">
        <v>1</v>
      </c>
      <c r="Z935" s="1" t="b">
        <v>1</v>
      </c>
      <c r="AA935" s="1">
        <v>60.6</v>
      </c>
      <c r="AB935" s="1" t="b">
        <v>1</v>
      </c>
      <c r="AC935" s="1">
        <v>135744433</v>
      </c>
      <c r="AD935" s="1">
        <v>1619023</v>
      </c>
      <c r="AE935" s="1">
        <v>0</v>
      </c>
      <c r="AF935" s="1" t="s">
        <v>3780</v>
      </c>
      <c r="AG935" s="1" t="s">
        <v>3781</v>
      </c>
      <c r="AH935" s="1">
        <v>55.2</v>
      </c>
      <c r="AI935" s="1">
        <v>55.9</v>
      </c>
      <c r="AJ935" s="1" t="s">
        <v>3862</v>
      </c>
      <c r="AK935" s="1" t="s">
        <v>3863</v>
      </c>
      <c r="AL935" s="1" t="s">
        <v>3864</v>
      </c>
    </row>
    <row r="936" spans="1:38" x14ac:dyDescent="0.6">
      <c r="A936" s="1">
        <v>649</v>
      </c>
      <c r="B936" s="1" t="s">
        <v>88</v>
      </c>
      <c r="C936" s="1">
        <v>50</v>
      </c>
      <c r="D936" s="1" t="s">
        <v>89</v>
      </c>
      <c r="E936" s="1" t="s">
        <v>90</v>
      </c>
      <c r="F936" s="1"/>
      <c r="G936" s="1"/>
      <c r="H936" s="1" t="s">
        <v>91</v>
      </c>
      <c r="I936" s="1" t="s">
        <v>92</v>
      </c>
      <c r="J936" s="1" t="s">
        <v>93</v>
      </c>
      <c r="K936" s="1">
        <v>1</v>
      </c>
      <c r="L936" s="1">
        <v>120</v>
      </c>
      <c r="M936" s="1" t="s">
        <v>14</v>
      </c>
      <c r="N936" s="1" t="s">
        <v>95</v>
      </c>
      <c r="O936" s="1" t="s">
        <v>96</v>
      </c>
      <c r="P936" s="1"/>
      <c r="Q936" s="1" t="s">
        <v>9</v>
      </c>
      <c r="R936" s="1">
        <v>0</v>
      </c>
      <c r="S936" s="1" t="s">
        <v>97</v>
      </c>
      <c r="T936" s="1" t="s">
        <v>97</v>
      </c>
      <c r="U936" s="1" t="b">
        <v>1</v>
      </c>
      <c r="V936" s="1" t="b">
        <v>0</v>
      </c>
      <c r="W936" s="1" t="b">
        <v>0</v>
      </c>
      <c r="X936" s="1">
        <v>5</v>
      </c>
      <c r="Y936" s="1" t="b">
        <v>1</v>
      </c>
      <c r="Z936" s="1" t="b">
        <v>1</v>
      </c>
      <c r="AA936" s="1"/>
      <c r="AB936" s="1" t="b">
        <v>1</v>
      </c>
      <c r="AC936" s="1">
        <v>125694616</v>
      </c>
      <c r="AD936" s="1">
        <v>658792</v>
      </c>
      <c r="AE936" s="1">
        <v>0</v>
      </c>
      <c r="AF936" s="1" t="s">
        <v>3833</v>
      </c>
      <c r="AG936" s="1" t="s">
        <v>3834</v>
      </c>
      <c r="AH936" s="1">
        <v>67.8</v>
      </c>
      <c r="AI936" s="1">
        <v>66.900000000000006</v>
      </c>
      <c r="AJ936" s="1" t="s">
        <v>3865</v>
      </c>
      <c r="AK936" s="1" t="s">
        <v>3866</v>
      </c>
      <c r="AL936" s="1" t="s">
        <v>3867</v>
      </c>
    </row>
    <row r="937" spans="1:38" x14ac:dyDescent="0.6">
      <c r="A937" s="1">
        <v>660</v>
      </c>
      <c r="B937" s="1" t="s">
        <v>88</v>
      </c>
      <c r="C937" s="1">
        <v>60</v>
      </c>
      <c r="D937" s="1" t="s">
        <v>127</v>
      </c>
      <c r="E937" s="1" t="s">
        <v>90</v>
      </c>
      <c r="F937" s="1"/>
      <c r="G937" s="1"/>
      <c r="H937" s="1" t="s">
        <v>91</v>
      </c>
      <c r="I937" s="1" t="s">
        <v>92</v>
      </c>
      <c r="J937" s="1" t="s">
        <v>93</v>
      </c>
      <c r="K937" s="1">
        <v>1</v>
      </c>
      <c r="L937" s="1">
        <v>120</v>
      </c>
      <c r="M937" s="1" t="s">
        <v>14</v>
      </c>
      <c r="N937" s="1" t="s">
        <v>95</v>
      </c>
      <c r="O937" s="1" t="s">
        <v>96</v>
      </c>
      <c r="P937" s="1"/>
      <c r="Q937" s="1" t="s">
        <v>9</v>
      </c>
      <c r="R937" s="1">
        <v>0</v>
      </c>
      <c r="S937" s="1" t="s">
        <v>97</v>
      </c>
      <c r="T937" s="1" t="s">
        <v>97</v>
      </c>
      <c r="U937" s="1" t="b">
        <v>1</v>
      </c>
      <c r="V937" s="1" t="b">
        <v>0</v>
      </c>
      <c r="W937" s="1" t="b">
        <v>0</v>
      </c>
      <c r="X937" s="1">
        <v>5</v>
      </c>
      <c r="Y937" s="1" t="b">
        <v>1</v>
      </c>
      <c r="Z937" s="1" t="b">
        <v>1</v>
      </c>
      <c r="AA937" s="1"/>
      <c r="AB937" s="1" t="b">
        <v>1</v>
      </c>
      <c r="AC937" s="1">
        <v>125336084</v>
      </c>
      <c r="AD937" s="1">
        <v>493036</v>
      </c>
      <c r="AE937" s="1">
        <v>0</v>
      </c>
      <c r="AF937" s="1" t="s">
        <v>3868</v>
      </c>
      <c r="AG937" s="1" t="s">
        <v>3869</v>
      </c>
      <c r="AH937" s="1">
        <v>80.2</v>
      </c>
      <c r="AI937" s="1">
        <v>76.900000000000006</v>
      </c>
      <c r="AJ937" s="1" t="s">
        <v>3870</v>
      </c>
      <c r="AK937" s="1" t="s">
        <v>3871</v>
      </c>
      <c r="AL937" s="1" t="s">
        <v>3872</v>
      </c>
    </row>
    <row r="938" spans="1:38" x14ac:dyDescent="0.6">
      <c r="A938" s="1">
        <v>660</v>
      </c>
      <c r="B938" s="1" t="s">
        <v>88</v>
      </c>
      <c r="C938" s="1">
        <v>60</v>
      </c>
      <c r="D938" s="1" t="s">
        <v>127</v>
      </c>
      <c r="E938" s="1" t="s">
        <v>90</v>
      </c>
      <c r="F938" s="1"/>
      <c r="G938" s="1"/>
      <c r="H938" s="1" t="s">
        <v>91</v>
      </c>
      <c r="I938" s="1" t="s">
        <v>92</v>
      </c>
      <c r="J938" s="1" t="s">
        <v>93</v>
      </c>
      <c r="K938" s="1">
        <v>1</v>
      </c>
      <c r="L938" s="1">
        <v>120</v>
      </c>
      <c r="M938" s="1" t="s">
        <v>94</v>
      </c>
      <c r="N938" s="1" t="s">
        <v>95</v>
      </c>
      <c r="O938" s="1"/>
      <c r="P938" s="1" t="s">
        <v>96</v>
      </c>
      <c r="Q938" s="1" t="s">
        <v>9</v>
      </c>
      <c r="R938" s="1">
        <v>0</v>
      </c>
      <c r="S938" s="1" t="s">
        <v>97</v>
      </c>
      <c r="T938" s="1" t="s">
        <v>97</v>
      </c>
      <c r="U938" s="1" t="b">
        <v>1</v>
      </c>
      <c r="V938" s="1" t="b">
        <v>0</v>
      </c>
      <c r="W938" s="1" t="b">
        <v>0</v>
      </c>
      <c r="X938" s="1">
        <v>0</v>
      </c>
      <c r="Y938" s="1" t="b">
        <v>1</v>
      </c>
      <c r="Z938" s="1" t="b">
        <v>1</v>
      </c>
      <c r="AA938" s="1">
        <v>80.7</v>
      </c>
      <c r="AB938" s="1" t="b">
        <v>1</v>
      </c>
      <c r="AC938" s="1">
        <v>129824350</v>
      </c>
      <c r="AD938" s="1">
        <v>1509794</v>
      </c>
      <c r="AE938" s="1">
        <v>0</v>
      </c>
      <c r="AF938" s="1" t="s">
        <v>3868</v>
      </c>
      <c r="AG938" s="1" t="s">
        <v>3869</v>
      </c>
      <c r="AH938" s="1">
        <v>80.2</v>
      </c>
      <c r="AI938" s="1">
        <v>76.900000000000006</v>
      </c>
      <c r="AJ938" s="1" t="s">
        <v>3873</v>
      </c>
      <c r="AK938" s="1" t="s">
        <v>3874</v>
      </c>
      <c r="AL938" s="1" t="s">
        <v>3875</v>
      </c>
    </row>
    <row r="939" spans="1:38" x14ac:dyDescent="0.6">
      <c r="A939" s="1">
        <v>652</v>
      </c>
      <c r="B939" s="1" t="s">
        <v>88</v>
      </c>
      <c r="C939" s="1">
        <v>50</v>
      </c>
      <c r="D939" s="1" t="s">
        <v>89</v>
      </c>
      <c r="E939" s="1" t="s">
        <v>90</v>
      </c>
      <c r="F939" s="1"/>
      <c r="G939" s="1"/>
      <c r="H939" s="1" t="s">
        <v>91</v>
      </c>
      <c r="I939" s="1" t="s">
        <v>92</v>
      </c>
      <c r="J939" s="1" t="s">
        <v>93</v>
      </c>
      <c r="K939" s="1">
        <v>1</v>
      </c>
      <c r="L939" s="1">
        <v>120</v>
      </c>
      <c r="M939" s="1" t="s">
        <v>94</v>
      </c>
      <c r="N939" s="1" t="s">
        <v>95</v>
      </c>
      <c r="O939" s="1"/>
      <c r="P939" s="1" t="s">
        <v>96</v>
      </c>
      <c r="Q939" s="1" t="s">
        <v>9</v>
      </c>
      <c r="R939" s="1">
        <v>0</v>
      </c>
      <c r="S939" s="1" t="s">
        <v>97</v>
      </c>
      <c r="T939" s="1" t="s">
        <v>97</v>
      </c>
      <c r="U939" s="1" t="b">
        <v>1</v>
      </c>
      <c r="V939" s="1" t="b">
        <v>0</v>
      </c>
      <c r="W939" s="1" t="b">
        <v>0</v>
      </c>
      <c r="X939" s="1">
        <v>0</v>
      </c>
      <c r="Y939" s="1" t="b">
        <v>1</v>
      </c>
      <c r="Z939" s="1" t="b">
        <v>1</v>
      </c>
      <c r="AA939" s="1">
        <v>71.900000000000006</v>
      </c>
      <c r="AB939" s="1" t="b">
        <v>1</v>
      </c>
      <c r="AC939" s="1">
        <v>129074331</v>
      </c>
      <c r="AD939" s="1">
        <v>2259813</v>
      </c>
      <c r="AE939" s="1">
        <v>0</v>
      </c>
      <c r="AF939" s="1" t="s">
        <v>3805</v>
      </c>
      <c r="AG939" s="1" t="s">
        <v>3806</v>
      </c>
      <c r="AH939" s="1">
        <v>72.8</v>
      </c>
      <c r="AI939" s="1">
        <v>67.8</v>
      </c>
      <c r="AJ939" s="1" t="s">
        <v>3876</v>
      </c>
      <c r="AK939" s="1" t="s">
        <v>3877</v>
      </c>
      <c r="AL939" s="1" t="s">
        <v>3878</v>
      </c>
    </row>
    <row r="940" spans="1:38" x14ac:dyDescent="0.6">
      <c r="A940" s="1">
        <v>665</v>
      </c>
      <c r="B940" s="1" t="s">
        <v>103</v>
      </c>
      <c r="C940" s="1">
        <v>60</v>
      </c>
      <c r="D940" s="1" t="s">
        <v>127</v>
      </c>
      <c r="E940" s="1" t="s">
        <v>108</v>
      </c>
      <c r="F940" s="1"/>
      <c r="G940" s="1"/>
      <c r="H940" s="1" t="s">
        <v>220</v>
      </c>
      <c r="I940" s="1" t="s">
        <v>221</v>
      </c>
      <c r="J940" s="1" t="s">
        <v>222</v>
      </c>
      <c r="K940" s="1">
        <v>1.25</v>
      </c>
      <c r="L940" s="1">
        <v>120</v>
      </c>
      <c r="M940" s="1" t="s">
        <v>14</v>
      </c>
      <c r="N940" s="1" t="s">
        <v>95</v>
      </c>
      <c r="O940" s="1" t="s">
        <v>96</v>
      </c>
      <c r="P940" s="1"/>
      <c r="Q940" s="1" t="s">
        <v>9</v>
      </c>
      <c r="R940" s="1">
        <v>0</v>
      </c>
      <c r="S940" s="1" t="s">
        <v>97</v>
      </c>
      <c r="T940" s="1" t="s">
        <v>97</v>
      </c>
      <c r="U940" s="1" t="b">
        <v>1</v>
      </c>
      <c r="V940" s="1" t="b">
        <v>0</v>
      </c>
      <c r="W940" s="1" t="b">
        <v>0</v>
      </c>
      <c r="X940" s="1">
        <v>5</v>
      </c>
      <c r="Y940" s="1" t="b">
        <v>1</v>
      </c>
      <c r="Z940" s="1" t="b">
        <v>1</v>
      </c>
      <c r="AA940" s="1"/>
      <c r="AB940" s="1" t="b">
        <v>1</v>
      </c>
      <c r="AC940" s="1">
        <v>135102529</v>
      </c>
      <c r="AD940" s="1">
        <v>688063</v>
      </c>
      <c r="AE940" s="1">
        <v>0</v>
      </c>
      <c r="AF940" s="1" t="s">
        <v>3879</v>
      </c>
      <c r="AG940" s="1" t="s">
        <v>3880</v>
      </c>
      <c r="AH940" s="1">
        <v>65.3</v>
      </c>
      <c r="AI940" s="1">
        <v>63.7</v>
      </c>
      <c r="AJ940" s="1" t="s">
        <v>3881</v>
      </c>
      <c r="AK940" s="1" t="s">
        <v>3882</v>
      </c>
      <c r="AL940" s="1" t="s">
        <v>3883</v>
      </c>
    </row>
    <row r="941" spans="1:38" x14ac:dyDescent="0.6">
      <c r="A941" s="1">
        <v>661</v>
      </c>
      <c r="B941" s="1" t="s">
        <v>103</v>
      </c>
      <c r="C941" s="1">
        <v>70</v>
      </c>
      <c r="D941" s="1" t="s">
        <v>119</v>
      </c>
      <c r="E941" s="1" t="s">
        <v>90</v>
      </c>
      <c r="F941" s="1"/>
      <c r="G941" s="1"/>
      <c r="H941" s="1" t="s">
        <v>91</v>
      </c>
      <c r="I941" s="1" t="s">
        <v>92</v>
      </c>
      <c r="J941" s="1" t="s">
        <v>93</v>
      </c>
      <c r="K941" s="1">
        <v>1</v>
      </c>
      <c r="L941" s="1">
        <v>120</v>
      </c>
      <c r="M941" s="1" t="s">
        <v>14</v>
      </c>
      <c r="N941" s="1" t="s">
        <v>95</v>
      </c>
      <c r="O941" s="1" t="s">
        <v>96</v>
      </c>
      <c r="P941" s="1"/>
      <c r="Q941" s="1" t="s">
        <v>9</v>
      </c>
      <c r="R941" s="1">
        <v>0</v>
      </c>
      <c r="S941" s="1" t="s">
        <v>97</v>
      </c>
      <c r="T941" s="1" t="s">
        <v>97</v>
      </c>
      <c r="U941" s="1" t="b">
        <v>1</v>
      </c>
      <c r="V941" s="1" t="b">
        <v>0</v>
      </c>
      <c r="W941" s="1" t="b">
        <v>0</v>
      </c>
      <c r="X941" s="1">
        <v>5</v>
      </c>
      <c r="Y941" s="1" t="b">
        <v>1</v>
      </c>
      <c r="Z941" s="1" t="b">
        <v>1</v>
      </c>
      <c r="AA941" s="1"/>
      <c r="AB941" s="1" t="b">
        <v>1</v>
      </c>
      <c r="AC941" s="1">
        <v>135408163</v>
      </c>
      <c r="AD941" s="1">
        <v>644573</v>
      </c>
      <c r="AE941" s="1">
        <v>0</v>
      </c>
      <c r="AF941" s="1" t="s">
        <v>3884</v>
      </c>
      <c r="AG941" s="1" t="s">
        <v>3885</v>
      </c>
      <c r="AH941" s="1">
        <v>68.2</v>
      </c>
      <c r="AI941" s="1">
        <v>70.5</v>
      </c>
      <c r="AJ941" s="1" t="s">
        <v>3886</v>
      </c>
      <c r="AK941" s="1" t="s">
        <v>3887</v>
      </c>
      <c r="AL941" s="1" t="s">
        <v>3888</v>
      </c>
    </row>
    <row r="942" spans="1:38" x14ac:dyDescent="0.6">
      <c r="A942" s="1">
        <v>665</v>
      </c>
      <c r="B942" s="1" t="s">
        <v>103</v>
      </c>
      <c r="C942" s="1">
        <v>60</v>
      </c>
      <c r="D942" s="1" t="s">
        <v>127</v>
      </c>
      <c r="E942" s="1" t="s">
        <v>108</v>
      </c>
      <c r="F942" s="1"/>
      <c r="G942" s="1"/>
      <c r="H942" s="1" t="s">
        <v>220</v>
      </c>
      <c r="I942" s="1" t="s">
        <v>221</v>
      </c>
      <c r="J942" s="1" t="s">
        <v>222</v>
      </c>
      <c r="K942" s="1">
        <v>1.25</v>
      </c>
      <c r="L942" s="1">
        <v>120</v>
      </c>
      <c r="M942" s="1" t="s">
        <v>94</v>
      </c>
      <c r="N942" s="1" t="s">
        <v>95</v>
      </c>
      <c r="O942" s="1"/>
      <c r="P942" s="1" t="s">
        <v>96</v>
      </c>
      <c r="Q942" s="1" t="s">
        <v>9</v>
      </c>
      <c r="R942" s="1">
        <v>0</v>
      </c>
      <c r="S942" s="1" t="s">
        <v>97</v>
      </c>
      <c r="T942" s="1" t="s">
        <v>97</v>
      </c>
      <c r="U942" s="1" t="b">
        <v>1</v>
      </c>
      <c r="V942" s="1" t="b">
        <v>0</v>
      </c>
      <c r="W942" s="1" t="b">
        <v>0</v>
      </c>
      <c r="X942" s="1">
        <v>0</v>
      </c>
      <c r="Y942" s="1" t="b">
        <v>1</v>
      </c>
      <c r="Z942" s="1" t="b">
        <v>1</v>
      </c>
      <c r="AA942" s="1">
        <v>68.099999999999994</v>
      </c>
      <c r="AB942" s="1" t="b">
        <v>1</v>
      </c>
      <c r="AC942" s="1">
        <v>139243132</v>
      </c>
      <c r="AD942" s="1">
        <v>1790340</v>
      </c>
      <c r="AE942" s="1">
        <v>0</v>
      </c>
      <c r="AF942" s="1" t="s">
        <v>3879</v>
      </c>
      <c r="AG942" s="1" t="s">
        <v>3880</v>
      </c>
      <c r="AH942" s="1">
        <v>65.3</v>
      </c>
      <c r="AI942" s="1">
        <v>63.7</v>
      </c>
      <c r="AJ942" s="1" t="s">
        <v>3889</v>
      </c>
      <c r="AK942" s="1" t="s">
        <v>3890</v>
      </c>
      <c r="AL942" s="1" t="s">
        <v>3891</v>
      </c>
    </row>
    <row r="943" spans="1:38" x14ac:dyDescent="0.6">
      <c r="A943" s="1">
        <v>666</v>
      </c>
      <c r="B943" s="1" t="s">
        <v>103</v>
      </c>
      <c r="C943" s="1">
        <v>70</v>
      </c>
      <c r="D943" s="1" t="s">
        <v>119</v>
      </c>
      <c r="E943" s="1" t="s">
        <v>90</v>
      </c>
      <c r="F943" s="1"/>
      <c r="G943" s="1"/>
      <c r="H943" s="1" t="s">
        <v>220</v>
      </c>
      <c r="I943" s="1" t="s">
        <v>221</v>
      </c>
      <c r="J943" s="1" t="s">
        <v>222</v>
      </c>
      <c r="K943" s="1">
        <v>1.25</v>
      </c>
      <c r="L943" s="1">
        <v>120</v>
      </c>
      <c r="M943" s="1" t="s">
        <v>14</v>
      </c>
      <c r="N943" s="1" t="s">
        <v>95</v>
      </c>
      <c r="O943" s="1" t="s">
        <v>96</v>
      </c>
      <c r="P943" s="1"/>
      <c r="Q943" s="1" t="s">
        <v>200</v>
      </c>
      <c r="R943" s="1">
        <v>1</v>
      </c>
      <c r="S943" s="1" t="s">
        <v>97</v>
      </c>
      <c r="T943" s="1" t="s">
        <v>200</v>
      </c>
      <c r="U943" s="1" t="b">
        <v>0</v>
      </c>
      <c r="V943" s="1" t="b">
        <v>1</v>
      </c>
      <c r="W943" s="1" t="b">
        <v>1</v>
      </c>
      <c r="X943" s="1">
        <v>6</v>
      </c>
      <c r="Y943" s="1" t="b">
        <v>1</v>
      </c>
      <c r="Z943" s="1" t="b">
        <v>1</v>
      </c>
      <c r="AA943" s="1"/>
      <c r="AB943" s="1" t="b">
        <v>1</v>
      </c>
      <c r="AC943" s="1">
        <v>129570821</v>
      </c>
      <c r="AD943" s="1">
        <v>452603</v>
      </c>
      <c r="AE943" s="1">
        <v>0</v>
      </c>
      <c r="AF943" s="1" t="s">
        <v>3892</v>
      </c>
      <c r="AG943" s="1" t="s">
        <v>3893</v>
      </c>
      <c r="AH943" s="1">
        <v>62.7</v>
      </c>
      <c r="AI943" s="1">
        <v>63.7</v>
      </c>
      <c r="AJ943" s="1" t="s">
        <v>3894</v>
      </c>
      <c r="AK943" s="1" t="s">
        <v>3895</v>
      </c>
      <c r="AL943" s="1" t="s">
        <v>3896</v>
      </c>
    </row>
    <row r="944" spans="1:38" x14ac:dyDescent="0.6">
      <c r="A944" s="1">
        <v>651</v>
      </c>
      <c r="B944" s="1" t="s">
        <v>103</v>
      </c>
      <c r="C944" s="1">
        <v>60</v>
      </c>
      <c r="D944" s="1" t="s">
        <v>127</v>
      </c>
      <c r="E944" s="1" t="s">
        <v>108</v>
      </c>
      <c r="F944" s="1"/>
      <c r="G944" s="1"/>
      <c r="H944" s="1" t="s">
        <v>91</v>
      </c>
      <c r="I944" s="1" t="s">
        <v>92</v>
      </c>
      <c r="J944" s="1" t="s">
        <v>93</v>
      </c>
      <c r="K944" s="1">
        <v>1</v>
      </c>
      <c r="L944" s="1">
        <v>120</v>
      </c>
      <c r="M944" s="1" t="s">
        <v>7</v>
      </c>
      <c r="N944" s="1" t="s">
        <v>7</v>
      </c>
      <c r="O944" s="1" t="s">
        <v>96</v>
      </c>
      <c r="P944" s="1" t="s">
        <v>96</v>
      </c>
      <c r="Q944" s="1" t="s">
        <v>9</v>
      </c>
      <c r="R944" s="1">
        <v>0</v>
      </c>
      <c r="S944" s="1" t="s">
        <v>97</v>
      </c>
      <c r="T944" s="1" t="s">
        <v>97</v>
      </c>
      <c r="U944" s="1" t="b">
        <v>1</v>
      </c>
      <c r="V944" s="1" t="b">
        <v>0</v>
      </c>
      <c r="W944" s="1" t="b">
        <v>0</v>
      </c>
      <c r="X944" s="1">
        <v>5</v>
      </c>
      <c r="Y944" s="1" t="b">
        <v>1</v>
      </c>
      <c r="Z944" s="1" t="b">
        <v>1</v>
      </c>
      <c r="AA944" s="1">
        <v>58.5</v>
      </c>
      <c r="AB944" s="1" t="b">
        <v>0</v>
      </c>
      <c r="AC944" s="1">
        <v>0</v>
      </c>
      <c r="AD944" s="1">
        <v>3429976</v>
      </c>
      <c r="AE944" s="1">
        <v>127904168</v>
      </c>
      <c r="AF944" s="1" t="s">
        <v>3897</v>
      </c>
      <c r="AG944" s="1" t="s">
        <v>3897</v>
      </c>
      <c r="AH944" s="1">
        <v>61</v>
      </c>
      <c r="AI944" s="1">
        <v>56.5</v>
      </c>
      <c r="AJ944" s="1" t="s">
        <v>3898</v>
      </c>
      <c r="AK944" s="1" t="s">
        <v>3899</v>
      </c>
      <c r="AL944" s="1" t="s">
        <v>3900</v>
      </c>
    </row>
    <row r="945" spans="1:38" x14ac:dyDescent="0.6">
      <c r="A945" s="1">
        <v>666</v>
      </c>
      <c r="B945" s="1" t="s">
        <v>103</v>
      </c>
      <c r="C945" s="1">
        <v>70</v>
      </c>
      <c r="D945" s="1" t="s">
        <v>119</v>
      </c>
      <c r="E945" s="1" t="s">
        <v>90</v>
      </c>
      <c r="F945" s="1"/>
      <c r="G945" s="1"/>
      <c r="H945" s="1" t="s">
        <v>220</v>
      </c>
      <c r="I945" s="1" t="s">
        <v>221</v>
      </c>
      <c r="J945" s="1" t="s">
        <v>222</v>
      </c>
      <c r="K945" s="1">
        <v>1.25</v>
      </c>
      <c r="L945" s="1">
        <v>120</v>
      </c>
      <c r="M945" s="1" t="s">
        <v>94</v>
      </c>
      <c r="N945" s="1" t="s">
        <v>95</v>
      </c>
      <c r="O945" s="1"/>
      <c r="P945" s="1" t="s">
        <v>96</v>
      </c>
      <c r="Q945" s="1" t="s">
        <v>200</v>
      </c>
      <c r="R945" s="1">
        <v>1</v>
      </c>
      <c r="S945" s="1" t="s">
        <v>97</v>
      </c>
      <c r="T945" s="1" t="s">
        <v>200</v>
      </c>
      <c r="U945" s="1" t="b">
        <v>0</v>
      </c>
      <c r="V945" s="1" t="b">
        <v>1</v>
      </c>
      <c r="W945" s="1" t="b">
        <v>0</v>
      </c>
      <c r="X945" s="1">
        <v>0</v>
      </c>
      <c r="Y945" s="1" t="b">
        <v>1</v>
      </c>
      <c r="Z945" s="1" t="b">
        <v>1</v>
      </c>
      <c r="AA945" s="1">
        <v>66.900000000000006</v>
      </c>
      <c r="AB945" s="1" t="b">
        <v>1</v>
      </c>
      <c r="AC945" s="1">
        <v>132918332</v>
      </c>
      <c r="AD945" s="1">
        <v>1037252</v>
      </c>
      <c r="AE945" s="1">
        <v>0</v>
      </c>
      <c r="AF945" s="1" t="s">
        <v>3892</v>
      </c>
      <c r="AG945" s="1" t="s">
        <v>3893</v>
      </c>
      <c r="AH945" s="1">
        <v>62.7</v>
      </c>
      <c r="AI945" s="1">
        <v>63.7</v>
      </c>
      <c r="AJ945" s="1" t="s">
        <v>3901</v>
      </c>
      <c r="AK945" s="1" t="s">
        <v>3902</v>
      </c>
      <c r="AL945" s="1" t="s">
        <v>3903</v>
      </c>
    </row>
    <row r="946" spans="1:38" x14ac:dyDescent="0.6">
      <c r="A946" s="1">
        <v>663</v>
      </c>
      <c r="B946" s="1" t="s">
        <v>103</v>
      </c>
      <c r="C946" s="1">
        <v>60</v>
      </c>
      <c r="D946" s="1" t="s">
        <v>127</v>
      </c>
      <c r="E946" s="1" t="s">
        <v>108</v>
      </c>
      <c r="F946" s="1"/>
      <c r="G946" s="1"/>
      <c r="H946" s="1" t="s">
        <v>220</v>
      </c>
      <c r="I946" s="1" t="s">
        <v>221</v>
      </c>
      <c r="J946" s="1" t="s">
        <v>222</v>
      </c>
      <c r="K946" s="1">
        <v>1.25</v>
      </c>
      <c r="L946" s="1">
        <v>120</v>
      </c>
      <c r="M946" s="1" t="s">
        <v>7</v>
      </c>
      <c r="N946" s="1" t="s">
        <v>7</v>
      </c>
      <c r="O946" s="1" t="s">
        <v>96</v>
      </c>
      <c r="P946" s="1" t="s">
        <v>96</v>
      </c>
      <c r="Q946" s="1" t="s">
        <v>9</v>
      </c>
      <c r="R946" s="1">
        <v>0</v>
      </c>
      <c r="S946" s="1" t="s">
        <v>97</v>
      </c>
      <c r="T946" s="1" t="s">
        <v>97</v>
      </c>
      <c r="U946" s="1" t="b">
        <v>1</v>
      </c>
      <c r="V946" s="1" t="b">
        <v>0</v>
      </c>
      <c r="W946" s="1" t="b">
        <v>0</v>
      </c>
      <c r="X946" s="1">
        <v>5</v>
      </c>
      <c r="Y946" s="1" t="b">
        <v>1</v>
      </c>
      <c r="Z946" s="1" t="b">
        <v>1</v>
      </c>
      <c r="AA946" s="1">
        <v>63</v>
      </c>
      <c r="AB946" s="1" t="b">
        <v>0</v>
      </c>
      <c r="AC946" s="1">
        <v>0</v>
      </c>
      <c r="AD946" s="1">
        <v>2574347</v>
      </c>
      <c r="AE946" s="1">
        <v>146847733</v>
      </c>
      <c r="AF946" s="1" t="s">
        <v>3904</v>
      </c>
      <c r="AG946" s="1" t="s">
        <v>3904</v>
      </c>
      <c r="AH946" s="1">
        <v>61.3</v>
      </c>
      <c r="AI946" s="1">
        <v>59.7</v>
      </c>
      <c r="AJ946" s="1" t="s">
        <v>3905</v>
      </c>
      <c r="AK946" s="1" t="s">
        <v>3906</v>
      </c>
      <c r="AL946" s="1" t="s">
        <v>3907</v>
      </c>
    </row>
    <row r="947" spans="1:38" x14ac:dyDescent="0.6">
      <c r="A947" s="1">
        <v>662</v>
      </c>
      <c r="B947" s="1" t="s">
        <v>88</v>
      </c>
      <c r="C947" s="1">
        <v>50</v>
      </c>
      <c r="D947" s="1" t="s">
        <v>89</v>
      </c>
      <c r="E947" s="1" t="s">
        <v>90</v>
      </c>
      <c r="F947" s="1"/>
      <c r="G947" s="1"/>
      <c r="H947" s="1" t="s">
        <v>91</v>
      </c>
      <c r="I947" s="1" t="s">
        <v>92</v>
      </c>
      <c r="J947" s="1" t="s">
        <v>93</v>
      </c>
      <c r="K947" s="1">
        <v>1</v>
      </c>
      <c r="L947" s="1">
        <v>120</v>
      </c>
      <c r="M947" s="1" t="s">
        <v>7</v>
      </c>
      <c r="N947" s="1" t="s">
        <v>7</v>
      </c>
      <c r="O947" s="1" t="s">
        <v>96</v>
      </c>
      <c r="P947" s="1" t="s">
        <v>96</v>
      </c>
      <c r="Q947" s="1" t="s">
        <v>9</v>
      </c>
      <c r="R947" s="1">
        <v>0</v>
      </c>
      <c r="S947" s="1" t="s">
        <v>97</v>
      </c>
      <c r="T947" s="1" t="s">
        <v>97</v>
      </c>
      <c r="U947" s="1" t="b">
        <v>1</v>
      </c>
      <c r="V947" s="1" t="b">
        <v>0</v>
      </c>
      <c r="W947" s="1" t="b">
        <v>0</v>
      </c>
      <c r="X947" s="1">
        <v>5</v>
      </c>
      <c r="Y947" s="1" t="b">
        <v>1</v>
      </c>
      <c r="Z947" s="1" t="b">
        <v>1</v>
      </c>
      <c r="AA947" s="1">
        <v>85.9</v>
      </c>
      <c r="AB947" s="1" t="b">
        <v>0</v>
      </c>
      <c r="AC947" s="1">
        <v>0</v>
      </c>
      <c r="AD947" s="1">
        <v>2136365</v>
      </c>
      <c r="AE947" s="1">
        <v>142567123</v>
      </c>
      <c r="AF947" s="1" t="s">
        <v>3908</v>
      </c>
      <c r="AG947" s="1" t="s">
        <v>3908</v>
      </c>
      <c r="AH947" s="1">
        <v>86.2</v>
      </c>
      <c r="AI947" s="1">
        <v>81.400000000000006</v>
      </c>
      <c r="AJ947" s="1" t="s">
        <v>3909</v>
      </c>
      <c r="AK947" s="1" t="s">
        <v>3910</v>
      </c>
      <c r="AL947" s="1" t="s">
        <v>3911</v>
      </c>
    </row>
    <row r="948" spans="1:38" x14ac:dyDescent="0.6">
      <c r="A948" s="1">
        <v>668</v>
      </c>
      <c r="B948" s="1" t="s">
        <v>88</v>
      </c>
      <c r="C948" s="1">
        <v>50</v>
      </c>
      <c r="D948" s="1" t="s">
        <v>89</v>
      </c>
      <c r="E948" s="1" t="s">
        <v>108</v>
      </c>
      <c r="F948" s="1"/>
      <c r="G948" s="1"/>
      <c r="H948" s="1" t="s">
        <v>220</v>
      </c>
      <c r="I948" s="1" t="s">
        <v>221</v>
      </c>
      <c r="J948" s="1" t="s">
        <v>222</v>
      </c>
      <c r="K948" s="1">
        <v>1.25</v>
      </c>
      <c r="L948" s="1">
        <v>120</v>
      </c>
      <c r="M948" s="1" t="s">
        <v>14</v>
      </c>
      <c r="N948" s="1" t="s">
        <v>95</v>
      </c>
      <c r="O948" s="1" t="s">
        <v>96</v>
      </c>
      <c r="P948" s="1"/>
      <c r="Q948" s="1" t="s">
        <v>9</v>
      </c>
      <c r="R948" s="1">
        <v>0</v>
      </c>
      <c r="S948" s="1" t="s">
        <v>97</v>
      </c>
      <c r="T948" s="1" t="s">
        <v>97</v>
      </c>
      <c r="U948" s="1" t="b">
        <v>1</v>
      </c>
      <c r="V948" s="1" t="b">
        <v>0</v>
      </c>
      <c r="W948" s="1" t="b">
        <v>0</v>
      </c>
      <c r="X948" s="1">
        <v>5</v>
      </c>
      <c r="Y948" s="1" t="b">
        <v>1</v>
      </c>
      <c r="Z948" s="1" t="b">
        <v>1</v>
      </c>
      <c r="AA948" s="1"/>
      <c r="AB948" s="1" t="b">
        <v>1</v>
      </c>
      <c r="AC948" s="1">
        <v>141180691</v>
      </c>
      <c r="AD948" s="1">
        <v>901357</v>
      </c>
      <c r="AE948" s="1">
        <v>0</v>
      </c>
      <c r="AF948" s="1" t="s">
        <v>3912</v>
      </c>
      <c r="AG948" s="1" t="s">
        <v>3913</v>
      </c>
      <c r="AH948" s="1">
        <v>72.3</v>
      </c>
      <c r="AI948" s="1">
        <v>62.7</v>
      </c>
      <c r="AJ948" s="1" t="s">
        <v>3914</v>
      </c>
      <c r="AK948" s="1" t="s">
        <v>3915</v>
      </c>
      <c r="AL948" s="1" t="s">
        <v>3916</v>
      </c>
    </row>
    <row r="949" spans="1:38" x14ac:dyDescent="0.6">
      <c r="A949" s="1">
        <v>668</v>
      </c>
      <c r="B949" s="1" t="s">
        <v>88</v>
      </c>
      <c r="C949" s="1">
        <v>50</v>
      </c>
      <c r="D949" s="1" t="s">
        <v>89</v>
      </c>
      <c r="E949" s="1" t="s">
        <v>108</v>
      </c>
      <c r="F949" s="1"/>
      <c r="G949" s="1"/>
      <c r="H949" s="1" t="s">
        <v>220</v>
      </c>
      <c r="I949" s="1" t="s">
        <v>221</v>
      </c>
      <c r="J949" s="1" t="s">
        <v>222</v>
      </c>
      <c r="K949" s="1">
        <v>1.25</v>
      </c>
      <c r="L949" s="1">
        <v>120</v>
      </c>
      <c r="M949" s="1" t="s">
        <v>94</v>
      </c>
      <c r="N949" s="1" t="s">
        <v>95</v>
      </c>
      <c r="O949" s="1"/>
      <c r="P949" s="1" t="s">
        <v>96</v>
      </c>
      <c r="Q949" s="1" t="s">
        <v>9</v>
      </c>
      <c r="R949" s="1">
        <v>0</v>
      </c>
      <c r="S949" s="1" t="s">
        <v>97</v>
      </c>
      <c r="T949" s="1" t="s">
        <v>97</v>
      </c>
      <c r="U949" s="1" t="b">
        <v>1</v>
      </c>
      <c r="V949" s="1" t="b">
        <v>0</v>
      </c>
      <c r="W949" s="1" t="b">
        <v>0</v>
      </c>
      <c r="X949" s="1">
        <v>0</v>
      </c>
      <c r="Y949" s="1" t="b">
        <v>1</v>
      </c>
      <c r="Z949" s="1" t="b">
        <v>1</v>
      </c>
      <c r="AA949" s="1">
        <v>64.2</v>
      </c>
      <c r="AB949" s="1" t="b">
        <v>1</v>
      </c>
      <c r="AC949" s="1">
        <v>147548769</v>
      </c>
      <c r="AD949" s="1">
        <v>2921887</v>
      </c>
      <c r="AE949" s="1">
        <v>0</v>
      </c>
      <c r="AF949" s="1" t="s">
        <v>3912</v>
      </c>
      <c r="AG949" s="1" t="s">
        <v>3913</v>
      </c>
      <c r="AH949" s="1">
        <v>72.3</v>
      </c>
      <c r="AI949" s="1">
        <v>62.7</v>
      </c>
      <c r="AJ949" s="1" t="s">
        <v>3917</v>
      </c>
      <c r="AK949" s="1" t="s">
        <v>3918</v>
      </c>
      <c r="AL949" s="1" t="s">
        <v>3919</v>
      </c>
    </row>
    <row r="950" spans="1:38" x14ac:dyDescent="0.6">
      <c r="A950" s="1">
        <v>670</v>
      </c>
      <c r="B950" s="1" t="s">
        <v>103</v>
      </c>
      <c r="C950" s="1">
        <v>50</v>
      </c>
      <c r="D950" s="1" t="s">
        <v>89</v>
      </c>
      <c r="E950" s="1" t="s">
        <v>108</v>
      </c>
      <c r="F950" s="1"/>
      <c r="G950" s="1"/>
      <c r="H950" s="1" t="s">
        <v>220</v>
      </c>
      <c r="I950" s="1" t="s">
        <v>221</v>
      </c>
      <c r="J950" s="1" t="s">
        <v>222</v>
      </c>
      <c r="K950" s="1">
        <v>1.25</v>
      </c>
      <c r="L950" s="1">
        <v>120</v>
      </c>
      <c r="M950" s="1" t="s">
        <v>14</v>
      </c>
      <c r="N950" s="1" t="s">
        <v>95</v>
      </c>
      <c r="O950" s="1" t="s">
        <v>96</v>
      </c>
      <c r="P950" s="1"/>
      <c r="Q950" s="1" t="s">
        <v>9</v>
      </c>
      <c r="R950" s="1">
        <v>0</v>
      </c>
      <c r="S950" s="1" t="s">
        <v>97</v>
      </c>
      <c r="T950" s="1" t="s">
        <v>97</v>
      </c>
      <c r="U950" s="1" t="b">
        <v>1</v>
      </c>
      <c r="V950" s="1" t="b">
        <v>0</v>
      </c>
      <c r="W950" s="1" t="b">
        <v>0</v>
      </c>
      <c r="X950" s="1">
        <v>5</v>
      </c>
      <c r="Y950" s="1" t="b">
        <v>1</v>
      </c>
      <c r="Z950" s="1" t="b">
        <v>1</v>
      </c>
      <c r="AA950" s="1"/>
      <c r="AB950" s="1" t="b">
        <v>1</v>
      </c>
      <c r="AC950" s="1">
        <v>154352281</v>
      </c>
      <c r="AD950" s="1">
        <v>574823</v>
      </c>
      <c r="AE950" s="1">
        <v>0</v>
      </c>
      <c r="AF950" s="1" t="s">
        <v>3920</v>
      </c>
      <c r="AG950" s="1" t="s">
        <v>3921</v>
      </c>
      <c r="AH950" s="1">
        <v>77.5</v>
      </c>
      <c r="AI950" s="1">
        <v>73.5</v>
      </c>
      <c r="AJ950" s="1" t="s">
        <v>3922</v>
      </c>
      <c r="AK950" s="1" t="s">
        <v>3923</v>
      </c>
      <c r="AL950" s="1" t="s">
        <v>3924</v>
      </c>
    </row>
    <row r="951" spans="1:38" x14ac:dyDescent="0.6">
      <c r="A951" s="1">
        <v>672</v>
      </c>
      <c r="B951" s="1" t="s">
        <v>103</v>
      </c>
      <c r="C951" s="1">
        <v>50</v>
      </c>
      <c r="D951" s="1" t="s">
        <v>89</v>
      </c>
      <c r="E951" s="1" t="s">
        <v>90</v>
      </c>
      <c r="F951" s="1"/>
      <c r="G951" s="1"/>
      <c r="H951" s="1" t="s">
        <v>220</v>
      </c>
      <c r="I951" s="1" t="s">
        <v>221</v>
      </c>
      <c r="J951" s="1" t="s">
        <v>222</v>
      </c>
      <c r="K951" s="1">
        <v>1.25</v>
      </c>
      <c r="L951" s="1">
        <v>120</v>
      </c>
      <c r="M951" s="1" t="s">
        <v>94</v>
      </c>
      <c r="N951" s="1" t="s">
        <v>95</v>
      </c>
      <c r="O951" s="1"/>
      <c r="P951" s="1" t="s">
        <v>96</v>
      </c>
      <c r="Q951" s="1" t="s">
        <v>200</v>
      </c>
      <c r="R951" s="1">
        <v>1</v>
      </c>
      <c r="S951" s="1" t="s">
        <v>97</v>
      </c>
      <c r="T951" s="1" t="s">
        <v>200</v>
      </c>
      <c r="U951" s="1" t="b">
        <v>0</v>
      </c>
      <c r="V951" s="1" t="b">
        <v>1</v>
      </c>
      <c r="W951" s="1" t="b">
        <v>0</v>
      </c>
      <c r="X951" s="1">
        <v>0</v>
      </c>
      <c r="Y951" s="1" t="b">
        <v>1</v>
      </c>
      <c r="Z951" s="1" t="b">
        <v>1</v>
      </c>
      <c r="AA951" s="1">
        <v>73.2</v>
      </c>
      <c r="AB951" s="1" t="b">
        <v>1</v>
      </c>
      <c r="AC951" s="1">
        <v>143377218</v>
      </c>
      <c r="AD951" s="1">
        <v>1326270</v>
      </c>
      <c r="AE951" s="1">
        <v>0</v>
      </c>
      <c r="AF951" s="1" t="s">
        <v>3925</v>
      </c>
      <c r="AG951" s="1" t="s">
        <v>3926</v>
      </c>
      <c r="AH951" s="1">
        <v>73.8</v>
      </c>
      <c r="AI951" s="1">
        <v>70.400000000000006</v>
      </c>
      <c r="AJ951" s="1" t="s">
        <v>3927</v>
      </c>
      <c r="AK951" s="1" t="s">
        <v>3928</v>
      </c>
      <c r="AL951" s="1" t="s">
        <v>3929</v>
      </c>
    </row>
    <row r="952" spans="1:38" x14ac:dyDescent="0.6">
      <c r="A952" s="1">
        <v>658</v>
      </c>
      <c r="B952" s="1" t="s">
        <v>88</v>
      </c>
      <c r="C952" s="1">
        <v>50</v>
      </c>
      <c r="D952" s="1" t="s">
        <v>89</v>
      </c>
      <c r="E952" s="1" t="s">
        <v>90</v>
      </c>
      <c r="F952" s="1"/>
      <c r="G952" s="1"/>
      <c r="H952" s="1" t="s">
        <v>91</v>
      </c>
      <c r="I952" s="1" t="s">
        <v>92</v>
      </c>
      <c r="J952" s="1" t="s">
        <v>93</v>
      </c>
      <c r="K952" s="1">
        <v>1</v>
      </c>
      <c r="L952" s="1">
        <v>120</v>
      </c>
      <c r="M952" s="1" t="s">
        <v>14</v>
      </c>
      <c r="N952" s="1" t="s">
        <v>95</v>
      </c>
      <c r="O952" s="1" t="s">
        <v>96</v>
      </c>
      <c r="P952" s="1"/>
      <c r="Q952" s="1" t="s">
        <v>9</v>
      </c>
      <c r="R952" s="1">
        <v>0</v>
      </c>
      <c r="S952" s="1" t="s">
        <v>97</v>
      </c>
      <c r="T952" s="1" t="s">
        <v>97</v>
      </c>
      <c r="U952" s="1" t="b">
        <v>1</v>
      </c>
      <c r="V952" s="1" t="b">
        <v>0</v>
      </c>
      <c r="W952" s="1" t="b">
        <v>0</v>
      </c>
      <c r="X952" s="1">
        <v>5</v>
      </c>
      <c r="Y952" s="1" t="b">
        <v>1</v>
      </c>
      <c r="Z952" s="1" t="b">
        <v>1</v>
      </c>
      <c r="AA952" s="1"/>
      <c r="AB952" s="1" t="b">
        <v>1</v>
      </c>
      <c r="AC952" s="1">
        <v>141481911</v>
      </c>
      <c r="AD952" s="1">
        <v>600137</v>
      </c>
      <c r="AE952" s="1">
        <v>0</v>
      </c>
      <c r="AF952" s="1" t="s">
        <v>3853</v>
      </c>
      <c r="AG952" s="1" t="s">
        <v>3854</v>
      </c>
      <c r="AH952" s="1">
        <v>84.9</v>
      </c>
      <c r="AI952" s="1">
        <v>78.3</v>
      </c>
      <c r="AJ952" s="1" t="s">
        <v>3930</v>
      </c>
      <c r="AK952" s="1" t="s">
        <v>3931</v>
      </c>
      <c r="AL952" s="1" t="s">
        <v>3932</v>
      </c>
    </row>
    <row r="953" spans="1:38" x14ac:dyDescent="0.6">
      <c r="A953" s="1">
        <v>674</v>
      </c>
      <c r="B953" s="1" t="s">
        <v>103</v>
      </c>
      <c r="C953" s="1">
        <v>60</v>
      </c>
      <c r="D953" s="1" t="s">
        <v>127</v>
      </c>
      <c r="E953" s="1" t="s">
        <v>90</v>
      </c>
      <c r="F953" s="1"/>
      <c r="G953" s="1"/>
      <c r="H953" s="1" t="s">
        <v>220</v>
      </c>
      <c r="I953" s="1" t="s">
        <v>221</v>
      </c>
      <c r="J953" s="1" t="s">
        <v>222</v>
      </c>
      <c r="K953" s="1">
        <v>1.25</v>
      </c>
      <c r="L953" s="1">
        <v>120</v>
      </c>
      <c r="M953" s="1" t="s">
        <v>7</v>
      </c>
      <c r="N953" s="1" t="s">
        <v>7</v>
      </c>
      <c r="O953" s="1" t="s">
        <v>96</v>
      </c>
      <c r="P953" s="1" t="s">
        <v>96</v>
      </c>
      <c r="Q953" s="1" t="s">
        <v>9</v>
      </c>
      <c r="R953" s="1">
        <v>0</v>
      </c>
      <c r="S953" s="1" t="s">
        <v>97</v>
      </c>
      <c r="T953" s="1" t="s">
        <v>97</v>
      </c>
      <c r="U953" s="1" t="b">
        <v>1</v>
      </c>
      <c r="V953" s="1" t="b">
        <v>0</v>
      </c>
      <c r="W953" s="1" t="b">
        <v>0</v>
      </c>
      <c r="X953" s="1">
        <v>5</v>
      </c>
      <c r="Y953" s="1" t="b">
        <v>1</v>
      </c>
      <c r="Z953" s="1" t="b">
        <v>1</v>
      </c>
      <c r="AA953" s="1">
        <v>61.5</v>
      </c>
      <c r="AB953" s="1" t="b">
        <v>0</v>
      </c>
      <c r="AC953" s="1">
        <v>0</v>
      </c>
      <c r="AD953" s="1">
        <v>2570862</v>
      </c>
      <c r="AE953" s="1">
        <v>127714706</v>
      </c>
      <c r="AF953" s="1" t="s">
        <v>3933</v>
      </c>
      <c r="AG953" s="1" t="s">
        <v>3933</v>
      </c>
      <c r="AH953" s="1">
        <v>53.2</v>
      </c>
      <c r="AI953" s="1">
        <v>55.9</v>
      </c>
      <c r="AJ953" s="1" t="s">
        <v>3934</v>
      </c>
      <c r="AK953" s="1" t="s">
        <v>3935</v>
      </c>
      <c r="AL953" s="1" t="s">
        <v>3936</v>
      </c>
    </row>
    <row r="954" spans="1:38" x14ac:dyDescent="0.6">
      <c r="A954" s="1">
        <v>673</v>
      </c>
      <c r="B954" s="1" t="s">
        <v>88</v>
      </c>
      <c r="C954" s="1">
        <v>50</v>
      </c>
      <c r="D954" s="1" t="s">
        <v>89</v>
      </c>
      <c r="E954" s="1" t="s">
        <v>90</v>
      </c>
      <c r="F954" s="1"/>
      <c r="G954" s="1"/>
      <c r="H954" s="1" t="s">
        <v>220</v>
      </c>
      <c r="I954" s="1" t="s">
        <v>221</v>
      </c>
      <c r="J954" s="1" t="s">
        <v>222</v>
      </c>
      <c r="K954" s="1">
        <v>1.25</v>
      </c>
      <c r="L954" s="1">
        <v>120</v>
      </c>
      <c r="M954" s="1" t="s">
        <v>14</v>
      </c>
      <c r="N954" s="1" t="s">
        <v>95</v>
      </c>
      <c r="O954" s="1" t="s">
        <v>96</v>
      </c>
      <c r="P954" s="1"/>
      <c r="Q954" s="1" t="s">
        <v>9</v>
      </c>
      <c r="R954" s="1">
        <v>0</v>
      </c>
      <c r="S954" s="1" t="s">
        <v>97</v>
      </c>
      <c r="T954" s="1" t="s">
        <v>97</v>
      </c>
      <c r="U954" s="1" t="b">
        <v>1</v>
      </c>
      <c r="V954" s="1" t="b">
        <v>0</v>
      </c>
      <c r="W954" s="1" t="b">
        <v>0</v>
      </c>
      <c r="X954" s="1">
        <v>5</v>
      </c>
      <c r="Y954" s="1" t="b">
        <v>1</v>
      </c>
      <c r="Z954" s="1" t="b">
        <v>1</v>
      </c>
      <c r="AA954" s="1"/>
      <c r="AB954" s="1" t="b">
        <v>1</v>
      </c>
      <c r="AC954" s="1">
        <v>132087173</v>
      </c>
      <c r="AD954" s="1">
        <v>557691</v>
      </c>
      <c r="AE954" s="1">
        <v>0</v>
      </c>
      <c r="AF954" s="1" t="s">
        <v>3937</v>
      </c>
      <c r="AG954" s="1" t="s">
        <v>3938</v>
      </c>
      <c r="AH954" s="1">
        <v>87.8</v>
      </c>
      <c r="AI954" s="1">
        <v>81.8</v>
      </c>
      <c r="AJ954" s="1" t="s">
        <v>3939</v>
      </c>
      <c r="AK954" s="1" t="s">
        <v>3940</v>
      </c>
      <c r="AL954" s="1" t="s">
        <v>3941</v>
      </c>
    </row>
    <row r="955" spans="1:38" x14ac:dyDescent="0.6">
      <c r="A955" s="1">
        <v>669</v>
      </c>
      <c r="B955" s="1" t="s">
        <v>103</v>
      </c>
      <c r="C955" s="1">
        <v>50</v>
      </c>
      <c r="D955" s="1" t="s">
        <v>89</v>
      </c>
      <c r="E955" s="1" t="s">
        <v>108</v>
      </c>
      <c r="F955" s="1"/>
      <c r="G955" s="1"/>
      <c r="H955" s="1" t="s">
        <v>220</v>
      </c>
      <c r="I955" s="1" t="s">
        <v>221</v>
      </c>
      <c r="J955" s="1" t="s">
        <v>222</v>
      </c>
      <c r="K955" s="1">
        <v>1.25</v>
      </c>
      <c r="L955" s="1">
        <v>120</v>
      </c>
      <c r="M955" s="1" t="s">
        <v>7</v>
      </c>
      <c r="N955" s="1" t="s">
        <v>7</v>
      </c>
      <c r="O955" s="1" t="s">
        <v>96</v>
      </c>
      <c r="P955" s="1" t="s">
        <v>96</v>
      </c>
      <c r="Q955" s="1" t="s">
        <v>9</v>
      </c>
      <c r="R955" s="1">
        <v>0</v>
      </c>
      <c r="S955" s="1" t="s">
        <v>97</v>
      </c>
      <c r="T955" s="1" t="s">
        <v>97</v>
      </c>
      <c r="U955" s="1" t="b">
        <v>1</v>
      </c>
      <c r="V955" s="1" t="b">
        <v>0</v>
      </c>
      <c r="W955" s="1" t="b">
        <v>0</v>
      </c>
      <c r="X955" s="1">
        <v>5</v>
      </c>
      <c r="Y955" s="1" t="b">
        <v>1</v>
      </c>
      <c r="Z955" s="1" t="b">
        <v>1</v>
      </c>
      <c r="AA955" s="1">
        <v>68</v>
      </c>
      <c r="AB955" s="1" t="b">
        <v>0</v>
      </c>
      <c r="AC955" s="1">
        <v>0</v>
      </c>
      <c r="AD955" s="1">
        <v>3073613</v>
      </c>
      <c r="AE955" s="1">
        <v>157620659</v>
      </c>
      <c r="AF955" s="1" t="s">
        <v>3942</v>
      </c>
      <c r="AG955" s="1" t="s">
        <v>3942</v>
      </c>
      <c r="AH955" s="1">
        <v>68.2</v>
      </c>
      <c r="AI955" s="1">
        <v>66</v>
      </c>
      <c r="AJ955" s="1" t="s">
        <v>3943</v>
      </c>
      <c r="AK955" s="1" t="s">
        <v>3944</v>
      </c>
      <c r="AL955" s="1" t="s">
        <v>3945</v>
      </c>
    </row>
    <row r="956" spans="1:38" x14ac:dyDescent="0.6">
      <c r="A956" s="1">
        <v>676</v>
      </c>
      <c r="B956" s="1" t="s">
        <v>103</v>
      </c>
      <c r="C956" s="1">
        <v>60</v>
      </c>
      <c r="D956" s="1" t="s">
        <v>127</v>
      </c>
      <c r="E956" s="1" t="s">
        <v>90</v>
      </c>
      <c r="F956" s="1"/>
      <c r="G956" s="1"/>
      <c r="H956" s="1" t="s">
        <v>220</v>
      </c>
      <c r="I956" s="1" t="s">
        <v>221</v>
      </c>
      <c r="J956" s="1" t="s">
        <v>222</v>
      </c>
      <c r="K956" s="1">
        <v>1.25</v>
      </c>
      <c r="L956" s="1">
        <v>120</v>
      </c>
      <c r="M956" s="1" t="s">
        <v>14</v>
      </c>
      <c r="N956" s="1" t="s">
        <v>95</v>
      </c>
      <c r="O956" s="1" t="s">
        <v>96</v>
      </c>
      <c r="P956" s="1"/>
      <c r="Q956" s="1" t="s">
        <v>9</v>
      </c>
      <c r="R956" s="1">
        <v>0</v>
      </c>
      <c r="S956" s="1" t="s">
        <v>97</v>
      </c>
      <c r="T956" s="1" t="s">
        <v>97</v>
      </c>
      <c r="U956" s="1" t="b">
        <v>1</v>
      </c>
      <c r="V956" s="1" t="b">
        <v>0</v>
      </c>
      <c r="W956" s="1" t="b">
        <v>0</v>
      </c>
      <c r="X956" s="1">
        <v>5</v>
      </c>
      <c r="Y956" s="1" t="b">
        <v>1</v>
      </c>
      <c r="Z956" s="1" t="b">
        <v>1</v>
      </c>
      <c r="AA956" s="1"/>
      <c r="AB956" s="1" t="b">
        <v>1</v>
      </c>
      <c r="AC956" s="1">
        <v>134153413</v>
      </c>
      <c r="AD956" s="1">
        <v>588603</v>
      </c>
      <c r="AE956" s="1">
        <v>0</v>
      </c>
      <c r="AF956" s="1" t="s">
        <v>3946</v>
      </c>
      <c r="AG956" s="1" t="s">
        <v>3947</v>
      </c>
      <c r="AH956" s="1">
        <v>80.2</v>
      </c>
      <c r="AI956" s="1">
        <v>77.099999999999994</v>
      </c>
      <c r="AJ956" s="1" t="s">
        <v>3948</v>
      </c>
      <c r="AK956" s="1" t="s">
        <v>3949</v>
      </c>
      <c r="AL956" s="1" t="s">
        <v>3950</v>
      </c>
    </row>
    <row r="957" spans="1:38" x14ac:dyDescent="0.6">
      <c r="A957" s="1">
        <v>676</v>
      </c>
      <c r="B957" s="1" t="s">
        <v>103</v>
      </c>
      <c r="C957" s="1">
        <v>60</v>
      </c>
      <c r="D957" s="1" t="s">
        <v>127</v>
      </c>
      <c r="E957" s="1" t="s">
        <v>90</v>
      </c>
      <c r="F957" s="1"/>
      <c r="G957" s="1"/>
      <c r="H957" s="1" t="s">
        <v>220</v>
      </c>
      <c r="I957" s="1" t="s">
        <v>221</v>
      </c>
      <c r="J957" s="1" t="s">
        <v>222</v>
      </c>
      <c r="K957" s="1">
        <v>1.25</v>
      </c>
      <c r="L957" s="1">
        <v>120</v>
      </c>
      <c r="M957" s="1" t="s">
        <v>94</v>
      </c>
      <c r="N957" s="1" t="s">
        <v>95</v>
      </c>
      <c r="O957" s="1"/>
      <c r="P957" s="1" t="s">
        <v>96</v>
      </c>
      <c r="Q957" s="1" t="s">
        <v>9</v>
      </c>
      <c r="R957" s="1">
        <v>0</v>
      </c>
      <c r="S957" s="1" t="s">
        <v>97</v>
      </c>
      <c r="T957" s="1" t="s">
        <v>97</v>
      </c>
      <c r="U957" s="1" t="b">
        <v>1</v>
      </c>
      <c r="V957" s="1" t="b">
        <v>0</v>
      </c>
      <c r="W957" s="1" t="b">
        <v>0</v>
      </c>
      <c r="X957" s="1">
        <v>0</v>
      </c>
      <c r="Y957" s="1" t="b">
        <v>1</v>
      </c>
      <c r="Z957" s="1" t="b">
        <v>1</v>
      </c>
      <c r="AA957" s="1">
        <v>82</v>
      </c>
      <c r="AB957" s="1" t="b">
        <v>1</v>
      </c>
      <c r="AC957" s="1">
        <v>133066768</v>
      </c>
      <c r="AD957" s="1">
        <v>1937392</v>
      </c>
      <c r="AE957" s="1">
        <v>0</v>
      </c>
      <c r="AF957" s="1" t="s">
        <v>3946</v>
      </c>
      <c r="AG957" s="1" t="s">
        <v>3947</v>
      </c>
      <c r="AH957" s="1">
        <v>80.2</v>
      </c>
      <c r="AI957" s="1">
        <v>77.099999999999994</v>
      </c>
      <c r="AJ957" s="1" t="s">
        <v>3951</v>
      </c>
      <c r="AK957" s="1" t="s">
        <v>3952</v>
      </c>
      <c r="AL957" s="1" t="s">
        <v>3953</v>
      </c>
    </row>
    <row r="958" spans="1:38" x14ac:dyDescent="0.6">
      <c r="A958" s="1">
        <v>661</v>
      </c>
      <c r="B958" s="1" t="s">
        <v>103</v>
      </c>
      <c r="C958" s="1">
        <v>70</v>
      </c>
      <c r="D958" s="1" t="s">
        <v>119</v>
      </c>
      <c r="E958" s="1" t="s">
        <v>90</v>
      </c>
      <c r="F958" s="1"/>
      <c r="G958" s="1"/>
      <c r="H958" s="1" t="s">
        <v>91</v>
      </c>
      <c r="I958" s="1" t="s">
        <v>92</v>
      </c>
      <c r="J958" s="1" t="s">
        <v>93</v>
      </c>
      <c r="K958" s="1">
        <v>1</v>
      </c>
      <c r="L958" s="1">
        <v>120</v>
      </c>
      <c r="M958" s="1" t="s">
        <v>94</v>
      </c>
      <c r="N958" s="1" t="s">
        <v>95</v>
      </c>
      <c r="O958" s="1"/>
      <c r="P958" s="1" t="s">
        <v>96</v>
      </c>
      <c r="Q958" s="1" t="s">
        <v>9</v>
      </c>
      <c r="R958" s="1">
        <v>0</v>
      </c>
      <c r="S958" s="1" t="s">
        <v>97</v>
      </c>
      <c r="T958" s="1" t="s">
        <v>97</v>
      </c>
      <c r="U958" s="1" t="b">
        <v>1</v>
      </c>
      <c r="V958" s="1" t="b">
        <v>0</v>
      </c>
      <c r="W958" s="1" t="b">
        <v>0</v>
      </c>
      <c r="X958" s="1">
        <v>0</v>
      </c>
      <c r="Y958" s="1" t="b">
        <v>1</v>
      </c>
      <c r="Z958" s="1" t="b">
        <v>1</v>
      </c>
      <c r="AA958" s="1">
        <v>71.8</v>
      </c>
      <c r="AB958" s="1" t="b">
        <v>1</v>
      </c>
      <c r="AC958" s="1">
        <v>147963407</v>
      </c>
      <c r="AD958" s="1">
        <v>1982961</v>
      </c>
      <c r="AE958" s="1">
        <v>0</v>
      </c>
      <c r="AF958" s="1" t="s">
        <v>3884</v>
      </c>
      <c r="AG958" s="1" t="s">
        <v>3885</v>
      </c>
      <c r="AH958" s="1">
        <v>68.2</v>
      </c>
      <c r="AI958" s="1">
        <v>70.5</v>
      </c>
      <c r="AJ958" s="1" t="s">
        <v>3954</v>
      </c>
      <c r="AK958" s="1" t="s">
        <v>3955</v>
      </c>
      <c r="AL958" s="1" t="s">
        <v>3956</v>
      </c>
    </row>
    <row r="959" spans="1:38" x14ac:dyDescent="0.6">
      <c r="A959" s="1">
        <v>675</v>
      </c>
      <c r="B959" s="1" t="s">
        <v>88</v>
      </c>
      <c r="C959" s="1">
        <v>70</v>
      </c>
      <c r="D959" s="1" t="s">
        <v>119</v>
      </c>
      <c r="E959" s="1" t="s">
        <v>90</v>
      </c>
      <c r="F959" s="1"/>
      <c r="G959" s="1"/>
      <c r="H959" s="1" t="s">
        <v>220</v>
      </c>
      <c r="I959" s="1" t="s">
        <v>221</v>
      </c>
      <c r="J959" s="1" t="s">
        <v>222</v>
      </c>
      <c r="K959" s="1">
        <v>1.25</v>
      </c>
      <c r="L959" s="1">
        <v>120</v>
      </c>
      <c r="M959" s="1" t="s">
        <v>14</v>
      </c>
      <c r="N959" s="1" t="s">
        <v>95</v>
      </c>
      <c r="O959" s="1" t="s">
        <v>96</v>
      </c>
      <c r="P959" s="1"/>
      <c r="Q959" s="1" t="s">
        <v>9</v>
      </c>
      <c r="R959" s="1">
        <v>0</v>
      </c>
      <c r="S959" s="1" t="s">
        <v>97</v>
      </c>
      <c r="T959" s="1" t="s">
        <v>97</v>
      </c>
      <c r="U959" s="1" t="b">
        <v>1</v>
      </c>
      <c r="V959" s="1" t="b">
        <v>0</v>
      </c>
      <c r="W959" s="1" t="b">
        <v>0</v>
      </c>
      <c r="X959" s="1">
        <v>5</v>
      </c>
      <c r="Y959" s="1" t="b">
        <v>1</v>
      </c>
      <c r="Z959" s="1" t="b">
        <v>1</v>
      </c>
      <c r="AA959" s="1"/>
      <c r="AB959" s="1" t="b">
        <v>1</v>
      </c>
      <c r="AC959" s="1">
        <v>136881247</v>
      </c>
      <c r="AD959" s="1">
        <v>744353</v>
      </c>
      <c r="AE959" s="1">
        <v>0</v>
      </c>
      <c r="AF959" s="1" t="s">
        <v>3957</v>
      </c>
      <c r="AG959" s="1" t="s">
        <v>3958</v>
      </c>
      <c r="AH959" s="1">
        <v>85</v>
      </c>
      <c r="AI959" s="1">
        <v>72</v>
      </c>
      <c r="AJ959" s="1" t="s">
        <v>3959</v>
      </c>
      <c r="AK959" s="1" t="s">
        <v>3960</v>
      </c>
      <c r="AL959" s="1" t="s">
        <v>3961</v>
      </c>
    </row>
    <row r="960" spans="1:38" x14ac:dyDescent="0.6">
      <c r="A960" s="1">
        <v>659</v>
      </c>
      <c r="B960" s="1" t="s">
        <v>88</v>
      </c>
      <c r="C960" s="1">
        <v>70</v>
      </c>
      <c r="D960" s="1" t="s">
        <v>119</v>
      </c>
      <c r="E960" s="1" t="s">
        <v>108</v>
      </c>
      <c r="F960" s="1"/>
      <c r="G960" s="1"/>
      <c r="H960" s="1" t="s">
        <v>91</v>
      </c>
      <c r="I960" s="1" t="s">
        <v>92</v>
      </c>
      <c r="J960" s="1" t="s">
        <v>93</v>
      </c>
      <c r="K960" s="1">
        <v>1</v>
      </c>
      <c r="L960" s="1">
        <v>120</v>
      </c>
      <c r="M960" s="1" t="s">
        <v>7</v>
      </c>
      <c r="N960" s="1" t="s">
        <v>7</v>
      </c>
      <c r="O960" s="1" t="s">
        <v>96</v>
      </c>
      <c r="P960" s="1" t="s">
        <v>96</v>
      </c>
      <c r="Q960" s="1" t="s">
        <v>9</v>
      </c>
      <c r="R960" s="1">
        <v>0</v>
      </c>
      <c r="S960" s="1" t="s">
        <v>97</v>
      </c>
      <c r="T960" s="1" t="s">
        <v>97</v>
      </c>
      <c r="U960" s="1" t="b">
        <v>1</v>
      </c>
      <c r="V960" s="1" t="b">
        <v>0</v>
      </c>
      <c r="W960" s="1" t="b">
        <v>0</v>
      </c>
      <c r="X960" s="1">
        <v>5</v>
      </c>
      <c r="Y960" s="1" t="b">
        <v>1</v>
      </c>
      <c r="Z960" s="1" t="b">
        <v>1</v>
      </c>
      <c r="AA960" s="1">
        <v>62.3</v>
      </c>
      <c r="AB960" s="1" t="b">
        <v>0</v>
      </c>
      <c r="AC960" s="1">
        <v>0</v>
      </c>
      <c r="AD960" s="1">
        <v>2291344</v>
      </c>
      <c r="AE960" s="1">
        <v>138479984</v>
      </c>
      <c r="AF960" s="1" t="s">
        <v>3962</v>
      </c>
      <c r="AG960" s="1" t="s">
        <v>3962</v>
      </c>
      <c r="AH960" s="1">
        <v>57.3</v>
      </c>
      <c r="AI960" s="1">
        <v>58.9</v>
      </c>
      <c r="AJ960" s="1" t="s">
        <v>3963</v>
      </c>
      <c r="AK960" s="1" t="s">
        <v>3964</v>
      </c>
      <c r="AL960" s="1" t="s">
        <v>3965</v>
      </c>
    </row>
    <row r="961" spans="1:38" x14ac:dyDescent="0.6">
      <c r="A961" s="1">
        <v>667</v>
      </c>
      <c r="B961" s="1" t="s">
        <v>103</v>
      </c>
      <c r="C961" s="1">
        <v>50</v>
      </c>
      <c r="D961" s="1" t="s">
        <v>89</v>
      </c>
      <c r="E961" s="1" t="s">
        <v>90</v>
      </c>
      <c r="F961" s="1"/>
      <c r="G961" s="1"/>
      <c r="H961" s="1" t="s">
        <v>220</v>
      </c>
      <c r="I961" s="1" t="s">
        <v>221</v>
      </c>
      <c r="J961" s="1" t="s">
        <v>222</v>
      </c>
      <c r="K961" s="1">
        <v>1.25</v>
      </c>
      <c r="L961" s="1">
        <v>120</v>
      </c>
      <c r="M961" s="1" t="s">
        <v>94</v>
      </c>
      <c r="N961" s="1" t="s">
        <v>95</v>
      </c>
      <c r="O961" s="1"/>
      <c r="P961" s="1" t="s">
        <v>96</v>
      </c>
      <c r="Q961" s="1" t="s">
        <v>9</v>
      </c>
      <c r="R961" s="1">
        <v>0</v>
      </c>
      <c r="S961" s="1" t="s">
        <v>97</v>
      </c>
      <c r="T961" s="1" t="s">
        <v>97</v>
      </c>
      <c r="U961" s="1" t="b">
        <v>1</v>
      </c>
      <c r="V961" s="1" t="b">
        <v>0</v>
      </c>
      <c r="W961" s="1" t="b">
        <v>0</v>
      </c>
      <c r="X961" s="1">
        <v>0</v>
      </c>
      <c r="Y961" s="1" t="b">
        <v>1</v>
      </c>
      <c r="Z961" s="1" t="b">
        <v>1</v>
      </c>
      <c r="AA961" s="1">
        <v>82.9</v>
      </c>
      <c r="AB961" s="1" t="b">
        <v>1</v>
      </c>
      <c r="AC961" s="1">
        <v>133258455</v>
      </c>
      <c r="AD961" s="1">
        <v>1745705</v>
      </c>
      <c r="AE961" s="1">
        <v>0</v>
      </c>
      <c r="AF961" s="1" t="s">
        <v>3966</v>
      </c>
      <c r="AG961" s="1" t="s">
        <v>3967</v>
      </c>
      <c r="AH961" s="1">
        <v>90.4</v>
      </c>
      <c r="AI961" s="1">
        <v>80.7</v>
      </c>
      <c r="AJ961" s="1" t="s">
        <v>3968</v>
      </c>
      <c r="AK961" s="1" t="s">
        <v>3969</v>
      </c>
      <c r="AL961" s="1" t="s">
        <v>3970</v>
      </c>
    </row>
    <row r="962" spans="1:38" x14ac:dyDescent="0.6">
      <c r="A962" s="1">
        <v>675</v>
      </c>
      <c r="B962" s="1" t="s">
        <v>88</v>
      </c>
      <c r="C962" s="1">
        <v>70</v>
      </c>
      <c r="D962" s="1" t="s">
        <v>119</v>
      </c>
      <c r="E962" s="1" t="s">
        <v>90</v>
      </c>
      <c r="F962" s="1"/>
      <c r="G962" s="1"/>
      <c r="H962" s="1" t="s">
        <v>220</v>
      </c>
      <c r="I962" s="1" t="s">
        <v>221</v>
      </c>
      <c r="J962" s="1" t="s">
        <v>222</v>
      </c>
      <c r="K962" s="1">
        <v>1.25</v>
      </c>
      <c r="L962" s="1">
        <v>120</v>
      </c>
      <c r="M962" s="1" t="s">
        <v>94</v>
      </c>
      <c r="N962" s="1" t="s">
        <v>95</v>
      </c>
      <c r="O962" s="1"/>
      <c r="P962" s="1" t="s">
        <v>96</v>
      </c>
      <c r="Q962" s="1" t="s">
        <v>9</v>
      </c>
      <c r="R962" s="1">
        <v>0</v>
      </c>
      <c r="S962" s="1" t="s">
        <v>97</v>
      </c>
      <c r="T962" s="1" t="s">
        <v>97</v>
      </c>
      <c r="U962" s="1" t="b">
        <v>1</v>
      </c>
      <c r="V962" s="1" t="b">
        <v>0</v>
      </c>
      <c r="W962" s="1" t="b">
        <v>0</v>
      </c>
      <c r="X962" s="1">
        <v>0</v>
      </c>
      <c r="Y962" s="1" t="b">
        <v>1</v>
      </c>
      <c r="Z962" s="1" t="b">
        <v>1</v>
      </c>
      <c r="AA962" s="1">
        <v>75</v>
      </c>
      <c r="AB962" s="1" t="b">
        <v>1</v>
      </c>
      <c r="AC962" s="1">
        <v>173354535</v>
      </c>
      <c r="AD962" s="1">
        <v>2806233</v>
      </c>
      <c r="AE962" s="1">
        <v>0</v>
      </c>
      <c r="AF962" s="1" t="s">
        <v>3957</v>
      </c>
      <c r="AG962" s="1" t="s">
        <v>3958</v>
      </c>
      <c r="AH962" s="1">
        <v>85</v>
      </c>
      <c r="AI962" s="1">
        <v>72</v>
      </c>
      <c r="AJ962" s="1" t="s">
        <v>3971</v>
      </c>
      <c r="AK962" s="1" t="s">
        <v>3972</v>
      </c>
      <c r="AL962" s="1" t="s">
        <v>3973</v>
      </c>
    </row>
    <row r="963" spans="1:38" x14ac:dyDescent="0.6">
      <c r="A963" s="1">
        <v>667</v>
      </c>
      <c r="B963" s="1" t="s">
        <v>103</v>
      </c>
      <c r="C963" s="1">
        <v>50</v>
      </c>
      <c r="D963" s="1" t="s">
        <v>89</v>
      </c>
      <c r="E963" s="1" t="s">
        <v>90</v>
      </c>
      <c r="F963" s="1"/>
      <c r="G963" s="1"/>
      <c r="H963" s="1" t="s">
        <v>220</v>
      </c>
      <c r="I963" s="1" t="s">
        <v>221</v>
      </c>
      <c r="J963" s="1" t="s">
        <v>222</v>
      </c>
      <c r="K963" s="1">
        <v>1.25</v>
      </c>
      <c r="L963" s="1">
        <v>120</v>
      </c>
      <c r="M963" s="1" t="s">
        <v>14</v>
      </c>
      <c r="N963" s="1" t="s">
        <v>95</v>
      </c>
      <c r="O963" s="1" t="s">
        <v>96</v>
      </c>
      <c r="P963" s="1"/>
      <c r="Q963" s="1" t="s">
        <v>9</v>
      </c>
      <c r="R963" s="1">
        <v>0</v>
      </c>
      <c r="S963" s="1" t="s">
        <v>97</v>
      </c>
      <c r="T963" s="1" t="s">
        <v>97</v>
      </c>
      <c r="U963" s="1" t="b">
        <v>1</v>
      </c>
      <c r="V963" s="1" t="b">
        <v>0</v>
      </c>
      <c r="W963" s="1" t="b">
        <v>0</v>
      </c>
      <c r="X963" s="1">
        <v>5</v>
      </c>
      <c r="Y963" s="1" t="b">
        <v>1</v>
      </c>
      <c r="Z963" s="1" t="b">
        <v>1</v>
      </c>
      <c r="AA963" s="1"/>
      <c r="AB963" s="1" t="b">
        <v>1</v>
      </c>
      <c r="AC963" s="1">
        <v>124923616</v>
      </c>
      <c r="AD963" s="1">
        <v>643360</v>
      </c>
      <c r="AE963" s="1">
        <v>0</v>
      </c>
      <c r="AF963" s="1" t="s">
        <v>3966</v>
      </c>
      <c r="AG963" s="1" t="s">
        <v>3967</v>
      </c>
      <c r="AH963" s="1">
        <v>90.4</v>
      </c>
      <c r="AI963" s="1">
        <v>80.7</v>
      </c>
      <c r="AJ963" s="1" t="s">
        <v>3974</v>
      </c>
      <c r="AK963" s="1" t="s">
        <v>3975</v>
      </c>
      <c r="AL963" s="1" t="s">
        <v>3976</v>
      </c>
    </row>
    <row r="964" spans="1:38" x14ac:dyDescent="0.6">
      <c r="A964" s="1">
        <v>677</v>
      </c>
      <c r="B964" s="1" t="s">
        <v>103</v>
      </c>
      <c r="C964" s="1">
        <v>50</v>
      </c>
      <c r="D964" s="1" t="s">
        <v>89</v>
      </c>
      <c r="E964" s="1" t="s">
        <v>90</v>
      </c>
      <c r="F964" s="1"/>
      <c r="G964" s="1"/>
      <c r="H964" s="1" t="s">
        <v>220</v>
      </c>
      <c r="I964" s="1" t="s">
        <v>221</v>
      </c>
      <c r="J964" s="1" t="s">
        <v>222</v>
      </c>
      <c r="K964" s="1">
        <v>1.25</v>
      </c>
      <c r="L964" s="1">
        <v>120</v>
      </c>
      <c r="M964" s="1" t="s">
        <v>94</v>
      </c>
      <c r="N964" s="1" t="s">
        <v>95</v>
      </c>
      <c r="O964" s="1"/>
      <c r="P964" s="1" t="s">
        <v>96</v>
      </c>
      <c r="Q964" s="1" t="s">
        <v>9</v>
      </c>
      <c r="R964" s="1">
        <v>0</v>
      </c>
      <c r="S964" s="1" t="s">
        <v>97</v>
      </c>
      <c r="T964" s="1" t="s">
        <v>97</v>
      </c>
      <c r="U964" s="1" t="b">
        <v>1</v>
      </c>
      <c r="V964" s="1" t="b">
        <v>0</v>
      </c>
      <c r="W964" s="1" t="b">
        <v>0</v>
      </c>
      <c r="X964" s="1">
        <v>0</v>
      </c>
      <c r="Y964" s="1" t="b">
        <v>1</v>
      </c>
      <c r="Z964" s="1" t="b">
        <v>1</v>
      </c>
      <c r="AA964" s="1">
        <v>84.2</v>
      </c>
      <c r="AB964" s="1" t="b">
        <v>1</v>
      </c>
      <c r="AC964" s="1">
        <v>125884460</v>
      </c>
      <c r="AD964" s="1">
        <v>1517524</v>
      </c>
      <c r="AE964" s="1">
        <v>0</v>
      </c>
      <c r="AF964" s="1" t="s">
        <v>3977</v>
      </c>
      <c r="AG964" s="1" t="s">
        <v>3978</v>
      </c>
      <c r="AH964" s="1">
        <v>79.900000000000006</v>
      </c>
      <c r="AI964" s="1">
        <v>79.3</v>
      </c>
      <c r="AJ964" s="1" t="s">
        <v>3979</v>
      </c>
      <c r="AK964" s="1" t="s">
        <v>3980</v>
      </c>
      <c r="AL964" s="1" t="s">
        <v>3981</v>
      </c>
    </row>
    <row r="965" spans="1:38" x14ac:dyDescent="0.6">
      <c r="A965" s="1">
        <v>670</v>
      </c>
      <c r="B965" s="1" t="s">
        <v>103</v>
      </c>
      <c r="C965" s="1">
        <v>50</v>
      </c>
      <c r="D965" s="1" t="s">
        <v>89</v>
      </c>
      <c r="E965" s="1" t="s">
        <v>108</v>
      </c>
      <c r="F965" s="1"/>
      <c r="G965" s="1"/>
      <c r="H965" s="1" t="s">
        <v>220</v>
      </c>
      <c r="I965" s="1" t="s">
        <v>221</v>
      </c>
      <c r="J965" s="1" t="s">
        <v>222</v>
      </c>
      <c r="K965" s="1">
        <v>1.25</v>
      </c>
      <c r="L965" s="1">
        <v>120</v>
      </c>
      <c r="M965" s="1" t="s">
        <v>94</v>
      </c>
      <c r="N965" s="1" t="s">
        <v>95</v>
      </c>
      <c r="O965" s="1"/>
      <c r="P965" s="1" t="s">
        <v>96</v>
      </c>
      <c r="Q965" s="1" t="s">
        <v>9</v>
      </c>
      <c r="R965" s="1">
        <v>0</v>
      </c>
      <c r="S965" s="1" t="s">
        <v>97</v>
      </c>
      <c r="T965" s="1" t="s">
        <v>97</v>
      </c>
      <c r="U965" s="1" t="b">
        <v>1</v>
      </c>
      <c r="V965" s="1" t="b">
        <v>0</v>
      </c>
      <c r="W965" s="1" t="b">
        <v>0</v>
      </c>
      <c r="X965" s="1">
        <v>0</v>
      </c>
      <c r="Y965" s="1" t="b">
        <v>1</v>
      </c>
      <c r="Z965" s="1" t="b">
        <v>1</v>
      </c>
      <c r="AA965" s="1">
        <v>75.2</v>
      </c>
      <c r="AB965" s="1" t="b">
        <v>1</v>
      </c>
      <c r="AC965" s="1">
        <v>156682466</v>
      </c>
      <c r="AD965" s="1">
        <v>1914654</v>
      </c>
      <c r="AE965" s="1">
        <v>0</v>
      </c>
      <c r="AF965" s="1" t="s">
        <v>3920</v>
      </c>
      <c r="AG965" s="1" t="s">
        <v>3921</v>
      </c>
      <c r="AH965" s="1">
        <v>77.5</v>
      </c>
      <c r="AI965" s="1">
        <v>73.5</v>
      </c>
      <c r="AJ965" s="1" t="s">
        <v>3982</v>
      </c>
      <c r="AK965" s="1" t="s">
        <v>3983</v>
      </c>
      <c r="AL965" s="1" t="s">
        <v>3984</v>
      </c>
    </row>
    <row r="966" spans="1:38" x14ac:dyDescent="0.6">
      <c r="A966" s="1">
        <v>677</v>
      </c>
      <c r="B966" s="1" t="s">
        <v>103</v>
      </c>
      <c r="C966" s="1">
        <v>50</v>
      </c>
      <c r="D966" s="1" t="s">
        <v>89</v>
      </c>
      <c r="E966" s="1" t="s">
        <v>90</v>
      </c>
      <c r="F966" s="1"/>
      <c r="G966" s="1"/>
      <c r="H966" s="1" t="s">
        <v>220</v>
      </c>
      <c r="I966" s="1" t="s">
        <v>221</v>
      </c>
      <c r="J966" s="1" t="s">
        <v>222</v>
      </c>
      <c r="K966" s="1">
        <v>1.25</v>
      </c>
      <c r="L966" s="1">
        <v>120</v>
      </c>
      <c r="M966" s="1" t="s">
        <v>14</v>
      </c>
      <c r="N966" s="1" t="s">
        <v>95</v>
      </c>
      <c r="O966" s="1" t="s">
        <v>96</v>
      </c>
      <c r="P966" s="1"/>
      <c r="Q966" s="1" t="s">
        <v>9</v>
      </c>
      <c r="R966" s="1">
        <v>0</v>
      </c>
      <c r="S966" s="1" t="s">
        <v>97</v>
      </c>
      <c r="T966" s="1" t="s">
        <v>97</v>
      </c>
      <c r="U966" s="1" t="b">
        <v>1</v>
      </c>
      <c r="V966" s="1" t="b">
        <v>0</v>
      </c>
      <c r="W966" s="1" t="b">
        <v>0</v>
      </c>
      <c r="X966" s="1">
        <v>5</v>
      </c>
      <c r="Y966" s="1" t="b">
        <v>1</v>
      </c>
      <c r="Z966" s="1" t="b">
        <v>1</v>
      </c>
      <c r="AA966" s="1"/>
      <c r="AB966" s="1" t="b">
        <v>1</v>
      </c>
      <c r="AC966" s="1">
        <v>123370754</v>
      </c>
      <c r="AD966" s="1">
        <v>361214</v>
      </c>
      <c r="AE966" s="1">
        <v>0</v>
      </c>
      <c r="AF966" s="1" t="s">
        <v>3977</v>
      </c>
      <c r="AG966" s="1" t="s">
        <v>3978</v>
      </c>
      <c r="AH966" s="1">
        <v>79.900000000000006</v>
      </c>
      <c r="AI966" s="1">
        <v>79.3</v>
      </c>
      <c r="AJ966" s="1" t="s">
        <v>3985</v>
      </c>
      <c r="AK966" s="1" t="s">
        <v>3986</v>
      </c>
      <c r="AL966" s="1" t="s">
        <v>3987</v>
      </c>
    </row>
    <row r="967" spans="1:38" x14ac:dyDescent="0.6">
      <c r="A967" s="1">
        <v>664</v>
      </c>
      <c r="B967" s="1" t="s">
        <v>88</v>
      </c>
      <c r="C967" s="1">
        <v>80</v>
      </c>
      <c r="D967" s="1" t="s">
        <v>153</v>
      </c>
      <c r="E967" s="1" t="s">
        <v>90</v>
      </c>
      <c r="F967" s="1"/>
      <c r="G967" s="1"/>
      <c r="H967" s="1" t="s">
        <v>220</v>
      </c>
      <c r="I967" s="1" t="s">
        <v>221</v>
      </c>
      <c r="J967" s="1" t="s">
        <v>222</v>
      </c>
      <c r="K967" s="1">
        <v>1.25</v>
      </c>
      <c r="L967" s="1">
        <v>120</v>
      </c>
      <c r="M967" s="1" t="s">
        <v>7</v>
      </c>
      <c r="N967" s="1" t="s">
        <v>7</v>
      </c>
      <c r="O967" s="1" t="s">
        <v>96</v>
      </c>
      <c r="P967" s="1" t="s">
        <v>96</v>
      </c>
      <c r="Q967" s="1" t="s">
        <v>9</v>
      </c>
      <c r="R967" s="1">
        <v>0</v>
      </c>
      <c r="S967" s="1" t="s">
        <v>97</v>
      </c>
      <c r="T967" s="1" t="s">
        <v>97</v>
      </c>
      <c r="U967" s="1" t="b">
        <v>1</v>
      </c>
      <c r="V967" s="1" t="b">
        <v>0</v>
      </c>
      <c r="W967" s="1" t="b">
        <v>0</v>
      </c>
      <c r="X967" s="1">
        <v>5</v>
      </c>
      <c r="Y967" s="1" t="b">
        <v>1</v>
      </c>
      <c r="Z967" s="1" t="b">
        <v>1</v>
      </c>
      <c r="AA967" s="1">
        <v>51.4</v>
      </c>
      <c r="AB967" s="1" t="b">
        <v>0</v>
      </c>
      <c r="AC967" s="1">
        <v>0</v>
      </c>
      <c r="AD967" s="1">
        <v>2550113</v>
      </c>
      <c r="AE967" s="1">
        <v>141366943</v>
      </c>
      <c r="AF967" s="1" t="s">
        <v>3988</v>
      </c>
      <c r="AG967" s="1" t="s">
        <v>3988</v>
      </c>
      <c r="AH967" s="1">
        <v>47.2</v>
      </c>
      <c r="AI967" s="1">
        <v>46.9</v>
      </c>
      <c r="AJ967" s="1" t="s">
        <v>3989</v>
      </c>
      <c r="AK967" s="1" t="s">
        <v>3990</v>
      </c>
      <c r="AL967" s="1" t="s">
        <v>3991</v>
      </c>
    </row>
    <row r="968" spans="1:38" x14ac:dyDescent="0.6">
      <c r="A968" s="1">
        <v>673</v>
      </c>
      <c r="B968" s="1" t="s">
        <v>88</v>
      </c>
      <c r="C968" s="1">
        <v>50</v>
      </c>
      <c r="D968" s="1" t="s">
        <v>89</v>
      </c>
      <c r="E968" s="1" t="s">
        <v>90</v>
      </c>
      <c r="F968" s="1"/>
      <c r="G968" s="1"/>
      <c r="H968" s="1" t="s">
        <v>220</v>
      </c>
      <c r="I968" s="1" t="s">
        <v>221</v>
      </c>
      <c r="J968" s="1" t="s">
        <v>222</v>
      </c>
      <c r="K968" s="1">
        <v>1.25</v>
      </c>
      <c r="L968" s="1">
        <v>120</v>
      </c>
      <c r="M968" s="1" t="s">
        <v>94</v>
      </c>
      <c r="N968" s="1" t="s">
        <v>95</v>
      </c>
      <c r="O968" s="1"/>
      <c r="P968" s="1" t="s">
        <v>96</v>
      </c>
      <c r="Q968" s="1" t="s">
        <v>9</v>
      </c>
      <c r="R968" s="1">
        <v>0</v>
      </c>
      <c r="S968" s="1" t="s">
        <v>97</v>
      </c>
      <c r="T968" s="1" t="s">
        <v>97</v>
      </c>
      <c r="U968" s="1" t="b">
        <v>1</v>
      </c>
      <c r="V968" s="1" t="b">
        <v>0</v>
      </c>
      <c r="W968" s="1" t="b">
        <v>0</v>
      </c>
      <c r="X968" s="1">
        <v>0</v>
      </c>
      <c r="Y968" s="1" t="b">
        <v>1</v>
      </c>
      <c r="Z968" s="1" t="b">
        <v>1</v>
      </c>
      <c r="AA968" s="1">
        <v>86.3</v>
      </c>
      <c r="AB968" s="1" t="b">
        <v>1</v>
      </c>
      <c r="AC968" s="1">
        <v>134609975</v>
      </c>
      <c r="AD968" s="1">
        <v>1442761</v>
      </c>
      <c r="AE968" s="1">
        <v>0</v>
      </c>
      <c r="AF968" s="1" t="s">
        <v>3937</v>
      </c>
      <c r="AG968" s="1" t="s">
        <v>3938</v>
      </c>
      <c r="AH968" s="1">
        <v>87.8</v>
      </c>
      <c r="AI968" s="1">
        <v>81.8</v>
      </c>
      <c r="AJ968" s="1" t="s">
        <v>3992</v>
      </c>
      <c r="AK968" s="1" t="s">
        <v>3993</v>
      </c>
      <c r="AL968" s="1" t="s">
        <v>3994</v>
      </c>
    </row>
    <row r="969" spans="1:38" x14ac:dyDescent="0.6">
      <c r="A969" s="1">
        <v>678</v>
      </c>
      <c r="B969" s="1" t="s">
        <v>88</v>
      </c>
      <c r="C969" s="1">
        <v>50</v>
      </c>
      <c r="D969" s="1" t="s">
        <v>89</v>
      </c>
      <c r="E969" s="1" t="s">
        <v>90</v>
      </c>
      <c r="F969" s="1"/>
      <c r="G969" s="1"/>
      <c r="H969" s="1" t="s">
        <v>220</v>
      </c>
      <c r="I969" s="1" t="s">
        <v>221</v>
      </c>
      <c r="J969" s="1" t="s">
        <v>222</v>
      </c>
      <c r="K969" s="1">
        <v>1.25</v>
      </c>
      <c r="L969" s="1">
        <v>120</v>
      </c>
      <c r="M969" s="1" t="s">
        <v>7</v>
      </c>
      <c r="N969" s="1" t="s">
        <v>7</v>
      </c>
      <c r="O969" s="1" t="s">
        <v>96</v>
      </c>
      <c r="P969" s="1" t="s">
        <v>96</v>
      </c>
      <c r="Q969" s="1" t="s">
        <v>9</v>
      </c>
      <c r="R969" s="1">
        <v>0</v>
      </c>
      <c r="S969" s="1" t="s">
        <v>97</v>
      </c>
      <c r="T969" s="1" t="s">
        <v>97</v>
      </c>
      <c r="U969" s="1" t="b">
        <v>1</v>
      </c>
      <c r="V969" s="1" t="b">
        <v>0</v>
      </c>
      <c r="W969" s="1" t="b">
        <v>0</v>
      </c>
      <c r="X969" s="1">
        <v>5</v>
      </c>
      <c r="Y969" s="1" t="b">
        <v>1</v>
      </c>
      <c r="Z969" s="1" t="b">
        <v>1</v>
      </c>
      <c r="AA969" s="1">
        <v>84.4</v>
      </c>
      <c r="AB969" s="1" t="b">
        <v>0</v>
      </c>
      <c r="AC969" s="1">
        <v>0</v>
      </c>
      <c r="AD969" s="1">
        <v>1714059</v>
      </c>
      <c r="AE969" s="1">
        <v>148756597</v>
      </c>
      <c r="AF969" s="1" t="s">
        <v>3995</v>
      </c>
      <c r="AG969" s="1" t="s">
        <v>3995</v>
      </c>
      <c r="AH969" s="1">
        <v>82.6</v>
      </c>
      <c r="AI969" s="1">
        <v>79.599999999999994</v>
      </c>
      <c r="AJ969" s="1" t="s">
        <v>3996</v>
      </c>
      <c r="AK969" s="1" t="s">
        <v>3997</v>
      </c>
      <c r="AL969" s="1" t="s">
        <v>3998</v>
      </c>
    </row>
    <row r="970" spans="1:38" x14ac:dyDescent="0.6">
      <c r="A970" s="1">
        <v>679</v>
      </c>
      <c r="B970" s="1" t="s">
        <v>88</v>
      </c>
      <c r="C970" s="1">
        <v>60</v>
      </c>
      <c r="D970" s="1" t="s">
        <v>127</v>
      </c>
      <c r="E970" s="1" t="s">
        <v>90</v>
      </c>
      <c r="F970" s="1"/>
      <c r="G970" s="1"/>
      <c r="H970" s="1" t="s">
        <v>220</v>
      </c>
      <c r="I970" s="1" t="s">
        <v>221</v>
      </c>
      <c r="J970" s="1" t="s">
        <v>222</v>
      </c>
      <c r="K970" s="1">
        <v>1.25</v>
      </c>
      <c r="L970" s="1">
        <v>120</v>
      </c>
      <c r="M970" s="1" t="s">
        <v>7</v>
      </c>
      <c r="N970" s="1" t="s">
        <v>7</v>
      </c>
      <c r="O970" s="1" t="s">
        <v>96</v>
      </c>
      <c r="P970" s="1" t="s">
        <v>96</v>
      </c>
      <c r="Q970" s="1" t="s">
        <v>9</v>
      </c>
      <c r="R970" s="1">
        <v>0</v>
      </c>
      <c r="S970" s="1" t="s">
        <v>97</v>
      </c>
      <c r="T970" s="1" t="s">
        <v>97</v>
      </c>
      <c r="U970" s="1" t="b">
        <v>1</v>
      </c>
      <c r="V970" s="1" t="b">
        <v>0</v>
      </c>
      <c r="W970" s="1" t="b">
        <v>0</v>
      </c>
      <c r="X970" s="1">
        <v>5</v>
      </c>
      <c r="Y970" s="1" t="b">
        <v>1</v>
      </c>
      <c r="Z970" s="1" t="b">
        <v>1</v>
      </c>
      <c r="AA970" s="1">
        <v>62.8</v>
      </c>
      <c r="AB970" s="1" t="b">
        <v>0</v>
      </c>
      <c r="AC970" s="1">
        <v>0</v>
      </c>
      <c r="AD970" s="1">
        <v>2837108</v>
      </c>
      <c r="AE970" s="1">
        <v>137409932</v>
      </c>
      <c r="AF970" s="1" t="s">
        <v>3999</v>
      </c>
      <c r="AG970" s="1" t="s">
        <v>3999</v>
      </c>
      <c r="AH970" s="1">
        <v>68.3</v>
      </c>
      <c r="AI970" s="1">
        <v>60.8</v>
      </c>
      <c r="AJ970" s="1" t="s">
        <v>4000</v>
      </c>
      <c r="AK970" s="1" t="s">
        <v>4001</v>
      </c>
      <c r="AL970" s="1" t="s">
        <v>4002</v>
      </c>
    </row>
    <row r="971" spans="1:38" x14ac:dyDescent="0.6">
      <c r="A971" s="1">
        <v>682</v>
      </c>
      <c r="B971" s="1" t="s">
        <v>103</v>
      </c>
      <c r="C971" s="1">
        <v>60</v>
      </c>
      <c r="D971" s="1" t="s">
        <v>127</v>
      </c>
      <c r="E971" s="1" t="s">
        <v>108</v>
      </c>
      <c r="F971" s="1"/>
      <c r="G971" s="1"/>
      <c r="H971" s="1" t="s">
        <v>91</v>
      </c>
      <c r="I971" s="1" t="s">
        <v>92</v>
      </c>
      <c r="J971" s="1" t="s">
        <v>109</v>
      </c>
      <c r="K971" s="1">
        <v>1</v>
      </c>
      <c r="L971" s="1">
        <v>120</v>
      </c>
      <c r="M971" s="1" t="s">
        <v>14</v>
      </c>
      <c r="N971" s="1" t="s">
        <v>14</v>
      </c>
      <c r="O971" s="1" t="s">
        <v>96</v>
      </c>
      <c r="P971" s="1"/>
      <c r="Q971" s="1" t="s">
        <v>9</v>
      </c>
      <c r="R971" s="1">
        <v>0</v>
      </c>
      <c r="S971" s="1"/>
      <c r="T971" s="1" t="s">
        <v>97</v>
      </c>
      <c r="U971" s="1"/>
      <c r="V971" s="1" t="b">
        <v>0</v>
      </c>
      <c r="W971" s="1" t="b">
        <v>0</v>
      </c>
      <c r="X971" s="1">
        <v>5</v>
      </c>
      <c r="Y971" s="1" t="b">
        <v>1</v>
      </c>
      <c r="Z971" s="1" t="b">
        <v>1</v>
      </c>
      <c r="AA971" s="1"/>
      <c r="AB971" s="1" t="b">
        <v>1</v>
      </c>
      <c r="AC971" s="1">
        <v>129131952</v>
      </c>
      <c r="AD971" s="1">
        <v>629328</v>
      </c>
      <c r="AE971" s="1">
        <v>0</v>
      </c>
      <c r="AF971" s="1" t="s">
        <v>4003</v>
      </c>
      <c r="AG971" s="1"/>
      <c r="AH971" s="1">
        <v>67.099999999999994</v>
      </c>
      <c r="AI971" s="1"/>
      <c r="AJ971" s="1" t="s">
        <v>4004</v>
      </c>
      <c r="AK971" s="1" t="s">
        <v>4005</v>
      </c>
      <c r="AL971" s="1" t="s">
        <v>4006</v>
      </c>
    </row>
    <row r="972" spans="1:38" x14ac:dyDescent="0.6">
      <c r="A972" s="1">
        <v>684</v>
      </c>
      <c r="B972" s="1" t="s">
        <v>88</v>
      </c>
      <c r="C972" s="1">
        <v>50</v>
      </c>
      <c r="D972" s="1" t="s">
        <v>89</v>
      </c>
      <c r="E972" s="1" t="s">
        <v>108</v>
      </c>
      <c r="F972" s="1"/>
      <c r="G972" s="1"/>
      <c r="H972" s="1" t="s">
        <v>91</v>
      </c>
      <c r="I972" s="1" t="s">
        <v>92</v>
      </c>
      <c r="J972" s="1" t="s">
        <v>109</v>
      </c>
      <c r="K972" s="1">
        <v>1</v>
      </c>
      <c r="L972" s="1">
        <v>120</v>
      </c>
      <c r="M972" s="1" t="s">
        <v>94</v>
      </c>
      <c r="N972" s="1" t="s">
        <v>95</v>
      </c>
      <c r="O972" s="1"/>
      <c r="P972" s="1" t="s">
        <v>96</v>
      </c>
      <c r="Q972" s="1" t="s">
        <v>9</v>
      </c>
      <c r="R972" s="1">
        <v>0</v>
      </c>
      <c r="S972" s="1" t="s">
        <v>97</v>
      </c>
      <c r="T972" s="1" t="s">
        <v>97</v>
      </c>
      <c r="U972" s="1" t="b">
        <v>1</v>
      </c>
      <c r="V972" s="1" t="b">
        <v>0</v>
      </c>
      <c r="W972" s="1" t="b">
        <v>0</v>
      </c>
      <c r="X972" s="1">
        <v>0</v>
      </c>
      <c r="Y972" s="1" t="b">
        <v>1</v>
      </c>
      <c r="Z972" s="1" t="b">
        <v>1</v>
      </c>
      <c r="AA972" s="1">
        <v>73.7</v>
      </c>
      <c r="AB972" s="1" t="b">
        <v>1</v>
      </c>
      <c r="AC972" s="1">
        <v>133107664</v>
      </c>
      <c r="AD972" s="1">
        <v>2158640</v>
      </c>
      <c r="AE972" s="1">
        <v>0</v>
      </c>
      <c r="AF972" s="1" t="s">
        <v>4007</v>
      </c>
      <c r="AG972" s="1" t="s">
        <v>4008</v>
      </c>
      <c r="AH972" s="1">
        <v>79.900000000000006</v>
      </c>
      <c r="AI972" s="1">
        <v>71.8</v>
      </c>
      <c r="AJ972" s="1" t="s">
        <v>4009</v>
      </c>
      <c r="AK972" s="1" t="s">
        <v>4010</v>
      </c>
      <c r="AL972" s="1" t="s">
        <v>4011</v>
      </c>
    </row>
    <row r="973" spans="1:38" x14ac:dyDescent="0.6">
      <c r="A973" s="1">
        <v>681</v>
      </c>
      <c r="B973" s="1" t="s">
        <v>88</v>
      </c>
      <c r="C973" s="1">
        <v>50</v>
      </c>
      <c r="D973" s="1" t="s">
        <v>89</v>
      </c>
      <c r="E973" s="1" t="s">
        <v>108</v>
      </c>
      <c r="F973" s="1"/>
      <c r="G973" s="1"/>
      <c r="H973" s="1" t="s">
        <v>220</v>
      </c>
      <c r="I973" s="1" t="s">
        <v>221</v>
      </c>
      <c r="J973" s="1" t="s">
        <v>1176</v>
      </c>
      <c r="K973" s="1">
        <v>1.25</v>
      </c>
      <c r="L973" s="1">
        <v>120</v>
      </c>
      <c r="M973" s="1" t="s">
        <v>7</v>
      </c>
      <c r="N973" s="1" t="s">
        <v>7</v>
      </c>
      <c r="O973" s="1" t="s">
        <v>96</v>
      </c>
      <c r="P973" s="1" t="s">
        <v>96</v>
      </c>
      <c r="Q973" s="1" t="s">
        <v>9</v>
      </c>
      <c r="R973" s="1">
        <v>0</v>
      </c>
      <c r="S973" s="1" t="s">
        <v>97</v>
      </c>
      <c r="T973" s="1" t="s">
        <v>97</v>
      </c>
      <c r="U973" s="1" t="b">
        <v>1</v>
      </c>
      <c r="V973" s="1" t="b">
        <v>0</v>
      </c>
      <c r="W973" s="1" t="b">
        <v>0</v>
      </c>
      <c r="X973" s="1">
        <v>5</v>
      </c>
      <c r="Y973" s="1" t="b">
        <v>1</v>
      </c>
      <c r="Z973" s="1" t="b">
        <v>1</v>
      </c>
      <c r="AA973" s="1">
        <v>77.7</v>
      </c>
      <c r="AB973" s="1" t="b">
        <v>0</v>
      </c>
      <c r="AC973" s="1">
        <v>0</v>
      </c>
      <c r="AD973" s="1">
        <v>3459266</v>
      </c>
      <c r="AE973" s="1">
        <v>144127806</v>
      </c>
      <c r="AF973" s="1" t="s">
        <v>4012</v>
      </c>
      <c r="AG973" s="1" t="s">
        <v>4012</v>
      </c>
      <c r="AH973" s="1">
        <v>85.7</v>
      </c>
      <c r="AI973" s="1">
        <v>77</v>
      </c>
      <c r="AJ973" s="1" t="s">
        <v>4013</v>
      </c>
      <c r="AK973" s="1" t="s">
        <v>4014</v>
      </c>
      <c r="AL973" s="1" t="s">
        <v>4015</v>
      </c>
    </row>
    <row r="974" spans="1:38" x14ac:dyDescent="0.6">
      <c r="A974" s="1">
        <v>672</v>
      </c>
      <c r="B974" s="1" t="s">
        <v>103</v>
      </c>
      <c r="C974" s="1">
        <v>50</v>
      </c>
      <c r="D974" s="1" t="s">
        <v>89</v>
      </c>
      <c r="E974" s="1" t="s">
        <v>90</v>
      </c>
      <c r="F974" s="1"/>
      <c r="G974" s="1"/>
      <c r="H974" s="1" t="s">
        <v>220</v>
      </c>
      <c r="I974" s="1" t="s">
        <v>221</v>
      </c>
      <c r="J974" s="1" t="s">
        <v>222</v>
      </c>
      <c r="K974" s="1">
        <v>1.25</v>
      </c>
      <c r="L974" s="1">
        <v>120</v>
      </c>
      <c r="M974" s="1" t="s">
        <v>14</v>
      </c>
      <c r="N974" s="1" t="s">
        <v>95</v>
      </c>
      <c r="O974" s="1" t="s">
        <v>96</v>
      </c>
      <c r="P974" s="1"/>
      <c r="Q974" s="1" t="s">
        <v>200</v>
      </c>
      <c r="R974" s="1">
        <v>1</v>
      </c>
      <c r="S974" s="1" t="s">
        <v>97</v>
      </c>
      <c r="T974" s="1" t="s">
        <v>200</v>
      </c>
      <c r="U974" s="1" t="b">
        <v>0</v>
      </c>
      <c r="V974" s="1" t="b">
        <v>1</v>
      </c>
      <c r="W974" s="1" t="b">
        <v>1</v>
      </c>
      <c r="X974" s="1">
        <v>6</v>
      </c>
      <c r="Y974" s="1" t="b">
        <v>1</v>
      </c>
      <c r="Z974" s="1" t="b">
        <v>1</v>
      </c>
      <c r="AA974" s="1"/>
      <c r="AB974" s="1" t="b">
        <v>1</v>
      </c>
      <c r="AC974" s="1">
        <v>136604747</v>
      </c>
      <c r="AD974" s="1">
        <v>496565</v>
      </c>
      <c r="AE974" s="1">
        <v>0</v>
      </c>
      <c r="AF974" s="1" t="s">
        <v>3925</v>
      </c>
      <c r="AG974" s="1" t="s">
        <v>3926</v>
      </c>
      <c r="AH974" s="1">
        <v>73.8</v>
      </c>
      <c r="AI974" s="1">
        <v>70.400000000000006</v>
      </c>
      <c r="AJ974" s="1" t="s">
        <v>4016</v>
      </c>
      <c r="AK974" s="1" t="s">
        <v>4017</v>
      </c>
      <c r="AL974" s="1" t="s">
        <v>4018</v>
      </c>
    </row>
    <row r="975" spans="1:38" x14ac:dyDescent="0.6">
      <c r="A975" s="1">
        <v>683</v>
      </c>
      <c r="B975" s="1" t="s">
        <v>88</v>
      </c>
      <c r="C975" s="1">
        <v>60</v>
      </c>
      <c r="D975" s="1" t="s">
        <v>127</v>
      </c>
      <c r="E975" s="1" t="s">
        <v>90</v>
      </c>
      <c r="F975" s="1"/>
      <c r="G975" s="1"/>
      <c r="H975" s="1" t="s">
        <v>91</v>
      </c>
      <c r="I975" s="1" t="s">
        <v>92</v>
      </c>
      <c r="J975" s="1" t="s">
        <v>109</v>
      </c>
      <c r="K975" s="1">
        <v>1</v>
      </c>
      <c r="L975" s="1">
        <v>120</v>
      </c>
      <c r="M975" s="1" t="s">
        <v>7</v>
      </c>
      <c r="N975" s="1" t="s">
        <v>7</v>
      </c>
      <c r="O975" s="1" t="s">
        <v>96</v>
      </c>
      <c r="P975" s="1" t="s">
        <v>96</v>
      </c>
      <c r="Q975" s="1" t="s">
        <v>9</v>
      </c>
      <c r="R975" s="1">
        <v>0</v>
      </c>
      <c r="S975" s="1" t="s">
        <v>97</v>
      </c>
      <c r="T975" s="1" t="s">
        <v>97</v>
      </c>
      <c r="U975" s="1" t="b">
        <v>1</v>
      </c>
      <c r="V975" s="1" t="b">
        <v>0</v>
      </c>
      <c r="W975" s="1" t="b">
        <v>0</v>
      </c>
      <c r="X975" s="1">
        <v>5</v>
      </c>
      <c r="Y975" s="1" t="b">
        <v>1</v>
      </c>
      <c r="Z975" s="1" t="b">
        <v>1</v>
      </c>
      <c r="AA975" s="1">
        <v>81.599999999999994</v>
      </c>
      <c r="AB975" s="1" t="b">
        <v>0</v>
      </c>
      <c r="AC975" s="1">
        <v>0</v>
      </c>
      <c r="AD975" s="1">
        <v>2187562</v>
      </c>
      <c r="AE975" s="1">
        <v>129146582</v>
      </c>
      <c r="AF975" s="1" t="s">
        <v>4019</v>
      </c>
      <c r="AG975" s="1" t="s">
        <v>4019</v>
      </c>
      <c r="AH975" s="1">
        <v>79.400000000000006</v>
      </c>
      <c r="AI975" s="1">
        <v>77.8</v>
      </c>
      <c r="AJ975" s="1" t="s">
        <v>4020</v>
      </c>
      <c r="AK975" s="1" t="s">
        <v>4021</v>
      </c>
      <c r="AL975" s="1" t="s">
        <v>4022</v>
      </c>
    </row>
    <row r="976" spans="1:38" x14ac:dyDescent="0.6">
      <c r="A976" s="1">
        <v>685</v>
      </c>
      <c r="B976" s="1" t="s">
        <v>103</v>
      </c>
      <c r="C976" s="1">
        <v>70</v>
      </c>
      <c r="D976" s="1" t="s">
        <v>119</v>
      </c>
      <c r="E976" s="1" t="s">
        <v>90</v>
      </c>
      <c r="F976" s="1"/>
      <c r="G976" s="1"/>
      <c r="H976" s="1" t="s">
        <v>91</v>
      </c>
      <c r="I976" s="1" t="s">
        <v>92</v>
      </c>
      <c r="J976" s="1" t="s">
        <v>109</v>
      </c>
      <c r="K976" s="1">
        <v>1</v>
      </c>
      <c r="L976" s="1">
        <v>120</v>
      </c>
      <c r="M976" s="1" t="s">
        <v>14</v>
      </c>
      <c r="N976" s="1" t="s">
        <v>95</v>
      </c>
      <c r="O976" s="1" t="s">
        <v>96</v>
      </c>
      <c r="P976" s="1"/>
      <c r="Q976" s="1" t="s">
        <v>9</v>
      </c>
      <c r="R976" s="1">
        <v>0</v>
      </c>
      <c r="S976" s="1" t="s">
        <v>97</v>
      </c>
      <c r="T976" s="1" t="s">
        <v>97</v>
      </c>
      <c r="U976" s="1" t="b">
        <v>1</v>
      </c>
      <c r="V976" s="1" t="b">
        <v>0</v>
      </c>
      <c r="W976" s="1" t="b">
        <v>0</v>
      </c>
      <c r="X976" s="1">
        <v>5</v>
      </c>
      <c r="Y976" s="1" t="b">
        <v>1</v>
      </c>
      <c r="Z976" s="1" t="b">
        <v>1</v>
      </c>
      <c r="AA976" s="1"/>
      <c r="AB976" s="1" t="b">
        <v>1</v>
      </c>
      <c r="AC976" s="1">
        <v>142534693</v>
      </c>
      <c r="AD976" s="1">
        <v>595931</v>
      </c>
      <c r="AE976" s="1">
        <v>0</v>
      </c>
      <c r="AF976" s="1" t="s">
        <v>4023</v>
      </c>
      <c r="AG976" s="1" t="s">
        <v>4024</v>
      </c>
      <c r="AH976" s="1">
        <v>58.5</v>
      </c>
      <c r="AI976" s="1">
        <v>57.1</v>
      </c>
      <c r="AJ976" s="1" t="s">
        <v>4025</v>
      </c>
      <c r="AK976" s="1" t="s">
        <v>4026</v>
      </c>
      <c r="AL976" s="1" t="s">
        <v>4027</v>
      </c>
    </row>
    <row r="977" spans="1:38" x14ac:dyDescent="0.6">
      <c r="A977" s="1">
        <v>688</v>
      </c>
      <c r="B977" s="1" t="s">
        <v>103</v>
      </c>
      <c r="C977" s="1">
        <v>50</v>
      </c>
      <c r="D977" s="1" t="s">
        <v>89</v>
      </c>
      <c r="E977" s="1" t="s">
        <v>108</v>
      </c>
      <c r="F977" s="1"/>
      <c r="G977" s="1"/>
      <c r="H977" s="1" t="s">
        <v>91</v>
      </c>
      <c r="I977" s="1" t="s">
        <v>92</v>
      </c>
      <c r="J977" s="1" t="s">
        <v>109</v>
      </c>
      <c r="K977" s="1">
        <v>1</v>
      </c>
      <c r="L977" s="1">
        <v>120</v>
      </c>
      <c r="M977" s="1" t="s">
        <v>94</v>
      </c>
      <c r="N977" s="1" t="s">
        <v>95</v>
      </c>
      <c r="O977" s="1"/>
      <c r="P977" s="1" t="s">
        <v>96</v>
      </c>
      <c r="Q977" s="1" t="s">
        <v>9</v>
      </c>
      <c r="R977" s="1">
        <v>0</v>
      </c>
      <c r="S977" s="1" t="s">
        <v>97</v>
      </c>
      <c r="T977" s="1" t="s">
        <v>97</v>
      </c>
      <c r="U977" s="1" t="b">
        <v>1</v>
      </c>
      <c r="V977" s="1" t="b">
        <v>0</v>
      </c>
      <c r="W977" s="1" t="b">
        <v>0</v>
      </c>
      <c r="X977" s="1">
        <v>0</v>
      </c>
      <c r="Y977" s="1" t="b">
        <v>1</v>
      </c>
      <c r="Z977" s="1" t="b">
        <v>1</v>
      </c>
      <c r="AA977" s="1">
        <v>67.5</v>
      </c>
      <c r="AB977" s="1" t="b">
        <v>1</v>
      </c>
      <c r="AC977" s="1">
        <v>137220119</v>
      </c>
      <c r="AD977" s="1">
        <v>1454057</v>
      </c>
      <c r="AE977" s="1">
        <v>0</v>
      </c>
      <c r="AF977" s="1" t="s">
        <v>4028</v>
      </c>
      <c r="AG977" s="1" t="s">
        <v>4029</v>
      </c>
      <c r="AH977" s="1">
        <v>74.900000000000006</v>
      </c>
      <c r="AI977" s="1">
        <v>67</v>
      </c>
      <c r="AJ977" s="1" t="s">
        <v>4030</v>
      </c>
      <c r="AK977" s="1" t="s">
        <v>4031</v>
      </c>
      <c r="AL977" s="1" t="s">
        <v>4032</v>
      </c>
    </row>
    <row r="978" spans="1:38" x14ac:dyDescent="0.6">
      <c r="A978" s="1">
        <v>686</v>
      </c>
      <c r="B978" s="1" t="s">
        <v>88</v>
      </c>
      <c r="C978" s="1">
        <v>50</v>
      </c>
      <c r="D978" s="1" t="s">
        <v>89</v>
      </c>
      <c r="E978" s="1" t="s">
        <v>90</v>
      </c>
      <c r="F978" s="1"/>
      <c r="G978" s="1"/>
      <c r="H978" s="1" t="s">
        <v>91</v>
      </c>
      <c r="I978" s="1" t="s">
        <v>92</v>
      </c>
      <c r="J978" s="1" t="s">
        <v>109</v>
      </c>
      <c r="K978" s="1">
        <v>1</v>
      </c>
      <c r="L978" s="1">
        <v>120</v>
      </c>
      <c r="M978" s="1" t="s">
        <v>7</v>
      </c>
      <c r="N978" s="1" t="s">
        <v>7</v>
      </c>
      <c r="O978" s="1" t="s">
        <v>96</v>
      </c>
      <c r="P978" s="1" t="s">
        <v>96</v>
      </c>
      <c r="Q978" s="1" t="s">
        <v>9</v>
      </c>
      <c r="R978" s="1">
        <v>0</v>
      </c>
      <c r="S978" s="1" t="s">
        <v>97</v>
      </c>
      <c r="T978" s="1" t="s">
        <v>97</v>
      </c>
      <c r="U978" s="1" t="b">
        <v>1</v>
      </c>
      <c r="V978" s="1" t="b">
        <v>0</v>
      </c>
      <c r="W978" s="1" t="b">
        <v>0</v>
      </c>
      <c r="X978" s="1">
        <v>5</v>
      </c>
      <c r="Y978" s="1" t="b">
        <v>1</v>
      </c>
      <c r="Z978" s="1" t="b">
        <v>1</v>
      </c>
      <c r="AA978" s="1">
        <v>79.599999999999994</v>
      </c>
      <c r="AB978" s="1" t="b">
        <v>0</v>
      </c>
      <c r="AC978" s="1">
        <v>0</v>
      </c>
      <c r="AD978" s="1">
        <v>2063055</v>
      </c>
      <c r="AE978" s="1">
        <v>140543281</v>
      </c>
      <c r="AF978" s="1" t="s">
        <v>4033</v>
      </c>
      <c r="AG978" s="1" t="s">
        <v>4033</v>
      </c>
      <c r="AH978" s="1">
        <v>77.2</v>
      </c>
      <c r="AI978" s="1">
        <v>75.900000000000006</v>
      </c>
      <c r="AJ978" s="1" t="s">
        <v>4034</v>
      </c>
      <c r="AK978" s="1" t="s">
        <v>4035</v>
      </c>
      <c r="AL978" s="1" t="s">
        <v>4036</v>
      </c>
    </row>
    <row r="979" spans="1:38" x14ac:dyDescent="0.6">
      <c r="A979" s="1">
        <v>691</v>
      </c>
      <c r="B979" s="1" t="s">
        <v>88</v>
      </c>
      <c r="C979" s="1">
        <v>60</v>
      </c>
      <c r="D979" s="1" t="s">
        <v>127</v>
      </c>
      <c r="E979" s="1" t="s">
        <v>90</v>
      </c>
      <c r="F979" s="1"/>
      <c r="G979" s="1"/>
      <c r="H979" s="1" t="s">
        <v>91</v>
      </c>
      <c r="I979" s="1" t="s">
        <v>92</v>
      </c>
      <c r="J979" s="1" t="s">
        <v>109</v>
      </c>
      <c r="K979" s="1">
        <v>1</v>
      </c>
      <c r="L979" s="1">
        <v>120</v>
      </c>
      <c r="M979" s="1" t="s">
        <v>94</v>
      </c>
      <c r="N979" s="1" t="s">
        <v>95</v>
      </c>
      <c r="O979" s="1"/>
      <c r="P979" s="1" t="s">
        <v>96</v>
      </c>
      <c r="Q979" s="1" t="s">
        <v>9</v>
      </c>
      <c r="R979" s="1">
        <v>0</v>
      </c>
      <c r="S979" s="1" t="s">
        <v>97</v>
      </c>
      <c r="T979" s="1" t="s">
        <v>97</v>
      </c>
      <c r="U979" s="1" t="b">
        <v>1</v>
      </c>
      <c r="V979" s="1" t="b">
        <v>0</v>
      </c>
      <c r="W979" s="1" t="b">
        <v>0</v>
      </c>
      <c r="X979" s="1">
        <v>0</v>
      </c>
      <c r="Y979" s="1" t="b">
        <v>1</v>
      </c>
      <c r="Z979" s="1" t="b">
        <v>1</v>
      </c>
      <c r="AA979" s="1">
        <v>69.3</v>
      </c>
      <c r="AB979" s="1" t="b">
        <v>1</v>
      </c>
      <c r="AC979" s="1">
        <v>142127375</v>
      </c>
      <c r="AD979" s="1">
        <v>1789681</v>
      </c>
      <c r="AE979" s="1">
        <v>0</v>
      </c>
      <c r="AF979" s="1" t="s">
        <v>4037</v>
      </c>
      <c r="AG979" s="1" t="s">
        <v>4038</v>
      </c>
      <c r="AH979" s="1">
        <v>71.2</v>
      </c>
      <c r="AI979" s="1">
        <v>67.3</v>
      </c>
      <c r="AJ979" s="1" t="s">
        <v>4039</v>
      </c>
      <c r="AK979" s="1" t="s">
        <v>4040</v>
      </c>
      <c r="AL979" s="1" t="s">
        <v>4041</v>
      </c>
    </row>
    <row r="980" spans="1:38" x14ac:dyDescent="0.6">
      <c r="A980" s="1">
        <v>692</v>
      </c>
      <c r="B980" s="1" t="s">
        <v>103</v>
      </c>
      <c r="C980" s="1">
        <v>60</v>
      </c>
      <c r="D980" s="1" t="s">
        <v>127</v>
      </c>
      <c r="E980" s="1" t="s">
        <v>90</v>
      </c>
      <c r="F980" s="1"/>
      <c r="G980" s="1"/>
      <c r="H980" s="1" t="s">
        <v>91</v>
      </c>
      <c r="I980" s="1" t="s">
        <v>92</v>
      </c>
      <c r="J980" s="1" t="s">
        <v>109</v>
      </c>
      <c r="K980" s="1">
        <v>1</v>
      </c>
      <c r="L980" s="1">
        <v>120</v>
      </c>
      <c r="M980" s="1" t="s">
        <v>94</v>
      </c>
      <c r="N980" s="1" t="s">
        <v>95</v>
      </c>
      <c r="O980" s="1"/>
      <c r="P980" s="1" t="s">
        <v>96</v>
      </c>
      <c r="Q980" s="1" t="s">
        <v>9</v>
      </c>
      <c r="R980" s="1">
        <v>0</v>
      </c>
      <c r="S980" s="1" t="s">
        <v>97</v>
      </c>
      <c r="T980" s="1" t="s">
        <v>97</v>
      </c>
      <c r="U980" s="1" t="b">
        <v>1</v>
      </c>
      <c r="V980" s="1" t="b">
        <v>0</v>
      </c>
      <c r="W980" s="1" t="b">
        <v>0</v>
      </c>
      <c r="X980" s="1">
        <v>0</v>
      </c>
      <c r="Y980" s="1" t="b">
        <v>1</v>
      </c>
      <c r="Z980" s="1" t="b">
        <v>1</v>
      </c>
      <c r="AA980" s="1">
        <v>74.099999999999994</v>
      </c>
      <c r="AB980" s="1" t="b">
        <v>1</v>
      </c>
      <c r="AC980" s="1">
        <v>130908014</v>
      </c>
      <c r="AD980" s="1">
        <v>3309714</v>
      </c>
      <c r="AE980" s="1">
        <v>0</v>
      </c>
      <c r="AF980" s="1" t="s">
        <v>4042</v>
      </c>
      <c r="AG980" s="1" t="s">
        <v>4043</v>
      </c>
      <c r="AH980" s="1">
        <v>76.3</v>
      </c>
      <c r="AI980" s="1">
        <v>70.5</v>
      </c>
      <c r="AJ980" s="1" t="s">
        <v>4044</v>
      </c>
      <c r="AK980" s="1" t="s">
        <v>4045</v>
      </c>
      <c r="AL980" s="1" t="s">
        <v>4046</v>
      </c>
    </row>
    <row r="981" spans="1:38" x14ac:dyDescent="0.6">
      <c r="A981" s="1">
        <v>671</v>
      </c>
      <c r="B981" s="1" t="s">
        <v>88</v>
      </c>
      <c r="C981" s="1">
        <v>70</v>
      </c>
      <c r="D981" s="1" t="s">
        <v>119</v>
      </c>
      <c r="E981" s="1" t="s">
        <v>108</v>
      </c>
      <c r="F981" s="1"/>
      <c r="G981" s="1"/>
      <c r="H981" s="1" t="s">
        <v>220</v>
      </c>
      <c r="I981" s="1" t="s">
        <v>221</v>
      </c>
      <c r="J981" s="1" t="s">
        <v>222</v>
      </c>
      <c r="K981" s="1">
        <v>1.25</v>
      </c>
      <c r="L981" s="1">
        <v>120</v>
      </c>
      <c r="M981" s="1" t="s">
        <v>7</v>
      </c>
      <c r="N981" s="1" t="s">
        <v>7</v>
      </c>
      <c r="O981" s="1" t="s">
        <v>96</v>
      </c>
      <c r="P981" s="1" t="s">
        <v>96</v>
      </c>
      <c r="Q981" s="1" t="s">
        <v>9</v>
      </c>
      <c r="R981" s="1">
        <v>0</v>
      </c>
      <c r="S981" s="1" t="s">
        <v>97</v>
      </c>
      <c r="T981" s="1" t="s">
        <v>97</v>
      </c>
      <c r="U981" s="1" t="b">
        <v>1</v>
      </c>
      <c r="V981" s="1" t="b">
        <v>0</v>
      </c>
      <c r="W981" s="1" t="b">
        <v>0</v>
      </c>
      <c r="X981" s="1">
        <v>5</v>
      </c>
      <c r="Y981" s="1" t="b">
        <v>1</v>
      </c>
      <c r="Z981" s="1" t="b">
        <v>1</v>
      </c>
      <c r="AA981" s="1">
        <v>71.400000000000006</v>
      </c>
      <c r="AB981" s="1" t="b">
        <v>0</v>
      </c>
      <c r="AC981" s="1">
        <v>0</v>
      </c>
      <c r="AD981" s="1">
        <v>3070263</v>
      </c>
      <c r="AE981" s="1">
        <v>163129033</v>
      </c>
      <c r="AF981" s="1" t="s">
        <v>4047</v>
      </c>
      <c r="AG981" s="1" t="s">
        <v>4047</v>
      </c>
      <c r="AH981" s="1">
        <v>74.3</v>
      </c>
      <c r="AI981" s="1">
        <v>67.3</v>
      </c>
      <c r="AJ981" s="1" t="s">
        <v>4048</v>
      </c>
      <c r="AK981" s="1" t="s">
        <v>4049</v>
      </c>
      <c r="AL981" s="1" t="s">
        <v>4050</v>
      </c>
    </row>
    <row r="982" spans="1:38" x14ac:dyDescent="0.6">
      <c r="A982" s="1">
        <v>690</v>
      </c>
      <c r="B982" s="1" t="s">
        <v>88</v>
      </c>
      <c r="C982" s="1">
        <v>60</v>
      </c>
      <c r="D982" s="1" t="s">
        <v>127</v>
      </c>
      <c r="E982" s="1" t="s">
        <v>108</v>
      </c>
      <c r="F982" s="1"/>
      <c r="G982" s="1"/>
      <c r="H982" s="1" t="s">
        <v>91</v>
      </c>
      <c r="I982" s="1" t="s">
        <v>92</v>
      </c>
      <c r="J982" s="1" t="s">
        <v>109</v>
      </c>
      <c r="K982" s="1">
        <v>1</v>
      </c>
      <c r="L982" s="1">
        <v>120</v>
      </c>
      <c r="M982" s="1" t="s">
        <v>7</v>
      </c>
      <c r="N982" s="1" t="s">
        <v>7</v>
      </c>
      <c r="O982" s="1" t="s">
        <v>96</v>
      </c>
      <c r="P982" s="1" t="s">
        <v>96</v>
      </c>
      <c r="Q982" s="1" t="s">
        <v>9</v>
      </c>
      <c r="R982" s="1">
        <v>0</v>
      </c>
      <c r="S982" s="1" t="s">
        <v>97</v>
      </c>
      <c r="T982" s="1" t="s">
        <v>97</v>
      </c>
      <c r="U982" s="1" t="b">
        <v>1</v>
      </c>
      <c r="V982" s="1" t="b">
        <v>0</v>
      </c>
      <c r="W982" s="1" t="b">
        <v>0</v>
      </c>
      <c r="X982" s="1">
        <v>5</v>
      </c>
      <c r="Y982" s="1" t="b">
        <v>1</v>
      </c>
      <c r="Z982" s="1" t="b">
        <v>1</v>
      </c>
      <c r="AA982" s="1">
        <v>92.5</v>
      </c>
      <c r="AB982" s="1" t="b">
        <v>0</v>
      </c>
      <c r="AC982" s="1">
        <v>0</v>
      </c>
      <c r="AD982" s="1">
        <v>2254376</v>
      </c>
      <c r="AE982" s="1">
        <v>136419800</v>
      </c>
      <c r="AF982" s="1" t="s">
        <v>4051</v>
      </c>
      <c r="AG982" s="1" t="s">
        <v>4051</v>
      </c>
      <c r="AH982" s="1">
        <v>90.2</v>
      </c>
      <c r="AI982" s="1">
        <v>89.7</v>
      </c>
      <c r="AJ982" s="1" t="s">
        <v>4052</v>
      </c>
      <c r="AK982" s="1" t="s">
        <v>4053</v>
      </c>
      <c r="AL982" s="1" t="s">
        <v>4054</v>
      </c>
    </row>
    <row r="983" spans="1:38" x14ac:dyDescent="0.6">
      <c r="A983" s="1">
        <v>687</v>
      </c>
      <c r="B983" s="1" t="s">
        <v>103</v>
      </c>
      <c r="C983" s="1">
        <v>60</v>
      </c>
      <c r="D983" s="1" t="s">
        <v>127</v>
      </c>
      <c r="E983" s="1" t="s">
        <v>108</v>
      </c>
      <c r="F983" s="1"/>
      <c r="G983" s="1"/>
      <c r="H983" s="1" t="s">
        <v>91</v>
      </c>
      <c r="I983" s="1" t="s">
        <v>92</v>
      </c>
      <c r="J983" s="1" t="s">
        <v>109</v>
      </c>
      <c r="K983" s="1">
        <v>1</v>
      </c>
      <c r="L983" s="1">
        <v>120</v>
      </c>
      <c r="M983" s="1" t="s">
        <v>7</v>
      </c>
      <c r="N983" s="1" t="s">
        <v>7</v>
      </c>
      <c r="O983" s="1" t="s">
        <v>96</v>
      </c>
      <c r="P983" s="1" t="s">
        <v>96</v>
      </c>
      <c r="Q983" s="1" t="s">
        <v>9</v>
      </c>
      <c r="R983" s="1">
        <v>0</v>
      </c>
      <c r="S983" s="1" t="s">
        <v>97</v>
      </c>
      <c r="T983" s="1" t="s">
        <v>97</v>
      </c>
      <c r="U983" s="1" t="b">
        <v>1</v>
      </c>
      <c r="V983" s="1" t="b">
        <v>0</v>
      </c>
      <c r="W983" s="1" t="b">
        <v>0</v>
      </c>
      <c r="X983" s="1">
        <v>5</v>
      </c>
      <c r="Y983" s="1" t="b">
        <v>1</v>
      </c>
      <c r="Z983" s="1" t="b">
        <v>1</v>
      </c>
      <c r="AA983" s="1">
        <v>62.1</v>
      </c>
      <c r="AB983" s="1" t="b">
        <v>0</v>
      </c>
      <c r="AC983" s="1">
        <v>0</v>
      </c>
      <c r="AD983" s="1">
        <v>2491284</v>
      </c>
      <c r="AE983" s="1">
        <v>162921580</v>
      </c>
      <c r="AF983" s="1" t="s">
        <v>4055</v>
      </c>
      <c r="AG983" s="1" t="s">
        <v>4055</v>
      </c>
      <c r="AH983" s="1">
        <v>56.7</v>
      </c>
      <c r="AI983" s="1">
        <v>59.3</v>
      </c>
      <c r="AJ983" s="1" t="s">
        <v>4056</v>
      </c>
      <c r="AK983" s="1" t="s">
        <v>4057</v>
      </c>
      <c r="AL983" s="1" t="s">
        <v>4058</v>
      </c>
    </row>
    <row r="984" spans="1:38" x14ac:dyDescent="0.6">
      <c r="A984" s="1">
        <v>693</v>
      </c>
      <c r="B984" s="1" t="s">
        <v>103</v>
      </c>
      <c r="C984" s="1"/>
      <c r="D984" s="1"/>
      <c r="E984" s="1" t="s">
        <v>108</v>
      </c>
      <c r="F984" s="1"/>
      <c r="G984" s="1"/>
      <c r="H984" s="1" t="s">
        <v>91</v>
      </c>
      <c r="I984" s="1" t="s">
        <v>92</v>
      </c>
      <c r="J984" s="1" t="s">
        <v>109</v>
      </c>
      <c r="K984" s="1">
        <v>1</v>
      </c>
      <c r="L984" s="1">
        <v>120</v>
      </c>
      <c r="M984" s="1" t="s">
        <v>94</v>
      </c>
      <c r="N984" s="1" t="s">
        <v>95</v>
      </c>
      <c r="O984" s="1"/>
      <c r="P984" s="1" t="s">
        <v>96</v>
      </c>
      <c r="Q984" s="1" t="s">
        <v>9</v>
      </c>
      <c r="R984" s="1">
        <v>0</v>
      </c>
      <c r="S984" s="1" t="s">
        <v>97</v>
      </c>
      <c r="T984" s="1" t="s">
        <v>97</v>
      </c>
      <c r="U984" s="1" t="b">
        <v>1</v>
      </c>
      <c r="V984" s="1" t="b">
        <v>0</v>
      </c>
      <c r="W984" s="1" t="b">
        <v>0</v>
      </c>
      <c r="X984" s="1">
        <v>0</v>
      </c>
      <c r="Y984" s="1" t="b">
        <v>1</v>
      </c>
      <c r="Z984" s="1" t="b">
        <v>1</v>
      </c>
      <c r="AA984" s="1">
        <v>67.5</v>
      </c>
      <c r="AB984" s="1" t="b">
        <v>1</v>
      </c>
      <c r="AC984" s="1">
        <v>147333282</v>
      </c>
      <c r="AD984" s="1">
        <v>1564510</v>
      </c>
      <c r="AE984" s="1">
        <v>0</v>
      </c>
      <c r="AF984" s="1" t="s">
        <v>4059</v>
      </c>
      <c r="AG984" s="1" t="s">
        <v>4060</v>
      </c>
      <c r="AH984" s="1">
        <v>57.7</v>
      </c>
      <c r="AI984" s="1">
        <v>63.3</v>
      </c>
      <c r="AJ984" s="1" t="s">
        <v>4061</v>
      </c>
      <c r="AK984" s="1" t="s">
        <v>4062</v>
      </c>
      <c r="AL984" s="1" t="s">
        <v>4063</v>
      </c>
    </row>
    <row r="985" spans="1:38" x14ac:dyDescent="0.6">
      <c r="A985" s="1">
        <v>694</v>
      </c>
      <c r="B985" s="1" t="s">
        <v>88</v>
      </c>
      <c r="C985" s="1">
        <v>70</v>
      </c>
      <c r="D985" s="1" t="s">
        <v>119</v>
      </c>
      <c r="E985" s="1" t="s">
        <v>90</v>
      </c>
      <c r="F985" s="1"/>
      <c r="G985" s="1"/>
      <c r="H985" s="1" t="s">
        <v>91</v>
      </c>
      <c r="I985" s="1" t="s">
        <v>92</v>
      </c>
      <c r="J985" s="1" t="s">
        <v>93</v>
      </c>
      <c r="K985" s="1">
        <v>1</v>
      </c>
      <c r="L985" s="1">
        <v>120</v>
      </c>
      <c r="M985" s="1" t="s">
        <v>7</v>
      </c>
      <c r="N985" s="1" t="s">
        <v>7</v>
      </c>
      <c r="O985" s="1" t="s">
        <v>96</v>
      </c>
      <c r="P985" s="1" t="s">
        <v>96</v>
      </c>
      <c r="Q985" s="1" t="s">
        <v>9</v>
      </c>
      <c r="R985" s="1">
        <v>0</v>
      </c>
      <c r="S985" s="1" t="s">
        <v>97</v>
      </c>
      <c r="T985" s="1" t="s">
        <v>97</v>
      </c>
      <c r="U985" s="1" t="b">
        <v>1</v>
      </c>
      <c r="V985" s="1" t="b">
        <v>0</v>
      </c>
      <c r="W985" s="1" t="b">
        <v>0</v>
      </c>
      <c r="X985" s="1">
        <v>5</v>
      </c>
      <c r="Y985" s="1" t="b">
        <v>1</v>
      </c>
      <c r="Z985" s="1" t="b">
        <v>1</v>
      </c>
      <c r="AA985" s="1">
        <v>38.6</v>
      </c>
      <c r="AB985" s="1" t="b">
        <v>0</v>
      </c>
      <c r="AC985" s="1">
        <v>0</v>
      </c>
      <c r="AD985" s="1">
        <v>2162487</v>
      </c>
      <c r="AE985" s="1">
        <v>129171657</v>
      </c>
      <c r="AF985" s="1" t="s">
        <v>4064</v>
      </c>
      <c r="AG985" s="1" t="s">
        <v>4064</v>
      </c>
      <c r="AH985" s="1">
        <v>41.9</v>
      </c>
      <c r="AI985" s="1">
        <v>36.799999999999997</v>
      </c>
      <c r="AJ985" s="1" t="s">
        <v>4065</v>
      </c>
      <c r="AK985" s="1" t="s">
        <v>4066</v>
      </c>
      <c r="AL985" s="1" t="s">
        <v>4067</v>
      </c>
    </row>
    <row r="986" spans="1:38" x14ac:dyDescent="0.6">
      <c r="A986" s="1">
        <v>696</v>
      </c>
      <c r="B986" s="1" t="s">
        <v>88</v>
      </c>
      <c r="C986" s="1">
        <v>60</v>
      </c>
      <c r="D986" s="1" t="s">
        <v>127</v>
      </c>
      <c r="E986" s="1" t="s">
        <v>108</v>
      </c>
      <c r="F986" s="1"/>
      <c r="G986" s="1"/>
      <c r="H986" s="1" t="s">
        <v>91</v>
      </c>
      <c r="I986" s="1" t="s">
        <v>92</v>
      </c>
      <c r="J986" s="1" t="s">
        <v>93</v>
      </c>
      <c r="K986" s="1">
        <v>1</v>
      </c>
      <c r="L986" s="1">
        <v>120</v>
      </c>
      <c r="M986" s="1" t="s">
        <v>14</v>
      </c>
      <c r="N986" s="1" t="s">
        <v>95</v>
      </c>
      <c r="O986" s="1" t="s">
        <v>96</v>
      </c>
      <c r="P986" s="1"/>
      <c r="Q986" s="1" t="s">
        <v>9</v>
      </c>
      <c r="R986" s="1">
        <v>0</v>
      </c>
      <c r="S986" s="1" t="s">
        <v>97</v>
      </c>
      <c r="T986" s="1" t="s">
        <v>97</v>
      </c>
      <c r="U986" s="1" t="b">
        <v>1</v>
      </c>
      <c r="V986" s="1" t="b">
        <v>0</v>
      </c>
      <c r="W986" s="1" t="b">
        <v>0</v>
      </c>
      <c r="X986" s="1">
        <v>5</v>
      </c>
      <c r="Y986" s="1" t="b">
        <v>1</v>
      </c>
      <c r="Z986" s="1" t="b">
        <v>1</v>
      </c>
      <c r="AA986" s="1"/>
      <c r="AB986" s="1" t="b">
        <v>1</v>
      </c>
      <c r="AC986" s="1">
        <v>158072323</v>
      </c>
      <c r="AD986" s="1">
        <v>786941</v>
      </c>
      <c r="AE986" s="1">
        <v>0</v>
      </c>
      <c r="AF986" s="1" t="s">
        <v>4068</v>
      </c>
      <c r="AG986" s="1" t="s">
        <v>4069</v>
      </c>
      <c r="AH986" s="1">
        <v>63.9</v>
      </c>
      <c r="AI986" s="1">
        <v>60.2</v>
      </c>
      <c r="AJ986" s="1" t="s">
        <v>4070</v>
      </c>
      <c r="AK986" s="1" t="s">
        <v>4071</v>
      </c>
      <c r="AL986" s="1" t="s">
        <v>4072</v>
      </c>
    </row>
    <row r="987" spans="1:38" x14ac:dyDescent="0.6">
      <c r="A987" s="1">
        <v>685</v>
      </c>
      <c r="B987" s="1" t="s">
        <v>103</v>
      </c>
      <c r="C987" s="1">
        <v>70</v>
      </c>
      <c r="D987" s="1" t="s">
        <v>119</v>
      </c>
      <c r="E987" s="1" t="s">
        <v>90</v>
      </c>
      <c r="F987" s="1"/>
      <c r="G987" s="1"/>
      <c r="H987" s="1" t="s">
        <v>91</v>
      </c>
      <c r="I987" s="1" t="s">
        <v>92</v>
      </c>
      <c r="J987" s="1" t="s">
        <v>109</v>
      </c>
      <c r="K987" s="1">
        <v>1</v>
      </c>
      <c r="L987" s="1">
        <v>120</v>
      </c>
      <c r="M987" s="1" t="s">
        <v>94</v>
      </c>
      <c r="N987" s="1" t="s">
        <v>95</v>
      </c>
      <c r="O987" s="1"/>
      <c r="P987" s="1" t="s">
        <v>96</v>
      </c>
      <c r="Q987" s="1" t="s">
        <v>9</v>
      </c>
      <c r="R987" s="1">
        <v>0</v>
      </c>
      <c r="S987" s="1" t="s">
        <v>97</v>
      </c>
      <c r="T987" s="1" t="s">
        <v>97</v>
      </c>
      <c r="U987" s="1" t="b">
        <v>1</v>
      </c>
      <c r="V987" s="1" t="b">
        <v>0</v>
      </c>
      <c r="W987" s="1" t="b">
        <v>0</v>
      </c>
      <c r="X987" s="1">
        <v>0</v>
      </c>
      <c r="Y987" s="1" t="b">
        <v>1</v>
      </c>
      <c r="Z987" s="1" t="b">
        <v>1</v>
      </c>
      <c r="AA987" s="1">
        <v>59.3</v>
      </c>
      <c r="AB987" s="1" t="b">
        <v>1</v>
      </c>
      <c r="AC987" s="1">
        <v>146893457</v>
      </c>
      <c r="AD987" s="1">
        <v>1742191</v>
      </c>
      <c r="AE987" s="1">
        <v>0</v>
      </c>
      <c r="AF987" s="1" t="s">
        <v>4023</v>
      </c>
      <c r="AG987" s="1" t="s">
        <v>4024</v>
      </c>
      <c r="AH987" s="1">
        <v>58.5</v>
      </c>
      <c r="AI987" s="1">
        <v>57.1</v>
      </c>
      <c r="AJ987" s="1" t="s">
        <v>4073</v>
      </c>
      <c r="AK987" s="1" t="s">
        <v>4074</v>
      </c>
      <c r="AL987" s="1" t="s">
        <v>4075</v>
      </c>
    </row>
    <row r="988" spans="1:38" x14ac:dyDescent="0.6">
      <c r="A988" s="1">
        <v>684</v>
      </c>
      <c r="B988" s="1" t="s">
        <v>88</v>
      </c>
      <c r="C988" s="1">
        <v>50</v>
      </c>
      <c r="D988" s="1" t="s">
        <v>89</v>
      </c>
      <c r="E988" s="1" t="s">
        <v>108</v>
      </c>
      <c r="F988" s="1"/>
      <c r="G988" s="1"/>
      <c r="H988" s="1" t="s">
        <v>91</v>
      </c>
      <c r="I988" s="1" t="s">
        <v>92</v>
      </c>
      <c r="J988" s="1" t="s">
        <v>109</v>
      </c>
      <c r="K988" s="1">
        <v>1</v>
      </c>
      <c r="L988" s="1">
        <v>120</v>
      </c>
      <c r="M988" s="1" t="s">
        <v>14</v>
      </c>
      <c r="N988" s="1" t="s">
        <v>95</v>
      </c>
      <c r="O988" s="1" t="s">
        <v>96</v>
      </c>
      <c r="P988" s="1"/>
      <c r="Q988" s="1" t="s">
        <v>9</v>
      </c>
      <c r="R988" s="1">
        <v>0</v>
      </c>
      <c r="S988" s="1" t="s">
        <v>97</v>
      </c>
      <c r="T988" s="1" t="s">
        <v>97</v>
      </c>
      <c r="U988" s="1" t="b">
        <v>1</v>
      </c>
      <c r="V988" s="1" t="b">
        <v>0</v>
      </c>
      <c r="W988" s="1" t="b">
        <v>0</v>
      </c>
      <c r="X988" s="1">
        <v>5</v>
      </c>
      <c r="Y988" s="1" t="b">
        <v>1</v>
      </c>
      <c r="Z988" s="1" t="b">
        <v>1</v>
      </c>
      <c r="AA988" s="1"/>
      <c r="AB988" s="1" t="b">
        <v>1</v>
      </c>
      <c r="AC988" s="1">
        <v>130629696</v>
      </c>
      <c r="AD988" s="1">
        <v>704448</v>
      </c>
      <c r="AE988" s="1">
        <v>0</v>
      </c>
      <c r="AF988" s="1" t="s">
        <v>4007</v>
      </c>
      <c r="AG988" s="1" t="s">
        <v>4008</v>
      </c>
      <c r="AH988" s="1">
        <v>79.900000000000006</v>
      </c>
      <c r="AI988" s="1">
        <v>71.8</v>
      </c>
      <c r="AJ988" s="1" t="s">
        <v>4076</v>
      </c>
      <c r="AK988" s="1" t="s">
        <v>4077</v>
      </c>
      <c r="AL988" s="1" t="s">
        <v>4078</v>
      </c>
    </row>
    <row r="989" spans="1:38" x14ac:dyDescent="0.6">
      <c r="A989" s="1">
        <v>701</v>
      </c>
      <c r="B989" s="1" t="s">
        <v>88</v>
      </c>
      <c r="C989" s="1">
        <v>50</v>
      </c>
      <c r="D989" s="1" t="s">
        <v>89</v>
      </c>
      <c r="E989" s="1" t="s">
        <v>90</v>
      </c>
      <c r="F989" s="1"/>
      <c r="G989" s="1"/>
      <c r="H989" s="1" t="s">
        <v>91</v>
      </c>
      <c r="I989" s="1" t="s">
        <v>92</v>
      </c>
      <c r="J989" s="1" t="s">
        <v>93</v>
      </c>
      <c r="K989" s="1">
        <v>1</v>
      </c>
      <c r="L989" s="1">
        <v>120</v>
      </c>
      <c r="M989" s="1" t="s">
        <v>14</v>
      </c>
      <c r="N989" s="1" t="s">
        <v>95</v>
      </c>
      <c r="O989" s="1" t="s">
        <v>96</v>
      </c>
      <c r="P989" s="1"/>
      <c r="Q989" s="1" t="s">
        <v>9</v>
      </c>
      <c r="R989" s="1">
        <v>0</v>
      </c>
      <c r="S989" s="1" t="s">
        <v>97</v>
      </c>
      <c r="T989" s="1" t="s">
        <v>97</v>
      </c>
      <c r="U989" s="1" t="b">
        <v>1</v>
      </c>
      <c r="V989" s="1" t="b">
        <v>0</v>
      </c>
      <c r="W989" s="1" t="b">
        <v>0</v>
      </c>
      <c r="X989" s="1">
        <v>5</v>
      </c>
      <c r="Y989" s="1" t="b">
        <v>1</v>
      </c>
      <c r="Z989" s="1" t="b">
        <v>1</v>
      </c>
      <c r="AA989" s="1"/>
      <c r="AB989" s="1" t="b">
        <v>1</v>
      </c>
      <c r="AC989" s="1">
        <v>117059508</v>
      </c>
      <c r="AD989" s="1">
        <v>381004</v>
      </c>
      <c r="AE989" s="1">
        <v>0</v>
      </c>
      <c r="AF989" s="1" t="s">
        <v>4079</v>
      </c>
      <c r="AG989" s="1" t="s">
        <v>4080</v>
      </c>
      <c r="AH989" s="1">
        <v>83.1</v>
      </c>
      <c r="AI989" s="1">
        <v>73.400000000000006</v>
      </c>
      <c r="AJ989" s="1" t="s">
        <v>4081</v>
      </c>
      <c r="AK989" s="1" t="s">
        <v>4082</v>
      </c>
      <c r="AL989" s="1" t="s">
        <v>4083</v>
      </c>
    </row>
    <row r="990" spans="1:38" x14ac:dyDescent="0.6">
      <c r="A990" s="1">
        <v>696</v>
      </c>
      <c r="B990" s="1" t="s">
        <v>88</v>
      </c>
      <c r="C990" s="1">
        <v>60</v>
      </c>
      <c r="D990" s="1" t="s">
        <v>127</v>
      </c>
      <c r="E990" s="1" t="s">
        <v>108</v>
      </c>
      <c r="F990" s="1"/>
      <c r="G990" s="1"/>
      <c r="H990" s="1" t="s">
        <v>91</v>
      </c>
      <c r="I990" s="1" t="s">
        <v>92</v>
      </c>
      <c r="J990" s="1" t="s">
        <v>93</v>
      </c>
      <c r="K990" s="1">
        <v>1</v>
      </c>
      <c r="L990" s="1">
        <v>120</v>
      </c>
      <c r="M990" s="1" t="s">
        <v>94</v>
      </c>
      <c r="N990" s="1" t="s">
        <v>95</v>
      </c>
      <c r="O990" s="1"/>
      <c r="P990" s="1" t="s">
        <v>96</v>
      </c>
      <c r="Q990" s="1" t="s">
        <v>9</v>
      </c>
      <c r="R990" s="1">
        <v>0</v>
      </c>
      <c r="S990" s="1" t="s">
        <v>97</v>
      </c>
      <c r="T990" s="1" t="s">
        <v>97</v>
      </c>
      <c r="U990" s="1" t="b">
        <v>1</v>
      </c>
      <c r="V990" s="1" t="b">
        <v>0</v>
      </c>
      <c r="W990" s="1" t="b">
        <v>0</v>
      </c>
      <c r="X990" s="1">
        <v>0</v>
      </c>
      <c r="Y990" s="1" t="b">
        <v>1</v>
      </c>
      <c r="Z990" s="1" t="b">
        <v>1</v>
      </c>
      <c r="AA990" s="1">
        <v>62.2</v>
      </c>
      <c r="AB990" s="1" t="b">
        <v>1</v>
      </c>
      <c r="AC990" s="1">
        <v>156813185</v>
      </c>
      <c r="AD990" s="1">
        <v>2046079</v>
      </c>
      <c r="AE990" s="1">
        <v>0</v>
      </c>
      <c r="AF990" s="1" t="s">
        <v>4068</v>
      </c>
      <c r="AG990" s="1" t="s">
        <v>4069</v>
      </c>
      <c r="AH990" s="1">
        <v>63.9</v>
      </c>
      <c r="AI990" s="1">
        <v>60.2</v>
      </c>
      <c r="AJ990" s="1" t="s">
        <v>4084</v>
      </c>
      <c r="AK990" s="1" t="s">
        <v>4085</v>
      </c>
      <c r="AL990" s="1" t="s">
        <v>4086</v>
      </c>
    </row>
    <row r="991" spans="1:38" x14ac:dyDescent="0.6">
      <c r="A991" s="1">
        <v>689</v>
      </c>
      <c r="B991" s="1" t="s">
        <v>103</v>
      </c>
      <c r="C991" s="1">
        <v>60</v>
      </c>
      <c r="D991" s="1" t="s">
        <v>127</v>
      </c>
      <c r="E991" s="1" t="s">
        <v>90</v>
      </c>
      <c r="F991" s="1"/>
      <c r="G991" s="1"/>
      <c r="H991" s="1" t="s">
        <v>91</v>
      </c>
      <c r="I991" s="1" t="s">
        <v>92</v>
      </c>
      <c r="J991" s="1" t="s">
        <v>109</v>
      </c>
      <c r="K991" s="1">
        <v>1</v>
      </c>
      <c r="L991" s="1">
        <v>120</v>
      </c>
      <c r="M991" s="1" t="s">
        <v>94</v>
      </c>
      <c r="N991" s="1" t="s">
        <v>95</v>
      </c>
      <c r="O991" s="1"/>
      <c r="P991" s="1" t="s">
        <v>96</v>
      </c>
      <c r="Q991" s="1" t="s">
        <v>9</v>
      </c>
      <c r="R991" s="1">
        <v>0</v>
      </c>
      <c r="S991" s="1" t="s">
        <v>97</v>
      </c>
      <c r="T991" s="1" t="s">
        <v>97</v>
      </c>
      <c r="U991" s="1" t="b">
        <v>1</v>
      </c>
      <c r="V991" s="1" t="b">
        <v>0</v>
      </c>
      <c r="W991" s="1" t="b">
        <v>0</v>
      </c>
      <c r="X991" s="1">
        <v>0</v>
      </c>
      <c r="Y991" s="1" t="b">
        <v>1</v>
      </c>
      <c r="Z991" s="1" t="b">
        <v>1</v>
      </c>
      <c r="AA991" s="1">
        <v>77.3</v>
      </c>
      <c r="AB991" s="1" t="b">
        <v>1</v>
      </c>
      <c r="AC991" s="1">
        <v>133815621</v>
      </c>
      <c r="AD991" s="1">
        <v>1974971</v>
      </c>
      <c r="AE991" s="1">
        <v>0</v>
      </c>
      <c r="AF991" s="1" t="s">
        <v>4087</v>
      </c>
      <c r="AG991" s="1" t="s">
        <v>4088</v>
      </c>
      <c r="AH991" s="1">
        <v>57.7</v>
      </c>
      <c r="AI991" s="1">
        <v>69.3</v>
      </c>
      <c r="AJ991" s="1" t="s">
        <v>4089</v>
      </c>
      <c r="AK991" s="1" t="s">
        <v>4090</v>
      </c>
      <c r="AL991" s="1" t="s">
        <v>4091</v>
      </c>
    </row>
    <row r="992" spans="1:38" x14ac:dyDescent="0.6">
      <c r="A992" s="1">
        <v>701</v>
      </c>
      <c r="B992" s="1" t="s">
        <v>88</v>
      </c>
      <c r="C992" s="1">
        <v>50</v>
      </c>
      <c r="D992" s="1" t="s">
        <v>89</v>
      </c>
      <c r="E992" s="1" t="s">
        <v>90</v>
      </c>
      <c r="F992" s="1"/>
      <c r="G992" s="1"/>
      <c r="H992" s="1" t="s">
        <v>91</v>
      </c>
      <c r="I992" s="1" t="s">
        <v>92</v>
      </c>
      <c r="J992" s="1" t="s">
        <v>93</v>
      </c>
      <c r="K992" s="1">
        <v>1</v>
      </c>
      <c r="L992" s="1">
        <v>120</v>
      </c>
      <c r="M992" s="1" t="s">
        <v>94</v>
      </c>
      <c r="N992" s="1" t="s">
        <v>95</v>
      </c>
      <c r="O992" s="1"/>
      <c r="P992" s="1" t="s">
        <v>96</v>
      </c>
      <c r="Q992" s="1" t="s">
        <v>9</v>
      </c>
      <c r="R992" s="1">
        <v>0</v>
      </c>
      <c r="S992" s="1" t="s">
        <v>97</v>
      </c>
      <c r="T992" s="1" t="s">
        <v>97</v>
      </c>
      <c r="U992" s="1" t="b">
        <v>1</v>
      </c>
      <c r="V992" s="1" t="b">
        <v>0</v>
      </c>
      <c r="W992" s="1" t="b">
        <v>0</v>
      </c>
      <c r="X992" s="1">
        <v>0</v>
      </c>
      <c r="Y992" s="1" t="b">
        <v>1</v>
      </c>
      <c r="Z992" s="1" t="b">
        <v>1</v>
      </c>
      <c r="AA992" s="1">
        <v>76.900000000000006</v>
      </c>
      <c r="AB992" s="1" t="b">
        <v>1</v>
      </c>
      <c r="AC992" s="1">
        <v>123569475</v>
      </c>
      <c r="AD992" s="1">
        <v>1211069</v>
      </c>
      <c r="AE992" s="1">
        <v>0</v>
      </c>
      <c r="AF992" s="1" t="s">
        <v>4079</v>
      </c>
      <c r="AG992" s="1" t="s">
        <v>4080</v>
      </c>
      <c r="AH992" s="1">
        <v>83.1</v>
      </c>
      <c r="AI992" s="1">
        <v>73.400000000000006</v>
      </c>
      <c r="AJ992" s="1" t="s">
        <v>4092</v>
      </c>
      <c r="AK992" s="1" t="s">
        <v>4093</v>
      </c>
      <c r="AL992" s="1" t="s">
        <v>4094</v>
      </c>
    </row>
    <row r="993" spans="1:38" x14ac:dyDescent="0.6">
      <c r="A993" s="1">
        <v>688</v>
      </c>
      <c r="B993" s="1" t="s">
        <v>103</v>
      </c>
      <c r="C993" s="1">
        <v>50</v>
      </c>
      <c r="D993" s="1" t="s">
        <v>89</v>
      </c>
      <c r="E993" s="1" t="s">
        <v>108</v>
      </c>
      <c r="F993" s="1"/>
      <c r="G993" s="1"/>
      <c r="H993" s="1" t="s">
        <v>91</v>
      </c>
      <c r="I993" s="1" t="s">
        <v>92</v>
      </c>
      <c r="J993" s="1" t="s">
        <v>109</v>
      </c>
      <c r="K993" s="1">
        <v>1</v>
      </c>
      <c r="L993" s="1">
        <v>120</v>
      </c>
      <c r="M993" s="1" t="s">
        <v>14</v>
      </c>
      <c r="N993" s="1" t="s">
        <v>95</v>
      </c>
      <c r="O993" s="1" t="s">
        <v>96</v>
      </c>
      <c r="P993" s="1"/>
      <c r="Q993" s="1" t="s">
        <v>9</v>
      </c>
      <c r="R993" s="1">
        <v>0</v>
      </c>
      <c r="S993" s="1" t="s">
        <v>97</v>
      </c>
      <c r="T993" s="1" t="s">
        <v>97</v>
      </c>
      <c r="U993" s="1" t="b">
        <v>1</v>
      </c>
      <c r="V993" s="1" t="b">
        <v>0</v>
      </c>
      <c r="W993" s="1" t="b">
        <v>0</v>
      </c>
      <c r="X993" s="1">
        <v>5</v>
      </c>
      <c r="Y993" s="1" t="b">
        <v>1</v>
      </c>
      <c r="Z993" s="1" t="b">
        <v>1</v>
      </c>
      <c r="AA993" s="1"/>
      <c r="AB993" s="1" t="b">
        <v>1</v>
      </c>
      <c r="AC993" s="1">
        <v>130842378</v>
      </c>
      <c r="AD993" s="1">
        <v>491766</v>
      </c>
      <c r="AE993" s="1">
        <v>0</v>
      </c>
      <c r="AF993" s="1" t="s">
        <v>4028</v>
      </c>
      <c r="AG993" s="1" t="s">
        <v>4029</v>
      </c>
      <c r="AH993" s="1">
        <v>74.900000000000006</v>
      </c>
      <c r="AI993" s="1">
        <v>67</v>
      </c>
      <c r="AJ993" s="1" t="s">
        <v>4095</v>
      </c>
      <c r="AK993" s="1" t="s">
        <v>4096</v>
      </c>
      <c r="AL993" s="1" t="s">
        <v>4097</v>
      </c>
    </row>
    <row r="994" spans="1:38" x14ac:dyDescent="0.6">
      <c r="A994" s="1">
        <v>695</v>
      </c>
      <c r="B994" s="1" t="s">
        <v>88</v>
      </c>
      <c r="C994" s="1">
        <v>70</v>
      </c>
      <c r="D994" s="1" t="s">
        <v>119</v>
      </c>
      <c r="E994" s="1" t="s">
        <v>108</v>
      </c>
      <c r="F994" s="1"/>
      <c r="G994" s="1"/>
      <c r="H994" s="1" t="s">
        <v>91</v>
      </c>
      <c r="I994" s="1" t="s">
        <v>92</v>
      </c>
      <c r="J994" s="1" t="s">
        <v>93</v>
      </c>
      <c r="K994" s="1">
        <v>1</v>
      </c>
      <c r="L994" s="1">
        <v>120</v>
      </c>
      <c r="M994" s="1" t="s">
        <v>7</v>
      </c>
      <c r="N994" s="1" t="s">
        <v>7</v>
      </c>
      <c r="O994" s="1" t="s">
        <v>96</v>
      </c>
      <c r="P994" s="1" t="s">
        <v>96</v>
      </c>
      <c r="Q994" s="1" t="s">
        <v>9</v>
      </c>
      <c r="R994" s="1">
        <v>0</v>
      </c>
      <c r="S994" s="1" t="s">
        <v>97</v>
      </c>
      <c r="T994" s="1" t="s">
        <v>97</v>
      </c>
      <c r="U994" s="1" t="b">
        <v>1</v>
      </c>
      <c r="V994" s="1" t="b">
        <v>0</v>
      </c>
      <c r="W994" s="1" t="b">
        <v>0</v>
      </c>
      <c r="X994" s="1">
        <v>5</v>
      </c>
      <c r="Y994" s="1" t="b">
        <v>1</v>
      </c>
      <c r="Z994" s="1" t="b">
        <v>1</v>
      </c>
      <c r="AA994" s="1">
        <v>71.599999999999994</v>
      </c>
      <c r="AB994" s="1" t="b">
        <v>0</v>
      </c>
      <c r="AC994" s="1">
        <v>0</v>
      </c>
      <c r="AD994" s="1">
        <v>2280905</v>
      </c>
      <c r="AE994" s="1">
        <v>157102647</v>
      </c>
      <c r="AF994" s="1" t="s">
        <v>4098</v>
      </c>
      <c r="AG994" s="1" t="s">
        <v>4098</v>
      </c>
      <c r="AH994" s="1">
        <v>64.5</v>
      </c>
      <c r="AI994" s="1">
        <v>67.5</v>
      </c>
      <c r="AJ994" s="1" t="s">
        <v>4099</v>
      </c>
      <c r="AK994" s="1" t="s">
        <v>4100</v>
      </c>
      <c r="AL994" s="1" t="s">
        <v>4101</v>
      </c>
    </row>
    <row r="995" spans="1:38" x14ac:dyDescent="0.6">
      <c r="A995" s="1">
        <v>689</v>
      </c>
      <c r="B995" s="1" t="s">
        <v>103</v>
      </c>
      <c r="C995" s="1">
        <v>60</v>
      </c>
      <c r="D995" s="1" t="s">
        <v>127</v>
      </c>
      <c r="E995" s="1" t="s">
        <v>90</v>
      </c>
      <c r="F995" s="1"/>
      <c r="G995" s="1"/>
      <c r="H995" s="1" t="s">
        <v>91</v>
      </c>
      <c r="I995" s="1" t="s">
        <v>92</v>
      </c>
      <c r="J995" s="1" t="s">
        <v>109</v>
      </c>
      <c r="K995" s="1">
        <v>1</v>
      </c>
      <c r="L995" s="1">
        <v>120</v>
      </c>
      <c r="M995" s="1" t="s">
        <v>14</v>
      </c>
      <c r="N995" s="1" t="s">
        <v>95</v>
      </c>
      <c r="O995" s="1" t="s">
        <v>96</v>
      </c>
      <c r="P995" s="1"/>
      <c r="Q995" s="1" t="s">
        <v>9</v>
      </c>
      <c r="R995" s="1">
        <v>0</v>
      </c>
      <c r="S995" s="1" t="s">
        <v>97</v>
      </c>
      <c r="T995" s="1" t="s">
        <v>97</v>
      </c>
      <c r="U995" s="1" t="b">
        <v>1</v>
      </c>
      <c r="V995" s="1" t="b">
        <v>0</v>
      </c>
      <c r="W995" s="1" t="b">
        <v>0</v>
      </c>
      <c r="X995" s="1">
        <v>5</v>
      </c>
      <c r="Y995" s="1" t="b">
        <v>1</v>
      </c>
      <c r="Z995" s="1" t="b">
        <v>1</v>
      </c>
      <c r="AA995" s="1"/>
      <c r="AB995" s="1" t="b">
        <v>1</v>
      </c>
      <c r="AC995" s="1">
        <v>130606109</v>
      </c>
      <c r="AD995" s="1">
        <v>728035</v>
      </c>
      <c r="AE995" s="1">
        <v>0</v>
      </c>
      <c r="AF995" s="1" t="s">
        <v>4087</v>
      </c>
      <c r="AG995" s="1" t="s">
        <v>4088</v>
      </c>
      <c r="AH995" s="1">
        <v>57.7</v>
      </c>
      <c r="AI995" s="1">
        <v>69.3</v>
      </c>
      <c r="AJ995" s="1" t="s">
        <v>4102</v>
      </c>
      <c r="AK995" s="1" t="s">
        <v>4103</v>
      </c>
      <c r="AL995" s="1" t="s">
        <v>4104</v>
      </c>
    </row>
    <row r="996" spans="1:38" x14ac:dyDescent="0.6">
      <c r="A996" s="1">
        <v>697</v>
      </c>
      <c r="B996" s="1" t="s">
        <v>103</v>
      </c>
      <c r="C996" s="1">
        <v>60</v>
      </c>
      <c r="D996" s="1" t="s">
        <v>127</v>
      </c>
      <c r="E996" s="1" t="s">
        <v>108</v>
      </c>
      <c r="F996" s="1"/>
      <c r="G996" s="1"/>
      <c r="H996" s="1" t="s">
        <v>91</v>
      </c>
      <c r="I996" s="1" t="s">
        <v>92</v>
      </c>
      <c r="J996" s="1" t="s">
        <v>93</v>
      </c>
      <c r="K996" s="1">
        <v>1</v>
      </c>
      <c r="L996" s="1">
        <v>120</v>
      </c>
      <c r="M996" s="1" t="s">
        <v>7</v>
      </c>
      <c r="N996" s="1" t="s">
        <v>7</v>
      </c>
      <c r="O996" s="1" t="s">
        <v>96</v>
      </c>
      <c r="P996" s="1" t="s">
        <v>96</v>
      </c>
      <c r="Q996" s="1" t="s">
        <v>9</v>
      </c>
      <c r="R996" s="1">
        <v>0</v>
      </c>
      <c r="S996" s="1" t="s">
        <v>97</v>
      </c>
      <c r="T996" s="1" t="s">
        <v>97</v>
      </c>
      <c r="U996" s="1" t="b">
        <v>1</v>
      </c>
      <c r="V996" s="1" t="b">
        <v>0</v>
      </c>
      <c r="W996" s="1" t="b">
        <v>0</v>
      </c>
      <c r="X996" s="1">
        <v>5</v>
      </c>
      <c r="Y996" s="1" t="b">
        <v>1</v>
      </c>
      <c r="Z996" s="1" t="b">
        <v>1</v>
      </c>
      <c r="AA996" s="1">
        <v>68.3</v>
      </c>
      <c r="AB996" s="1" t="b">
        <v>0</v>
      </c>
      <c r="AC996" s="1">
        <v>0</v>
      </c>
      <c r="AD996" s="1">
        <v>2519958</v>
      </c>
      <c r="AE996" s="1">
        <v>152669290</v>
      </c>
      <c r="AF996" s="1" t="s">
        <v>4105</v>
      </c>
      <c r="AG996" s="1" t="s">
        <v>4105</v>
      </c>
      <c r="AH996" s="1">
        <v>69.400000000000006</v>
      </c>
      <c r="AI996" s="1">
        <v>65.7</v>
      </c>
      <c r="AJ996" s="1" t="s">
        <v>4106</v>
      </c>
      <c r="AK996" s="1" t="s">
        <v>4107</v>
      </c>
      <c r="AL996" s="1" t="s">
        <v>4108</v>
      </c>
    </row>
    <row r="997" spans="1:38" x14ac:dyDescent="0.6">
      <c r="A997" s="1">
        <v>703</v>
      </c>
      <c r="B997" s="1" t="s">
        <v>103</v>
      </c>
      <c r="C997" s="1">
        <v>89</v>
      </c>
      <c r="D997" s="1" t="s">
        <v>153</v>
      </c>
      <c r="E997" s="1"/>
      <c r="F997" s="1"/>
      <c r="G997" s="1"/>
      <c r="H997" s="1" t="s">
        <v>91</v>
      </c>
      <c r="I997" s="1" t="s">
        <v>92</v>
      </c>
      <c r="J997" s="1" t="s">
        <v>93</v>
      </c>
      <c r="K997" s="1">
        <v>1</v>
      </c>
      <c r="L997" s="1">
        <v>120</v>
      </c>
      <c r="M997" s="1" t="s">
        <v>94</v>
      </c>
      <c r="N997" s="1" t="s">
        <v>236</v>
      </c>
      <c r="O997" s="1"/>
      <c r="P997" s="1" t="s">
        <v>96</v>
      </c>
      <c r="Q997" s="1" t="s">
        <v>9</v>
      </c>
      <c r="R997" s="1">
        <v>0</v>
      </c>
      <c r="S997" s="1" t="s">
        <v>97</v>
      </c>
      <c r="T997" s="1"/>
      <c r="U997" s="1"/>
      <c r="V997" s="1" t="b">
        <v>0</v>
      </c>
      <c r="W997" s="1" t="b">
        <v>0</v>
      </c>
      <c r="X997" s="1">
        <v>0</v>
      </c>
      <c r="Y997" s="1" t="b">
        <v>1</v>
      </c>
      <c r="Z997" s="1" t="b">
        <v>1</v>
      </c>
      <c r="AA997" s="1">
        <v>70.599999999999994</v>
      </c>
      <c r="AB997" s="1" t="b">
        <v>1</v>
      </c>
      <c r="AC997" s="1">
        <v>133534806</v>
      </c>
      <c r="AD997" s="1">
        <v>1731498</v>
      </c>
      <c r="AE997" s="1">
        <v>0</v>
      </c>
      <c r="AF997" s="1"/>
      <c r="AG997" s="1" t="s">
        <v>4109</v>
      </c>
      <c r="AH997" s="1"/>
      <c r="AI997" s="1">
        <v>64.2</v>
      </c>
      <c r="AJ997" s="1" t="s">
        <v>4110</v>
      </c>
      <c r="AK997" s="1" t="s">
        <v>4111</v>
      </c>
      <c r="AL997" s="1" t="s">
        <v>4112</v>
      </c>
    </row>
    <row r="998" spans="1:38" x14ac:dyDescent="0.6">
      <c r="A998" s="1">
        <v>702</v>
      </c>
      <c r="B998" s="1" t="s">
        <v>103</v>
      </c>
      <c r="C998" s="1">
        <v>89</v>
      </c>
      <c r="D998" s="1" t="s">
        <v>153</v>
      </c>
      <c r="E998" s="1"/>
      <c r="F998" s="1"/>
      <c r="G998" s="1"/>
      <c r="H998" s="1" t="s">
        <v>91</v>
      </c>
      <c r="I998" s="1" t="s">
        <v>92</v>
      </c>
      <c r="J998" s="1" t="s">
        <v>93</v>
      </c>
      <c r="K998" s="1">
        <v>1</v>
      </c>
      <c r="L998" s="1">
        <v>120</v>
      </c>
      <c r="M998" s="1" t="s">
        <v>14</v>
      </c>
      <c r="N998" s="1" t="s">
        <v>14</v>
      </c>
      <c r="O998" s="1" t="s">
        <v>96</v>
      </c>
      <c r="P998" s="1"/>
      <c r="Q998" s="1" t="s">
        <v>9</v>
      </c>
      <c r="R998" s="1">
        <v>0</v>
      </c>
      <c r="S998" s="1"/>
      <c r="T998" s="1" t="s">
        <v>97</v>
      </c>
      <c r="U998" s="1"/>
      <c r="V998" s="1" t="b">
        <v>0</v>
      </c>
      <c r="W998" s="1" t="b">
        <v>0</v>
      </c>
      <c r="X998" s="1">
        <v>5</v>
      </c>
      <c r="Y998" s="1" t="b">
        <v>1</v>
      </c>
      <c r="Z998" s="1" t="b">
        <v>1</v>
      </c>
      <c r="AA998" s="1"/>
      <c r="AB998" s="1" t="b">
        <v>1</v>
      </c>
      <c r="AC998" s="1">
        <v>122307025</v>
      </c>
      <c r="AD998" s="1">
        <v>900655</v>
      </c>
      <c r="AE998" s="1">
        <v>0</v>
      </c>
      <c r="AF998" s="1" t="s">
        <v>4113</v>
      </c>
      <c r="AG998" s="1"/>
      <c r="AH998" s="1">
        <v>62.5</v>
      </c>
      <c r="AI998" s="1"/>
      <c r="AJ998" s="1" t="s">
        <v>4114</v>
      </c>
      <c r="AK998" s="1" t="s">
        <v>4115</v>
      </c>
      <c r="AL998" s="1" t="s">
        <v>4116</v>
      </c>
    </row>
    <row r="999" spans="1:38" x14ac:dyDescent="0.6">
      <c r="A999" s="1">
        <v>700</v>
      </c>
      <c r="B999" s="1" t="s">
        <v>88</v>
      </c>
      <c r="C999" s="1">
        <v>60</v>
      </c>
      <c r="D999" s="1" t="s">
        <v>127</v>
      </c>
      <c r="E999" s="1" t="s">
        <v>90</v>
      </c>
      <c r="F999" s="1"/>
      <c r="G999" s="1"/>
      <c r="H999" s="1" t="s">
        <v>91</v>
      </c>
      <c r="I999" s="1" t="s">
        <v>92</v>
      </c>
      <c r="J999" s="1" t="s">
        <v>93</v>
      </c>
      <c r="K999" s="1">
        <v>1</v>
      </c>
      <c r="L999" s="1">
        <v>120</v>
      </c>
      <c r="M999" s="1" t="s">
        <v>14</v>
      </c>
      <c r="N999" s="1" t="s">
        <v>14</v>
      </c>
      <c r="O999" s="1" t="s">
        <v>96</v>
      </c>
      <c r="P999" s="1"/>
      <c r="Q999" s="1" t="s">
        <v>9</v>
      </c>
      <c r="R999" s="1">
        <v>0</v>
      </c>
      <c r="S999" s="1"/>
      <c r="T999" s="1" t="s">
        <v>97</v>
      </c>
      <c r="U999" s="1"/>
      <c r="V999" s="1" t="b">
        <v>0</v>
      </c>
      <c r="W999" s="1" t="b">
        <v>0</v>
      </c>
      <c r="X999" s="1">
        <v>5</v>
      </c>
      <c r="Y999" s="1" t="b">
        <v>1</v>
      </c>
      <c r="Z999" s="1" t="b">
        <v>1</v>
      </c>
      <c r="AA999" s="1"/>
      <c r="AB999" s="1" t="b">
        <v>1</v>
      </c>
      <c r="AC999" s="1">
        <v>163186225</v>
      </c>
      <c r="AD999" s="1">
        <v>391631</v>
      </c>
      <c r="AE999" s="1">
        <v>0</v>
      </c>
      <c r="AF999" s="1" t="s">
        <v>4117</v>
      </c>
      <c r="AG999" s="1"/>
      <c r="AH999" s="1">
        <v>61.1</v>
      </c>
      <c r="AI999" s="1"/>
      <c r="AJ999" s="1" t="s">
        <v>4118</v>
      </c>
      <c r="AK999" s="1" t="s">
        <v>4119</v>
      </c>
      <c r="AL999" s="1" t="s">
        <v>4120</v>
      </c>
    </row>
    <row r="1000" spans="1:38" x14ac:dyDescent="0.6">
      <c r="A1000" s="1">
        <v>704</v>
      </c>
      <c r="B1000" s="1" t="s">
        <v>103</v>
      </c>
      <c r="C1000" s="1">
        <v>89</v>
      </c>
      <c r="D1000" s="1" t="s">
        <v>153</v>
      </c>
      <c r="E1000" s="1"/>
      <c r="F1000" s="1"/>
      <c r="G1000" s="1"/>
      <c r="H1000" s="1" t="s">
        <v>91</v>
      </c>
      <c r="I1000" s="1" t="s">
        <v>92</v>
      </c>
      <c r="J1000" s="1" t="s">
        <v>93</v>
      </c>
      <c r="K1000" s="1">
        <v>1</v>
      </c>
      <c r="L1000" s="1">
        <v>120</v>
      </c>
      <c r="M1000" s="1" t="s">
        <v>94</v>
      </c>
      <c r="N1000" s="1" t="s">
        <v>95</v>
      </c>
      <c r="O1000" s="1"/>
      <c r="P1000" s="1" t="s">
        <v>96</v>
      </c>
      <c r="Q1000" s="1" t="s">
        <v>9</v>
      </c>
      <c r="R1000" s="1">
        <v>0</v>
      </c>
      <c r="S1000" s="1" t="s">
        <v>97</v>
      </c>
      <c r="T1000" s="1" t="s">
        <v>97</v>
      </c>
      <c r="U1000" s="1" t="b">
        <v>1</v>
      </c>
      <c r="V1000" s="1" t="b">
        <v>0</v>
      </c>
      <c r="W1000" s="1" t="b">
        <v>0</v>
      </c>
      <c r="X1000" s="1">
        <v>0</v>
      </c>
      <c r="Y1000" s="1" t="b">
        <v>1</v>
      </c>
      <c r="Z1000" s="1" t="b">
        <v>1</v>
      </c>
      <c r="AA1000" s="1">
        <v>63.7</v>
      </c>
      <c r="AB1000" s="1" t="b">
        <v>1</v>
      </c>
      <c r="AC1000" s="1">
        <v>146626112</v>
      </c>
      <c r="AD1000" s="1">
        <v>2533824</v>
      </c>
      <c r="AE1000" s="1">
        <v>0</v>
      </c>
      <c r="AF1000" s="1" t="s">
        <v>4121</v>
      </c>
      <c r="AG1000" s="1" t="s">
        <v>4122</v>
      </c>
      <c r="AH1000" s="1">
        <v>60.5</v>
      </c>
      <c r="AI1000" s="1">
        <v>59.9</v>
      </c>
      <c r="AJ1000" s="1" t="s">
        <v>4123</v>
      </c>
      <c r="AK1000" s="1" t="s">
        <v>4124</v>
      </c>
      <c r="AL1000" s="1" t="s">
        <v>4125</v>
      </c>
    </row>
    <row r="1001" spans="1:38" x14ac:dyDescent="0.6">
      <c r="A1001" s="1">
        <v>691</v>
      </c>
      <c r="B1001" s="1" t="s">
        <v>88</v>
      </c>
      <c r="C1001" s="1">
        <v>60</v>
      </c>
      <c r="D1001" s="1" t="s">
        <v>127</v>
      </c>
      <c r="E1001" s="1" t="s">
        <v>90</v>
      </c>
      <c r="F1001" s="1"/>
      <c r="G1001" s="1"/>
      <c r="H1001" s="1" t="s">
        <v>91</v>
      </c>
      <c r="I1001" s="1" t="s">
        <v>92</v>
      </c>
      <c r="J1001" s="1" t="s">
        <v>109</v>
      </c>
      <c r="K1001" s="1">
        <v>1</v>
      </c>
      <c r="L1001" s="1">
        <v>120</v>
      </c>
      <c r="M1001" s="1" t="s">
        <v>14</v>
      </c>
      <c r="N1001" s="1" t="s">
        <v>95</v>
      </c>
      <c r="O1001" s="1" t="s">
        <v>96</v>
      </c>
      <c r="P1001" s="1"/>
      <c r="Q1001" s="1" t="s">
        <v>9</v>
      </c>
      <c r="R1001" s="1">
        <v>0</v>
      </c>
      <c r="S1001" s="1" t="s">
        <v>97</v>
      </c>
      <c r="T1001" s="1" t="s">
        <v>97</v>
      </c>
      <c r="U1001" s="1" t="b">
        <v>1</v>
      </c>
      <c r="V1001" s="1" t="b">
        <v>0</v>
      </c>
      <c r="W1001" s="1" t="b">
        <v>0</v>
      </c>
      <c r="X1001" s="1">
        <v>5</v>
      </c>
      <c r="Y1001" s="1" t="b">
        <v>1</v>
      </c>
      <c r="Z1001" s="1" t="b">
        <v>1</v>
      </c>
      <c r="AA1001" s="1"/>
      <c r="AB1001" s="1" t="b">
        <v>1</v>
      </c>
      <c r="AC1001" s="1">
        <v>138967838</v>
      </c>
      <c r="AD1001" s="1">
        <v>754914</v>
      </c>
      <c r="AE1001" s="1">
        <v>0</v>
      </c>
      <c r="AF1001" s="1" t="s">
        <v>4037</v>
      </c>
      <c r="AG1001" s="1" t="s">
        <v>4038</v>
      </c>
      <c r="AH1001" s="1">
        <v>71.2</v>
      </c>
      <c r="AI1001" s="1">
        <v>67.3</v>
      </c>
      <c r="AJ1001" s="1" t="s">
        <v>4126</v>
      </c>
      <c r="AK1001" s="1" t="s">
        <v>4127</v>
      </c>
      <c r="AL1001" s="1" t="s">
        <v>4128</v>
      </c>
    </row>
    <row r="1002" spans="1:38" x14ac:dyDescent="0.6">
      <c r="A1002" s="1">
        <v>699</v>
      </c>
      <c r="B1002" s="1" t="s">
        <v>88</v>
      </c>
      <c r="C1002" s="1">
        <v>70</v>
      </c>
      <c r="D1002" s="1" t="s">
        <v>119</v>
      </c>
      <c r="E1002" s="1" t="s">
        <v>108</v>
      </c>
      <c r="F1002" s="1"/>
      <c r="G1002" s="1"/>
      <c r="H1002" s="1" t="s">
        <v>91</v>
      </c>
      <c r="I1002" s="1" t="s">
        <v>92</v>
      </c>
      <c r="J1002" s="1" t="s">
        <v>93</v>
      </c>
      <c r="K1002" s="1">
        <v>1</v>
      </c>
      <c r="L1002" s="1">
        <v>120</v>
      </c>
      <c r="M1002" s="1" t="s">
        <v>7</v>
      </c>
      <c r="N1002" s="1" t="s">
        <v>7</v>
      </c>
      <c r="O1002" s="1" t="s">
        <v>96</v>
      </c>
      <c r="P1002" s="1" t="s">
        <v>96</v>
      </c>
      <c r="Q1002" s="1" t="s">
        <v>200</v>
      </c>
      <c r="R1002" s="1">
        <v>1</v>
      </c>
      <c r="S1002" s="1" t="s">
        <v>97</v>
      </c>
      <c r="T1002" s="1" t="s">
        <v>200</v>
      </c>
      <c r="U1002" s="1" t="b">
        <v>0</v>
      </c>
      <c r="V1002" s="1" t="b">
        <v>1</v>
      </c>
      <c r="W1002" s="1" t="b">
        <v>1</v>
      </c>
      <c r="X1002" s="1">
        <v>6</v>
      </c>
      <c r="Y1002" s="1" t="b">
        <v>1</v>
      </c>
      <c r="Z1002" s="1" t="b">
        <v>1</v>
      </c>
      <c r="AA1002" s="1">
        <v>57.1</v>
      </c>
      <c r="AB1002" s="1" t="b">
        <v>0</v>
      </c>
      <c r="AC1002" s="1">
        <v>0</v>
      </c>
      <c r="AD1002" s="1">
        <v>2996437</v>
      </c>
      <c r="AE1002" s="1">
        <v>154552107</v>
      </c>
      <c r="AF1002" s="1" t="s">
        <v>4129</v>
      </c>
      <c r="AG1002" s="1" t="s">
        <v>4129</v>
      </c>
      <c r="AH1002" s="1">
        <v>71</v>
      </c>
      <c r="AI1002" s="1">
        <v>58.6</v>
      </c>
      <c r="AJ1002" s="1" t="s">
        <v>4130</v>
      </c>
      <c r="AK1002" s="1" t="s">
        <v>4131</v>
      </c>
      <c r="AL1002" s="1" t="s">
        <v>4132</v>
      </c>
    </row>
    <row r="1003" spans="1:38" x14ac:dyDescent="0.6">
      <c r="A1003" s="1">
        <v>705</v>
      </c>
      <c r="B1003" s="1" t="s">
        <v>103</v>
      </c>
      <c r="C1003" s="1">
        <v>89</v>
      </c>
      <c r="D1003" s="1" t="s">
        <v>153</v>
      </c>
      <c r="E1003" s="1"/>
      <c r="F1003" s="1"/>
      <c r="G1003" s="1"/>
      <c r="H1003" s="1" t="s">
        <v>91</v>
      </c>
      <c r="I1003" s="1" t="s">
        <v>92</v>
      </c>
      <c r="J1003" s="1" t="s">
        <v>93</v>
      </c>
      <c r="K1003" s="1">
        <v>1</v>
      </c>
      <c r="L1003" s="1">
        <v>120</v>
      </c>
      <c r="M1003" s="1" t="s">
        <v>7</v>
      </c>
      <c r="N1003" s="1" t="s">
        <v>7</v>
      </c>
      <c r="O1003" s="1" t="s">
        <v>96</v>
      </c>
      <c r="P1003" s="1" t="s">
        <v>96</v>
      </c>
      <c r="Q1003" s="1" t="s">
        <v>9</v>
      </c>
      <c r="R1003" s="1">
        <v>0</v>
      </c>
      <c r="S1003" s="1" t="s">
        <v>97</v>
      </c>
      <c r="T1003" s="1" t="s">
        <v>97</v>
      </c>
      <c r="U1003" s="1" t="b">
        <v>1</v>
      </c>
      <c r="V1003" s="1" t="b">
        <v>0</v>
      </c>
      <c r="W1003" s="1" t="b">
        <v>0</v>
      </c>
      <c r="X1003" s="1">
        <v>5</v>
      </c>
      <c r="Y1003" s="1" t="b">
        <v>1</v>
      </c>
      <c r="Z1003" s="1" t="b">
        <v>1</v>
      </c>
      <c r="AA1003" s="1">
        <v>72.8</v>
      </c>
      <c r="AB1003" s="1" t="b">
        <v>0</v>
      </c>
      <c r="AC1003" s="1">
        <v>0</v>
      </c>
      <c r="AD1003" s="1">
        <v>2584250</v>
      </c>
      <c r="AE1003" s="1">
        <v>136614214</v>
      </c>
      <c r="AF1003" s="1" t="s">
        <v>4133</v>
      </c>
      <c r="AG1003" s="1" t="s">
        <v>4133</v>
      </c>
      <c r="AH1003" s="1">
        <v>72</v>
      </c>
      <c r="AI1003" s="1">
        <v>69.400000000000006</v>
      </c>
      <c r="AJ1003" s="1" t="s">
        <v>4134</v>
      </c>
      <c r="AK1003" s="1" t="s">
        <v>4135</v>
      </c>
      <c r="AL1003" s="1" t="s">
        <v>4136</v>
      </c>
    </row>
    <row r="1004" spans="1:38" x14ac:dyDescent="0.6">
      <c r="A1004" s="1">
        <v>693</v>
      </c>
      <c r="B1004" s="1" t="s">
        <v>103</v>
      </c>
      <c r="C1004" s="1"/>
      <c r="D1004" s="1"/>
      <c r="E1004" s="1" t="s">
        <v>108</v>
      </c>
      <c r="F1004" s="1"/>
      <c r="G1004" s="1"/>
      <c r="H1004" s="1" t="s">
        <v>91</v>
      </c>
      <c r="I1004" s="1" t="s">
        <v>92</v>
      </c>
      <c r="J1004" s="1" t="s">
        <v>109</v>
      </c>
      <c r="K1004" s="1">
        <v>1</v>
      </c>
      <c r="L1004" s="1">
        <v>120</v>
      </c>
      <c r="M1004" s="1" t="s">
        <v>14</v>
      </c>
      <c r="N1004" s="1" t="s">
        <v>95</v>
      </c>
      <c r="O1004" s="1" t="s">
        <v>96</v>
      </c>
      <c r="P1004" s="1"/>
      <c r="Q1004" s="1" t="s">
        <v>9</v>
      </c>
      <c r="R1004" s="1">
        <v>0</v>
      </c>
      <c r="S1004" s="1" t="s">
        <v>97</v>
      </c>
      <c r="T1004" s="1" t="s">
        <v>97</v>
      </c>
      <c r="U1004" s="1" t="b">
        <v>1</v>
      </c>
      <c r="V1004" s="1" t="b">
        <v>0</v>
      </c>
      <c r="W1004" s="1" t="b">
        <v>0</v>
      </c>
      <c r="X1004" s="1">
        <v>5</v>
      </c>
      <c r="Y1004" s="1" t="b">
        <v>1</v>
      </c>
      <c r="Z1004" s="1" t="b">
        <v>1</v>
      </c>
      <c r="AA1004" s="1"/>
      <c r="AB1004" s="1" t="b">
        <v>1</v>
      </c>
      <c r="AC1004" s="1">
        <v>146728852</v>
      </c>
      <c r="AD1004" s="1">
        <v>858220</v>
      </c>
      <c r="AE1004" s="1">
        <v>0</v>
      </c>
      <c r="AF1004" s="1" t="s">
        <v>4059</v>
      </c>
      <c r="AG1004" s="1" t="s">
        <v>4060</v>
      </c>
      <c r="AH1004" s="1">
        <v>57.7</v>
      </c>
      <c r="AI1004" s="1">
        <v>63.3</v>
      </c>
      <c r="AJ1004" s="1" t="s">
        <v>4137</v>
      </c>
      <c r="AK1004" s="1" t="s">
        <v>4138</v>
      </c>
      <c r="AL1004" s="1" t="s">
        <v>4139</v>
      </c>
    </row>
    <row r="1005" spans="1:38" x14ac:dyDescent="0.6">
      <c r="A1005" s="1">
        <v>692</v>
      </c>
      <c r="B1005" s="1" t="s">
        <v>103</v>
      </c>
      <c r="C1005" s="1">
        <v>60</v>
      </c>
      <c r="D1005" s="1" t="s">
        <v>127</v>
      </c>
      <c r="E1005" s="1" t="s">
        <v>90</v>
      </c>
      <c r="F1005" s="1"/>
      <c r="G1005" s="1"/>
      <c r="H1005" s="1" t="s">
        <v>91</v>
      </c>
      <c r="I1005" s="1" t="s">
        <v>92</v>
      </c>
      <c r="J1005" s="1" t="s">
        <v>109</v>
      </c>
      <c r="K1005" s="1">
        <v>1</v>
      </c>
      <c r="L1005" s="1">
        <v>120</v>
      </c>
      <c r="M1005" s="1" t="s">
        <v>14</v>
      </c>
      <c r="N1005" s="1" t="s">
        <v>95</v>
      </c>
      <c r="O1005" s="1" t="s">
        <v>96</v>
      </c>
      <c r="P1005" s="1"/>
      <c r="Q1005" s="1" t="s">
        <v>9</v>
      </c>
      <c r="R1005" s="1">
        <v>0</v>
      </c>
      <c r="S1005" s="1" t="s">
        <v>97</v>
      </c>
      <c r="T1005" s="1" t="s">
        <v>97</v>
      </c>
      <c r="U1005" s="1" t="b">
        <v>1</v>
      </c>
      <c r="V1005" s="1" t="b">
        <v>0</v>
      </c>
      <c r="W1005" s="1" t="b">
        <v>0</v>
      </c>
      <c r="X1005" s="1">
        <v>5</v>
      </c>
      <c r="Y1005" s="1" t="b">
        <v>1</v>
      </c>
      <c r="Z1005" s="1" t="b">
        <v>1</v>
      </c>
      <c r="AA1005" s="1"/>
      <c r="AB1005" s="1" t="b">
        <v>1</v>
      </c>
      <c r="AC1005" s="1">
        <v>133090951</v>
      </c>
      <c r="AD1005" s="1">
        <v>1126777</v>
      </c>
      <c r="AE1005" s="1">
        <v>0</v>
      </c>
      <c r="AF1005" s="1" t="s">
        <v>4042</v>
      </c>
      <c r="AG1005" s="1" t="s">
        <v>4043</v>
      </c>
      <c r="AH1005" s="1">
        <v>76.3</v>
      </c>
      <c r="AI1005" s="1">
        <v>70.5</v>
      </c>
      <c r="AJ1005" s="1" t="s">
        <v>4140</v>
      </c>
      <c r="AK1005" s="1" t="s">
        <v>4141</v>
      </c>
      <c r="AL1005" s="1" t="s">
        <v>4142</v>
      </c>
    </row>
    <row r="1006" spans="1:38" x14ac:dyDescent="0.6">
      <c r="A1006" s="1">
        <v>708</v>
      </c>
      <c r="B1006" s="1" t="s">
        <v>103</v>
      </c>
      <c r="C1006" s="1">
        <v>50</v>
      </c>
      <c r="D1006" s="1" t="s">
        <v>89</v>
      </c>
      <c r="E1006" s="1" t="s">
        <v>90</v>
      </c>
      <c r="F1006" s="1"/>
      <c r="G1006" s="1"/>
      <c r="H1006" s="1" t="s">
        <v>1923</v>
      </c>
      <c r="I1006" s="1" t="s">
        <v>92</v>
      </c>
      <c r="J1006" s="1" t="s">
        <v>93</v>
      </c>
      <c r="K1006" s="1">
        <v>1</v>
      </c>
      <c r="L1006" s="1">
        <v>120</v>
      </c>
      <c r="M1006" s="1" t="s">
        <v>14</v>
      </c>
      <c r="N1006" s="1" t="s">
        <v>95</v>
      </c>
      <c r="O1006" s="1" t="s">
        <v>96</v>
      </c>
      <c r="P1006" s="1"/>
      <c r="Q1006" s="1" t="s">
        <v>9</v>
      </c>
      <c r="R1006" s="1">
        <v>0</v>
      </c>
      <c r="S1006" s="1" t="s">
        <v>97</v>
      </c>
      <c r="T1006" s="1" t="s">
        <v>97</v>
      </c>
      <c r="U1006" s="1" t="b">
        <v>1</v>
      </c>
      <c r="V1006" s="1" t="b">
        <v>0</v>
      </c>
      <c r="W1006" s="1" t="b">
        <v>0</v>
      </c>
      <c r="X1006" s="1">
        <v>5</v>
      </c>
      <c r="Y1006" s="1" t="b">
        <v>1</v>
      </c>
      <c r="Z1006" s="1" t="b">
        <v>1</v>
      </c>
      <c r="AA1006" s="1"/>
      <c r="AB1006" s="1" t="b">
        <v>1</v>
      </c>
      <c r="AC1006" s="1">
        <v>98174513</v>
      </c>
      <c r="AD1006" s="1">
        <v>653775</v>
      </c>
      <c r="AE1006" s="1">
        <v>0</v>
      </c>
      <c r="AF1006" s="1" t="s">
        <v>4143</v>
      </c>
      <c r="AG1006" s="1" t="s">
        <v>4144</v>
      </c>
      <c r="AH1006" s="1">
        <v>89.2</v>
      </c>
      <c r="AI1006" s="1">
        <v>84.1</v>
      </c>
      <c r="AJ1006" s="1" t="s">
        <v>4145</v>
      </c>
      <c r="AK1006" s="1" t="s">
        <v>4146</v>
      </c>
      <c r="AL1006" s="1" t="s">
        <v>4147</v>
      </c>
    </row>
    <row r="1007" spans="1:38" x14ac:dyDescent="0.6">
      <c r="A1007" s="1">
        <v>707</v>
      </c>
      <c r="B1007" s="1" t="s">
        <v>88</v>
      </c>
      <c r="C1007" s="1">
        <v>60</v>
      </c>
      <c r="D1007" s="1" t="s">
        <v>127</v>
      </c>
      <c r="E1007" s="1" t="s">
        <v>108</v>
      </c>
      <c r="F1007" s="1"/>
      <c r="G1007" s="1"/>
      <c r="H1007" s="1" t="s">
        <v>1923</v>
      </c>
      <c r="I1007" s="1" t="s">
        <v>92</v>
      </c>
      <c r="J1007" s="1" t="s">
        <v>93</v>
      </c>
      <c r="K1007" s="1">
        <v>1</v>
      </c>
      <c r="L1007" s="1">
        <v>120</v>
      </c>
      <c r="M1007" s="1" t="s">
        <v>7</v>
      </c>
      <c r="N1007" s="1" t="s">
        <v>7</v>
      </c>
      <c r="O1007" s="1" t="s">
        <v>96</v>
      </c>
      <c r="P1007" s="1" t="s">
        <v>96</v>
      </c>
      <c r="Q1007" s="1" t="s">
        <v>9</v>
      </c>
      <c r="R1007" s="1">
        <v>0</v>
      </c>
      <c r="S1007" s="1" t="s">
        <v>97</v>
      </c>
      <c r="T1007" s="1" t="s">
        <v>97</v>
      </c>
      <c r="U1007" s="1" t="b">
        <v>1</v>
      </c>
      <c r="V1007" s="1" t="b">
        <v>0</v>
      </c>
      <c r="W1007" s="1" t="b">
        <v>0</v>
      </c>
      <c r="X1007" s="1">
        <v>5</v>
      </c>
      <c r="Y1007" s="1" t="b">
        <v>1</v>
      </c>
      <c r="Z1007" s="1" t="b">
        <v>1</v>
      </c>
      <c r="AA1007" s="1">
        <v>56.2</v>
      </c>
      <c r="AB1007" s="1" t="b">
        <v>0</v>
      </c>
      <c r="AC1007" s="1">
        <v>0</v>
      </c>
      <c r="AD1007" s="1">
        <v>3021820</v>
      </c>
      <c r="AE1007" s="1">
        <v>102097924</v>
      </c>
      <c r="AF1007" s="1" t="s">
        <v>4148</v>
      </c>
      <c r="AG1007" s="1" t="s">
        <v>4148</v>
      </c>
      <c r="AH1007" s="1">
        <v>61</v>
      </c>
      <c r="AI1007" s="1">
        <v>55.4</v>
      </c>
      <c r="AJ1007" s="1" t="s">
        <v>4149</v>
      </c>
      <c r="AK1007" s="1" t="s">
        <v>4150</v>
      </c>
      <c r="AL1007" s="1" t="s">
        <v>4151</v>
      </c>
    </row>
    <row r="1008" spans="1:38" x14ac:dyDescent="0.6">
      <c r="A1008" s="1">
        <v>709</v>
      </c>
      <c r="B1008" s="1" t="s">
        <v>88</v>
      </c>
      <c r="C1008" s="1">
        <v>70</v>
      </c>
      <c r="D1008" s="1" t="s">
        <v>119</v>
      </c>
      <c r="E1008" s="1" t="s">
        <v>90</v>
      </c>
      <c r="F1008" s="1"/>
      <c r="G1008" s="1"/>
      <c r="H1008" s="1" t="s">
        <v>1923</v>
      </c>
      <c r="I1008" s="1" t="s">
        <v>92</v>
      </c>
      <c r="J1008" s="1" t="s">
        <v>93</v>
      </c>
      <c r="K1008" s="1">
        <v>1</v>
      </c>
      <c r="L1008" s="1">
        <v>120</v>
      </c>
      <c r="M1008" s="1" t="s">
        <v>94</v>
      </c>
      <c r="N1008" s="1" t="s">
        <v>95</v>
      </c>
      <c r="O1008" s="1"/>
      <c r="P1008" s="1" t="s">
        <v>96</v>
      </c>
      <c r="Q1008" s="1" t="s">
        <v>9</v>
      </c>
      <c r="R1008" s="1">
        <v>0</v>
      </c>
      <c r="S1008" s="1" t="s">
        <v>97</v>
      </c>
      <c r="T1008" s="1" t="s">
        <v>97</v>
      </c>
      <c r="U1008" s="1" t="b">
        <v>1</v>
      </c>
      <c r="V1008" s="1" t="b">
        <v>0</v>
      </c>
      <c r="W1008" s="1" t="b">
        <v>0</v>
      </c>
      <c r="X1008" s="1">
        <v>0</v>
      </c>
      <c r="Y1008" s="1" t="b">
        <v>1</v>
      </c>
      <c r="Z1008" s="1" t="b">
        <v>1</v>
      </c>
      <c r="AA1008" s="1">
        <v>75.599999999999994</v>
      </c>
      <c r="AB1008" s="1" t="b">
        <v>1</v>
      </c>
      <c r="AC1008" s="1">
        <v>104566465</v>
      </c>
      <c r="AD1008" s="1">
        <v>1339711</v>
      </c>
      <c r="AE1008" s="1">
        <v>0</v>
      </c>
      <c r="AF1008" s="1" t="s">
        <v>4152</v>
      </c>
      <c r="AG1008" s="1" t="s">
        <v>4153</v>
      </c>
      <c r="AH1008" s="1">
        <v>84.1</v>
      </c>
      <c r="AI1008" s="1">
        <v>74.599999999999994</v>
      </c>
      <c r="AJ1008" s="1" t="s">
        <v>4154</v>
      </c>
      <c r="AK1008" s="1" t="s">
        <v>4155</v>
      </c>
      <c r="AL1008" s="1" t="s">
        <v>4156</v>
      </c>
    </row>
    <row r="1009" spans="1:38" x14ac:dyDescent="0.6">
      <c r="A1009" s="1">
        <v>706</v>
      </c>
      <c r="B1009" s="1" t="s">
        <v>103</v>
      </c>
      <c r="C1009" s="1">
        <v>89</v>
      </c>
      <c r="D1009" s="1" t="s">
        <v>153</v>
      </c>
      <c r="E1009" s="1"/>
      <c r="F1009" s="1"/>
      <c r="G1009" s="1"/>
      <c r="H1009" s="1" t="s">
        <v>91</v>
      </c>
      <c r="I1009" s="1" t="s">
        <v>92</v>
      </c>
      <c r="J1009" s="1" t="s">
        <v>93</v>
      </c>
      <c r="K1009" s="1">
        <v>1</v>
      </c>
      <c r="L1009" s="1">
        <v>120</v>
      </c>
      <c r="M1009" s="1" t="s">
        <v>7</v>
      </c>
      <c r="N1009" s="1" t="s">
        <v>7</v>
      </c>
      <c r="O1009" s="1" t="s">
        <v>96</v>
      </c>
      <c r="P1009" s="1" t="s">
        <v>96</v>
      </c>
      <c r="Q1009" s="1" t="s">
        <v>9</v>
      </c>
      <c r="R1009" s="1">
        <v>0</v>
      </c>
      <c r="S1009" s="1" t="s">
        <v>97</v>
      </c>
      <c r="T1009" s="1" t="s">
        <v>97</v>
      </c>
      <c r="U1009" s="1" t="b">
        <v>1</v>
      </c>
      <c r="V1009" s="1" t="b">
        <v>0</v>
      </c>
      <c r="W1009" s="1" t="b">
        <v>0</v>
      </c>
      <c r="X1009" s="1">
        <v>5</v>
      </c>
      <c r="Y1009" s="1" t="b">
        <v>1</v>
      </c>
      <c r="Z1009" s="1" t="b">
        <v>1</v>
      </c>
      <c r="AA1009" s="1">
        <v>58.2</v>
      </c>
      <c r="AB1009" s="1" t="b">
        <v>0</v>
      </c>
      <c r="AC1009" s="1">
        <v>0</v>
      </c>
      <c r="AD1009" s="1">
        <v>3180615</v>
      </c>
      <c r="AE1009" s="1">
        <v>145979321</v>
      </c>
      <c r="AF1009" s="1" t="s">
        <v>4157</v>
      </c>
      <c r="AG1009" s="1" t="s">
        <v>4157</v>
      </c>
      <c r="AH1009" s="1">
        <v>59.8</v>
      </c>
      <c r="AI1009" s="1">
        <v>54.9</v>
      </c>
      <c r="AJ1009" s="1" t="s">
        <v>4158</v>
      </c>
      <c r="AK1009" s="1" t="s">
        <v>4159</v>
      </c>
      <c r="AL1009" s="1" t="s">
        <v>4160</v>
      </c>
    </row>
    <row r="1010" spans="1:38" x14ac:dyDescent="0.6">
      <c r="A1010" s="1">
        <v>712</v>
      </c>
      <c r="B1010" s="1" t="s">
        <v>88</v>
      </c>
      <c r="C1010" s="1">
        <v>50</v>
      </c>
      <c r="D1010" s="1" t="s">
        <v>89</v>
      </c>
      <c r="E1010" s="1" t="s">
        <v>90</v>
      </c>
      <c r="F1010" s="1"/>
      <c r="G1010" s="1"/>
      <c r="H1010" s="1" t="s">
        <v>91</v>
      </c>
      <c r="I1010" s="1" t="s">
        <v>92</v>
      </c>
      <c r="J1010" s="1" t="s">
        <v>93</v>
      </c>
      <c r="K1010" s="1">
        <v>1</v>
      </c>
      <c r="L1010" s="1">
        <v>120</v>
      </c>
      <c r="M1010" s="1" t="s">
        <v>14</v>
      </c>
      <c r="N1010" s="1" t="s">
        <v>95</v>
      </c>
      <c r="O1010" s="1" t="s">
        <v>96</v>
      </c>
      <c r="P1010" s="1"/>
      <c r="Q1010" s="1" t="s">
        <v>9</v>
      </c>
      <c r="R1010" s="1">
        <v>0</v>
      </c>
      <c r="S1010" s="1" t="s">
        <v>97</v>
      </c>
      <c r="T1010" s="1" t="s">
        <v>97</v>
      </c>
      <c r="U1010" s="1" t="b">
        <v>1</v>
      </c>
      <c r="V1010" s="1" t="b">
        <v>0</v>
      </c>
      <c r="W1010" s="1" t="b">
        <v>0</v>
      </c>
      <c r="X1010" s="1">
        <v>5</v>
      </c>
      <c r="Y1010" s="1" t="b">
        <v>1</v>
      </c>
      <c r="Z1010" s="1" t="b">
        <v>1</v>
      </c>
      <c r="AA1010" s="1"/>
      <c r="AB1010" s="1" t="b">
        <v>1</v>
      </c>
      <c r="AC1010" s="1">
        <v>120020342</v>
      </c>
      <c r="AD1010" s="1">
        <v>828042</v>
      </c>
      <c r="AE1010" s="1">
        <v>0</v>
      </c>
      <c r="AF1010" s="1" t="s">
        <v>4161</v>
      </c>
      <c r="AG1010" s="1" t="s">
        <v>4162</v>
      </c>
      <c r="AH1010" s="1">
        <v>79</v>
      </c>
      <c r="AI1010" s="1">
        <v>71.5</v>
      </c>
      <c r="AJ1010" s="1" t="s">
        <v>4163</v>
      </c>
      <c r="AK1010" s="1" t="s">
        <v>4164</v>
      </c>
      <c r="AL1010" s="1" t="s">
        <v>4165</v>
      </c>
    </row>
    <row r="1011" spans="1:38" x14ac:dyDescent="0.6">
      <c r="A1011" s="1">
        <v>710</v>
      </c>
      <c r="B1011" s="1" t="s">
        <v>88</v>
      </c>
      <c r="C1011" s="1">
        <v>60</v>
      </c>
      <c r="D1011" s="1" t="s">
        <v>127</v>
      </c>
      <c r="E1011" s="1" t="s">
        <v>108</v>
      </c>
      <c r="F1011" s="1"/>
      <c r="G1011" s="1"/>
      <c r="H1011" s="1" t="s">
        <v>91</v>
      </c>
      <c r="I1011" s="1" t="s">
        <v>92</v>
      </c>
      <c r="J1011" s="1" t="s">
        <v>93</v>
      </c>
      <c r="K1011" s="1">
        <v>1</v>
      </c>
      <c r="L1011" s="1">
        <v>120</v>
      </c>
      <c r="M1011" s="1" t="s">
        <v>14</v>
      </c>
      <c r="N1011" s="1" t="s">
        <v>95</v>
      </c>
      <c r="O1011" s="1" t="s">
        <v>96</v>
      </c>
      <c r="P1011" s="1"/>
      <c r="Q1011" s="1" t="s">
        <v>9</v>
      </c>
      <c r="R1011" s="1">
        <v>0</v>
      </c>
      <c r="S1011" s="1" t="s">
        <v>97</v>
      </c>
      <c r="T1011" s="1" t="s">
        <v>97</v>
      </c>
      <c r="U1011" s="1" t="b">
        <v>1</v>
      </c>
      <c r="V1011" s="1" t="b">
        <v>0</v>
      </c>
      <c r="W1011" s="1" t="b">
        <v>0</v>
      </c>
      <c r="X1011" s="1">
        <v>5</v>
      </c>
      <c r="Y1011" s="1" t="b">
        <v>1</v>
      </c>
      <c r="Z1011" s="1" t="b">
        <v>1</v>
      </c>
      <c r="AA1011" s="1"/>
      <c r="AB1011" s="1" t="b">
        <v>1</v>
      </c>
      <c r="AC1011" s="1">
        <v>151630280</v>
      </c>
      <c r="AD1011" s="1">
        <v>675384</v>
      </c>
      <c r="AE1011" s="1">
        <v>0</v>
      </c>
      <c r="AF1011" s="1" t="s">
        <v>4166</v>
      </c>
      <c r="AG1011" s="1" t="s">
        <v>4167</v>
      </c>
      <c r="AH1011" s="1">
        <v>64.8</v>
      </c>
      <c r="AI1011" s="1">
        <v>60.4</v>
      </c>
      <c r="AJ1011" s="1" t="s">
        <v>4168</v>
      </c>
      <c r="AK1011" s="1" t="s">
        <v>4169</v>
      </c>
      <c r="AL1011" s="1" t="s">
        <v>4170</v>
      </c>
    </row>
    <row r="1012" spans="1:38" x14ac:dyDescent="0.6">
      <c r="A1012" s="1">
        <v>711</v>
      </c>
      <c r="B1012" s="1" t="s">
        <v>103</v>
      </c>
      <c r="C1012" s="1">
        <v>70</v>
      </c>
      <c r="D1012" s="1" t="s">
        <v>119</v>
      </c>
      <c r="E1012" s="1" t="s">
        <v>108</v>
      </c>
      <c r="F1012" s="1"/>
      <c r="G1012" s="1"/>
      <c r="H1012" s="1" t="s">
        <v>91</v>
      </c>
      <c r="I1012" s="1" t="s">
        <v>92</v>
      </c>
      <c r="J1012" s="1" t="s">
        <v>93</v>
      </c>
      <c r="K1012" s="1">
        <v>1</v>
      </c>
      <c r="L1012" s="1">
        <v>120</v>
      </c>
      <c r="M1012" s="1" t="s">
        <v>14</v>
      </c>
      <c r="N1012" s="1" t="s">
        <v>95</v>
      </c>
      <c r="O1012" s="1" t="s">
        <v>96</v>
      </c>
      <c r="P1012" s="1"/>
      <c r="Q1012" s="1" t="s">
        <v>9</v>
      </c>
      <c r="R1012" s="1">
        <v>0</v>
      </c>
      <c r="S1012" s="1" t="s">
        <v>97</v>
      </c>
      <c r="T1012" s="1" t="s">
        <v>97</v>
      </c>
      <c r="U1012" s="1" t="b">
        <v>1</v>
      </c>
      <c r="V1012" s="1" t="b">
        <v>0</v>
      </c>
      <c r="W1012" s="1" t="b">
        <v>0</v>
      </c>
      <c r="X1012" s="1">
        <v>5</v>
      </c>
      <c r="Y1012" s="1" t="b">
        <v>1</v>
      </c>
      <c r="Z1012" s="1" t="b">
        <v>1</v>
      </c>
      <c r="AA1012" s="1"/>
      <c r="AB1012" s="1" t="b">
        <v>1</v>
      </c>
      <c r="AC1012" s="1">
        <v>149962323</v>
      </c>
      <c r="AD1012" s="1">
        <v>1294765</v>
      </c>
      <c r="AE1012" s="1">
        <v>0</v>
      </c>
      <c r="AF1012" s="1" t="s">
        <v>4171</v>
      </c>
      <c r="AG1012" s="1" t="s">
        <v>4172</v>
      </c>
      <c r="AH1012" s="1">
        <v>68.400000000000006</v>
      </c>
      <c r="AI1012" s="1">
        <v>65.900000000000006</v>
      </c>
      <c r="AJ1012" s="1" t="s">
        <v>4173</v>
      </c>
      <c r="AK1012" s="1" t="s">
        <v>4174</v>
      </c>
      <c r="AL1012" s="1" t="s">
        <v>4175</v>
      </c>
    </row>
    <row r="1013" spans="1:38" x14ac:dyDescent="0.6">
      <c r="A1013" s="1">
        <v>719</v>
      </c>
      <c r="B1013" s="1" t="s">
        <v>103</v>
      </c>
      <c r="C1013" s="1">
        <v>73</v>
      </c>
      <c r="D1013" s="1" t="s">
        <v>119</v>
      </c>
      <c r="E1013" s="1" t="s">
        <v>90</v>
      </c>
      <c r="F1013" s="1"/>
      <c r="G1013" s="1"/>
      <c r="H1013" s="1" t="s">
        <v>91</v>
      </c>
      <c r="I1013" s="1" t="s">
        <v>92</v>
      </c>
      <c r="J1013" s="1" t="s">
        <v>93</v>
      </c>
      <c r="K1013" s="1">
        <v>1</v>
      </c>
      <c r="L1013" s="1">
        <v>120</v>
      </c>
      <c r="M1013" s="1" t="s">
        <v>14</v>
      </c>
      <c r="N1013" s="1" t="s">
        <v>95</v>
      </c>
      <c r="O1013" s="1" t="s">
        <v>96</v>
      </c>
      <c r="P1013" s="1"/>
      <c r="Q1013" s="1" t="s">
        <v>9</v>
      </c>
      <c r="R1013" s="1">
        <v>0</v>
      </c>
      <c r="S1013" s="1" t="s">
        <v>97</v>
      </c>
      <c r="T1013" s="1" t="s">
        <v>97</v>
      </c>
      <c r="U1013" s="1" t="b">
        <v>1</v>
      </c>
      <c r="V1013" s="1" t="b">
        <v>0</v>
      </c>
      <c r="W1013" s="1" t="b">
        <v>0</v>
      </c>
      <c r="X1013" s="1">
        <v>5</v>
      </c>
      <c r="Y1013" s="1" t="b">
        <v>1</v>
      </c>
      <c r="Z1013" s="1" t="b">
        <v>1</v>
      </c>
      <c r="AA1013" s="1"/>
      <c r="AB1013" s="1" t="b">
        <v>1</v>
      </c>
      <c r="AC1013" s="1">
        <v>94821470</v>
      </c>
      <c r="AD1013" s="1">
        <v>598946</v>
      </c>
      <c r="AE1013" s="1">
        <v>0</v>
      </c>
      <c r="AF1013" s="1" t="s">
        <v>4176</v>
      </c>
      <c r="AG1013" s="1" t="s">
        <v>4177</v>
      </c>
      <c r="AH1013" s="1">
        <v>60</v>
      </c>
      <c r="AI1013" s="1">
        <v>59.1</v>
      </c>
      <c r="AJ1013" s="1" t="s">
        <v>4178</v>
      </c>
      <c r="AK1013" s="1" t="s">
        <v>4179</v>
      </c>
      <c r="AL1013" s="1" t="s">
        <v>4180</v>
      </c>
    </row>
    <row r="1014" spans="1:38" x14ac:dyDescent="0.6">
      <c r="A1014" s="1">
        <v>704</v>
      </c>
      <c r="B1014" s="1" t="s">
        <v>103</v>
      </c>
      <c r="C1014" s="1">
        <v>89</v>
      </c>
      <c r="D1014" s="1" t="s">
        <v>153</v>
      </c>
      <c r="E1014" s="1"/>
      <c r="F1014" s="1"/>
      <c r="G1014" s="1"/>
      <c r="H1014" s="1" t="s">
        <v>91</v>
      </c>
      <c r="I1014" s="1" t="s">
        <v>92</v>
      </c>
      <c r="J1014" s="1" t="s">
        <v>93</v>
      </c>
      <c r="K1014" s="1">
        <v>1</v>
      </c>
      <c r="L1014" s="1">
        <v>120</v>
      </c>
      <c r="M1014" s="1" t="s">
        <v>14</v>
      </c>
      <c r="N1014" s="1" t="s">
        <v>95</v>
      </c>
      <c r="O1014" s="1" t="s">
        <v>96</v>
      </c>
      <c r="P1014" s="1"/>
      <c r="Q1014" s="1" t="s">
        <v>9</v>
      </c>
      <c r="R1014" s="1">
        <v>0</v>
      </c>
      <c r="S1014" s="1" t="s">
        <v>97</v>
      </c>
      <c r="T1014" s="1" t="s">
        <v>97</v>
      </c>
      <c r="U1014" s="1" t="b">
        <v>1</v>
      </c>
      <c r="V1014" s="1" t="b">
        <v>0</v>
      </c>
      <c r="W1014" s="1" t="b">
        <v>0</v>
      </c>
      <c r="X1014" s="1">
        <v>5</v>
      </c>
      <c r="Y1014" s="1" t="b">
        <v>1</v>
      </c>
      <c r="Z1014" s="1" t="b">
        <v>1</v>
      </c>
      <c r="AA1014" s="1"/>
      <c r="AB1014" s="1" t="b">
        <v>1</v>
      </c>
      <c r="AC1014" s="1">
        <v>132522000</v>
      </c>
      <c r="AD1014" s="1">
        <v>909296</v>
      </c>
      <c r="AE1014" s="1">
        <v>0</v>
      </c>
      <c r="AF1014" s="1" t="s">
        <v>4121</v>
      </c>
      <c r="AG1014" s="1" t="s">
        <v>4122</v>
      </c>
      <c r="AH1014" s="1">
        <v>60.5</v>
      </c>
      <c r="AI1014" s="1">
        <v>59.9</v>
      </c>
      <c r="AJ1014" s="1" t="s">
        <v>4181</v>
      </c>
      <c r="AK1014" s="1" t="s">
        <v>4182</v>
      </c>
      <c r="AL1014" s="1" t="s">
        <v>4183</v>
      </c>
    </row>
    <row r="1015" spans="1:38" x14ac:dyDescent="0.6">
      <c r="A1015" s="1">
        <v>719</v>
      </c>
      <c r="B1015" s="1" t="s">
        <v>103</v>
      </c>
      <c r="C1015" s="1">
        <v>73</v>
      </c>
      <c r="D1015" s="1" t="s">
        <v>119</v>
      </c>
      <c r="E1015" s="1" t="s">
        <v>90</v>
      </c>
      <c r="F1015" s="1"/>
      <c r="G1015" s="1"/>
      <c r="H1015" s="1" t="s">
        <v>91</v>
      </c>
      <c r="I1015" s="1" t="s">
        <v>92</v>
      </c>
      <c r="J1015" s="1" t="s">
        <v>93</v>
      </c>
      <c r="K1015" s="1">
        <v>1</v>
      </c>
      <c r="L1015" s="1">
        <v>120</v>
      </c>
      <c r="M1015" s="1" t="s">
        <v>94</v>
      </c>
      <c r="N1015" s="1" t="s">
        <v>95</v>
      </c>
      <c r="O1015" s="1"/>
      <c r="P1015" s="1" t="s">
        <v>96</v>
      </c>
      <c r="Q1015" s="1" t="s">
        <v>9</v>
      </c>
      <c r="R1015" s="1">
        <v>0</v>
      </c>
      <c r="S1015" s="1" t="s">
        <v>97</v>
      </c>
      <c r="T1015" s="1" t="s">
        <v>97</v>
      </c>
      <c r="U1015" s="1" t="b">
        <v>1</v>
      </c>
      <c r="V1015" s="1" t="b">
        <v>0</v>
      </c>
      <c r="W1015" s="1" t="b">
        <v>0</v>
      </c>
      <c r="X1015" s="1">
        <v>0</v>
      </c>
      <c r="Y1015" s="1" t="b">
        <v>1</v>
      </c>
      <c r="Z1015" s="1" t="b">
        <v>1</v>
      </c>
      <c r="AA1015" s="1">
        <v>62.2</v>
      </c>
      <c r="AB1015" s="1" t="b">
        <v>1</v>
      </c>
      <c r="AC1015" s="1">
        <v>103278912</v>
      </c>
      <c r="AD1015" s="1">
        <v>1840832</v>
      </c>
      <c r="AE1015" s="1">
        <v>0</v>
      </c>
      <c r="AF1015" s="1" t="s">
        <v>4176</v>
      </c>
      <c r="AG1015" s="1" t="s">
        <v>4177</v>
      </c>
      <c r="AH1015" s="1">
        <v>60</v>
      </c>
      <c r="AI1015" s="1">
        <v>59.1</v>
      </c>
      <c r="AJ1015" s="1" t="s">
        <v>4184</v>
      </c>
      <c r="AK1015" s="1" t="s">
        <v>4185</v>
      </c>
      <c r="AL1015" s="1" t="s">
        <v>4186</v>
      </c>
    </row>
    <row r="1016" spans="1:38" x14ac:dyDescent="0.6">
      <c r="A1016" s="1">
        <v>698</v>
      </c>
      <c r="B1016" s="1" t="s">
        <v>88</v>
      </c>
      <c r="C1016" s="1">
        <v>50</v>
      </c>
      <c r="D1016" s="1" t="s">
        <v>89</v>
      </c>
      <c r="E1016" s="1" t="s">
        <v>90</v>
      </c>
      <c r="F1016" s="1"/>
      <c r="G1016" s="1"/>
      <c r="H1016" s="1" t="s">
        <v>91</v>
      </c>
      <c r="I1016" s="1" t="s">
        <v>92</v>
      </c>
      <c r="J1016" s="1" t="s">
        <v>93</v>
      </c>
      <c r="K1016" s="1">
        <v>1</v>
      </c>
      <c r="L1016" s="1">
        <v>120</v>
      </c>
      <c r="M1016" s="1" t="s">
        <v>7</v>
      </c>
      <c r="N1016" s="1" t="s">
        <v>7</v>
      </c>
      <c r="O1016" s="1" t="s">
        <v>96</v>
      </c>
      <c r="P1016" s="1" t="s">
        <v>96</v>
      </c>
      <c r="Q1016" s="1" t="s">
        <v>9</v>
      </c>
      <c r="R1016" s="1">
        <v>0</v>
      </c>
      <c r="S1016" s="1" t="s">
        <v>97</v>
      </c>
      <c r="T1016" s="1" t="s">
        <v>97</v>
      </c>
      <c r="U1016" s="1" t="b">
        <v>1</v>
      </c>
      <c r="V1016" s="1" t="b">
        <v>0</v>
      </c>
      <c r="W1016" s="1" t="b">
        <v>0</v>
      </c>
      <c r="X1016" s="1">
        <v>5</v>
      </c>
      <c r="Y1016" s="1" t="b">
        <v>1</v>
      </c>
      <c r="Z1016" s="1" t="b">
        <v>1</v>
      </c>
      <c r="AA1016" s="1">
        <v>64.599999999999994</v>
      </c>
      <c r="AB1016" s="1" t="b">
        <v>0</v>
      </c>
      <c r="AC1016" s="1">
        <v>0</v>
      </c>
      <c r="AD1016" s="1">
        <v>2712120</v>
      </c>
      <c r="AE1016" s="1">
        <v>148020680</v>
      </c>
      <c r="AF1016" s="1" t="s">
        <v>4187</v>
      </c>
      <c r="AG1016" s="1" t="s">
        <v>4187</v>
      </c>
      <c r="AH1016" s="1">
        <v>62.8</v>
      </c>
      <c r="AI1016" s="1">
        <v>61.5</v>
      </c>
      <c r="AJ1016" s="1" t="s">
        <v>4188</v>
      </c>
      <c r="AK1016" s="1" t="s">
        <v>4189</v>
      </c>
      <c r="AL1016" s="1" t="s">
        <v>4190</v>
      </c>
    </row>
    <row r="1017" spans="1:38" x14ac:dyDescent="0.6">
      <c r="A1017" s="1">
        <v>708</v>
      </c>
      <c r="B1017" s="1" t="s">
        <v>103</v>
      </c>
      <c r="C1017" s="1">
        <v>50</v>
      </c>
      <c r="D1017" s="1" t="s">
        <v>89</v>
      </c>
      <c r="E1017" s="1" t="s">
        <v>90</v>
      </c>
      <c r="F1017" s="1"/>
      <c r="G1017" s="1"/>
      <c r="H1017" s="1" t="s">
        <v>1923</v>
      </c>
      <c r="I1017" s="1" t="s">
        <v>92</v>
      </c>
      <c r="J1017" s="1" t="s">
        <v>93</v>
      </c>
      <c r="K1017" s="1">
        <v>1</v>
      </c>
      <c r="L1017" s="1">
        <v>120</v>
      </c>
      <c r="M1017" s="1" t="s">
        <v>94</v>
      </c>
      <c r="N1017" s="1" t="s">
        <v>95</v>
      </c>
      <c r="O1017" s="1"/>
      <c r="P1017" s="1" t="s">
        <v>96</v>
      </c>
      <c r="Q1017" s="1" t="s">
        <v>9</v>
      </c>
      <c r="R1017" s="1">
        <v>0</v>
      </c>
      <c r="S1017" s="1" t="s">
        <v>97</v>
      </c>
      <c r="T1017" s="1" t="s">
        <v>97</v>
      </c>
      <c r="U1017" s="1" t="b">
        <v>1</v>
      </c>
      <c r="V1017" s="1" t="b">
        <v>0</v>
      </c>
      <c r="W1017" s="1" t="b">
        <v>0</v>
      </c>
      <c r="X1017" s="1">
        <v>0</v>
      </c>
      <c r="Y1017" s="1" t="b">
        <v>1</v>
      </c>
      <c r="Z1017" s="1" t="b">
        <v>1</v>
      </c>
      <c r="AA1017" s="1">
        <v>86</v>
      </c>
      <c r="AB1017" s="1" t="b">
        <v>1</v>
      </c>
      <c r="AC1017" s="1">
        <v>103751976</v>
      </c>
      <c r="AD1017" s="1">
        <v>1367768</v>
      </c>
      <c r="AE1017" s="1">
        <v>0</v>
      </c>
      <c r="AF1017" s="1" t="s">
        <v>4143</v>
      </c>
      <c r="AG1017" s="1" t="s">
        <v>4144</v>
      </c>
      <c r="AH1017" s="1">
        <v>89.2</v>
      </c>
      <c r="AI1017" s="1">
        <v>84.1</v>
      </c>
      <c r="AJ1017" s="1" t="s">
        <v>4191</v>
      </c>
      <c r="AK1017" s="1" t="s">
        <v>4192</v>
      </c>
      <c r="AL1017" s="1" t="s">
        <v>4193</v>
      </c>
    </row>
    <row r="1018" spans="1:38" x14ac:dyDescent="0.6">
      <c r="A1018" s="1">
        <v>721</v>
      </c>
      <c r="B1018" s="1" t="s">
        <v>103</v>
      </c>
      <c r="C1018" s="1">
        <v>58</v>
      </c>
      <c r="D1018" s="1" t="s">
        <v>89</v>
      </c>
      <c r="E1018" s="1" t="s">
        <v>90</v>
      </c>
      <c r="F1018" s="1"/>
      <c r="G1018" s="1"/>
      <c r="H1018" s="1" t="s">
        <v>91</v>
      </c>
      <c r="I1018" s="1" t="s">
        <v>92</v>
      </c>
      <c r="J1018" s="1" t="s">
        <v>109</v>
      </c>
      <c r="K1018" s="1">
        <v>1</v>
      </c>
      <c r="L1018" s="1">
        <v>120</v>
      </c>
      <c r="M1018" s="1" t="s">
        <v>14</v>
      </c>
      <c r="N1018" s="1" t="s">
        <v>95</v>
      </c>
      <c r="O1018" s="1" t="s">
        <v>96</v>
      </c>
      <c r="P1018" s="1"/>
      <c r="Q1018" s="1" t="s">
        <v>110</v>
      </c>
      <c r="R1018" s="1">
        <v>3</v>
      </c>
      <c r="S1018" s="1" t="s">
        <v>97</v>
      </c>
      <c r="T1018" s="1" t="s">
        <v>110</v>
      </c>
      <c r="U1018" s="1" t="b">
        <v>0</v>
      </c>
      <c r="V1018" s="1" t="b">
        <v>1</v>
      </c>
      <c r="W1018" s="1" t="b">
        <v>0</v>
      </c>
      <c r="X1018" s="1">
        <v>4</v>
      </c>
      <c r="Y1018" s="1" t="b">
        <v>1</v>
      </c>
      <c r="Z1018" s="1" t="b">
        <v>1</v>
      </c>
      <c r="AA1018" s="1"/>
      <c r="AB1018" s="1" t="b">
        <v>1</v>
      </c>
      <c r="AC1018" s="1">
        <v>102319620</v>
      </c>
      <c r="AD1018" s="1">
        <v>440828</v>
      </c>
      <c r="AE1018" s="1">
        <v>0</v>
      </c>
      <c r="AF1018" s="1" t="s">
        <v>4194</v>
      </c>
      <c r="AG1018" s="1" t="s">
        <v>4195</v>
      </c>
      <c r="AH1018" s="1">
        <v>63.3</v>
      </c>
      <c r="AI1018" s="1">
        <v>69.599999999999994</v>
      </c>
      <c r="AJ1018" s="1" t="s">
        <v>4196</v>
      </c>
      <c r="AK1018" s="1" t="s">
        <v>4197</v>
      </c>
      <c r="AL1018" s="1" t="s">
        <v>4198</v>
      </c>
    </row>
    <row r="1019" spans="1:38" x14ac:dyDescent="0.6">
      <c r="A1019" s="1">
        <v>713</v>
      </c>
      <c r="B1019" s="1" t="s">
        <v>103</v>
      </c>
      <c r="C1019" s="1">
        <v>62</v>
      </c>
      <c r="D1019" s="1" t="s">
        <v>127</v>
      </c>
      <c r="E1019" s="1" t="s">
        <v>108</v>
      </c>
      <c r="F1019" s="1"/>
      <c r="G1019" s="1"/>
      <c r="H1019" s="1" t="s">
        <v>91</v>
      </c>
      <c r="I1019" s="1" t="s">
        <v>92</v>
      </c>
      <c r="J1019" s="1" t="s">
        <v>93</v>
      </c>
      <c r="K1019" s="1">
        <v>1</v>
      </c>
      <c r="L1019" s="1">
        <v>120</v>
      </c>
      <c r="M1019" s="1" t="s">
        <v>14</v>
      </c>
      <c r="N1019" s="1" t="s">
        <v>95</v>
      </c>
      <c r="O1019" s="1" t="s">
        <v>96</v>
      </c>
      <c r="P1019" s="1"/>
      <c r="Q1019" s="1" t="s">
        <v>9</v>
      </c>
      <c r="R1019" s="1">
        <v>0</v>
      </c>
      <c r="S1019" s="1" t="s">
        <v>97</v>
      </c>
      <c r="T1019" s="1" t="s">
        <v>97</v>
      </c>
      <c r="U1019" s="1" t="b">
        <v>1</v>
      </c>
      <c r="V1019" s="1" t="b">
        <v>0</v>
      </c>
      <c r="W1019" s="1" t="b">
        <v>0</v>
      </c>
      <c r="X1019" s="1">
        <v>5</v>
      </c>
      <c r="Y1019" s="1" t="b">
        <v>1</v>
      </c>
      <c r="Z1019" s="1" t="b">
        <v>1</v>
      </c>
      <c r="AA1019" s="1"/>
      <c r="AB1019" s="1" t="b">
        <v>1</v>
      </c>
      <c r="AC1019" s="1">
        <v>153509589</v>
      </c>
      <c r="AD1019" s="1">
        <v>631083</v>
      </c>
      <c r="AE1019" s="1">
        <v>0</v>
      </c>
      <c r="AF1019" s="1" t="s">
        <v>4199</v>
      </c>
      <c r="AG1019" s="1" t="s">
        <v>4200</v>
      </c>
      <c r="AH1019" s="1">
        <v>79.3</v>
      </c>
      <c r="AI1019" s="1">
        <v>70.599999999999994</v>
      </c>
      <c r="AJ1019" s="1" t="s">
        <v>4201</v>
      </c>
      <c r="AK1019" s="1" t="s">
        <v>4202</v>
      </c>
      <c r="AL1019" s="1" t="s">
        <v>4203</v>
      </c>
    </row>
    <row r="1020" spans="1:38" x14ac:dyDescent="0.6">
      <c r="A1020" s="1">
        <v>713</v>
      </c>
      <c r="B1020" s="1" t="s">
        <v>103</v>
      </c>
      <c r="C1020" s="1">
        <v>62</v>
      </c>
      <c r="D1020" s="1" t="s">
        <v>127</v>
      </c>
      <c r="E1020" s="1" t="s">
        <v>108</v>
      </c>
      <c r="F1020" s="1"/>
      <c r="G1020" s="1"/>
      <c r="H1020" s="1" t="s">
        <v>91</v>
      </c>
      <c r="I1020" s="1" t="s">
        <v>92</v>
      </c>
      <c r="J1020" s="1" t="s">
        <v>93</v>
      </c>
      <c r="K1020" s="1">
        <v>1</v>
      </c>
      <c r="L1020" s="1">
        <v>120</v>
      </c>
      <c r="M1020" s="1" t="s">
        <v>94</v>
      </c>
      <c r="N1020" s="1" t="s">
        <v>95</v>
      </c>
      <c r="O1020" s="1"/>
      <c r="P1020" s="1" t="s">
        <v>96</v>
      </c>
      <c r="Q1020" s="1" t="s">
        <v>9</v>
      </c>
      <c r="R1020" s="1">
        <v>0</v>
      </c>
      <c r="S1020" s="1" t="s">
        <v>97</v>
      </c>
      <c r="T1020" s="1" t="s">
        <v>97</v>
      </c>
      <c r="U1020" s="1" t="b">
        <v>1</v>
      </c>
      <c r="V1020" s="1" t="b">
        <v>0</v>
      </c>
      <c r="W1020" s="1" t="b">
        <v>0</v>
      </c>
      <c r="X1020" s="1">
        <v>0</v>
      </c>
      <c r="Y1020" s="1" t="b">
        <v>1</v>
      </c>
      <c r="Z1020" s="1" t="b">
        <v>1</v>
      </c>
      <c r="AA1020" s="1">
        <v>70.7</v>
      </c>
      <c r="AB1020" s="1" t="b">
        <v>1</v>
      </c>
      <c r="AC1020" s="1">
        <v>158293028</v>
      </c>
      <c r="AD1020" s="1">
        <v>2139100</v>
      </c>
      <c r="AE1020" s="1">
        <v>0</v>
      </c>
      <c r="AF1020" s="1" t="s">
        <v>4199</v>
      </c>
      <c r="AG1020" s="1" t="s">
        <v>4200</v>
      </c>
      <c r="AH1020" s="1">
        <v>79.3</v>
      </c>
      <c r="AI1020" s="1">
        <v>70.599999999999994</v>
      </c>
      <c r="AJ1020" s="1" t="s">
        <v>4204</v>
      </c>
      <c r="AK1020" s="1" t="s">
        <v>4205</v>
      </c>
      <c r="AL1020" s="1" t="s">
        <v>4206</v>
      </c>
    </row>
    <row r="1021" spans="1:38" x14ac:dyDescent="0.6">
      <c r="A1021" s="1">
        <v>709</v>
      </c>
      <c r="B1021" s="1" t="s">
        <v>88</v>
      </c>
      <c r="C1021" s="1">
        <v>70</v>
      </c>
      <c r="D1021" s="1" t="s">
        <v>119</v>
      </c>
      <c r="E1021" s="1" t="s">
        <v>90</v>
      </c>
      <c r="F1021" s="1"/>
      <c r="G1021" s="1"/>
      <c r="H1021" s="1" t="s">
        <v>1923</v>
      </c>
      <c r="I1021" s="1" t="s">
        <v>92</v>
      </c>
      <c r="J1021" s="1" t="s">
        <v>93</v>
      </c>
      <c r="K1021" s="1">
        <v>1</v>
      </c>
      <c r="L1021" s="1">
        <v>120</v>
      </c>
      <c r="M1021" s="1" t="s">
        <v>14</v>
      </c>
      <c r="N1021" s="1" t="s">
        <v>95</v>
      </c>
      <c r="O1021" s="1" t="s">
        <v>96</v>
      </c>
      <c r="P1021" s="1"/>
      <c r="Q1021" s="1" t="s">
        <v>9</v>
      </c>
      <c r="R1021" s="1">
        <v>0</v>
      </c>
      <c r="S1021" s="1" t="s">
        <v>97</v>
      </c>
      <c r="T1021" s="1" t="s">
        <v>97</v>
      </c>
      <c r="U1021" s="1" t="b">
        <v>1</v>
      </c>
      <c r="V1021" s="1" t="b">
        <v>0</v>
      </c>
      <c r="W1021" s="1" t="b">
        <v>0</v>
      </c>
      <c r="X1021" s="1">
        <v>5</v>
      </c>
      <c r="Y1021" s="1" t="b">
        <v>1</v>
      </c>
      <c r="Z1021" s="1" t="b">
        <v>1</v>
      </c>
      <c r="AA1021" s="1"/>
      <c r="AB1021" s="1" t="b">
        <v>1</v>
      </c>
      <c r="AC1021" s="1">
        <v>104674509</v>
      </c>
      <c r="AD1021" s="1">
        <v>445235</v>
      </c>
      <c r="AE1021" s="1">
        <v>0</v>
      </c>
      <c r="AF1021" s="1" t="s">
        <v>4152</v>
      </c>
      <c r="AG1021" s="1" t="s">
        <v>4153</v>
      </c>
      <c r="AH1021" s="1">
        <v>84.1</v>
      </c>
      <c r="AI1021" s="1">
        <v>74.599999999999994</v>
      </c>
      <c r="AJ1021" s="1" t="s">
        <v>4207</v>
      </c>
      <c r="AK1021" s="1" t="s">
        <v>4208</v>
      </c>
      <c r="AL1021" s="1" t="s">
        <v>4209</v>
      </c>
    </row>
    <row r="1022" spans="1:38" x14ac:dyDescent="0.6">
      <c r="A1022" s="1">
        <v>715</v>
      </c>
      <c r="B1022" s="1" t="s">
        <v>88</v>
      </c>
      <c r="C1022" s="1">
        <v>67</v>
      </c>
      <c r="D1022" s="1" t="s">
        <v>127</v>
      </c>
      <c r="E1022" s="1" t="s">
        <v>90</v>
      </c>
      <c r="F1022" s="1"/>
      <c r="G1022" s="1"/>
      <c r="H1022" s="1" t="s">
        <v>91</v>
      </c>
      <c r="I1022" s="1" t="s">
        <v>92</v>
      </c>
      <c r="J1022" s="1" t="s">
        <v>93</v>
      </c>
      <c r="K1022" s="1">
        <v>1</v>
      </c>
      <c r="L1022" s="1">
        <v>120</v>
      </c>
      <c r="M1022" s="1" t="s">
        <v>7</v>
      </c>
      <c r="N1022" s="1" t="s">
        <v>7</v>
      </c>
      <c r="O1022" s="1" t="s">
        <v>96</v>
      </c>
      <c r="P1022" s="1" t="s">
        <v>96</v>
      </c>
      <c r="Q1022" s="1" t="s">
        <v>9</v>
      </c>
      <c r="R1022" s="1">
        <v>0</v>
      </c>
      <c r="S1022" s="1" t="s">
        <v>97</v>
      </c>
      <c r="T1022" s="1" t="s">
        <v>97</v>
      </c>
      <c r="U1022" s="1" t="b">
        <v>1</v>
      </c>
      <c r="V1022" s="1" t="b">
        <v>0</v>
      </c>
      <c r="W1022" s="1" t="b">
        <v>0</v>
      </c>
      <c r="X1022" s="1">
        <v>5</v>
      </c>
      <c r="Y1022" s="1" t="b">
        <v>1</v>
      </c>
      <c r="Z1022" s="1" t="b">
        <v>1</v>
      </c>
      <c r="AA1022" s="1">
        <v>74.400000000000006</v>
      </c>
      <c r="AB1022" s="1" t="b">
        <v>0</v>
      </c>
      <c r="AC1022" s="1">
        <v>0</v>
      </c>
      <c r="AD1022" s="1">
        <v>2263452</v>
      </c>
      <c r="AE1022" s="1">
        <v>141653604</v>
      </c>
      <c r="AF1022" s="1" t="s">
        <v>4210</v>
      </c>
      <c r="AG1022" s="1" t="s">
        <v>4210</v>
      </c>
      <c r="AH1022" s="1">
        <v>74.8</v>
      </c>
      <c r="AI1022" s="1">
        <v>71.400000000000006</v>
      </c>
      <c r="AJ1022" s="1" t="s">
        <v>4211</v>
      </c>
      <c r="AK1022" s="1" t="s">
        <v>4212</v>
      </c>
      <c r="AL1022" s="1" t="s">
        <v>4213</v>
      </c>
    </row>
    <row r="1023" spans="1:38" x14ac:dyDescent="0.6">
      <c r="A1023" s="1">
        <v>721</v>
      </c>
      <c r="B1023" s="1" t="s">
        <v>103</v>
      </c>
      <c r="C1023" s="1">
        <v>58</v>
      </c>
      <c r="D1023" s="1" t="s">
        <v>89</v>
      </c>
      <c r="E1023" s="1" t="s">
        <v>90</v>
      </c>
      <c r="F1023" s="1"/>
      <c r="G1023" s="1"/>
      <c r="H1023" s="1" t="s">
        <v>91</v>
      </c>
      <c r="I1023" s="1" t="s">
        <v>92</v>
      </c>
      <c r="J1023" s="1" t="s">
        <v>109</v>
      </c>
      <c r="K1023" s="1">
        <v>1</v>
      </c>
      <c r="L1023" s="1">
        <v>120</v>
      </c>
      <c r="M1023" s="1" t="s">
        <v>94</v>
      </c>
      <c r="N1023" s="1" t="s">
        <v>95</v>
      </c>
      <c r="O1023" s="1"/>
      <c r="P1023" s="1" t="s">
        <v>96</v>
      </c>
      <c r="Q1023" s="1" t="s">
        <v>110</v>
      </c>
      <c r="R1023" s="1">
        <v>3</v>
      </c>
      <c r="S1023" s="1" t="s">
        <v>97</v>
      </c>
      <c r="T1023" s="1" t="s">
        <v>110</v>
      </c>
      <c r="U1023" s="1" t="b">
        <v>0</v>
      </c>
      <c r="V1023" s="1" t="b">
        <v>1</v>
      </c>
      <c r="W1023" s="1" t="b">
        <v>0</v>
      </c>
      <c r="X1023" s="1">
        <v>0</v>
      </c>
      <c r="Y1023" s="1" t="b">
        <v>1</v>
      </c>
      <c r="Z1023" s="1" t="b">
        <v>1</v>
      </c>
      <c r="AA1023" s="1">
        <v>75.8</v>
      </c>
      <c r="AB1023" s="1" t="b">
        <v>1</v>
      </c>
      <c r="AC1023" s="1">
        <v>103491203</v>
      </c>
      <c r="AD1023" s="1">
        <v>1628541</v>
      </c>
      <c r="AE1023" s="1">
        <v>0</v>
      </c>
      <c r="AF1023" s="1" t="s">
        <v>4194</v>
      </c>
      <c r="AG1023" s="1" t="s">
        <v>4195</v>
      </c>
      <c r="AH1023" s="1">
        <v>63.3</v>
      </c>
      <c r="AI1023" s="1">
        <v>69.599999999999994</v>
      </c>
      <c r="AJ1023" s="1" t="s">
        <v>4214</v>
      </c>
      <c r="AK1023" s="1" t="s">
        <v>4215</v>
      </c>
      <c r="AL1023" s="1" t="s">
        <v>4216</v>
      </c>
    </row>
    <row r="1024" spans="1:38" x14ac:dyDescent="0.6">
      <c r="A1024" s="1">
        <v>720</v>
      </c>
      <c r="B1024" s="1" t="s">
        <v>103</v>
      </c>
      <c r="C1024" s="1">
        <v>53</v>
      </c>
      <c r="D1024" s="1" t="s">
        <v>89</v>
      </c>
      <c r="E1024" s="1" t="s">
        <v>90</v>
      </c>
      <c r="F1024" s="1"/>
      <c r="G1024" s="1"/>
      <c r="H1024" s="1" t="s">
        <v>91</v>
      </c>
      <c r="I1024" s="1" t="s">
        <v>92</v>
      </c>
      <c r="J1024" s="1" t="s">
        <v>93</v>
      </c>
      <c r="K1024" s="1">
        <v>1</v>
      </c>
      <c r="L1024" s="1">
        <v>120</v>
      </c>
      <c r="M1024" s="1" t="s">
        <v>94</v>
      </c>
      <c r="N1024" s="1" t="s">
        <v>95</v>
      </c>
      <c r="O1024" s="1"/>
      <c r="P1024" s="1" t="s">
        <v>96</v>
      </c>
      <c r="Q1024" s="1" t="s">
        <v>9</v>
      </c>
      <c r="R1024" s="1">
        <v>0</v>
      </c>
      <c r="S1024" s="1" t="s">
        <v>97</v>
      </c>
      <c r="T1024" s="1" t="s">
        <v>97</v>
      </c>
      <c r="U1024" s="1" t="b">
        <v>1</v>
      </c>
      <c r="V1024" s="1" t="b">
        <v>0</v>
      </c>
      <c r="W1024" s="1" t="b">
        <v>0</v>
      </c>
      <c r="X1024" s="1">
        <v>0</v>
      </c>
      <c r="Y1024" s="1" t="b">
        <v>1</v>
      </c>
      <c r="Z1024" s="1" t="b">
        <v>1</v>
      </c>
      <c r="AA1024" s="1">
        <v>73.599999999999994</v>
      </c>
      <c r="AB1024" s="1" t="b">
        <v>1</v>
      </c>
      <c r="AC1024" s="1">
        <v>150695265</v>
      </c>
      <c r="AD1024" s="1">
        <v>1610399</v>
      </c>
      <c r="AE1024" s="1">
        <v>0</v>
      </c>
      <c r="AF1024" s="1" t="s">
        <v>4217</v>
      </c>
      <c r="AG1024" s="1" t="s">
        <v>4218</v>
      </c>
      <c r="AH1024" s="1">
        <v>78.8</v>
      </c>
      <c r="AI1024" s="1">
        <v>70.8</v>
      </c>
      <c r="AJ1024" s="1" t="s">
        <v>4219</v>
      </c>
      <c r="AK1024" s="1" t="s">
        <v>4220</v>
      </c>
      <c r="AL1024" s="1" t="s">
        <v>4221</v>
      </c>
    </row>
    <row r="1025" spans="1:38" x14ac:dyDescent="0.6">
      <c r="A1025" s="1">
        <v>716</v>
      </c>
      <c r="B1025" s="1" t="s">
        <v>88</v>
      </c>
      <c r="C1025" s="1">
        <v>50</v>
      </c>
      <c r="D1025" s="1" t="s">
        <v>89</v>
      </c>
      <c r="E1025" s="1" t="s">
        <v>90</v>
      </c>
      <c r="F1025" s="1"/>
      <c r="G1025" s="1"/>
      <c r="H1025" s="1" t="s">
        <v>91</v>
      </c>
      <c r="I1025" s="1" t="s">
        <v>92</v>
      </c>
      <c r="J1025" s="1" t="s">
        <v>93</v>
      </c>
      <c r="K1025" s="1">
        <v>1</v>
      </c>
      <c r="L1025" s="1">
        <v>120</v>
      </c>
      <c r="M1025" s="1" t="s">
        <v>7</v>
      </c>
      <c r="N1025" s="1" t="s">
        <v>7</v>
      </c>
      <c r="O1025" s="1" t="s">
        <v>96</v>
      </c>
      <c r="P1025" s="1" t="s">
        <v>96</v>
      </c>
      <c r="Q1025" s="1" t="s">
        <v>9</v>
      </c>
      <c r="R1025" s="1">
        <v>0</v>
      </c>
      <c r="S1025" s="1" t="s">
        <v>97</v>
      </c>
      <c r="T1025" s="1" t="s">
        <v>97</v>
      </c>
      <c r="U1025" s="1" t="b">
        <v>1</v>
      </c>
      <c r="V1025" s="1" t="b">
        <v>0</v>
      </c>
      <c r="W1025" s="1" t="b">
        <v>0</v>
      </c>
      <c r="X1025" s="1">
        <v>5</v>
      </c>
      <c r="Y1025" s="1" t="b">
        <v>1</v>
      </c>
      <c r="Z1025" s="1" t="b">
        <v>1</v>
      </c>
      <c r="AA1025" s="1">
        <v>66.099999999999994</v>
      </c>
      <c r="AB1025" s="1" t="b">
        <v>0</v>
      </c>
      <c r="AC1025" s="1">
        <v>0</v>
      </c>
      <c r="AD1025" s="1">
        <v>1621606</v>
      </c>
      <c r="AE1025" s="1">
        <v>157499802</v>
      </c>
      <c r="AF1025" s="1" t="s">
        <v>4222</v>
      </c>
      <c r="AG1025" s="1" t="s">
        <v>4222</v>
      </c>
      <c r="AH1025" s="1">
        <v>66.599999999999994</v>
      </c>
      <c r="AI1025" s="1">
        <v>62.9</v>
      </c>
      <c r="AJ1025" s="1" t="s">
        <v>4223</v>
      </c>
      <c r="AK1025" s="1" t="s">
        <v>4224</v>
      </c>
      <c r="AL1025" s="1" t="s">
        <v>4225</v>
      </c>
    </row>
    <row r="1026" spans="1:38" x14ac:dyDescent="0.6">
      <c r="A1026" s="1">
        <v>717</v>
      </c>
      <c r="B1026" s="1" t="s">
        <v>88</v>
      </c>
      <c r="C1026" s="1">
        <v>59</v>
      </c>
      <c r="D1026" s="1" t="s">
        <v>89</v>
      </c>
      <c r="E1026" s="1" t="s">
        <v>108</v>
      </c>
      <c r="F1026" s="1"/>
      <c r="G1026" s="1"/>
      <c r="H1026" s="1" t="s">
        <v>91</v>
      </c>
      <c r="I1026" s="1" t="s">
        <v>92</v>
      </c>
      <c r="J1026" s="1" t="s">
        <v>93</v>
      </c>
      <c r="K1026" s="1">
        <v>1</v>
      </c>
      <c r="L1026" s="1">
        <v>120</v>
      </c>
      <c r="M1026" s="1" t="s">
        <v>14</v>
      </c>
      <c r="N1026" s="1" t="s">
        <v>95</v>
      </c>
      <c r="O1026" s="1" t="s">
        <v>96</v>
      </c>
      <c r="P1026" s="1"/>
      <c r="Q1026" s="1" t="s">
        <v>9</v>
      </c>
      <c r="R1026" s="1">
        <v>0</v>
      </c>
      <c r="S1026" s="1" t="s">
        <v>97</v>
      </c>
      <c r="T1026" s="1" t="s">
        <v>97</v>
      </c>
      <c r="U1026" s="1" t="b">
        <v>1</v>
      </c>
      <c r="V1026" s="1" t="b">
        <v>0</v>
      </c>
      <c r="W1026" s="1" t="b">
        <v>0</v>
      </c>
      <c r="X1026" s="1">
        <v>5</v>
      </c>
      <c r="Y1026" s="1" t="b">
        <v>1</v>
      </c>
      <c r="Z1026" s="1" t="b">
        <v>1</v>
      </c>
      <c r="AA1026" s="1"/>
      <c r="AB1026" s="1" t="b">
        <v>1</v>
      </c>
      <c r="AC1026" s="1">
        <v>167562121</v>
      </c>
      <c r="AD1026" s="1">
        <v>734327</v>
      </c>
      <c r="AE1026" s="1">
        <v>0</v>
      </c>
      <c r="AF1026" s="1" t="s">
        <v>4226</v>
      </c>
      <c r="AG1026" s="1" t="s">
        <v>4227</v>
      </c>
      <c r="AH1026" s="1">
        <v>53.9</v>
      </c>
      <c r="AI1026" s="1">
        <v>53.6</v>
      </c>
      <c r="AJ1026" s="1" t="s">
        <v>4228</v>
      </c>
      <c r="AK1026" s="1" t="s">
        <v>4229</v>
      </c>
      <c r="AL1026" s="1" t="s">
        <v>4230</v>
      </c>
    </row>
    <row r="1027" spans="1:38" x14ac:dyDescent="0.6">
      <c r="A1027" s="1">
        <v>712</v>
      </c>
      <c r="B1027" s="1" t="s">
        <v>88</v>
      </c>
      <c r="C1027" s="1">
        <v>50</v>
      </c>
      <c r="D1027" s="1" t="s">
        <v>89</v>
      </c>
      <c r="E1027" s="1" t="s">
        <v>90</v>
      </c>
      <c r="F1027" s="1"/>
      <c r="G1027" s="1"/>
      <c r="H1027" s="1" t="s">
        <v>91</v>
      </c>
      <c r="I1027" s="1" t="s">
        <v>92</v>
      </c>
      <c r="J1027" s="1" t="s">
        <v>93</v>
      </c>
      <c r="K1027" s="1">
        <v>1</v>
      </c>
      <c r="L1027" s="1">
        <v>120</v>
      </c>
      <c r="M1027" s="1" t="s">
        <v>94</v>
      </c>
      <c r="N1027" s="1" t="s">
        <v>95</v>
      </c>
      <c r="O1027" s="1"/>
      <c r="P1027" s="1" t="s">
        <v>96</v>
      </c>
      <c r="Q1027" s="1" t="s">
        <v>9</v>
      </c>
      <c r="R1027" s="1">
        <v>0</v>
      </c>
      <c r="S1027" s="1" t="s">
        <v>97</v>
      </c>
      <c r="T1027" s="1" t="s">
        <v>97</v>
      </c>
      <c r="U1027" s="1" t="b">
        <v>1</v>
      </c>
      <c r="V1027" s="1" t="b">
        <v>0</v>
      </c>
      <c r="W1027" s="1" t="b">
        <v>0</v>
      </c>
      <c r="X1027" s="1">
        <v>0</v>
      </c>
      <c r="Y1027" s="1" t="b">
        <v>1</v>
      </c>
      <c r="Z1027" s="1" t="b">
        <v>1</v>
      </c>
      <c r="AA1027" s="1">
        <v>75.599999999999994</v>
      </c>
      <c r="AB1027" s="1" t="b">
        <v>1</v>
      </c>
      <c r="AC1027" s="1">
        <v>126566808</v>
      </c>
      <c r="AD1027" s="1">
        <v>2408040</v>
      </c>
      <c r="AE1027" s="1">
        <v>0</v>
      </c>
      <c r="AF1027" s="1" t="s">
        <v>4161</v>
      </c>
      <c r="AG1027" s="1" t="s">
        <v>4162</v>
      </c>
      <c r="AH1027" s="1">
        <v>79</v>
      </c>
      <c r="AI1027" s="1">
        <v>71.5</v>
      </c>
      <c r="AJ1027" s="1" t="s">
        <v>4231</v>
      </c>
      <c r="AK1027" s="1" t="s">
        <v>4232</v>
      </c>
      <c r="AL1027" s="1" t="s">
        <v>4233</v>
      </c>
    </row>
    <row r="1028" spans="1:38" x14ac:dyDescent="0.6">
      <c r="A1028" s="1">
        <v>718</v>
      </c>
      <c r="B1028" s="1" t="s">
        <v>88</v>
      </c>
      <c r="C1028" s="1">
        <v>69</v>
      </c>
      <c r="D1028" s="1" t="s">
        <v>127</v>
      </c>
      <c r="E1028" s="1" t="s">
        <v>108</v>
      </c>
      <c r="F1028" s="1"/>
      <c r="G1028" s="1"/>
      <c r="H1028" s="1" t="s">
        <v>91</v>
      </c>
      <c r="I1028" s="1" t="s">
        <v>92</v>
      </c>
      <c r="J1028" s="1" t="s">
        <v>93</v>
      </c>
      <c r="K1028" s="1">
        <v>1</v>
      </c>
      <c r="L1028" s="1">
        <v>120</v>
      </c>
      <c r="M1028" s="1" t="s">
        <v>7</v>
      </c>
      <c r="N1028" s="1" t="s">
        <v>7</v>
      </c>
      <c r="O1028" s="1" t="s">
        <v>96</v>
      </c>
      <c r="P1028" s="1" t="s">
        <v>96</v>
      </c>
      <c r="Q1028" s="1" t="s">
        <v>9</v>
      </c>
      <c r="R1028" s="1">
        <v>0</v>
      </c>
      <c r="S1028" s="1" t="s">
        <v>97</v>
      </c>
      <c r="T1028" s="1" t="s">
        <v>97</v>
      </c>
      <c r="U1028" s="1" t="b">
        <v>1</v>
      </c>
      <c r="V1028" s="1" t="b">
        <v>0</v>
      </c>
      <c r="W1028" s="1" t="b">
        <v>0</v>
      </c>
      <c r="X1028" s="1">
        <v>5</v>
      </c>
      <c r="Y1028" s="1" t="b">
        <v>1</v>
      </c>
      <c r="Z1028" s="1" t="b">
        <v>1</v>
      </c>
      <c r="AA1028" s="1">
        <v>49.1</v>
      </c>
      <c r="AB1028" s="1" t="b">
        <v>0</v>
      </c>
      <c r="AC1028" s="1">
        <v>0</v>
      </c>
      <c r="AD1028" s="1">
        <v>2434548</v>
      </c>
      <c r="AE1028" s="1">
        <v>149346828</v>
      </c>
      <c r="AF1028" s="1" t="s">
        <v>4234</v>
      </c>
      <c r="AG1028" s="1" t="s">
        <v>4234</v>
      </c>
      <c r="AH1028" s="1">
        <v>48.2</v>
      </c>
      <c r="AI1028" s="1">
        <v>47.8</v>
      </c>
      <c r="AJ1028" s="1" t="s">
        <v>4235</v>
      </c>
      <c r="AK1028" s="1" t="s">
        <v>4236</v>
      </c>
      <c r="AL1028" s="1" t="s">
        <v>4237</v>
      </c>
    </row>
    <row r="1029" spans="1:38" x14ac:dyDescent="0.6">
      <c r="A1029" s="1">
        <v>717</v>
      </c>
      <c r="B1029" s="1" t="s">
        <v>88</v>
      </c>
      <c r="C1029" s="1">
        <v>59</v>
      </c>
      <c r="D1029" s="1" t="s">
        <v>89</v>
      </c>
      <c r="E1029" s="1" t="s">
        <v>108</v>
      </c>
      <c r="F1029" s="1"/>
      <c r="G1029" s="1"/>
      <c r="H1029" s="1" t="s">
        <v>91</v>
      </c>
      <c r="I1029" s="1" t="s">
        <v>92</v>
      </c>
      <c r="J1029" s="1" t="s">
        <v>93</v>
      </c>
      <c r="K1029" s="1">
        <v>1</v>
      </c>
      <c r="L1029" s="1">
        <v>120</v>
      </c>
      <c r="M1029" s="1" t="s">
        <v>94</v>
      </c>
      <c r="N1029" s="1" t="s">
        <v>95</v>
      </c>
      <c r="O1029" s="1"/>
      <c r="P1029" s="1" t="s">
        <v>96</v>
      </c>
      <c r="Q1029" s="1" t="s">
        <v>9</v>
      </c>
      <c r="R1029" s="1">
        <v>0</v>
      </c>
      <c r="S1029" s="1" t="s">
        <v>97</v>
      </c>
      <c r="T1029" s="1" t="s">
        <v>97</v>
      </c>
      <c r="U1029" s="1" t="b">
        <v>1</v>
      </c>
      <c r="V1029" s="1" t="b">
        <v>0</v>
      </c>
      <c r="W1029" s="1" t="b">
        <v>0</v>
      </c>
      <c r="X1029" s="1">
        <v>0</v>
      </c>
      <c r="Y1029" s="1" t="b">
        <v>1</v>
      </c>
      <c r="Z1029" s="1" t="b">
        <v>1</v>
      </c>
      <c r="AA1029" s="1">
        <v>56.1</v>
      </c>
      <c r="AB1029" s="1" t="b">
        <v>1</v>
      </c>
      <c r="AC1029" s="1">
        <v>167781273</v>
      </c>
      <c r="AD1029" s="1">
        <v>2088039</v>
      </c>
      <c r="AE1029" s="1">
        <v>0</v>
      </c>
      <c r="AF1029" s="1" t="s">
        <v>4226</v>
      </c>
      <c r="AG1029" s="1" t="s">
        <v>4227</v>
      </c>
      <c r="AH1029" s="1">
        <v>53.9</v>
      </c>
      <c r="AI1029" s="1">
        <v>53.6</v>
      </c>
      <c r="AJ1029" s="1" t="s">
        <v>4238</v>
      </c>
      <c r="AK1029" s="1" t="s">
        <v>4239</v>
      </c>
      <c r="AL1029" s="1" t="s">
        <v>4240</v>
      </c>
    </row>
    <row r="1030" spans="1:38" x14ac:dyDescent="0.6">
      <c r="A1030" s="1">
        <v>722</v>
      </c>
      <c r="B1030" s="1" t="s">
        <v>103</v>
      </c>
      <c r="C1030" s="1">
        <v>76</v>
      </c>
      <c r="D1030" s="1" t="s">
        <v>119</v>
      </c>
      <c r="E1030" s="1" t="s">
        <v>90</v>
      </c>
      <c r="F1030" s="1"/>
      <c r="G1030" s="1"/>
      <c r="H1030" s="1" t="s">
        <v>91</v>
      </c>
      <c r="I1030" s="1" t="s">
        <v>92</v>
      </c>
      <c r="J1030" s="1" t="s">
        <v>93</v>
      </c>
      <c r="K1030" s="1">
        <v>1</v>
      </c>
      <c r="L1030" s="1">
        <v>120</v>
      </c>
      <c r="M1030" s="1" t="s">
        <v>94</v>
      </c>
      <c r="N1030" s="1" t="s">
        <v>95</v>
      </c>
      <c r="O1030" s="1"/>
      <c r="P1030" s="1" t="s">
        <v>96</v>
      </c>
      <c r="Q1030" s="1" t="s">
        <v>9</v>
      </c>
      <c r="R1030" s="1">
        <v>0</v>
      </c>
      <c r="S1030" s="1" t="s">
        <v>97</v>
      </c>
      <c r="T1030" s="1" t="s">
        <v>97</v>
      </c>
      <c r="U1030" s="1" t="b">
        <v>1</v>
      </c>
      <c r="V1030" s="1" t="b">
        <v>0</v>
      </c>
      <c r="W1030" s="1" t="b">
        <v>0</v>
      </c>
      <c r="X1030" s="1">
        <v>0</v>
      </c>
      <c r="Y1030" s="1" t="b">
        <v>1</v>
      </c>
      <c r="Z1030" s="1" t="b">
        <v>1</v>
      </c>
      <c r="AA1030" s="1">
        <v>72</v>
      </c>
      <c r="AB1030" s="1" t="b">
        <v>1</v>
      </c>
      <c r="AC1030" s="1">
        <v>140592299</v>
      </c>
      <c r="AD1030" s="1">
        <v>1489749</v>
      </c>
      <c r="AE1030" s="1">
        <v>0</v>
      </c>
      <c r="AF1030" s="1" t="s">
        <v>4241</v>
      </c>
      <c r="AG1030" s="1" t="s">
        <v>4242</v>
      </c>
      <c r="AH1030" s="1">
        <v>62.5</v>
      </c>
      <c r="AI1030" s="1">
        <v>67.3</v>
      </c>
      <c r="AJ1030" s="1" t="s">
        <v>4243</v>
      </c>
      <c r="AK1030" s="1" t="s">
        <v>4244</v>
      </c>
      <c r="AL1030" s="1" t="s">
        <v>4245</v>
      </c>
    </row>
    <row r="1031" spans="1:38" x14ac:dyDescent="0.6">
      <c r="A1031" s="1">
        <v>723</v>
      </c>
      <c r="B1031" s="1" t="s">
        <v>88</v>
      </c>
      <c r="C1031" s="1">
        <v>64</v>
      </c>
      <c r="D1031" s="1" t="s">
        <v>127</v>
      </c>
      <c r="E1031" s="1" t="s">
        <v>108</v>
      </c>
      <c r="F1031" s="1"/>
      <c r="G1031" s="1"/>
      <c r="H1031" s="1" t="s">
        <v>91</v>
      </c>
      <c r="I1031" s="1" t="s">
        <v>92</v>
      </c>
      <c r="J1031" s="1" t="s">
        <v>109</v>
      </c>
      <c r="K1031" s="1">
        <v>1</v>
      </c>
      <c r="L1031" s="1">
        <v>120</v>
      </c>
      <c r="M1031" s="1" t="s">
        <v>14</v>
      </c>
      <c r="N1031" s="1" t="s">
        <v>14</v>
      </c>
      <c r="O1031" s="1" t="s">
        <v>96</v>
      </c>
      <c r="P1031" s="1"/>
      <c r="Q1031" s="1" t="s">
        <v>9</v>
      </c>
      <c r="R1031" s="1">
        <v>0</v>
      </c>
      <c r="S1031" s="1"/>
      <c r="T1031" s="1" t="s">
        <v>97</v>
      </c>
      <c r="U1031" s="1"/>
      <c r="V1031" s="1" t="b">
        <v>0</v>
      </c>
      <c r="W1031" s="1" t="b">
        <v>0</v>
      </c>
      <c r="X1031" s="1">
        <v>5</v>
      </c>
      <c r="Y1031" s="1" t="b">
        <v>1</v>
      </c>
      <c r="Z1031" s="1" t="b">
        <v>1</v>
      </c>
      <c r="AA1031" s="1"/>
      <c r="AB1031" s="1" t="b">
        <v>1</v>
      </c>
      <c r="AC1031" s="1">
        <v>148624032</v>
      </c>
      <c r="AD1031" s="1">
        <v>798048</v>
      </c>
      <c r="AE1031" s="1">
        <v>0</v>
      </c>
      <c r="AF1031" s="1" t="s">
        <v>4246</v>
      </c>
      <c r="AG1031" s="1"/>
      <c r="AH1031" s="1">
        <v>81.400000000000006</v>
      </c>
      <c r="AI1031" s="1"/>
      <c r="AJ1031" s="1" t="s">
        <v>4247</v>
      </c>
      <c r="AK1031" s="1" t="s">
        <v>4248</v>
      </c>
      <c r="AL1031" s="1" t="s">
        <v>4249</v>
      </c>
    </row>
    <row r="1032" spans="1:38" x14ac:dyDescent="0.6">
      <c r="A1032" s="1">
        <v>710</v>
      </c>
      <c r="B1032" s="1" t="s">
        <v>88</v>
      </c>
      <c r="C1032" s="1">
        <v>60</v>
      </c>
      <c r="D1032" s="1" t="s">
        <v>127</v>
      </c>
      <c r="E1032" s="1" t="s">
        <v>108</v>
      </c>
      <c r="F1032" s="1"/>
      <c r="G1032" s="1"/>
      <c r="H1032" s="1" t="s">
        <v>91</v>
      </c>
      <c r="I1032" s="1" t="s">
        <v>92</v>
      </c>
      <c r="J1032" s="1" t="s">
        <v>93</v>
      </c>
      <c r="K1032" s="1">
        <v>1</v>
      </c>
      <c r="L1032" s="1">
        <v>120</v>
      </c>
      <c r="M1032" s="1" t="s">
        <v>94</v>
      </c>
      <c r="N1032" s="1" t="s">
        <v>95</v>
      </c>
      <c r="O1032" s="1"/>
      <c r="P1032" s="1" t="s">
        <v>96</v>
      </c>
      <c r="Q1032" s="1" t="s">
        <v>9</v>
      </c>
      <c r="R1032" s="1">
        <v>0</v>
      </c>
      <c r="S1032" s="1" t="s">
        <v>97</v>
      </c>
      <c r="T1032" s="1" t="s">
        <v>97</v>
      </c>
      <c r="U1032" s="1" t="b">
        <v>1</v>
      </c>
      <c r="V1032" s="1" t="b">
        <v>0</v>
      </c>
      <c r="W1032" s="1" t="b">
        <v>0</v>
      </c>
      <c r="X1032" s="1">
        <v>0</v>
      </c>
      <c r="Y1032" s="1" t="b">
        <v>1</v>
      </c>
      <c r="Z1032" s="1" t="b">
        <v>1</v>
      </c>
      <c r="AA1032" s="1">
        <v>63.6</v>
      </c>
      <c r="AB1032" s="1" t="b">
        <v>1</v>
      </c>
      <c r="AC1032" s="1">
        <v>154378050</v>
      </c>
      <c r="AD1032" s="1">
        <v>2121918</v>
      </c>
      <c r="AE1032" s="1">
        <v>0</v>
      </c>
      <c r="AF1032" s="1" t="s">
        <v>4166</v>
      </c>
      <c r="AG1032" s="1" t="s">
        <v>4167</v>
      </c>
      <c r="AH1032" s="1">
        <v>64.8</v>
      </c>
      <c r="AI1032" s="1">
        <v>60.4</v>
      </c>
      <c r="AJ1032" s="1" t="s">
        <v>4250</v>
      </c>
      <c r="AK1032" s="1" t="s">
        <v>4251</v>
      </c>
      <c r="AL1032" s="1" t="s">
        <v>4252</v>
      </c>
    </row>
    <row r="1033" spans="1:38" x14ac:dyDescent="0.6">
      <c r="A1033" s="1">
        <v>725</v>
      </c>
      <c r="B1033" s="1" t="s">
        <v>103</v>
      </c>
      <c r="C1033" s="1">
        <v>60</v>
      </c>
      <c r="D1033" s="1" t="s">
        <v>127</v>
      </c>
      <c r="E1033" s="1" t="s">
        <v>108</v>
      </c>
      <c r="F1033" s="1"/>
      <c r="G1033" s="1"/>
      <c r="H1033" s="1" t="s">
        <v>91</v>
      </c>
      <c r="I1033" s="1" t="s">
        <v>92</v>
      </c>
      <c r="J1033" s="1" t="s">
        <v>93</v>
      </c>
      <c r="K1033" s="1">
        <v>1</v>
      </c>
      <c r="L1033" s="1">
        <v>120</v>
      </c>
      <c r="M1033" s="1" t="s">
        <v>94</v>
      </c>
      <c r="N1033" s="1" t="s">
        <v>236</v>
      </c>
      <c r="O1033" s="1"/>
      <c r="P1033" s="1" t="s">
        <v>96</v>
      </c>
      <c r="Q1033" s="1" t="s">
        <v>9</v>
      </c>
      <c r="R1033" s="1">
        <v>0</v>
      </c>
      <c r="S1033" s="1" t="s">
        <v>97</v>
      </c>
      <c r="T1033" s="1"/>
      <c r="U1033" s="1"/>
      <c r="V1033" s="1" t="b">
        <v>0</v>
      </c>
      <c r="W1033" s="1" t="b">
        <v>0</v>
      </c>
      <c r="X1033" s="1">
        <v>0</v>
      </c>
      <c r="Y1033" s="1" t="b">
        <v>1</v>
      </c>
      <c r="Z1033" s="1" t="b">
        <v>1</v>
      </c>
      <c r="AA1033" s="1">
        <v>68.2</v>
      </c>
      <c r="AB1033" s="1" t="b">
        <v>1</v>
      </c>
      <c r="AC1033" s="1">
        <v>152051577</v>
      </c>
      <c r="AD1033" s="1">
        <v>1826951</v>
      </c>
      <c r="AE1033" s="1">
        <v>0</v>
      </c>
      <c r="AF1033" s="1"/>
      <c r="AG1033" s="1" t="s">
        <v>4253</v>
      </c>
      <c r="AH1033" s="1"/>
      <c r="AI1033" s="1">
        <v>66.900000000000006</v>
      </c>
      <c r="AJ1033" s="1" t="s">
        <v>4254</v>
      </c>
      <c r="AK1033" s="1" t="s">
        <v>4255</v>
      </c>
      <c r="AL1033" s="1" t="s">
        <v>4256</v>
      </c>
    </row>
    <row r="1034" spans="1:38" x14ac:dyDescent="0.6">
      <c r="A1034" s="1">
        <v>724</v>
      </c>
      <c r="B1034" s="1" t="s">
        <v>88</v>
      </c>
      <c r="C1034" s="1">
        <v>55</v>
      </c>
      <c r="D1034" s="1" t="s">
        <v>89</v>
      </c>
      <c r="E1034" s="1" t="s">
        <v>108</v>
      </c>
      <c r="F1034" s="1"/>
      <c r="G1034" s="1"/>
      <c r="H1034" s="1" t="s">
        <v>91</v>
      </c>
      <c r="I1034" s="1" t="s">
        <v>92</v>
      </c>
      <c r="J1034" s="1" t="s">
        <v>109</v>
      </c>
      <c r="K1034" s="1">
        <v>1</v>
      </c>
      <c r="L1034" s="1">
        <v>120</v>
      </c>
      <c r="M1034" s="1" t="s">
        <v>7</v>
      </c>
      <c r="N1034" s="1" t="s">
        <v>7</v>
      </c>
      <c r="O1034" s="1" t="s">
        <v>96</v>
      </c>
      <c r="P1034" s="1" t="s">
        <v>96</v>
      </c>
      <c r="Q1034" s="1" t="s">
        <v>9</v>
      </c>
      <c r="R1034" s="1">
        <v>0</v>
      </c>
      <c r="S1034" s="1" t="s">
        <v>97</v>
      </c>
      <c r="T1034" s="1" t="s">
        <v>97</v>
      </c>
      <c r="U1034" s="1" t="b">
        <v>1</v>
      </c>
      <c r="V1034" s="1" t="b">
        <v>0</v>
      </c>
      <c r="W1034" s="1" t="b">
        <v>0</v>
      </c>
      <c r="X1034" s="1">
        <v>5</v>
      </c>
      <c r="Y1034" s="1" t="b">
        <v>1</v>
      </c>
      <c r="Z1034" s="1" t="b">
        <v>1</v>
      </c>
      <c r="AA1034" s="1">
        <v>69.8</v>
      </c>
      <c r="AB1034" s="1" t="b">
        <v>0</v>
      </c>
      <c r="AC1034" s="1">
        <v>0</v>
      </c>
      <c r="AD1034" s="1">
        <v>2414364</v>
      </c>
      <c r="AE1034" s="1">
        <v>152774884</v>
      </c>
      <c r="AF1034" s="1" t="s">
        <v>4257</v>
      </c>
      <c r="AG1034" s="1" t="s">
        <v>4257</v>
      </c>
      <c r="AH1034" s="1">
        <v>64.8</v>
      </c>
      <c r="AI1034" s="1">
        <v>66.8</v>
      </c>
      <c r="AJ1034" s="1" t="s">
        <v>4258</v>
      </c>
      <c r="AK1034" s="1" t="s">
        <v>4259</v>
      </c>
      <c r="AL1034" s="1" t="s">
        <v>4260</v>
      </c>
    </row>
    <row r="1035" spans="1:38" x14ac:dyDescent="0.6">
      <c r="A1035" s="1">
        <v>711</v>
      </c>
      <c r="B1035" s="1" t="s">
        <v>103</v>
      </c>
      <c r="C1035" s="1">
        <v>70</v>
      </c>
      <c r="D1035" s="1" t="s">
        <v>119</v>
      </c>
      <c r="E1035" s="1" t="s">
        <v>108</v>
      </c>
      <c r="F1035" s="1"/>
      <c r="G1035" s="1"/>
      <c r="H1035" s="1" t="s">
        <v>91</v>
      </c>
      <c r="I1035" s="1" t="s">
        <v>92</v>
      </c>
      <c r="J1035" s="1" t="s">
        <v>93</v>
      </c>
      <c r="K1035" s="1">
        <v>1</v>
      </c>
      <c r="L1035" s="1">
        <v>120</v>
      </c>
      <c r="M1035" s="1" t="s">
        <v>94</v>
      </c>
      <c r="N1035" s="1" t="s">
        <v>95</v>
      </c>
      <c r="O1035" s="1"/>
      <c r="P1035" s="1" t="s">
        <v>96</v>
      </c>
      <c r="Q1035" s="1" t="s">
        <v>9</v>
      </c>
      <c r="R1035" s="1">
        <v>0</v>
      </c>
      <c r="S1035" s="1" t="s">
        <v>97</v>
      </c>
      <c r="T1035" s="1" t="s">
        <v>97</v>
      </c>
      <c r="U1035" s="1" t="b">
        <v>1</v>
      </c>
      <c r="V1035" s="1" t="b">
        <v>0</v>
      </c>
      <c r="W1035" s="1" t="b">
        <v>0</v>
      </c>
      <c r="X1035" s="1">
        <v>0</v>
      </c>
      <c r="Y1035" s="1" t="b">
        <v>1</v>
      </c>
      <c r="Z1035" s="1" t="b">
        <v>1</v>
      </c>
      <c r="AA1035" s="1">
        <v>68.599999999999994</v>
      </c>
      <c r="AB1035" s="1" t="b">
        <v>1</v>
      </c>
      <c r="AC1035" s="1">
        <v>151513734</v>
      </c>
      <c r="AD1035" s="1">
        <v>3413370</v>
      </c>
      <c r="AE1035" s="1">
        <v>0</v>
      </c>
      <c r="AF1035" s="1" t="s">
        <v>4171</v>
      </c>
      <c r="AG1035" s="1" t="s">
        <v>4172</v>
      </c>
      <c r="AH1035" s="1">
        <v>68.400000000000006</v>
      </c>
      <c r="AI1035" s="1">
        <v>65.900000000000006</v>
      </c>
      <c r="AJ1035" s="1" t="s">
        <v>4261</v>
      </c>
      <c r="AK1035" s="1" t="s">
        <v>4262</v>
      </c>
      <c r="AL1035" s="1" t="s">
        <v>4263</v>
      </c>
    </row>
    <row r="1036" spans="1:38" x14ac:dyDescent="0.6">
      <c r="A1036" s="1">
        <v>727</v>
      </c>
      <c r="B1036" s="1" t="s">
        <v>88</v>
      </c>
      <c r="C1036" s="1">
        <v>57</v>
      </c>
      <c r="D1036" s="1" t="s">
        <v>89</v>
      </c>
      <c r="E1036" s="1" t="s">
        <v>108</v>
      </c>
      <c r="F1036" s="1"/>
      <c r="G1036" s="1"/>
      <c r="H1036" s="1" t="s">
        <v>91</v>
      </c>
      <c r="I1036" s="1" t="s">
        <v>92</v>
      </c>
      <c r="J1036" s="1" t="s">
        <v>93</v>
      </c>
      <c r="K1036" s="1">
        <v>1</v>
      </c>
      <c r="L1036" s="1">
        <v>120</v>
      </c>
      <c r="M1036" s="1" t="s">
        <v>7</v>
      </c>
      <c r="N1036" s="1" t="s">
        <v>7</v>
      </c>
      <c r="O1036" s="1" t="s">
        <v>96</v>
      </c>
      <c r="P1036" s="1" t="s">
        <v>96</v>
      </c>
      <c r="Q1036" s="1" t="s">
        <v>9</v>
      </c>
      <c r="R1036" s="1">
        <v>0</v>
      </c>
      <c r="S1036" s="1" t="s">
        <v>97</v>
      </c>
      <c r="T1036" s="1" t="s">
        <v>97</v>
      </c>
      <c r="U1036" s="1" t="b">
        <v>1</v>
      </c>
      <c r="V1036" s="1" t="b">
        <v>0</v>
      </c>
      <c r="W1036" s="1" t="b">
        <v>0</v>
      </c>
      <c r="X1036" s="1">
        <v>5</v>
      </c>
      <c r="Y1036" s="1" t="b">
        <v>1</v>
      </c>
      <c r="Z1036" s="1" t="b">
        <v>1</v>
      </c>
      <c r="AA1036" s="1">
        <v>77.5</v>
      </c>
      <c r="AB1036" s="1" t="b">
        <v>0</v>
      </c>
      <c r="AC1036" s="1">
        <v>0</v>
      </c>
      <c r="AD1036" s="1">
        <v>3001762</v>
      </c>
      <c r="AE1036" s="1">
        <v>171586142</v>
      </c>
      <c r="AF1036" s="1" t="s">
        <v>4264</v>
      </c>
      <c r="AG1036" s="1" t="s">
        <v>4264</v>
      </c>
      <c r="AH1036" s="1">
        <v>77.2</v>
      </c>
      <c r="AI1036" s="1">
        <v>73.900000000000006</v>
      </c>
      <c r="AJ1036" s="1" t="s">
        <v>4265</v>
      </c>
      <c r="AK1036" s="1" t="s">
        <v>4266</v>
      </c>
      <c r="AL1036" s="1" t="s">
        <v>4267</v>
      </c>
    </row>
    <row r="1037" spans="1:38" x14ac:dyDescent="0.6">
      <c r="A1037" s="1">
        <v>733</v>
      </c>
      <c r="B1037" s="1" t="s">
        <v>88</v>
      </c>
      <c r="C1037" s="1">
        <v>54</v>
      </c>
      <c r="D1037" s="1" t="s">
        <v>89</v>
      </c>
      <c r="E1037" s="1" t="s">
        <v>90</v>
      </c>
      <c r="F1037" s="1"/>
      <c r="G1037" s="1"/>
      <c r="H1037" s="1" t="s">
        <v>91</v>
      </c>
      <c r="I1037" s="1" t="s">
        <v>92</v>
      </c>
      <c r="J1037" s="1" t="s">
        <v>93</v>
      </c>
      <c r="K1037" s="1">
        <v>1</v>
      </c>
      <c r="L1037" s="1">
        <v>120</v>
      </c>
      <c r="M1037" s="1" t="s">
        <v>94</v>
      </c>
      <c r="N1037" s="1" t="s">
        <v>95</v>
      </c>
      <c r="O1037" s="1"/>
      <c r="P1037" s="1" t="s">
        <v>96</v>
      </c>
      <c r="Q1037" s="1" t="s">
        <v>9</v>
      </c>
      <c r="R1037" s="1">
        <v>0</v>
      </c>
      <c r="S1037" s="1" t="s">
        <v>97</v>
      </c>
      <c r="T1037" s="1" t="s">
        <v>97</v>
      </c>
      <c r="U1037" s="1" t="b">
        <v>1</v>
      </c>
      <c r="V1037" s="1" t="b">
        <v>0</v>
      </c>
      <c r="W1037" s="1" t="b">
        <v>0</v>
      </c>
      <c r="X1037" s="1">
        <v>0</v>
      </c>
      <c r="Y1037" s="1" t="b">
        <v>1</v>
      </c>
      <c r="Z1037" s="1" t="b">
        <v>1</v>
      </c>
      <c r="AA1037" s="1">
        <v>76.599999999999994</v>
      </c>
      <c r="AB1037" s="1" t="b">
        <v>1</v>
      </c>
      <c r="AC1037" s="1">
        <v>137384372</v>
      </c>
      <c r="AD1037" s="1">
        <v>1814092</v>
      </c>
      <c r="AE1037" s="1">
        <v>0</v>
      </c>
      <c r="AF1037" s="1" t="s">
        <v>4268</v>
      </c>
      <c r="AG1037" s="1" t="s">
        <v>4269</v>
      </c>
      <c r="AH1037" s="1">
        <v>72</v>
      </c>
      <c r="AI1037" s="1">
        <v>69.3</v>
      </c>
      <c r="AJ1037" s="1" t="s">
        <v>4270</v>
      </c>
      <c r="AK1037" s="1" t="s">
        <v>4271</v>
      </c>
      <c r="AL1037" s="1" t="s">
        <v>4272</v>
      </c>
    </row>
    <row r="1038" spans="1:38" x14ac:dyDescent="0.6">
      <c r="A1038" s="1">
        <v>735</v>
      </c>
      <c r="B1038" s="1" t="s">
        <v>103</v>
      </c>
      <c r="C1038" s="1">
        <v>81</v>
      </c>
      <c r="D1038" s="1" t="s">
        <v>153</v>
      </c>
      <c r="E1038" s="1" t="s">
        <v>90</v>
      </c>
      <c r="F1038" s="1"/>
      <c r="G1038" s="1"/>
      <c r="H1038" s="1" t="s">
        <v>91</v>
      </c>
      <c r="I1038" s="1" t="s">
        <v>92</v>
      </c>
      <c r="J1038" s="1" t="s">
        <v>93</v>
      </c>
      <c r="K1038" s="1">
        <v>1</v>
      </c>
      <c r="L1038" s="1">
        <v>120</v>
      </c>
      <c r="M1038" s="1" t="s">
        <v>14</v>
      </c>
      <c r="N1038" s="1" t="s">
        <v>95</v>
      </c>
      <c r="O1038" s="1" t="s">
        <v>96</v>
      </c>
      <c r="P1038" s="1"/>
      <c r="Q1038" s="1" t="s">
        <v>9</v>
      </c>
      <c r="R1038" s="1">
        <v>0</v>
      </c>
      <c r="S1038" s="1" t="s">
        <v>97</v>
      </c>
      <c r="T1038" s="1" t="s">
        <v>97</v>
      </c>
      <c r="U1038" s="1" t="b">
        <v>1</v>
      </c>
      <c r="V1038" s="1" t="b">
        <v>0</v>
      </c>
      <c r="W1038" s="1" t="b">
        <v>0</v>
      </c>
      <c r="X1038" s="1">
        <v>5</v>
      </c>
      <c r="Y1038" s="1" t="b">
        <v>1</v>
      </c>
      <c r="Z1038" s="1" t="b">
        <v>1</v>
      </c>
      <c r="AA1038" s="1"/>
      <c r="AB1038" s="1" t="b">
        <v>1</v>
      </c>
      <c r="AC1038" s="1">
        <v>125959625</v>
      </c>
      <c r="AD1038" s="1">
        <v>393783</v>
      </c>
      <c r="AE1038" s="1">
        <v>0</v>
      </c>
      <c r="AF1038" s="1" t="s">
        <v>4273</v>
      </c>
      <c r="AG1038" s="1" t="s">
        <v>4274</v>
      </c>
      <c r="AH1038" s="1">
        <v>50.5</v>
      </c>
      <c r="AI1038" s="1">
        <v>49.7</v>
      </c>
      <c r="AJ1038" s="1" t="s">
        <v>4275</v>
      </c>
      <c r="AK1038" s="1" t="s">
        <v>4276</v>
      </c>
      <c r="AL1038" s="1" t="s">
        <v>4277</v>
      </c>
    </row>
    <row r="1039" spans="1:38" x14ac:dyDescent="0.6">
      <c r="A1039" s="1">
        <v>734</v>
      </c>
      <c r="B1039" s="1" t="s">
        <v>103</v>
      </c>
      <c r="C1039" s="1">
        <v>51</v>
      </c>
      <c r="D1039" s="1" t="s">
        <v>89</v>
      </c>
      <c r="E1039" s="1" t="s">
        <v>90</v>
      </c>
      <c r="F1039" s="1"/>
      <c r="G1039" s="1"/>
      <c r="H1039" s="1" t="s">
        <v>220</v>
      </c>
      <c r="I1039" s="1" t="s">
        <v>221</v>
      </c>
      <c r="J1039" s="1" t="s">
        <v>222</v>
      </c>
      <c r="K1039" s="1">
        <v>1.25</v>
      </c>
      <c r="L1039" s="1">
        <v>120</v>
      </c>
      <c r="M1039" s="1" t="s">
        <v>14</v>
      </c>
      <c r="N1039" s="1" t="s">
        <v>95</v>
      </c>
      <c r="O1039" s="1" t="s">
        <v>96</v>
      </c>
      <c r="P1039" s="1"/>
      <c r="Q1039" s="1" t="s">
        <v>9</v>
      </c>
      <c r="R1039" s="1">
        <v>0</v>
      </c>
      <c r="S1039" s="1" t="s">
        <v>97</v>
      </c>
      <c r="T1039" s="1" t="s">
        <v>97</v>
      </c>
      <c r="U1039" s="1" t="b">
        <v>1</v>
      </c>
      <c r="V1039" s="1" t="b">
        <v>0</v>
      </c>
      <c r="W1039" s="1" t="b">
        <v>0</v>
      </c>
      <c r="X1039" s="1">
        <v>5</v>
      </c>
      <c r="Y1039" s="1" t="b">
        <v>1</v>
      </c>
      <c r="Z1039" s="1" t="b">
        <v>1</v>
      </c>
      <c r="AA1039" s="1"/>
      <c r="AB1039" s="1" t="b">
        <v>1</v>
      </c>
      <c r="AC1039" s="1">
        <v>153577993</v>
      </c>
      <c r="AD1039" s="1">
        <v>562679</v>
      </c>
      <c r="AE1039" s="1">
        <v>0</v>
      </c>
      <c r="AF1039" s="1" t="s">
        <v>4278</v>
      </c>
      <c r="AG1039" s="1" t="s">
        <v>4279</v>
      </c>
      <c r="AH1039" s="1">
        <v>86.9</v>
      </c>
      <c r="AI1039" s="1">
        <v>76.900000000000006</v>
      </c>
      <c r="AJ1039" s="1" t="s">
        <v>4280</v>
      </c>
      <c r="AK1039" s="1" t="s">
        <v>4281</v>
      </c>
      <c r="AL1039" s="1" t="s">
        <v>4282</v>
      </c>
    </row>
    <row r="1040" spans="1:38" x14ac:dyDescent="0.6">
      <c r="A1040" s="1">
        <v>720</v>
      </c>
      <c r="B1040" s="1" t="s">
        <v>103</v>
      </c>
      <c r="C1040" s="1">
        <v>53</v>
      </c>
      <c r="D1040" s="1" t="s">
        <v>89</v>
      </c>
      <c r="E1040" s="1" t="s">
        <v>90</v>
      </c>
      <c r="F1040" s="1"/>
      <c r="G1040" s="1"/>
      <c r="H1040" s="1" t="s">
        <v>91</v>
      </c>
      <c r="I1040" s="1" t="s">
        <v>92</v>
      </c>
      <c r="J1040" s="1" t="s">
        <v>93</v>
      </c>
      <c r="K1040" s="1">
        <v>1</v>
      </c>
      <c r="L1040" s="1">
        <v>120</v>
      </c>
      <c r="M1040" s="1" t="s">
        <v>14</v>
      </c>
      <c r="N1040" s="1" t="s">
        <v>95</v>
      </c>
      <c r="O1040" s="1" t="s">
        <v>96</v>
      </c>
      <c r="P1040" s="1"/>
      <c r="Q1040" s="1" t="s">
        <v>9</v>
      </c>
      <c r="R1040" s="1">
        <v>0</v>
      </c>
      <c r="S1040" s="1" t="s">
        <v>97</v>
      </c>
      <c r="T1040" s="1" t="s">
        <v>97</v>
      </c>
      <c r="U1040" s="1" t="b">
        <v>1</v>
      </c>
      <c r="V1040" s="1" t="b">
        <v>0</v>
      </c>
      <c r="W1040" s="1" t="b">
        <v>0</v>
      </c>
      <c r="X1040" s="1">
        <v>5</v>
      </c>
      <c r="Y1040" s="1" t="b">
        <v>1</v>
      </c>
      <c r="Z1040" s="1" t="b">
        <v>1</v>
      </c>
      <c r="AA1040" s="1"/>
      <c r="AB1040" s="1" t="b">
        <v>1</v>
      </c>
      <c r="AC1040" s="1">
        <v>147504600</v>
      </c>
      <c r="AD1040" s="1">
        <v>606760</v>
      </c>
      <c r="AE1040" s="1">
        <v>0</v>
      </c>
      <c r="AF1040" s="1" t="s">
        <v>4217</v>
      </c>
      <c r="AG1040" s="1" t="s">
        <v>4218</v>
      </c>
      <c r="AH1040" s="1">
        <v>78.8</v>
      </c>
      <c r="AI1040" s="1">
        <v>70.8</v>
      </c>
      <c r="AJ1040" s="1" t="s">
        <v>4283</v>
      </c>
      <c r="AK1040" s="1" t="s">
        <v>4284</v>
      </c>
      <c r="AL1040" s="1" t="s">
        <v>4285</v>
      </c>
    </row>
    <row r="1041" spans="1:38" x14ac:dyDescent="0.6">
      <c r="A1041" s="1">
        <v>730</v>
      </c>
      <c r="B1041" s="1" t="s">
        <v>103</v>
      </c>
      <c r="C1041" s="1">
        <v>61</v>
      </c>
      <c r="D1041" s="1" t="s">
        <v>127</v>
      </c>
      <c r="E1041" s="1" t="s">
        <v>108</v>
      </c>
      <c r="F1041" s="1"/>
      <c r="G1041" s="1"/>
      <c r="H1041" s="1" t="s">
        <v>91</v>
      </c>
      <c r="I1041" s="1" t="s">
        <v>92</v>
      </c>
      <c r="J1041" s="1" t="s">
        <v>93</v>
      </c>
      <c r="K1041" s="1">
        <v>1</v>
      </c>
      <c r="L1041" s="1">
        <v>120</v>
      </c>
      <c r="M1041" s="1" t="s">
        <v>14</v>
      </c>
      <c r="N1041" s="1" t="s">
        <v>14</v>
      </c>
      <c r="O1041" s="1" t="s">
        <v>96</v>
      </c>
      <c r="P1041" s="1"/>
      <c r="Q1041" s="1" t="s">
        <v>9</v>
      </c>
      <c r="R1041" s="1">
        <v>0</v>
      </c>
      <c r="S1041" s="1"/>
      <c r="T1041" s="1" t="s">
        <v>97</v>
      </c>
      <c r="U1041" s="1"/>
      <c r="V1041" s="1" t="b">
        <v>0</v>
      </c>
      <c r="W1041" s="1" t="b">
        <v>0</v>
      </c>
      <c r="X1041" s="1">
        <v>5</v>
      </c>
      <c r="Y1041" s="1" t="b">
        <v>1</v>
      </c>
      <c r="Z1041" s="1" t="b">
        <v>1</v>
      </c>
      <c r="AA1041" s="1"/>
      <c r="AB1041" s="1" t="b">
        <v>1</v>
      </c>
      <c r="AC1041" s="1">
        <v>156018396</v>
      </c>
      <c r="AD1041" s="1">
        <v>481572</v>
      </c>
      <c r="AE1041" s="1">
        <v>0</v>
      </c>
      <c r="AF1041" s="1" t="s">
        <v>4286</v>
      </c>
      <c r="AG1041" s="1"/>
      <c r="AH1041" s="1">
        <v>60.2</v>
      </c>
      <c r="AI1041" s="1"/>
      <c r="AJ1041" s="1" t="s">
        <v>4287</v>
      </c>
      <c r="AK1041" s="1" t="s">
        <v>4288</v>
      </c>
      <c r="AL1041" s="1" t="s">
        <v>4289</v>
      </c>
    </row>
    <row r="1042" spans="1:38" x14ac:dyDescent="0.6">
      <c r="A1042" s="1">
        <v>734</v>
      </c>
      <c r="B1042" s="1" t="s">
        <v>103</v>
      </c>
      <c r="C1042" s="1">
        <v>51</v>
      </c>
      <c r="D1042" s="1" t="s">
        <v>89</v>
      </c>
      <c r="E1042" s="1" t="s">
        <v>90</v>
      </c>
      <c r="F1042" s="1"/>
      <c r="G1042" s="1"/>
      <c r="H1042" s="1" t="s">
        <v>220</v>
      </c>
      <c r="I1042" s="1" t="s">
        <v>221</v>
      </c>
      <c r="J1042" s="1" t="s">
        <v>222</v>
      </c>
      <c r="K1042" s="1">
        <v>1.25</v>
      </c>
      <c r="L1042" s="1">
        <v>120</v>
      </c>
      <c r="M1042" s="1" t="s">
        <v>94</v>
      </c>
      <c r="N1042" s="1" t="s">
        <v>95</v>
      </c>
      <c r="O1042" s="1"/>
      <c r="P1042" s="1" t="s">
        <v>96</v>
      </c>
      <c r="Q1042" s="1" t="s">
        <v>9</v>
      </c>
      <c r="R1042" s="1">
        <v>0</v>
      </c>
      <c r="S1042" s="1" t="s">
        <v>97</v>
      </c>
      <c r="T1042" s="1" t="s">
        <v>97</v>
      </c>
      <c r="U1042" s="1" t="b">
        <v>1</v>
      </c>
      <c r="V1042" s="1" t="b">
        <v>0</v>
      </c>
      <c r="W1042" s="1" t="b">
        <v>0</v>
      </c>
      <c r="X1042" s="1">
        <v>0</v>
      </c>
      <c r="Y1042" s="1" t="b">
        <v>1</v>
      </c>
      <c r="Z1042" s="1" t="b">
        <v>1</v>
      </c>
      <c r="AA1042" s="1">
        <v>80.599999999999994</v>
      </c>
      <c r="AB1042" s="1" t="b">
        <v>1</v>
      </c>
      <c r="AC1042" s="1">
        <v>160459412</v>
      </c>
      <c r="AD1042" s="1">
        <v>1545580</v>
      </c>
      <c r="AE1042" s="1">
        <v>0</v>
      </c>
      <c r="AF1042" s="1" t="s">
        <v>4278</v>
      </c>
      <c r="AG1042" s="1" t="s">
        <v>4279</v>
      </c>
      <c r="AH1042" s="1">
        <v>86.9</v>
      </c>
      <c r="AI1042" s="1">
        <v>76.900000000000006</v>
      </c>
      <c r="AJ1042" s="1" t="s">
        <v>4290</v>
      </c>
      <c r="AK1042" s="1" t="s">
        <v>4291</v>
      </c>
      <c r="AL1042" s="1" t="s">
        <v>4292</v>
      </c>
    </row>
    <row r="1043" spans="1:38" x14ac:dyDescent="0.6">
      <c r="A1043" s="1">
        <v>731</v>
      </c>
      <c r="B1043" s="1" t="s">
        <v>88</v>
      </c>
      <c r="C1043" s="1">
        <v>77</v>
      </c>
      <c r="D1043" s="1" t="s">
        <v>119</v>
      </c>
      <c r="E1043" s="1" t="s">
        <v>90</v>
      </c>
      <c r="F1043" s="1"/>
      <c r="G1043" s="1"/>
      <c r="H1043" s="1" t="s">
        <v>91</v>
      </c>
      <c r="I1043" s="1" t="s">
        <v>92</v>
      </c>
      <c r="J1043" s="1" t="s">
        <v>93</v>
      </c>
      <c r="K1043" s="1">
        <v>1</v>
      </c>
      <c r="L1043" s="1">
        <v>120</v>
      </c>
      <c r="M1043" s="1" t="s">
        <v>7</v>
      </c>
      <c r="N1043" s="1" t="s">
        <v>7</v>
      </c>
      <c r="O1043" s="1" t="s">
        <v>96</v>
      </c>
      <c r="P1043" s="1" t="s">
        <v>96</v>
      </c>
      <c r="Q1043" s="1" t="s">
        <v>9</v>
      </c>
      <c r="R1043" s="1">
        <v>0</v>
      </c>
      <c r="S1043" s="1" t="s">
        <v>97</v>
      </c>
      <c r="T1043" s="1" t="s">
        <v>97</v>
      </c>
      <c r="U1043" s="1" t="b">
        <v>1</v>
      </c>
      <c r="V1043" s="1" t="b">
        <v>0</v>
      </c>
      <c r="W1043" s="1" t="b">
        <v>0</v>
      </c>
      <c r="X1043" s="1">
        <v>5</v>
      </c>
      <c r="Y1043" s="1" t="b">
        <v>1</v>
      </c>
      <c r="Z1043" s="1" t="b">
        <v>1</v>
      </c>
      <c r="AA1043" s="1">
        <v>48.8</v>
      </c>
      <c r="AB1043" s="1" t="b">
        <v>0</v>
      </c>
      <c r="AC1043" s="1">
        <v>0</v>
      </c>
      <c r="AD1043" s="1">
        <v>2333250</v>
      </c>
      <c r="AE1043" s="1">
        <v>145253822</v>
      </c>
      <c r="AF1043" s="1" t="s">
        <v>4293</v>
      </c>
      <c r="AG1043" s="1" t="s">
        <v>4293</v>
      </c>
      <c r="AH1043" s="1">
        <v>39.200000000000003</v>
      </c>
      <c r="AI1043" s="1">
        <v>43.7</v>
      </c>
      <c r="AJ1043" s="1" t="s">
        <v>4294</v>
      </c>
      <c r="AK1043" s="1" t="s">
        <v>4295</v>
      </c>
      <c r="AL1043" s="1" t="s">
        <v>4296</v>
      </c>
    </row>
    <row r="1044" spans="1:38" x14ac:dyDescent="0.6">
      <c r="A1044" s="1">
        <v>729</v>
      </c>
      <c r="B1044" s="1" t="s">
        <v>103</v>
      </c>
      <c r="C1044" s="1">
        <v>53</v>
      </c>
      <c r="D1044" s="1" t="s">
        <v>89</v>
      </c>
      <c r="E1044" s="1" t="s">
        <v>108</v>
      </c>
      <c r="F1044" s="1"/>
      <c r="G1044" s="1"/>
      <c r="H1044" s="1" t="s">
        <v>91</v>
      </c>
      <c r="I1044" s="1" t="s">
        <v>92</v>
      </c>
      <c r="J1044" s="1" t="s">
        <v>109</v>
      </c>
      <c r="K1044" s="1">
        <v>1</v>
      </c>
      <c r="L1044" s="1">
        <v>120</v>
      </c>
      <c r="M1044" s="1" t="s">
        <v>7</v>
      </c>
      <c r="N1044" s="1" t="s">
        <v>7</v>
      </c>
      <c r="O1044" s="1" t="s">
        <v>96</v>
      </c>
      <c r="P1044" s="1" t="s">
        <v>96</v>
      </c>
      <c r="Q1044" s="1" t="s">
        <v>9</v>
      </c>
      <c r="R1044" s="1">
        <v>0</v>
      </c>
      <c r="S1044" s="1" t="s">
        <v>97</v>
      </c>
      <c r="T1044" s="1" t="s">
        <v>97</v>
      </c>
      <c r="U1044" s="1" t="b">
        <v>1</v>
      </c>
      <c r="V1044" s="1" t="b">
        <v>0</v>
      </c>
      <c r="W1044" s="1" t="b">
        <v>0</v>
      </c>
      <c r="X1044" s="1">
        <v>5</v>
      </c>
      <c r="Y1044" s="1" t="b">
        <v>1</v>
      </c>
      <c r="Z1044" s="1" t="b">
        <v>1</v>
      </c>
      <c r="AA1044" s="1">
        <v>71.5</v>
      </c>
      <c r="AB1044" s="1" t="b">
        <v>0</v>
      </c>
      <c r="AC1044" s="1">
        <v>0</v>
      </c>
      <c r="AD1044" s="1">
        <v>2366577</v>
      </c>
      <c r="AE1044" s="1">
        <v>147841935</v>
      </c>
      <c r="AF1044" s="1" t="s">
        <v>4297</v>
      </c>
      <c r="AG1044" s="1" t="s">
        <v>4297</v>
      </c>
      <c r="AH1044" s="1">
        <v>60.4</v>
      </c>
      <c r="AI1044" s="1">
        <v>66.099999999999994</v>
      </c>
      <c r="AJ1044" s="1" t="s">
        <v>4298</v>
      </c>
      <c r="AK1044" s="1" t="s">
        <v>4299</v>
      </c>
      <c r="AL1044" s="1" t="s">
        <v>4300</v>
      </c>
    </row>
    <row r="1045" spans="1:38" x14ac:dyDescent="0.6">
      <c r="A1045" s="1">
        <v>736</v>
      </c>
      <c r="B1045" s="1" t="s">
        <v>103</v>
      </c>
      <c r="C1045" s="1">
        <v>58</v>
      </c>
      <c r="D1045" s="1" t="s">
        <v>89</v>
      </c>
      <c r="E1045" s="1" t="s">
        <v>90</v>
      </c>
      <c r="F1045" s="1"/>
      <c r="G1045" s="1"/>
      <c r="H1045" s="1" t="s">
        <v>91</v>
      </c>
      <c r="I1045" s="1" t="s">
        <v>92</v>
      </c>
      <c r="J1045" s="1" t="s">
        <v>93</v>
      </c>
      <c r="K1045" s="1">
        <v>1</v>
      </c>
      <c r="L1045" s="1">
        <v>120</v>
      </c>
      <c r="M1045" s="1" t="s">
        <v>14</v>
      </c>
      <c r="N1045" s="1" t="s">
        <v>14</v>
      </c>
      <c r="O1045" s="1" t="s">
        <v>96</v>
      </c>
      <c r="P1045" s="1"/>
      <c r="Q1045" s="1" t="s">
        <v>9</v>
      </c>
      <c r="R1045" s="1">
        <v>0</v>
      </c>
      <c r="S1045" s="1"/>
      <c r="T1045" s="1" t="s">
        <v>97</v>
      </c>
      <c r="U1045" s="1"/>
      <c r="V1045" s="1" t="b">
        <v>0</v>
      </c>
      <c r="W1045" s="1" t="b">
        <v>0</v>
      </c>
      <c r="X1045" s="1">
        <v>5</v>
      </c>
      <c r="Y1045" s="1" t="b">
        <v>1</v>
      </c>
      <c r="Z1045" s="1" t="b">
        <v>1</v>
      </c>
      <c r="AA1045" s="1"/>
      <c r="AB1045" s="1" t="b">
        <v>1</v>
      </c>
      <c r="AC1045" s="1">
        <v>134615069</v>
      </c>
      <c r="AD1045" s="1">
        <v>651235</v>
      </c>
      <c r="AE1045" s="1">
        <v>0</v>
      </c>
      <c r="AF1045" s="1" t="s">
        <v>4301</v>
      </c>
      <c r="AG1045" s="1"/>
      <c r="AH1045" s="1">
        <v>61.2</v>
      </c>
      <c r="AI1045" s="1"/>
      <c r="AJ1045" s="1" t="s">
        <v>4302</v>
      </c>
      <c r="AK1045" s="1" t="s">
        <v>4303</v>
      </c>
      <c r="AL1045" s="1" t="s">
        <v>4304</v>
      </c>
    </row>
    <row r="1046" spans="1:38" x14ac:dyDescent="0.6">
      <c r="A1046" s="1">
        <v>722</v>
      </c>
      <c r="B1046" s="1" t="s">
        <v>103</v>
      </c>
      <c r="C1046" s="1">
        <v>76</v>
      </c>
      <c r="D1046" s="1" t="s">
        <v>119</v>
      </c>
      <c r="E1046" s="1" t="s">
        <v>90</v>
      </c>
      <c r="F1046" s="1"/>
      <c r="G1046" s="1"/>
      <c r="H1046" s="1" t="s">
        <v>91</v>
      </c>
      <c r="I1046" s="1" t="s">
        <v>92</v>
      </c>
      <c r="J1046" s="1" t="s">
        <v>93</v>
      </c>
      <c r="K1046" s="1">
        <v>1</v>
      </c>
      <c r="L1046" s="1">
        <v>120</v>
      </c>
      <c r="M1046" s="1" t="s">
        <v>14</v>
      </c>
      <c r="N1046" s="1" t="s">
        <v>95</v>
      </c>
      <c r="O1046" s="1" t="s">
        <v>96</v>
      </c>
      <c r="P1046" s="1"/>
      <c r="Q1046" s="1" t="s">
        <v>9</v>
      </c>
      <c r="R1046" s="1">
        <v>0</v>
      </c>
      <c r="S1046" s="1" t="s">
        <v>97</v>
      </c>
      <c r="T1046" s="1" t="s">
        <v>97</v>
      </c>
      <c r="U1046" s="1" t="b">
        <v>1</v>
      </c>
      <c r="V1046" s="1" t="b">
        <v>0</v>
      </c>
      <c r="W1046" s="1" t="b">
        <v>0</v>
      </c>
      <c r="X1046" s="1">
        <v>5</v>
      </c>
      <c r="Y1046" s="1" t="b">
        <v>1</v>
      </c>
      <c r="Z1046" s="1" t="b">
        <v>1</v>
      </c>
      <c r="AA1046" s="1"/>
      <c r="AB1046" s="1" t="b">
        <v>1</v>
      </c>
      <c r="AC1046" s="1">
        <v>133753836</v>
      </c>
      <c r="AD1046" s="1">
        <v>463892</v>
      </c>
      <c r="AE1046" s="1">
        <v>0</v>
      </c>
      <c r="AF1046" s="1" t="s">
        <v>4241</v>
      </c>
      <c r="AG1046" s="1" t="s">
        <v>4242</v>
      </c>
      <c r="AH1046" s="1">
        <v>62.5</v>
      </c>
      <c r="AI1046" s="1">
        <v>67.3</v>
      </c>
      <c r="AJ1046" s="1" t="s">
        <v>4305</v>
      </c>
      <c r="AK1046" s="1" t="s">
        <v>4306</v>
      </c>
      <c r="AL1046" s="1" t="s">
        <v>4307</v>
      </c>
    </row>
    <row r="1047" spans="1:38" x14ac:dyDescent="0.6">
      <c r="A1047" s="1">
        <v>732</v>
      </c>
      <c r="B1047" s="1" t="s">
        <v>103</v>
      </c>
      <c r="C1047" s="1">
        <v>50</v>
      </c>
      <c r="D1047" s="1" t="s">
        <v>89</v>
      </c>
      <c r="E1047" s="1" t="s">
        <v>90</v>
      </c>
      <c r="F1047" s="1"/>
      <c r="G1047" s="1"/>
      <c r="H1047" s="1" t="s">
        <v>91</v>
      </c>
      <c r="I1047" s="1" t="s">
        <v>92</v>
      </c>
      <c r="J1047" s="1" t="s">
        <v>93</v>
      </c>
      <c r="K1047" s="1">
        <v>1</v>
      </c>
      <c r="L1047" s="1">
        <v>120</v>
      </c>
      <c r="M1047" s="1" t="s">
        <v>7</v>
      </c>
      <c r="N1047" s="1" t="s">
        <v>7</v>
      </c>
      <c r="O1047" s="1" t="s">
        <v>96</v>
      </c>
      <c r="P1047" s="1" t="s">
        <v>96</v>
      </c>
      <c r="Q1047" s="1" t="s">
        <v>9</v>
      </c>
      <c r="R1047" s="1">
        <v>0</v>
      </c>
      <c r="S1047" s="1" t="s">
        <v>97</v>
      </c>
      <c r="T1047" s="1" t="s">
        <v>97</v>
      </c>
      <c r="U1047" s="1" t="b">
        <v>1</v>
      </c>
      <c r="V1047" s="1" t="b">
        <v>0</v>
      </c>
      <c r="W1047" s="1" t="b">
        <v>0</v>
      </c>
      <c r="X1047" s="1">
        <v>5</v>
      </c>
      <c r="Y1047" s="1" t="b">
        <v>1</v>
      </c>
      <c r="Z1047" s="1" t="b">
        <v>1</v>
      </c>
      <c r="AA1047" s="1">
        <v>66.8</v>
      </c>
      <c r="AB1047" s="1" t="b">
        <v>0</v>
      </c>
      <c r="AC1047" s="1">
        <v>0</v>
      </c>
      <c r="AD1047" s="1">
        <v>3258022</v>
      </c>
      <c r="AE1047" s="1">
        <v>133581146</v>
      </c>
      <c r="AF1047" s="1" t="s">
        <v>4308</v>
      </c>
      <c r="AG1047" s="1" t="s">
        <v>4308</v>
      </c>
      <c r="AH1047" s="1">
        <v>61.1</v>
      </c>
      <c r="AI1047" s="1">
        <v>62</v>
      </c>
      <c r="AJ1047" s="1" t="s">
        <v>4309</v>
      </c>
      <c r="AK1047" s="1" t="s">
        <v>4310</v>
      </c>
      <c r="AL1047" s="1" t="s">
        <v>4311</v>
      </c>
    </row>
    <row r="1048" spans="1:38" x14ac:dyDescent="0.6">
      <c r="A1048" s="1">
        <v>737</v>
      </c>
      <c r="B1048" s="1" t="s">
        <v>88</v>
      </c>
      <c r="C1048" s="1">
        <v>55</v>
      </c>
      <c r="D1048" s="1" t="s">
        <v>89</v>
      </c>
      <c r="E1048" s="1" t="s">
        <v>90</v>
      </c>
      <c r="F1048" s="1"/>
      <c r="G1048" s="1"/>
      <c r="H1048" s="1" t="s">
        <v>91</v>
      </c>
      <c r="I1048" s="1" t="s">
        <v>92</v>
      </c>
      <c r="J1048" s="1" t="s">
        <v>93</v>
      </c>
      <c r="K1048" s="1">
        <v>1</v>
      </c>
      <c r="L1048" s="1">
        <v>120</v>
      </c>
      <c r="M1048" s="1" t="s">
        <v>14</v>
      </c>
      <c r="N1048" s="1" t="s">
        <v>14</v>
      </c>
      <c r="O1048" s="1" t="s">
        <v>96</v>
      </c>
      <c r="P1048" s="1"/>
      <c r="Q1048" s="1" t="s">
        <v>200</v>
      </c>
      <c r="R1048" s="1">
        <v>1</v>
      </c>
      <c r="S1048" s="1"/>
      <c r="T1048" s="1" t="s">
        <v>200</v>
      </c>
      <c r="U1048" s="1"/>
      <c r="V1048" s="1" t="b">
        <v>0</v>
      </c>
      <c r="W1048" s="1" t="b">
        <v>1</v>
      </c>
      <c r="X1048" s="1">
        <v>6</v>
      </c>
      <c r="Y1048" s="1" t="b">
        <v>1</v>
      </c>
      <c r="Z1048" s="1" t="b">
        <v>1</v>
      </c>
      <c r="AA1048" s="1"/>
      <c r="AB1048" s="1" t="b">
        <v>1</v>
      </c>
      <c r="AC1048" s="1">
        <v>142746778</v>
      </c>
      <c r="AD1048" s="1">
        <v>645990</v>
      </c>
      <c r="AE1048" s="1">
        <v>0</v>
      </c>
      <c r="AF1048" s="1" t="s">
        <v>4312</v>
      </c>
      <c r="AG1048" s="1"/>
      <c r="AH1048" s="1">
        <v>67.8</v>
      </c>
      <c r="AI1048" s="1"/>
      <c r="AJ1048" s="1" t="s">
        <v>4313</v>
      </c>
      <c r="AK1048" s="1" t="s">
        <v>4314</v>
      </c>
      <c r="AL1048" s="1" t="s">
        <v>4315</v>
      </c>
    </row>
    <row r="1049" spans="1:38" x14ac:dyDescent="0.6">
      <c r="A1049" s="1">
        <v>739</v>
      </c>
      <c r="B1049" s="1" t="s">
        <v>88</v>
      </c>
      <c r="C1049" s="1">
        <v>63</v>
      </c>
      <c r="D1049" s="1" t="s">
        <v>127</v>
      </c>
      <c r="E1049" s="1" t="s">
        <v>90</v>
      </c>
      <c r="F1049" s="1"/>
      <c r="G1049" s="1"/>
      <c r="H1049" s="1" t="s">
        <v>91</v>
      </c>
      <c r="I1049" s="1" t="s">
        <v>92</v>
      </c>
      <c r="J1049" s="1" t="s">
        <v>93</v>
      </c>
      <c r="K1049" s="1">
        <v>1</v>
      </c>
      <c r="L1049" s="1">
        <v>120</v>
      </c>
      <c r="M1049" s="1" t="s">
        <v>7</v>
      </c>
      <c r="N1049" s="1" t="s">
        <v>7</v>
      </c>
      <c r="O1049" s="1" t="s">
        <v>96</v>
      </c>
      <c r="P1049" s="1" t="s">
        <v>96</v>
      </c>
      <c r="Q1049" s="1" t="s">
        <v>9</v>
      </c>
      <c r="R1049" s="1">
        <v>0</v>
      </c>
      <c r="S1049" s="1" t="s">
        <v>97</v>
      </c>
      <c r="T1049" s="1" t="s">
        <v>97</v>
      </c>
      <c r="U1049" s="1" t="b">
        <v>1</v>
      </c>
      <c r="V1049" s="1" t="b">
        <v>0</v>
      </c>
      <c r="W1049" s="1" t="b">
        <v>0</v>
      </c>
      <c r="X1049" s="1">
        <v>5</v>
      </c>
      <c r="Y1049" s="1" t="b">
        <v>1</v>
      </c>
      <c r="Z1049" s="1" t="b">
        <v>1</v>
      </c>
      <c r="AA1049" s="1">
        <v>57.5</v>
      </c>
      <c r="AB1049" s="1" t="b">
        <v>0</v>
      </c>
      <c r="AC1049" s="1">
        <v>0</v>
      </c>
      <c r="AD1049" s="1">
        <v>2029798</v>
      </c>
      <c r="AE1049" s="1">
        <v>137955098</v>
      </c>
      <c r="AF1049" s="1" t="s">
        <v>4316</v>
      </c>
      <c r="AG1049" s="1" t="s">
        <v>4316</v>
      </c>
      <c r="AH1049" s="1">
        <v>57.2</v>
      </c>
      <c r="AI1049" s="1">
        <v>53.6</v>
      </c>
      <c r="AJ1049" s="1" t="s">
        <v>4317</v>
      </c>
      <c r="AK1049" s="1" t="s">
        <v>4318</v>
      </c>
      <c r="AL1049" s="1" t="s">
        <v>4319</v>
      </c>
    </row>
    <row r="1050" spans="1:38" x14ac:dyDescent="0.6">
      <c r="A1050" s="1">
        <v>738</v>
      </c>
      <c r="B1050" s="1" t="s">
        <v>88</v>
      </c>
      <c r="C1050" s="1">
        <v>61</v>
      </c>
      <c r="D1050" s="1" t="s">
        <v>127</v>
      </c>
      <c r="E1050" s="1" t="s">
        <v>90</v>
      </c>
      <c r="F1050" s="1"/>
      <c r="G1050" s="1"/>
      <c r="H1050" s="1" t="s">
        <v>91</v>
      </c>
      <c r="I1050" s="1" t="s">
        <v>92</v>
      </c>
      <c r="J1050" s="1" t="s">
        <v>109</v>
      </c>
      <c r="K1050" s="1">
        <v>1</v>
      </c>
      <c r="L1050" s="1">
        <v>120</v>
      </c>
      <c r="M1050" s="1" t="s">
        <v>7</v>
      </c>
      <c r="N1050" s="1" t="s">
        <v>7</v>
      </c>
      <c r="O1050" s="1" t="s">
        <v>96</v>
      </c>
      <c r="P1050" s="1" t="s">
        <v>96</v>
      </c>
      <c r="Q1050" s="1" t="s">
        <v>9</v>
      </c>
      <c r="R1050" s="1">
        <v>0</v>
      </c>
      <c r="S1050" s="1" t="s">
        <v>97</v>
      </c>
      <c r="T1050" s="1" t="s">
        <v>97</v>
      </c>
      <c r="U1050" s="1" t="b">
        <v>1</v>
      </c>
      <c r="V1050" s="1" t="b">
        <v>0</v>
      </c>
      <c r="W1050" s="1" t="b">
        <v>0</v>
      </c>
      <c r="X1050" s="1">
        <v>5</v>
      </c>
      <c r="Y1050" s="1" t="b">
        <v>1</v>
      </c>
      <c r="Z1050" s="1" t="b">
        <v>1</v>
      </c>
      <c r="AA1050" s="1">
        <v>73.599999999999994</v>
      </c>
      <c r="AB1050" s="1" t="b">
        <v>0</v>
      </c>
      <c r="AC1050" s="1">
        <v>0</v>
      </c>
      <c r="AD1050" s="1">
        <v>2122563</v>
      </c>
      <c r="AE1050" s="1">
        <v>147037373</v>
      </c>
      <c r="AF1050" s="1" t="s">
        <v>4320</v>
      </c>
      <c r="AG1050" s="1" t="s">
        <v>4320</v>
      </c>
      <c r="AH1050" s="1">
        <v>68.7</v>
      </c>
      <c r="AI1050" s="1">
        <v>69</v>
      </c>
      <c r="AJ1050" s="1" t="s">
        <v>4321</v>
      </c>
      <c r="AK1050" s="1" t="s">
        <v>4322</v>
      </c>
      <c r="AL1050" s="1" t="s">
        <v>4323</v>
      </c>
    </row>
    <row r="1051" spans="1:38" x14ac:dyDescent="0.6">
      <c r="A1051" s="1">
        <v>741</v>
      </c>
      <c r="B1051" s="1" t="s">
        <v>88</v>
      </c>
      <c r="C1051" s="1">
        <v>58</v>
      </c>
      <c r="D1051" s="1" t="s">
        <v>89</v>
      </c>
      <c r="E1051" s="1" t="s">
        <v>90</v>
      </c>
      <c r="F1051" s="1"/>
      <c r="G1051" s="1"/>
      <c r="H1051" s="1" t="s">
        <v>91</v>
      </c>
      <c r="I1051" s="1" t="s">
        <v>92</v>
      </c>
      <c r="J1051" s="1" t="s">
        <v>93</v>
      </c>
      <c r="K1051" s="1">
        <v>1</v>
      </c>
      <c r="L1051" s="1">
        <v>120</v>
      </c>
      <c r="M1051" s="1" t="s">
        <v>7</v>
      </c>
      <c r="N1051" s="1" t="s">
        <v>7</v>
      </c>
      <c r="O1051" s="1" t="s">
        <v>96</v>
      </c>
      <c r="P1051" s="1" t="s">
        <v>96</v>
      </c>
      <c r="Q1051" s="1" t="s">
        <v>9</v>
      </c>
      <c r="R1051" s="1">
        <v>0</v>
      </c>
      <c r="S1051" s="1" t="s">
        <v>97</v>
      </c>
      <c r="T1051" s="1" t="s">
        <v>97</v>
      </c>
      <c r="U1051" s="1" t="b">
        <v>1</v>
      </c>
      <c r="V1051" s="1" t="b">
        <v>0</v>
      </c>
      <c r="W1051" s="1" t="b">
        <v>0</v>
      </c>
      <c r="X1051" s="1">
        <v>5</v>
      </c>
      <c r="Y1051" s="1" t="b">
        <v>1</v>
      </c>
      <c r="Z1051" s="1" t="b">
        <v>1</v>
      </c>
      <c r="AA1051" s="1">
        <v>70.400000000000006</v>
      </c>
      <c r="AB1051" s="1" t="b">
        <v>0</v>
      </c>
      <c r="AC1051" s="1">
        <v>0</v>
      </c>
      <c r="AD1051" s="1">
        <v>3065598</v>
      </c>
      <c r="AE1051" s="1">
        <v>141637890</v>
      </c>
      <c r="AF1051" s="1" t="s">
        <v>4324</v>
      </c>
      <c r="AG1051" s="1" t="s">
        <v>4324</v>
      </c>
      <c r="AH1051" s="1">
        <v>79</v>
      </c>
      <c r="AI1051" s="1">
        <v>67.2</v>
      </c>
      <c r="AJ1051" s="1" t="s">
        <v>4325</v>
      </c>
      <c r="AK1051" s="1" t="s">
        <v>4326</v>
      </c>
      <c r="AL1051" s="1" t="s">
        <v>4327</v>
      </c>
    </row>
    <row r="1052" spans="1:38" x14ac:dyDescent="0.6">
      <c r="A1052" s="1">
        <v>733</v>
      </c>
      <c r="B1052" s="1" t="s">
        <v>88</v>
      </c>
      <c r="C1052" s="1">
        <v>54</v>
      </c>
      <c r="D1052" s="1" t="s">
        <v>89</v>
      </c>
      <c r="E1052" s="1" t="s">
        <v>90</v>
      </c>
      <c r="F1052" s="1"/>
      <c r="G1052" s="1"/>
      <c r="H1052" s="1" t="s">
        <v>91</v>
      </c>
      <c r="I1052" s="1" t="s">
        <v>92</v>
      </c>
      <c r="J1052" s="1" t="s">
        <v>93</v>
      </c>
      <c r="K1052" s="1">
        <v>1</v>
      </c>
      <c r="L1052" s="1">
        <v>120</v>
      </c>
      <c r="M1052" s="1" t="s">
        <v>14</v>
      </c>
      <c r="N1052" s="1" t="s">
        <v>95</v>
      </c>
      <c r="O1052" s="1" t="s">
        <v>96</v>
      </c>
      <c r="P1052" s="1"/>
      <c r="Q1052" s="1" t="s">
        <v>9</v>
      </c>
      <c r="R1052" s="1">
        <v>0</v>
      </c>
      <c r="S1052" s="1" t="s">
        <v>97</v>
      </c>
      <c r="T1052" s="1" t="s">
        <v>97</v>
      </c>
      <c r="U1052" s="1" t="b">
        <v>1</v>
      </c>
      <c r="V1052" s="1" t="b">
        <v>0</v>
      </c>
      <c r="W1052" s="1" t="b">
        <v>0</v>
      </c>
      <c r="X1052" s="1">
        <v>5</v>
      </c>
      <c r="Y1052" s="1" t="b">
        <v>1</v>
      </c>
      <c r="Z1052" s="1" t="b">
        <v>1</v>
      </c>
      <c r="AA1052" s="1"/>
      <c r="AB1052" s="1" t="b">
        <v>1</v>
      </c>
      <c r="AC1052" s="1">
        <v>130639954</v>
      </c>
      <c r="AD1052" s="1">
        <v>694190</v>
      </c>
      <c r="AE1052" s="1">
        <v>0</v>
      </c>
      <c r="AF1052" s="1" t="s">
        <v>4268</v>
      </c>
      <c r="AG1052" s="1" t="s">
        <v>4269</v>
      </c>
      <c r="AH1052" s="1">
        <v>72</v>
      </c>
      <c r="AI1052" s="1">
        <v>69.3</v>
      </c>
      <c r="AJ1052" s="1" t="s">
        <v>4328</v>
      </c>
      <c r="AK1052" s="1" t="s">
        <v>4329</v>
      </c>
      <c r="AL1052" s="1" t="s">
        <v>4330</v>
      </c>
    </row>
    <row r="1053" spans="1:38" x14ac:dyDescent="0.6">
      <c r="A1053" s="1">
        <v>735</v>
      </c>
      <c r="B1053" s="1" t="s">
        <v>103</v>
      </c>
      <c r="C1053" s="1">
        <v>81</v>
      </c>
      <c r="D1053" s="1" t="s">
        <v>153</v>
      </c>
      <c r="E1053" s="1" t="s">
        <v>90</v>
      </c>
      <c r="F1053" s="1"/>
      <c r="G1053" s="1"/>
      <c r="H1053" s="1" t="s">
        <v>91</v>
      </c>
      <c r="I1053" s="1" t="s">
        <v>92</v>
      </c>
      <c r="J1053" s="1" t="s">
        <v>93</v>
      </c>
      <c r="K1053" s="1">
        <v>1</v>
      </c>
      <c r="L1053" s="1">
        <v>120</v>
      </c>
      <c r="M1053" s="1" t="s">
        <v>94</v>
      </c>
      <c r="N1053" s="1" t="s">
        <v>95</v>
      </c>
      <c r="O1053" s="1"/>
      <c r="P1053" s="1" t="s">
        <v>96</v>
      </c>
      <c r="Q1053" s="1" t="s">
        <v>9</v>
      </c>
      <c r="R1053" s="1">
        <v>0</v>
      </c>
      <c r="S1053" s="1" t="s">
        <v>97</v>
      </c>
      <c r="T1053" s="1" t="s">
        <v>97</v>
      </c>
      <c r="U1053" s="1" t="b">
        <v>1</v>
      </c>
      <c r="V1053" s="1" t="b">
        <v>0</v>
      </c>
      <c r="W1053" s="1" t="b">
        <v>0</v>
      </c>
      <c r="X1053" s="1">
        <v>0</v>
      </c>
      <c r="Y1053" s="1" t="b">
        <v>1</v>
      </c>
      <c r="Z1053" s="1" t="b">
        <v>1</v>
      </c>
      <c r="AA1053" s="1">
        <v>53.3</v>
      </c>
      <c r="AB1053" s="1" t="b">
        <v>1</v>
      </c>
      <c r="AC1053" s="1">
        <v>125244579</v>
      </c>
      <c r="AD1053" s="1">
        <v>1108829</v>
      </c>
      <c r="AE1053" s="1">
        <v>0</v>
      </c>
      <c r="AF1053" s="1" t="s">
        <v>4273</v>
      </c>
      <c r="AG1053" s="1" t="s">
        <v>4274</v>
      </c>
      <c r="AH1053" s="1">
        <v>50.5</v>
      </c>
      <c r="AI1053" s="1">
        <v>49.7</v>
      </c>
      <c r="AJ1053" s="1" t="s">
        <v>4331</v>
      </c>
      <c r="AK1053" s="1" t="s">
        <v>4332</v>
      </c>
      <c r="AL1053" s="1" t="s">
        <v>4333</v>
      </c>
    </row>
    <row r="1054" spans="1:38" x14ac:dyDescent="0.6">
      <c r="A1054" s="1">
        <v>726</v>
      </c>
      <c r="B1054" s="1" t="s">
        <v>103</v>
      </c>
      <c r="C1054" s="1">
        <v>56</v>
      </c>
      <c r="D1054" s="1" t="s">
        <v>89</v>
      </c>
      <c r="E1054" s="1" t="s">
        <v>90</v>
      </c>
      <c r="F1054" s="1"/>
      <c r="G1054" s="1"/>
      <c r="H1054" s="1" t="s">
        <v>91</v>
      </c>
      <c r="I1054" s="1" t="s">
        <v>92</v>
      </c>
      <c r="J1054" s="1" t="s">
        <v>93</v>
      </c>
      <c r="K1054" s="1">
        <v>1</v>
      </c>
      <c r="L1054" s="1">
        <v>120</v>
      </c>
      <c r="M1054" s="1" t="s">
        <v>7</v>
      </c>
      <c r="N1054" s="1" t="s">
        <v>7</v>
      </c>
      <c r="O1054" s="1" t="s">
        <v>96</v>
      </c>
      <c r="P1054" s="1" t="s">
        <v>96</v>
      </c>
      <c r="Q1054" s="1" t="s">
        <v>9</v>
      </c>
      <c r="R1054" s="1">
        <v>0</v>
      </c>
      <c r="S1054" s="1" t="s">
        <v>97</v>
      </c>
      <c r="T1054" s="1" t="s">
        <v>97</v>
      </c>
      <c r="U1054" s="1" t="b">
        <v>1</v>
      </c>
      <c r="V1054" s="1" t="b">
        <v>0</v>
      </c>
      <c r="W1054" s="1" t="b">
        <v>0</v>
      </c>
      <c r="X1054" s="1">
        <v>5</v>
      </c>
      <c r="Y1054" s="1" t="b">
        <v>1</v>
      </c>
      <c r="Z1054" s="1" t="b">
        <v>1</v>
      </c>
      <c r="AA1054" s="1">
        <v>76.900000000000006</v>
      </c>
      <c r="AB1054" s="1" t="b">
        <v>0</v>
      </c>
      <c r="AC1054" s="1">
        <v>0</v>
      </c>
      <c r="AD1054" s="1">
        <v>2902614</v>
      </c>
      <c r="AE1054" s="1">
        <v>131315114</v>
      </c>
      <c r="AF1054" s="1" t="s">
        <v>4334</v>
      </c>
      <c r="AG1054" s="1" t="s">
        <v>4334</v>
      </c>
      <c r="AH1054" s="1">
        <v>71.3</v>
      </c>
      <c r="AI1054" s="1">
        <v>71.2</v>
      </c>
      <c r="AJ1054" s="1" t="s">
        <v>4335</v>
      </c>
      <c r="AK1054" s="1" t="s">
        <v>4336</v>
      </c>
      <c r="AL1054" s="1" t="s">
        <v>4337</v>
      </c>
    </row>
    <row r="1055" spans="1:38" x14ac:dyDescent="0.6">
      <c r="A1055" s="1">
        <v>742</v>
      </c>
      <c r="B1055" s="1" t="s">
        <v>103</v>
      </c>
      <c r="C1055" s="1"/>
      <c r="D1055" s="1"/>
      <c r="E1055" s="1" t="s">
        <v>108</v>
      </c>
      <c r="F1055" s="1"/>
      <c r="G1055" s="1"/>
      <c r="H1055" s="1" t="s">
        <v>91</v>
      </c>
      <c r="I1055" s="1" t="s">
        <v>92</v>
      </c>
      <c r="J1055" s="1" t="s">
        <v>109</v>
      </c>
      <c r="K1055" s="1">
        <v>1</v>
      </c>
      <c r="L1055" s="1">
        <v>120</v>
      </c>
      <c r="M1055" s="1" t="s">
        <v>7</v>
      </c>
      <c r="N1055" s="1" t="s">
        <v>7</v>
      </c>
      <c r="O1055" s="1" t="s">
        <v>96</v>
      </c>
      <c r="P1055" s="1" t="s">
        <v>96</v>
      </c>
      <c r="Q1055" s="1" t="s">
        <v>9</v>
      </c>
      <c r="R1055" s="1">
        <v>0</v>
      </c>
      <c r="S1055" s="1" t="s">
        <v>97</v>
      </c>
      <c r="T1055" s="1" t="s">
        <v>97</v>
      </c>
      <c r="U1055" s="1" t="b">
        <v>1</v>
      </c>
      <c r="V1055" s="1" t="b">
        <v>0</v>
      </c>
      <c r="W1055" s="1" t="b">
        <v>0</v>
      </c>
      <c r="X1055" s="1">
        <v>5</v>
      </c>
      <c r="Y1055" s="1" t="b">
        <v>1</v>
      </c>
      <c r="Z1055" s="1" t="b">
        <v>1</v>
      </c>
      <c r="AA1055" s="1">
        <v>62.2</v>
      </c>
      <c r="AB1055" s="1" t="b">
        <v>0</v>
      </c>
      <c r="AC1055" s="1">
        <v>0</v>
      </c>
      <c r="AD1055" s="1">
        <v>3059578</v>
      </c>
      <c r="AE1055" s="1">
        <v>160518278</v>
      </c>
      <c r="AF1055" s="1" t="s">
        <v>4338</v>
      </c>
      <c r="AG1055" s="1" t="s">
        <v>4338</v>
      </c>
      <c r="AH1055" s="1">
        <v>66.3</v>
      </c>
      <c r="AI1055" s="1">
        <v>61.2</v>
      </c>
      <c r="AJ1055" s="1" t="s">
        <v>4339</v>
      </c>
      <c r="AK1055" s="1" t="s">
        <v>4340</v>
      </c>
      <c r="AL1055" s="1" t="s">
        <v>4341</v>
      </c>
    </row>
    <row r="1056" spans="1:38" x14ac:dyDescent="0.6">
      <c r="A1056" s="1">
        <v>745</v>
      </c>
      <c r="B1056" s="1" t="s">
        <v>103</v>
      </c>
      <c r="C1056" s="1">
        <v>58</v>
      </c>
      <c r="D1056" s="1" t="s">
        <v>89</v>
      </c>
      <c r="E1056" s="1" t="s">
        <v>90</v>
      </c>
      <c r="F1056" s="1"/>
      <c r="G1056" s="1"/>
      <c r="H1056" s="1" t="s">
        <v>91</v>
      </c>
      <c r="I1056" s="1" t="s">
        <v>92</v>
      </c>
      <c r="J1056" s="1" t="s">
        <v>93</v>
      </c>
      <c r="K1056" s="1">
        <v>1</v>
      </c>
      <c r="L1056" s="1">
        <v>120</v>
      </c>
      <c r="M1056" s="1" t="s">
        <v>94</v>
      </c>
      <c r="N1056" s="1" t="s">
        <v>95</v>
      </c>
      <c r="O1056" s="1"/>
      <c r="P1056" s="1" t="s">
        <v>96</v>
      </c>
      <c r="Q1056" s="1" t="s">
        <v>9</v>
      </c>
      <c r="R1056" s="1">
        <v>0</v>
      </c>
      <c r="S1056" s="1" t="s">
        <v>97</v>
      </c>
      <c r="T1056" s="1" t="s">
        <v>97</v>
      </c>
      <c r="U1056" s="1" t="b">
        <v>1</v>
      </c>
      <c r="V1056" s="1" t="b">
        <v>0</v>
      </c>
      <c r="W1056" s="1" t="b">
        <v>0</v>
      </c>
      <c r="X1056" s="1">
        <v>0</v>
      </c>
      <c r="Y1056" s="1" t="b">
        <v>1</v>
      </c>
      <c r="Z1056" s="1" t="b">
        <v>1</v>
      </c>
      <c r="AA1056" s="1">
        <v>64.2</v>
      </c>
      <c r="AB1056" s="1" t="b">
        <v>1</v>
      </c>
      <c r="AC1056" s="1">
        <v>120567300</v>
      </c>
      <c r="AD1056" s="1">
        <v>1591804</v>
      </c>
      <c r="AE1056" s="1">
        <v>0</v>
      </c>
      <c r="AF1056" s="1" t="s">
        <v>4342</v>
      </c>
      <c r="AG1056" s="1" t="s">
        <v>4343</v>
      </c>
      <c r="AH1056" s="1">
        <v>55.5</v>
      </c>
      <c r="AI1056" s="1">
        <v>59.1</v>
      </c>
      <c r="AJ1056" s="1" t="s">
        <v>4344</v>
      </c>
      <c r="AK1056" s="1" t="s">
        <v>4345</v>
      </c>
      <c r="AL1056" s="1" t="s">
        <v>4346</v>
      </c>
    </row>
    <row r="1057" spans="1:38" x14ac:dyDescent="0.6">
      <c r="A1057" s="1">
        <v>745</v>
      </c>
      <c r="B1057" s="1" t="s">
        <v>103</v>
      </c>
      <c r="C1057" s="1">
        <v>58</v>
      </c>
      <c r="D1057" s="1" t="s">
        <v>89</v>
      </c>
      <c r="E1057" s="1" t="s">
        <v>90</v>
      </c>
      <c r="F1057" s="1"/>
      <c r="G1057" s="1"/>
      <c r="H1057" s="1" t="s">
        <v>91</v>
      </c>
      <c r="I1057" s="1" t="s">
        <v>92</v>
      </c>
      <c r="J1057" s="1" t="s">
        <v>93</v>
      </c>
      <c r="K1057" s="1">
        <v>1</v>
      </c>
      <c r="L1057" s="1">
        <v>120</v>
      </c>
      <c r="M1057" s="1" t="s">
        <v>14</v>
      </c>
      <c r="N1057" s="1" t="s">
        <v>95</v>
      </c>
      <c r="O1057" s="1" t="s">
        <v>96</v>
      </c>
      <c r="P1057" s="1"/>
      <c r="Q1057" s="1" t="s">
        <v>9</v>
      </c>
      <c r="R1057" s="1">
        <v>0</v>
      </c>
      <c r="S1057" s="1" t="s">
        <v>97</v>
      </c>
      <c r="T1057" s="1" t="s">
        <v>97</v>
      </c>
      <c r="U1057" s="1" t="b">
        <v>1</v>
      </c>
      <c r="V1057" s="1" t="b">
        <v>0</v>
      </c>
      <c r="W1057" s="1" t="b">
        <v>0</v>
      </c>
      <c r="X1057" s="1">
        <v>5</v>
      </c>
      <c r="Y1057" s="1" t="b">
        <v>1</v>
      </c>
      <c r="Z1057" s="1" t="b">
        <v>1</v>
      </c>
      <c r="AA1057" s="1"/>
      <c r="AB1057" s="1" t="b">
        <v>1</v>
      </c>
      <c r="AC1057" s="1">
        <v>121080320</v>
      </c>
      <c r="AD1057" s="1">
        <v>554496</v>
      </c>
      <c r="AE1057" s="1">
        <v>0</v>
      </c>
      <c r="AF1057" s="1" t="s">
        <v>4342</v>
      </c>
      <c r="AG1057" s="1" t="s">
        <v>4343</v>
      </c>
      <c r="AH1057" s="1">
        <v>55.5</v>
      </c>
      <c r="AI1057" s="1">
        <v>59.1</v>
      </c>
      <c r="AJ1057" s="1" t="s">
        <v>4347</v>
      </c>
      <c r="AK1057" s="1" t="s">
        <v>4348</v>
      </c>
      <c r="AL1057" s="1" t="s">
        <v>4349</v>
      </c>
    </row>
    <row r="1058" spans="1:38" x14ac:dyDescent="0.6">
      <c r="A1058" s="1">
        <v>728</v>
      </c>
      <c r="B1058" s="1" t="s">
        <v>103</v>
      </c>
      <c r="C1058" s="1">
        <v>66</v>
      </c>
      <c r="D1058" s="1" t="s">
        <v>127</v>
      </c>
      <c r="E1058" s="1" t="s">
        <v>108</v>
      </c>
      <c r="F1058" s="1"/>
      <c r="G1058" s="1"/>
      <c r="H1058" s="1" t="s">
        <v>91</v>
      </c>
      <c r="I1058" s="1" t="s">
        <v>92</v>
      </c>
      <c r="J1058" s="1" t="s">
        <v>93</v>
      </c>
      <c r="K1058" s="1">
        <v>1</v>
      </c>
      <c r="L1058" s="1">
        <v>120</v>
      </c>
      <c r="M1058" s="1" t="s">
        <v>94</v>
      </c>
      <c r="N1058" s="1" t="s">
        <v>95</v>
      </c>
      <c r="O1058" s="1"/>
      <c r="P1058" s="1" t="s">
        <v>96</v>
      </c>
      <c r="Q1058" s="1" t="s">
        <v>9</v>
      </c>
      <c r="R1058" s="1">
        <v>0</v>
      </c>
      <c r="S1058" s="1" t="s">
        <v>97</v>
      </c>
      <c r="T1058" s="1" t="s">
        <v>97</v>
      </c>
      <c r="U1058" s="1" t="b">
        <v>1</v>
      </c>
      <c r="V1058" s="1" t="b">
        <v>0</v>
      </c>
      <c r="W1058" s="1" t="b">
        <v>0</v>
      </c>
      <c r="X1058" s="1">
        <v>0</v>
      </c>
      <c r="Y1058" s="1" t="b">
        <v>1</v>
      </c>
      <c r="Z1058" s="1" t="b">
        <v>1</v>
      </c>
      <c r="AA1058" s="1">
        <v>50.5</v>
      </c>
      <c r="AB1058" s="1" t="b">
        <v>1</v>
      </c>
      <c r="AC1058" s="1">
        <v>170933904</v>
      </c>
      <c r="AD1058" s="1">
        <v>2343280</v>
      </c>
      <c r="AE1058" s="1">
        <v>0</v>
      </c>
      <c r="AF1058" s="1" t="s">
        <v>4350</v>
      </c>
      <c r="AG1058" s="1" t="s">
        <v>4351</v>
      </c>
      <c r="AH1058" s="1">
        <v>50.7</v>
      </c>
      <c r="AI1058" s="1">
        <v>51</v>
      </c>
      <c r="AJ1058" s="1" t="s">
        <v>4352</v>
      </c>
      <c r="AK1058" s="1" t="s">
        <v>4353</v>
      </c>
      <c r="AL1058" s="1" t="s">
        <v>4354</v>
      </c>
    </row>
    <row r="1059" spans="1:38" x14ac:dyDescent="0.6">
      <c r="A1059" s="1">
        <v>728</v>
      </c>
      <c r="B1059" s="1" t="s">
        <v>103</v>
      </c>
      <c r="C1059" s="1">
        <v>66</v>
      </c>
      <c r="D1059" s="1" t="s">
        <v>127</v>
      </c>
      <c r="E1059" s="1" t="s">
        <v>108</v>
      </c>
      <c r="F1059" s="1"/>
      <c r="G1059" s="1"/>
      <c r="H1059" s="1" t="s">
        <v>91</v>
      </c>
      <c r="I1059" s="1" t="s">
        <v>92</v>
      </c>
      <c r="J1059" s="1" t="s">
        <v>93</v>
      </c>
      <c r="K1059" s="1">
        <v>1</v>
      </c>
      <c r="L1059" s="1">
        <v>120</v>
      </c>
      <c r="M1059" s="1" t="s">
        <v>14</v>
      </c>
      <c r="N1059" s="1" t="s">
        <v>95</v>
      </c>
      <c r="O1059" s="1" t="s">
        <v>96</v>
      </c>
      <c r="P1059" s="1"/>
      <c r="Q1059" s="1" t="s">
        <v>9</v>
      </c>
      <c r="R1059" s="1">
        <v>0</v>
      </c>
      <c r="S1059" s="1" t="s">
        <v>97</v>
      </c>
      <c r="T1059" s="1" t="s">
        <v>97</v>
      </c>
      <c r="U1059" s="1" t="b">
        <v>1</v>
      </c>
      <c r="V1059" s="1" t="b">
        <v>0</v>
      </c>
      <c r="W1059" s="1" t="b">
        <v>0</v>
      </c>
      <c r="X1059" s="1">
        <v>5</v>
      </c>
      <c r="Y1059" s="1" t="b">
        <v>1</v>
      </c>
      <c r="Z1059" s="1" t="b">
        <v>1</v>
      </c>
      <c r="AA1059" s="1"/>
      <c r="AB1059" s="1" t="b">
        <v>1</v>
      </c>
      <c r="AC1059" s="1">
        <v>164103549</v>
      </c>
      <c r="AD1059" s="1">
        <v>785027</v>
      </c>
      <c r="AE1059" s="1">
        <v>0</v>
      </c>
      <c r="AF1059" s="1" t="s">
        <v>4350</v>
      </c>
      <c r="AG1059" s="1" t="s">
        <v>4351</v>
      </c>
      <c r="AH1059" s="1">
        <v>50.7</v>
      </c>
      <c r="AI1059" s="1">
        <v>51</v>
      </c>
      <c r="AJ1059" s="1" t="s">
        <v>4355</v>
      </c>
      <c r="AK1059" s="1" t="s">
        <v>4356</v>
      </c>
      <c r="AL1059" s="1" t="s">
        <v>4357</v>
      </c>
    </row>
    <row r="1060" spans="1:38" x14ac:dyDescent="0.6">
      <c r="A1060" s="1">
        <v>748</v>
      </c>
      <c r="B1060" s="1" t="s">
        <v>103</v>
      </c>
      <c r="C1060" s="1">
        <v>53</v>
      </c>
      <c r="D1060" s="1" t="s">
        <v>89</v>
      </c>
      <c r="E1060" s="1" t="s">
        <v>90</v>
      </c>
      <c r="F1060" s="1"/>
      <c r="G1060" s="1"/>
      <c r="H1060" s="1" t="s">
        <v>220</v>
      </c>
      <c r="I1060" s="1" t="s">
        <v>221</v>
      </c>
      <c r="J1060" s="1" t="s">
        <v>222</v>
      </c>
      <c r="K1060" s="1">
        <v>1.25</v>
      </c>
      <c r="L1060" s="1">
        <v>120</v>
      </c>
      <c r="M1060" s="1" t="s">
        <v>14</v>
      </c>
      <c r="N1060" s="1" t="s">
        <v>95</v>
      </c>
      <c r="O1060" s="1" t="s">
        <v>96</v>
      </c>
      <c r="P1060" s="1"/>
      <c r="Q1060" s="1" t="s">
        <v>9</v>
      </c>
      <c r="R1060" s="1">
        <v>0</v>
      </c>
      <c r="S1060" s="1" t="s">
        <v>97</v>
      </c>
      <c r="T1060" s="1" t="s">
        <v>97</v>
      </c>
      <c r="U1060" s="1" t="b">
        <v>1</v>
      </c>
      <c r="V1060" s="1" t="b">
        <v>0</v>
      </c>
      <c r="W1060" s="1" t="b">
        <v>0</v>
      </c>
      <c r="X1060" s="1">
        <v>5</v>
      </c>
      <c r="Y1060" s="1" t="b">
        <v>1</v>
      </c>
      <c r="Z1060" s="1" t="b">
        <v>1</v>
      </c>
      <c r="AA1060" s="1"/>
      <c r="AB1060" s="1" t="b">
        <v>1</v>
      </c>
      <c r="AC1060" s="1">
        <v>119935346</v>
      </c>
      <c r="AD1060" s="1">
        <v>388750</v>
      </c>
      <c r="AE1060" s="1">
        <v>0</v>
      </c>
      <c r="AF1060" s="1" t="s">
        <v>4358</v>
      </c>
      <c r="AG1060" s="1" t="s">
        <v>4359</v>
      </c>
      <c r="AH1060" s="1">
        <v>84</v>
      </c>
      <c r="AI1060" s="1">
        <v>82.2</v>
      </c>
      <c r="AJ1060" s="1" t="s">
        <v>4360</v>
      </c>
      <c r="AK1060" s="1" t="s">
        <v>4361</v>
      </c>
      <c r="AL1060" s="1" t="s">
        <v>4362</v>
      </c>
    </row>
    <row r="1061" spans="1:38" x14ac:dyDescent="0.6">
      <c r="A1061" s="1">
        <v>748</v>
      </c>
      <c r="B1061" s="1" t="s">
        <v>103</v>
      </c>
      <c r="C1061" s="1">
        <v>53</v>
      </c>
      <c r="D1061" s="1" t="s">
        <v>89</v>
      </c>
      <c r="E1061" s="1" t="s">
        <v>90</v>
      </c>
      <c r="F1061" s="1"/>
      <c r="G1061" s="1"/>
      <c r="H1061" s="1" t="s">
        <v>220</v>
      </c>
      <c r="I1061" s="1" t="s">
        <v>221</v>
      </c>
      <c r="J1061" s="1" t="s">
        <v>222</v>
      </c>
      <c r="K1061" s="1">
        <v>1.25</v>
      </c>
      <c r="L1061" s="1">
        <v>120</v>
      </c>
      <c r="M1061" s="1" t="s">
        <v>94</v>
      </c>
      <c r="N1061" s="1" t="s">
        <v>95</v>
      </c>
      <c r="O1061" s="1"/>
      <c r="P1061" s="1" t="s">
        <v>96</v>
      </c>
      <c r="Q1061" s="1" t="s">
        <v>9</v>
      </c>
      <c r="R1061" s="1">
        <v>0</v>
      </c>
      <c r="S1061" s="1" t="s">
        <v>97</v>
      </c>
      <c r="T1061" s="1" t="s">
        <v>97</v>
      </c>
      <c r="U1061" s="1" t="b">
        <v>1</v>
      </c>
      <c r="V1061" s="1" t="b">
        <v>0</v>
      </c>
      <c r="W1061" s="1" t="b">
        <v>0</v>
      </c>
      <c r="X1061" s="1">
        <v>0</v>
      </c>
      <c r="Y1061" s="1" t="b">
        <v>1</v>
      </c>
      <c r="Z1061" s="1" t="b">
        <v>1</v>
      </c>
      <c r="AA1061" s="1">
        <v>86.1</v>
      </c>
      <c r="AB1061" s="1" t="b">
        <v>1</v>
      </c>
      <c r="AC1061" s="1">
        <v>124007264</v>
      </c>
      <c r="AD1061" s="1">
        <v>1035424</v>
      </c>
      <c r="AE1061" s="1">
        <v>0</v>
      </c>
      <c r="AF1061" s="1" t="s">
        <v>4358</v>
      </c>
      <c r="AG1061" s="1" t="s">
        <v>4359</v>
      </c>
      <c r="AH1061" s="1">
        <v>84</v>
      </c>
      <c r="AI1061" s="1">
        <v>82.2</v>
      </c>
      <c r="AJ1061" s="1" t="s">
        <v>4363</v>
      </c>
      <c r="AK1061" s="1" t="s">
        <v>4364</v>
      </c>
      <c r="AL1061" s="1" t="s">
        <v>4365</v>
      </c>
    </row>
    <row r="1062" spans="1:38" x14ac:dyDescent="0.6">
      <c r="A1062" s="1">
        <v>743</v>
      </c>
      <c r="B1062" s="1" t="s">
        <v>103</v>
      </c>
      <c r="C1062" s="1">
        <v>69</v>
      </c>
      <c r="D1062" s="1" t="s">
        <v>127</v>
      </c>
      <c r="E1062" s="1" t="s">
        <v>108</v>
      </c>
      <c r="F1062" s="1"/>
      <c r="G1062" s="1"/>
      <c r="H1062" s="1" t="s">
        <v>91</v>
      </c>
      <c r="I1062" s="1" t="s">
        <v>92</v>
      </c>
      <c r="J1062" s="1" t="s">
        <v>109</v>
      </c>
      <c r="K1062" s="1">
        <v>1</v>
      </c>
      <c r="L1062" s="1">
        <v>120</v>
      </c>
      <c r="M1062" s="1" t="s">
        <v>94</v>
      </c>
      <c r="N1062" s="1" t="s">
        <v>95</v>
      </c>
      <c r="O1062" s="1"/>
      <c r="P1062" s="1" t="s">
        <v>96</v>
      </c>
      <c r="Q1062" s="1" t="s">
        <v>9</v>
      </c>
      <c r="R1062" s="1">
        <v>0</v>
      </c>
      <c r="S1062" s="1" t="s">
        <v>97</v>
      </c>
      <c r="T1062" s="1" t="s">
        <v>97</v>
      </c>
      <c r="U1062" s="1" t="b">
        <v>1</v>
      </c>
      <c r="V1062" s="1" t="b">
        <v>0</v>
      </c>
      <c r="W1062" s="1" t="b">
        <v>0</v>
      </c>
      <c r="X1062" s="1">
        <v>0</v>
      </c>
      <c r="Y1062" s="1" t="b">
        <v>1</v>
      </c>
      <c r="Z1062" s="1" t="b">
        <v>1</v>
      </c>
      <c r="AA1062" s="1">
        <v>46.2</v>
      </c>
      <c r="AB1062" s="1" t="b">
        <v>1</v>
      </c>
      <c r="AC1062" s="1">
        <v>168416742</v>
      </c>
      <c r="AD1062" s="1">
        <v>2501146</v>
      </c>
      <c r="AE1062" s="1">
        <v>0</v>
      </c>
      <c r="AF1062" s="1" t="s">
        <v>4366</v>
      </c>
      <c r="AG1062" s="1" t="s">
        <v>4367</v>
      </c>
      <c r="AH1062" s="1">
        <v>50.2</v>
      </c>
      <c r="AI1062" s="1">
        <v>43.6</v>
      </c>
      <c r="AJ1062" s="1" t="s">
        <v>4368</v>
      </c>
      <c r="AK1062" s="1" t="s">
        <v>4369</v>
      </c>
      <c r="AL1062" s="1" t="s">
        <v>4370</v>
      </c>
    </row>
    <row r="1063" spans="1:38" x14ac:dyDescent="0.6">
      <c r="A1063" s="1">
        <v>744</v>
      </c>
      <c r="B1063" s="1" t="s">
        <v>88</v>
      </c>
      <c r="C1063" s="1">
        <v>55</v>
      </c>
      <c r="D1063" s="1" t="s">
        <v>89</v>
      </c>
      <c r="E1063" s="1" t="s">
        <v>90</v>
      </c>
      <c r="F1063" s="1"/>
      <c r="G1063" s="1"/>
      <c r="H1063" s="1" t="s">
        <v>91</v>
      </c>
      <c r="I1063" s="1" t="s">
        <v>92</v>
      </c>
      <c r="J1063" s="1" t="s">
        <v>93</v>
      </c>
      <c r="K1063" s="1">
        <v>1</v>
      </c>
      <c r="L1063" s="1">
        <v>120</v>
      </c>
      <c r="M1063" s="1" t="s">
        <v>7</v>
      </c>
      <c r="N1063" s="1" t="s">
        <v>7</v>
      </c>
      <c r="O1063" s="1" t="s">
        <v>96</v>
      </c>
      <c r="P1063" s="1" t="s">
        <v>96</v>
      </c>
      <c r="Q1063" s="1" t="s">
        <v>9</v>
      </c>
      <c r="R1063" s="1">
        <v>0</v>
      </c>
      <c r="S1063" s="1" t="s">
        <v>97</v>
      </c>
      <c r="T1063" s="1" t="s">
        <v>97</v>
      </c>
      <c r="U1063" s="1" t="b">
        <v>1</v>
      </c>
      <c r="V1063" s="1" t="b">
        <v>0</v>
      </c>
      <c r="W1063" s="1" t="b">
        <v>0</v>
      </c>
      <c r="X1063" s="1">
        <v>5</v>
      </c>
      <c r="Y1063" s="1" t="b">
        <v>1</v>
      </c>
      <c r="Z1063" s="1" t="b">
        <v>1</v>
      </c>
      <c r="AA1063" s="1">
        <v>64</v>
      </c>
      <c r="AB1063" s="1" t="b">
        <v>0</v>
      </c>
      <c r="AC1063" s="1">
        <v>0</v>
      </c>
      <c r="AD1063" s="1">
        <v>2703599</v>
      </c>
      <c r="AE1063" s="1">
        <v>123649809</v>
      </c>
      <c r="AF1063" s="1" t="s">
        <v>4371</v>
      </c>
      <c r="AG1063" s="1" t="s">
        <v>4371</v>
      </c>
      <c r="AH1063" s="1">
        <v>68.900000000000006</v>
      </c>
      <c r="AI1063" s="1">
        <v>62.6</v>
      </c>
      <c r="AJ1063" s="1" t="s">
        <v>4372</v>
      </c>
      <c r="AK1063" s="1" t="s">
        <v>4373</v>
      </c>
      <c r="AL1063" s="1" t="s">
        <v>4374</v>
      </c>
    </row>
    <row r="1064" spans="1:38" x14ac:dyDescent="0.6">
      <c r="A1064" s="1">
        <v>751</v>
      </c>
      <c r="B1064" s="1" t="s">
        <v>103</v>
      </c>
      <c r="C1064" s="1">
        <v>54</v>
      </c>
      <c r="D1064" s="1" t="s">
        <v>89</v>
      </c>
      <c r="E1064" s="1" t="s">
        <v>108</v>
      </c>
      <c r="F1064" s="1"/>
      <c r="G1064" s="1"/>
      <c r="H1064" s="1" t="s">
        <v>220</v>
      </c>
      <c r="I1064" s="1" t="s">
        <v>221</v>
      </c>
      <c r="J1064" s="1" t="s">
        <v>222</v>
      </c>
      <c r="K1064" s="1">
        <v>1.25</v>
      </c>
      <c r="L1064" s="1">
        <v>120</v>
      </c>
      <c r="M1064" s="1" t="s">
        <v>94</v>
      </c>
      <c r="N1064" s="1" t="s">
        <v>95</v>
      </c>
      <c r="O1064" s="1"/>
      <c r="P1064" s="1" t="s">
        <v>96</v>
      </c>
      <c r="Q1064" s="1" t="s">
        <v>9</v>
      </c>
      <c r="R1064" s="1">
        <v>0</v>
      </c>
      <c r="S1064" s="1" t="s">
        <v>97</v>
      </c>
      <c r="T1064" s="1" t="s">
        <v>97</v>
      </c>
      <c r="U1064" s="1" t="b">
        <v>1</v>
      </c>
      <c r="V1064" s="1" t="b">
        <v>0</v>
      </c>
      <c r="W1064" s="1" t="b">
        <v>0</v>
      </c>
      <c r="X1064" s="1">
        <v>0</v>
      </c>
      <c r="Y1064" s="1" t="b">
        <v>1</v>
      </c>
      <c r="Z1064" s="1" t="b">
        <v>1</v>
      </c>
      <c r="AA1064" s="1">
        <v>68.5</v>
      </c>
      <c r="AB1064" s="1" t="b">
        <v>1</v>
      </c>
      <c r="AC1064" s="1">
        <v>137870172</v>
      </c>
      <c r="AD1064" s="1">
        <v>1328292</v>
      </c>
      <c r="AE1064" s="1">
        <v>0</v>
      </c>
      <c r="AF1064" s="1" t="s">
        <v>4375</v>
      </c>
      <c r="AG1064" s="1" t="s">
        <v>4376</v>
      </c>
      <c r="AH1064" s="1">
        <v>72.8</v>
      </c>
      <c r="AI1064" s="1">
        <v>68.400000000000006</v>
      </c>
      <c r="AJ1064" s="1" t="s">
        <v>4377</v>
      </c>
      <c r="AK1064" s="1" t="s">
        <v>4378</v>
      </c>
      <c r="AL1064" s="1" t="s">
        <v>4379</v>
      </c>
    </row>
    <row r="1065" spans="1:38" x14ac:dyDescent="0.6">
      <c r="A1065" s="1">
        <v>747</v>
      </c>
      <c r="B1065" s="1" t="s">
        <v>103</v>
      </c>
      <c r="C1065" s="1"/>
      <c r="D1065" s="1"/>
      <c r="E1065" s="1" t="s">
        <v>90</v>
      </c>
      <c r="F1065" s="1"/>
      <c r="G1065" s="1"/>
      <c r="H1065" s="1" t="s">
        <v>91</v>
      </c>
      <c r="I1065" s="1" t="s">
        <v>92</v>
      </c>
      <c r="J1065" s="1" t="s">
        <v>109</v>
      </c>
      <c r="K1065" s="1">
        <v>1</v>
      </c>
      <c r="L1065" s="1">
        <v>120</v>
      </c>
      <c r="M1065" s="1" t="s">
        <v>7</v>
      </c>
      <c r="N1065" s="1" t="s">
        <v>7</v>
      </c>
      <c r="O1065" s="1" t="s">
        <v>96</v>
      </c>
      <c r="P1065" s="1" t="s">
        <v>96</v>
      </c>
      <c r="Q1065" s="1" t="s">
        <v>9</v>
      </c>
      <c r="R1065" s="1">
        <v>0</v>
      </c>
      <c r="S1065" s="1" t="s">
        <v>97</v>
      </c>
      <c r="T1065" s="1" t="s">
        <v>97</v>
      </c>
      <c r="U1065" s="1" t="b">
        <v>1</v>
      </c>
      <c r="V1065" s="1" t="b">
        <v>0</v>
      </c>
      <c r="W1065" s="1" t="b">
        <v>0</v>
      </c>
      <c r="X1065" s="1">
        <v>5</v>
      </c>
      <c r="Y1065" s="1" t="b">
        <v>1</v>
      </c>
      <c r="Z1065" s="1" t="b">
        <v>1</v>
      </c>
      <c r="AA1065" s="1">
        <v>56.4</v>
      </c>
      <c r="AB1065" s="1" t="b">
        <v>0</v>
      </c>
      <c r="AC1065" s="1">
        <v>0</v>
      </c>
      <c r="AD1065" s="1">
        <v>2354655</v>
      </c>
      <c r="AE1065" s="1">
        <v>148378145</v>
      </c>
      <c r="AF1065" s="1" t="s">
        <v>4380</v>
      </c>
      <c r="AG1065" s="1" t="s">
        <v>4380</v>
      </c>
      <c r="AH1065" s="1">
        <v>53.3</v>
      </c>
      <c r="AI1065" s="1">
        <v>52.1</v>
      </c>
      <c r="AJ1065" s="1" t="s">
        <v>4381</v>
      </c>
      <c r="AK1065" s="1" t="s">
        <v>4382</v>
      </c>
      <c r="AL1065" s="1" t="s">
        <v>4383</v>
      </c>
    </row>
    <row r="1066" spans="1:38" x14ac:dyDescent="0.6">
      <c r="A1066" s="1">
        <v>750</v>
      </c>
      <c r="B1066" s="1" t="s">
        <v>88</v>
      </c>
      <c r="C1066" s="1"/>
      <c r="D1066" s="1"/>
      <c r="E1066" s="1" t="s">
        <v>108</v>
      </c>
      <c r="F1066" s="1"/>
      <c r="G1066" s="1"/>
      <c r="H1066" s="1" t="s">
        <v>91</v>
      </c>
      <c r="I1066" s="1" t="s">
        <v>92</v>
      </c>
      <c r="J1066" s="1" t="s">
        <v>109</v>
      </c>
      <c r="K1066" s="1">
        <v>1</v>
      </c>
      <c r="L1066" s="1">
        <v>120</v>
      </c>
      <c r="M1066" s="1" t="s">
        <v>7</v>
      </c>
      <c r="N1066" s="1" t="s">
        <v>7</v>
      </c>
      <c r="O1066" s="1" t="s">
        <v>96</v>
      </c>
      <c r="P1066" s="1" t="s">
        <v>96</v>
      </c>
      <c r="Q1066" s="1" t="s">
        <v>9</v>
      </c>
      <c r="R1066" s="1">
        <v>0</v>
      </c>
      <c r="S1066" s="1" t="s">
        <v>97</v>
      </c>
      <c r="T1066" s="1" t="s">
        <v>97</v>
      </c>
      <c r="U1066" s="1" t="b">
        <v>1</v>
      </c>
      <c r="V1066" s="1" t="b">
        <v>0</v>
      </c>
      <c r="W1066" s="1" t="b">
        <v>0</v>
      </c>
      <c r="X1066" s="1">
        <v>5</v>
      </c>
      <c r="Y1066" s="1" t="b">
        <v>1</v>
      </c>
      <c r="Z1066" s="1" t="b">
        <v>1</v>
      </c>
      <c r="AA1066" s="1">
        <v>59.4</v>
      </c>
      <c r="AB1066" s="1" t="b">
        <v>0</v>
      </c>
      <c r="AC1066" s="1">
        <v>0</v>
      </c>
      <c r="AD1066" s="1">
        <v>2457076</v>
      </c>
      <c r="AE1066" s="1">
        <v>151421452</v>
      </c>
      <c r="AF1066" s="1" t="s">
        <v>4384</v>
      </c>
      <c r="AG1066" s="1" t="s">
        <v>4384</v>
      </c>
      <c r="AH1066" s="1">
        <v>58.8</v>
      </c>
      <c r="AI1066" s="1">
        <v>58.6</v>
      </c>
      <c r="AJ1066" s="1" t="s">
        <v>4385</v>
      </c>
      <c r="AK1066" s="1" t="s">
        <v>4386</v>
      </c>
      <c r="AL1066" s="1" t="s">
        <v>4387</v>
      </c>
    </row>
    <row r="1067" spans="1:38" x14ac:dyDescent="0.6">
      <c r="A1067" s="1">
        <v>740</v>
      </c>
      <c r="B1067" s="1" t="s">
        <v>88</v>
      </c>
      <c r="C1067" s="1">
        <v>51</v>
      </c>
      <c r="D1067" s="1" t="s">
        <v>89</v>
      </c>
      <c r="E1067" s="1" t="s">
        <v>90</v>
      </c>
      <c r="F1067" s="1"/>
      <c r="G1067" s="1"/>
      <c r="H1067" s="1" t="s">
        <v>91</v>
      </c>
      <c r="I1067" s="1" t="s">
        <v>92</v>
      </c>
      <c r="J1067" s="1" t="s">
        <v>93</v>
      </c>
      <c r="K1067" s="1">
        <v>1</v>
      </c>
      <c r="L1067" s="1">
        <v>120</v>
      </c>
      <c r="M1067" s="1" t="s">
        <v>7</v>
      </c>
      <c r="N1067" s="1" t="s">
        <v>7</v>
      </c>
      <c r="O1067" s="1" t="s">
        <v>96</v>
      </c>
      <c r="P1067" s="1" t="s">
        <v>96</v>
      </c>
      <c r="Q1067" s="1" t="s">
        <v>9</v>
      </c>
      <c r="R1067" s="1">
        <v>0</v>
      </c>
      <c r="S1067" s="1" t="s">
        <v>97</v>
      </c>
      <c r="T1067" s="1" t="s">
        <v>97</v>
      </c>
      <c r="U1067" s="1" t="b">
        <v>1</v>
      </c>
      <c r="V1067" s="1" t="b">
        <v>0</v>
      </c>
      <c r="W1067" s="1" t="b">
        <v>0</v>
      </c>
      <c r="X1067" s="1">
        <v>5</v>
      </c>
      <c r="Y1067" s="1" t="b">
        <v>1</v>
      </c>
      <c r="Z1067" s="1" t="b">
        <v>1</v>
      </c>
      <c r="AA1067" s="1">
        <v>71</v>
      </c>
      <c r="AB1067" s="1" t="b">
        <v>0</v>
      </c>
      <c r="AC1067" s="1">
        <v>0</v>
      </c>
      <c r="AD1067" s="1">
        <v>3474723</v>
      </c>
      <c r="AE1067" s="1">
        <v>136248029</v>
      </c>
      <c r="AF1067" s="1" t="s">
        <v>4388</v>
      </c>
      <c r="AG1067" s="1" t="s">
        <v>4388</v>
      </c>
      <c r="AH1067" s="1">
        <v>75.8</v>
      </c>
      <c r="AI1067" s="1">
        <v>67.099999999999994</v>
      </c>
      <c r="AJ1067" s="1" t="s">
        <v>4389</v>
      </c>
      <c r="AK1067" s="1" t="s">
        <v>4390</v>
      </c>
      <c r="AL1067" s="1" t="s">
        <v>4391</v>
      </c>
    </row>
    <row r="1068" spans="1:38" x14ac:dyDescent="0.6">
      <c r="A1068" s="1">
        <v>753</v>
      </c>
      <c r="B1068" s="1" t="s">
        <v>103</v>
      </c>
      <c r="C1068" s="1">
        <v>64</v>
      </c>
      <c r="D1068" s="1" t="s">
        <v>127</v>
      </c>
      <c r="E1068" s="1" t="s">
        <v>108</v>
      </c>
      <c r="F1068" s="1"/>
      <c r="G1068" s="1"/>
      <c r="H1068" s="1" t="s">
        <v>91</v>
      </c>
      <c r="I1068" s="1" t="s">
        <v>92</v>
      </c>
      <c r="J1068" s="1" t="s">
        <v>93</v>
      </c>
      <c r="K1068" s="1">
        <v>1</v>
      </c>
      <c r="L1068" s="1">
        <v>120</v>
      </c>
      <c r="M1068" s="1" t="s">
        <v>7</v>
      </c>
      <c r="N1068" s="1" t="s">
        <v>7</v>
      </c>
      <c r="O1068" s="1" t="s">
        <v>96</v>
      </c>
      <c r="P1068" s="1" t="s">
        <v>96</v>
      </c>
      <c r="Q1068" s="1" t="s">
        <v>9</v>
      </c>
      <c r="R1068" s="1">
        <v>0</v>
      </c>
      <c r="S1068" s="1" t="s">
        <v>97</v>
      </c>
      <c r="T1068" s="1" t="s">
        <v>97</v>
      </c>
      <c r="U1068" s="1" t="b">
        <v>1</v>
      </c>
      <c r="V1068" s="1" t="b">
        <v>0</v>
      </c>
      <c r="W1068" s="1" t="b">
        <v>0</v>
      </c>
      <c r="X1068" s="1">
        <v>5</v>
      </c>
      <c r="Y1068" s="1" t="b">
        <v>1</v>
      </c>
      <c r="Z1068" s="1" t="b">
        <v>1</v>
      </c>
      <c r="AA1068" s="1">
        <v>76.2</v>
      </c>
      <c r="AB1068" s="1" t="b">
        <v>0</v>
      </c>
      <c r="AC1068" s="1">
        <v>0</v>
      </c>
      <c r="AD1068" s="1">
        <v>2502378</v>
      </c>
      <c r="AE1068" s="1">
        <v>161075478</v>
      </c>
      <c r="AF1068" s="1" t="s">
        <v>4392</v>
      </c>
      <c r="AG1068" s="1" t="s">
        <v>4392</v>
      </c>
      <c r="AH1068" s="1">
        <v>69.7</v>
      </c>
      <c r="AI1068" s="1">
        <v>72.900000000000006</v>
      </c>
      <c r="AJ1068" s="1" t="s">
        <v>4393</v>
      </c>
      <c r="AK1068" s="1" t="s">
        <v>4394</v>
      </c>
      <c r="AL1068" s="1" t="s">
        <v>4395</v>
      </c>
    </row>
    <row r="1069" spans="1:38" x14ac:dyDescent="0.6">
      <c r="A1069" s="1">
        <v>743</v>
      </c>
      <c r="B1069" s="1" t="s">
        <v>103</v>
      </c>
      <c r="C1069" s="1">
        <v>69</v>
      </c>
      <c r="D1069" s="1" t="s">
        <v>127</v>
      </c>
      <c r="E1069" s="1" t="s">
        <v>108</v>
      </c>
      <c r="F1069" s="1"/>
      <c r="G1069" s="1"/>
      <c r="H1069" s="1" t="s">
        <v>91</v>
      </c>
      <c r="I1069" s="1" t="s">
        <v>92</v>
      </c>
      <c r="J1069" s="1" t="s">
        <v>109</v>
      </c>
      <c r="K1069" s="1">
        <v>1</v>
      </c>
      <c r="L1069" s="1">
        <v>120</v>
      </c>
      <c r="M1069" s="1" t="s">
        <v>14</v>
      </c>
      <c r="N1069" s="1" t="s">
        <v>95</v>
      </c>
      <c r="O1069" s="1" t="s">
        <v>96</v>
      </c>
      <c r="P1069" s="1"/>
      <c r="Q1069" s="1" t="s">
        <v>9</v>
      </c>
      <c r="R1069" s="1">
        <v>0</v>
      </c>
      <c r="S1069" s="1" t="s">
        <v>97</v>
      </c>
      <c r="T1069" s="1" t="s">
        <v>97</v>
      </c>
      <c r="U1069" s="1" t="b">
        <v>1</v>
      </c>
      <c r="V1069" s="1" t="b">
        <v>0</v>
      </c>
      <c r="W1069" s="1" t="b">
        <v>0</v>
      </c>
      <c r="X1069" s="1">
        <v>5</v>
      </c>
      <c r="Y1069" s="1" t="b">
        <v>1</v>
      </c>
      <c r="Z1069" s="1" t="b">
        <v>1</v>
      </c>
      <c r="AA1069" s="1"/>
      <c r="AB1069" s="1" t="b">
        <v>1</v>
      </c>
      <c r="AC1069" s="1">
        <v>146164253</v>
      </c>
      <c r="AD1069" s="1">
        <v>898531</v>
      </c>
      <c r="AE1069" s="1">
        <v>0</v>
      </c>
      <c r="AF1069" s="1" t="s">
        <v>4366</v>
      </c>
      <c r="AG1069" s="1" t="s">
        <v>4367</v>
      </c>
      <c r="AH1069" s="1">
        <v>50.2</v>
      </c>
      <c r="AI1069" s="1">
        <v>43.6</v>
      </c>
      <c r="AJ1069" s="1" t="s">
        <v>4396</v>
      </c>
      <c r="AK1069" s="1" t="s">
        <v>4397</v>
      </c>
      <c r="AL1069" s="1" t="s">
        <v>4398</v>
      </c>
    </row>
    <row r="1070" spans="1:38" x14ac:dyDescent="0.6">
      <c r="A1070" s="1">
        <v>754</v>
      </c>
      <c r="B1070" s="1" t="s">
        <v>88</v>
      </c>
      <c r="C1070" s="1">
        <v>89</v>
      </c>
      <c r="D1070" s="1" t="s">
        <v>153</v>
      </c>
      <c r="E1070" s="1" t="s">
        <v>154</v>
      </c>
      <c r="F1070" s="1"/>
      <c r="G1070" s="1"/>
      <c r="H1070" s="1" t="s">
        <v>91</v>
      </c>
      <c r="I1070" s="1" t="s">
        <v>92</v>
      </c>
      <c r="J1070" s="1" t="s">
        <v>93</v>
      </c>
      <c r="K1070" s="1">
        <v>1</v>
      </c>
      <c r="L1070" s="1">
        <v>120</v>
      </c>
      <c r="M1070" s="1" t="s">
        <v>14</v>
      </c>
      <c r="N1070" s="1" t="s">
        <v>95</v>
      </c>
      <c r="O1070" s="1" t="s">
        <v>96</v>
      </c>
      <c r="P1070" s="1"/>
      <c r="Q1070" s="1" t="s">
        <v>9</v>
      </c>
      <c r="R1070" s="1">
        <v>0</v>
      </c>
      <c r="S1070" s="1" t="s">
        <v>97</v>
      </c>
      <c r="T1070" s="1" t="s">
        <v>97</v>
      </c>
      <c r="U1070" s="1" t="b">
        <v>1</v>
      </c>
      <c r="V1070" s="1" t="b">
        <v>0</v>
      </c>
      <c r="W1070" s="1" t="b">
        <v>0</v>
      </c>
      <c r="X1070" s="1">
        <v>5</v>
      </c>
      <c r="Y1070" s="1" t="b">
        <v>1</v>
      </c>
      <c r="Z1070" s="1" t="b">
        <v>1</v>
      </c>
      <c r="AA1070" s="1"/>
      <c r="AB1070" s="1" t="b">
        <v>1</v>
      </c>
      <c r="AC1070" s="1">
        <v>136657289</v>
      </c>
      <c r="AD1070" s="1">
        <v>706167</v>
      </c>
      <c r="AE1070" s="1">
        <v>0</v>
      </c>
      <c r="AF1070" s="1" t="s">
        <v>4399</v>
      </c>
      <c r="AG1070" s="1" t="s">
        <v>4400</v>
      </c>
      <c r="AH1070" s="1">
        <v>90.1</v>
      </c>
      <c r="AI1070" s="1">
        <v>82.5</v>
      </c>
      <c r="AJ1070" s="1" t="s">
        <v>4401</v>
      </c>
      <c r="AK1070" s="1" t="s">
        <v>4402</v>
      </c>
      <c r="AL1070" s="1" t="s">
        <v>4403</v>
      </c>
    </row>
    <row r="1071" spans="1:38" x14ac:dyDescent="0.6">
      <c r="A1071" s="1">
        <v>754</v>
      </c>
      <c r="B1071" s="1" t="s">
        <v>88</v>
      </c>
      <c r="C1071" s="1">
        <v>89</v>
      </c>
      <c r="D1071" s="1" t="s">
        <v>153</v>
      </c>
      <c r="E1071" s="1" t="s">
        <v>154</v>
      </c>
      <c r="F1071" s="1"/>
      <c r="G1071" s="1"/>
      <c r="H1071" s="1" t="s">
        <v>91</v>
      </c>
      <c r="I1071" s="1" t="s">
        <v>92</v>
      </c>
      <c r="J1071" s="1" t="s">
        <v>93</v>
      </c>
      <c r="K1071" s="1">
        <v>1</v>
      </c>
      <c r="L1071" s="1">
        <v>120</v>
      </c>
      <c r="M1071" s="1" t="s">
        <v>94</v>
      </c>
      <c r="N1071" s="1" t="s">
        <v>95</v>
      </c>
      <c r="O1071" s="1"/>
      <c r="P1071" s="1" t="s">
        <v>96</v>
      </c>
      <c r="Q1071" s="1" t="s">
        <v>9</v>
      </c>
      <c r="R1071" s="1">
        <v>0</v>
      </c>
      <c r="S1071" s="1" t="s">
        <v>97</v>
      </c>
      <c r="T1071" s="1" t="s">
        <v>97</v>
      </c>
      <c r="U1071" s="1" t="b">
        <v>1</v>
      </c>
      <c r="V1071" s="1" t="b">
        <v>0</v>
      </c>
      <c r="W1071" s="1" t="b">
        <v>0</v>
      </c>
      <c r="X1071" s="1">
        <v>0</v>
      </c>
      <c r="Y1071" s="1" t="b">
        <v>1</v>
      </c>
      <c r="Z1071" s="1" t="b">
        <v>1</v>
      </c>
      <c r="AA1071" s="1">
        <v>85.5</v>
      </c>
      <c r="AB1071" s="1" t="b">
        <v>1</v>
      </c>
      <c r="AC1071" s="1">
        <v>141532622</v>
      </c>
      <c r="AD1071" s="1">
        <v>2384434</v>
      </c>
      <c r="AE1071" s="1">
        <v>0</v>
      </c>
      <c r="AF1071" s="1" t="s">
        <v>4399</v>
      </c>
      <c r="AG1071" s="1" t="s">
        <v>4400</v>
      </c>
      <c r="AH1071" s="1">
        <v>90.1</v>
      </c>
      <c r="AI1071" s="1">
        <v>82.5</v>
      </c>
      <c r="AJ1071" s="1" t="s">
        <v>4404</v>
      </c>
      <c r="AK1071" s="1" t="s">
        <v>4405</v>
      </c>
      <c r="AL1071" s="1" t="s">
        <v>4406</v>
      </c>
    </row>
    <row r="1072" spans="1:38" x14ac:dyDescent="0.6">
      <c r="A1072" s="1">
        <v>746</v>
      </c>
      <c r="B1072" s="1" t="s">
        <v>103</v>
      </c>
      <c r="C1072" s="1">
        <v>64</v>
      </c>
      <c r="D1072" s="1" t="s">
        <v>127</v>
      </c>
      <c r="E1072" s="1" t="s">
        <v>90</v>
      </c>
      <c r="F1072" s="1">
        <v>10.5</v>
      </c>
      <c r="G1072" s="1"/>
      <c r="H1072" s="1" t="s">
        <v>120</v>
      </c>
      <c r="I1072" s="1" t="s">
        <v>121</v>
      </c>
      <c r="J1072" s="1" t="s">
        <v>122</v>
      </c>
      <c r="K1072" s="1">
        <v>1</v>
      </c>
      <c r="L1072" s="1">
        <v>120</v>
      </c>
      <c r="M1072" s="1" t="s">
        <v>7</v>
      </c>
      <c r="N1072" s="1" t="s">
        <v>7</v>
      </c>
      <c r="O1072" s="1" t="s">
        <v>96</v>
      </c>
      <c r="P1072" s="1" t="s">
        <v>96</v>
      </c>
      <c r="Q1072" s="1" t="s">
        <v>9</v>
      </c>
      <c r="R1072" s="1">
        <v>0</v>
      </c>
      <c r="S1072" s="1" t="s">
        <v>97</v>
      </c>
      <c r="T1072" s="1" t="s">
        <v>97</v>
      </c>
      <c r="U1072" s="1" t="b">
        <v>1</v>
      </c>
      <c r="V1072" s="1" t="b">
        <v>0</v>
      </c>
      <c r="W1072" s="1" t="b">
        <v>0</v>
      </c>
      <c r="X1072" s="1">
        <v>5</v>
      </c>
      <c r="Y1072" s="1" t="b">
        <v>1</v>
      </c>
      <c r="Z1072" s="1" t="b">
        <v>1</v>
      </c>
      <c r="AA1072" s="1">
        <v>71.7</v>
      </c>
      <c r="AB1072" s="1" t="b">
        <v>0</v>
      </c>
      <c r="AC1072" s="1">
        <v>0</v>
      </c>
      <c r="AD1072" s="1">
        <v>2200642</v>
      </c>
      <c r="AE1072" s="1">
        <v>133327806</v>
      </c>
      <c r="AF1072" s="1" t="s">
        <v>4407</v>
      </c>
      <c r="AG1072" s="1" t="s">
        <v>4407</v>
      </c>
      <c r="AH1072" s="1">
        <v>59.8</v>
      </c>
      <c r="AI1072" s="1">
        <v>64.2</v>
      </c>
      <c r="AJ1072" s="1" t="s">
        <v>4408</v>
      </c>
      <c r="AK1072" s="1" t="s">
        <v>4409</v>
      </c>
      <c r="AL1072" s="1" t="s">
        <v>4410</v>
      </c>
    </row>
    <row r="1073" spans="1:38" x14ac:dyDescent="0.6">
      <c r="A1073" s="1">
        <v>749</v>
      </c>
      <c r="B1073" s="1" t="s">
        <v>103</v>
      </c>
      <c r="C1073" s="1"/>
      <c r="D1073" s="1"/>
      <c r="E1073" s="1" t="s">
        <v>90</v>
      </c>
      <c r="F1073" s="1"/>
      <c r="G1073" s="1"/>
      <c r="H1073" s="1" t="s">
        <v>91</v>
      </c>
      <c r="I1073" s="1" t="s">
        <v>92</v>
      </c>
      <c r="J1073" s="1" t="s">
        <v>109</v>
      </c>
      <c r="K1073" s="1">
        <v>1</v>
      </c>
      <c r="L1073" s="1">
        <v>120</v>
      </c>
      <c r="M1073" s="1" t="s">
        <v>7</v>
      </c>
      <c r="N1073" s="1" t="s">
        <v>7</v>
      </c>
      <c r="O1073" s="1" t="s">
        <v>96</v>
      </c>
      <c r="P1073" s="1" t="s">
        <v>96</v>
      </c>
      <c r="Q1073" s="1" t="s">
        <v>9</v>
      </c>
      <c r="R1073" s="1">
        <v>0</v>
      </c>
      <c r="S1073" s="1" t="s">
        <v>97</v>
      </c>
      <c r="T1073" s="1" t="s">
        <v>97</v>
      </c>
      <c r="U1073" s="1" t="b">
        <v>1</v>
      </c>
      <c r="V1073" s="1" t="b">
        <v>0</v>
      </c>
      <c r="W1073" s="1" t="b">
        <v>0</v>
      </c>
      <c r="X1073" s="1">
        <v>5</v>
      </c>
      <c r="Y1073" s="1" t="b">
        <v>1</v>
      </c>
      <c r="Z1073" s="1" t="b">
        <v>1</v>
      </c>
      <c r="AA1073" s="1">
        <v>77.599999999999994</v>
      </c>
      <c r="AB1073" s="1" t="b">
        <v>0</v>
      </c>
      <c r="AC1073" s="1">
        <v>0</v>
      </c>
      <c r="AD1073" s="1">
        <v>3084221</v>
      </c>
      <c r="AE1073" s="1">
        <v>144502851</v>
      </c>
      <c r="AF1073" s="1" t="s">
        <v>4411</v>
      </c>
      <c r="AG1073" s="1" t="s">
        <v>4411</v>
      </c>
      <c r="AH1073" s="1">
        <v>76.099999999999994</v>
      </c>
      <c r="AI1073" s="1">
        <v>72.7</v>
      </c>
      <c r="AJ1073" s="1" t="s">
        <v>4412</v>
      </c>
      <c r="AK1073" s="1" t="s">
        <v>4413</v>
      </c>
      <c r="AL1073" s="1" t="s">
        <v>4414</v>
      </c>
    </row>
    <row r="1074" spans="1:38" x14ac:dyDescent="0.6">
      <c r="A1074" s="1">
        <v>759</v>
      </c>
      <c r="B1074" s="1" t="s">
        <v>103</v>
      </c>
      <c r="C1074" s="1">
        <v>53</v>
      </c>
      <c r="D1074" s="1" t="s">
        <v>89</v>
      </c>
      <c r="E1074" s="1" t="s">
        <v>90</v>
      </c>
      <c r="F1074" s="1"/>
      <c r="G1074" s="1"/>
      <c r="H1074" s="1" t="s">
        <v>91</v>
      </c>
      <c r="I1074" s="1" t="s">
        <v>92</v>
      </c>
      <c r="J1074" s="1" t="s">
        <v>109</v>
      </c>
      <c r="K1074" s="1">
        <v>1</v>
      </c>
      <c r="L1074" s="1">
        <v>120</v>
      </c>
      <c r="M1074" s="1" t="s">
        <v>14</v>
      </c>
      <c r="N1074" s="1" t="s">
        <v>95</v>
      </c>
      <c r="O1074" s="1" t="s">
        <v>96</v>
      </c>
      <c r="P1074" s="1"/>
      <c r="Q1074" s="1" t="s">
        <v>9</v>
      </c>
      <c r="R1074" s="1">
        <v>0</v>
      </c>
      <c r="S1074" s="1" t="s">
        <v>97</v>
      </c>
      <c r="T1074" s="1" t="s">
        <v>97</v>
      </c>
      <c r="U1074" s="1" t="b">
        <v>1</v>
      </c>
      <c r="V1074" s="1" t="b">
        <v>0</v>
      </c>
      <c r="W1074" s="1" t="b">
        <v>0</v>
      </c>
      <c r="X1074" s="1">
        <v>5</v>
      </c>
      <c r="Y1074" s="1" t="b">
        <v>1</v>
      </c>
      <c r="Z1074" s="1" t="b">
        <v>1</v>
      </c>
      <c r="AA1074" s="1"/>
      <c r="AB1074" s="1" t="b">
        <v>1</v>
      </c>
      <c r="AC1074" s="1">
        <v>144488918</v>
      </c>
      <c r="AD1074" s="1">
        <v>476714</v>
      </c>
      <c r="AE1074" s="1">
        <v>0</v>
      </c>
      <c r="AF1074" s="1" t="s">
        <v>4415</v>
      </c>
      <c r="AG1074" s="1" t="s">
        <v>4416</v>
      </c>
      <c r="AH1074" s="1">
        <v>59.9</v>
      </c>
      <c r="AI1074" s="1">
        <v>66.7</v>
      </c>
      <c r="AJ1074" s="1" t="s">
        <v>4417</v>
      </c>
      <c r="AK1074" s="1" t="s">
        <v>4418</v>
      </c>
      <c r="AL1074" s="1" t="s">
        <v>4419</v>
      </c>
    </row>
    <row r="1075" spans="1:38" x14ac:dyDescent="0.6">
      <c r="A1075" s="1">
        <v>759</v>
      </c>
      <c r="B1075" s="1" t="s">
        <v>103</v>
      </c>
      <c r="C1075" s="1">
        <v>53</v>
      </c>
      <c r="D1075" s="1" t="s">
        <v>89</v>
      </c>
      <c r="E1075" s="1" t="s">
        <v>90</v>
      </c>
      <c r="F1075" s="1"/>
      <c r="G1075" s="1"/>
      <c r="H1075" s="1" t="s">
        <v>91</v>
      </c>
      <c r="I1075" s="1" t="s">
        <v>92</v>
      </c>
      <c r="J1075" s="1" t="s">
        <v>109</v>
      </c>
      <c r="K1075" s="1">
        <v>1</v>
      </c>
      <c r="L1075" s="1">
        <v>120</v>
      </c>
      <c r="M1075" s="1" t="s">
        <v>94</v>
      </c>
      <c r="N1075" s="1" t="s">
        <v>95</v>
      </c>
      <c r="O1075" s="1"/>
      <c r="P1075" s="1" t="s">
        <v>96</v>
      </c>
      <c r="Q1075" s="1" t="s">
        <v>9</v>
      </c>
      <c r="R1075" s="1">
        <v>0</v>
      </c>
      <c r="S1075" s="1" t="s">
        <v>97</v>
      </c>
      <c r="T1075" s="1" t="s">
        <v>97</v>
      </c>
      <c r="U1075" s="1" t="b">
        <v>1</v>
      </c>
      <c r="V1075" s="1" t="b">
        <v>0</v>
      </c>
      <c r="W1075" s="1" t="b">
        <v>0</v>
      </c>
      <c r="X1075" s="1">
        <v>0</v>
      </c>
      <c r="Y1075" s="1" t="b">
        <v>1</v>
      </c>
      <c r="Z1075" s="1" t="b">
        <v>1</v>
      </c>
      <c r="AA1075" s="1">
        <v>72.599999999999994</v>
      </c>
      <c r="AB1075" s="1" t="b">
        <v>1</v>
      </c>
      <c r="AC1075" s="1">
        <v>143833877</v>
      </c>
      <c r="AD1075" s="1">
        <v>1393899</v>
      </c>
      <c r="AE1075" s="1">
        <v>0</v>
      </c>
      <c r="AF1075" s="1" t="s">
        <v>4415</v>
      </c>
      <c r="AG1075" s="1" t="s">
        <v>4416</v>
      </c>
      <c r="AH1075" s="1">
        <v>59.9</v>
      </c>
      <c r="AI1075" s="1">
        <v>66.7</v>
      </c>
      <c r="AJ1075" s="1" t="s">
        <v>4420</v>
      </c>
      <c r="AK1075" s="1" t="s">
        <v>4421</v>
      </c>
      <c r="AL1075" s="1" t="s">
        <v>4422</v>
      </c>
    </row>
    <row r="1076" spans="1:38" x14ac:dyDescent="0.6">
      <c r="A1076" s="1">
        <v>751</v>
      </c>
      <c r="B1076" s="1" t="s">
        <v>103</v>
      </c>
      <c r="C1076" s="1">
        <v>54</v>
      </c>
      <c r="D1076" s="1" t="s">
        <v>89</v>
      </c>
      <c r="E1076" s="1" t="s">
        <v>108</v>
      </c>
      <c r="F1076" s="1"/>
      <c r="G1076" s="1"/>
      <c r="H1076" s="1" t="s">
        <v>220</v>
      </c>
      <c r="I1076" s="1" t="s">
        <v>221</v>
      </c>
      <c r="J1076" s="1" t="s">
        <v>222</v>
      </c>
      <c r="K1076" s="1">
        <v>1.25</v>
      </c>
      <c r="L1076" s="1">
        <v>120</v>
      </c>
      <c r="M1076" s="1" t="s">
        <v>14</v>
      </c>
      <c r="N1076" s="1" t="s">
        <v>95</v>
      </c>
      <c r="O1076" s="1" t="s">
        <v>96</v>
      </c>
      <c r="P1076" s="1"/>
      <c r="Q1076" s="1" t="s">
        <v>9</v>
      </c>
      <c r="R1076" s="1">
        <v>0</v>
      </c>
      <c r="S1076" s="1" t="s">
        <v>97</v>
      </c>
      <c r="T1076" s="1" t="s">
        <v>97</v>
      </c>
      <c r="U1076" s="1" t="b">
        <v>1</v>
      </c>
      <c r="V1076" s="1" t="b">
        <v>0</v>
      </c>
      <c r="W1076" s="1" t="b">
        <v>0</v>
      </c>
      <c r="X1076" s="1">
        <v>5</v>
      </c>
      <c r="Y1076" s="1" t="b">
        <v>1</v>
      </c>
      <c r="Z1076" s="1" t="b">
        <v>1</v>
      </c>
      <c r="AA1076" s="1"/>
      <c r="AB1076" s="1" t="b">
        <v>1</v>
      </c>
      <c r="AC1076" s="1">
        <v>131657358</v>
      </c>
      <c r="AD1076" s="1">
        <v>463218</v>
      </c>
      <c r="AE1076" s="1">
        <v>0</v>
      </c>
      <c r="AF1076" s="1" t="s">
        <v>4375</v>
      </c>
      <c r="AG1076" s="1" t="s">
        <v>4376</v>
      </c>
      <c r="AH1076" s="1">
        <v>72.8</v>
      </c>
      <c r="AI1076" s="1">
        <v>68.400000000000006</v>
      </c>
      <c r="AJ1076" s="1" t="s">
        <v>4423</v>
      </c>
      <c r="AK1076" s="1" t="s">
        <v>4424</v>
      </c>
      <c r="AL1076" s="1" t="s">
        <v>4425</v>
      </c>
    </row>
    <row r="1077" spans="1:38" x14ac:dyDescent="0.6">
      <c r="A1077" s="1">
        <v>758</v>
      </c>
      <c r="B1077" s="1" t="s">
        <v>88</v>
      </c>
      <c r="C1077" s="1">
        <v>56</v>
      </c>
      <c r="D1077" s="1" t="s">
        <v>89</v>
      </c>
      <c r="E1077" s="1" t="s">
        <v>108</v>
      </c>
      <c r="F1077" s="1"/>
      <c r="G1077" s="1"/>
      <c r="H1077" s="1" t="s">
        <v>220</v>
      </c>
      <c r="I1077" s="1" t="s">
        <v>221</v>
      </c>
      <c r="J1077" s="1" t="s">
        <v>222</v>
      </c>
      <c r="K1077" s="1">
        <v>1.25</v>
      </c>
      <c r="L1077" s="1">
        <v>120</v>
      </c>
      <c r="M1077" s="1" t="s">
        <v>7</v>
      </c>
      <c r="N1077" s="1" t="s">
        <v>7</v>
      </c>
      <c r="O1077" s="1" t="s">
        <v>96</v>
      </c>
      <c r="P1077" s="1" t="s">
        <v>96</v>
      </c>
      <c r="Q1077" s="1" t="s">
        <v>9</v>
      </c>
      <c r="R1077" s="1">
        <v>0</v>
      </c>
      <c r="S1077" s="1" t="s">
        <v>97</v>
      </c>
      <c r="T1077" s="1" t="s">
        <v>97</v>
      </c>
      <c r="U1077" s="1" t="b">
        <v>1</v>
      </c>
      <c r="V1077" s="1" t="b">
        <v>0</v>
      </c>
      <c r="W1077" s="1" t="b">
        <v>0</v>
      </c>
      <c r="X1077" s="1">
        <v>5</v>
      </c>
      <c r="Y1077" s="1" t="b">
        <v>1</v>
      </c>
      <c r="Z1077" s="1" t="b">
        <v>1</v>
      </c>
      <c r="AA1077" s="1">
        <v>83.8</v>
      </c>
      <c r="AB1077" s="1" t="b">
        <v>0</v>
      </c>
      <c r="AC1077" s="1">
        <v>0</v>
      </c>
      <c r="AD1077" s="1">
        <v>1955294</v>
      </c>
      <c r="AE1077" s="1">
        <v>152709666</v>
      </c>
      <c r="AF1077" s="1" t="s">
        <v>4426</v>
      </c>
      <c r="AG1077" s="1" t="s">
        <v>4426</v>
      </c>
      <c r="AH1077" s="1">
        <v>81.900000000000006</v>
      </c>
      <c r="AI1077" s="1">
        <v>80.7</v>
      </c>
      <c r="AJ1077" s="1" t="s">
        <v>4427</v>
      </c>
      <c r="AK1077" s="1" t="s">
        <v>4428</v>
      </c>
      <c r="AL1077" s="1" t="s">
        <v>4429</v>
      </c>
    </row>
    <row r="1078" spans="1:38" x14ac:dyDescent="0.6">
      <c r="A1078" s="1">
        <v>755</v>
      </c>
      <c r="B1078" s="1" t="s">
        <v>103</v>
      </c>
      <c r="C1078" s="1">
        <v>56</v>
      </c>
      <c r="D1078" s="1" t="s">
        <v>89</v>
      </c>
      <c r="E1078" s="1" t="s">
        <v>90</v>
      </c>
      <c r="F1078" s="1"/>
      <c r="G1078" s="1"/>
      <c r="H1078" s="1" t="s">
        <v>220</v>
      </c>
      <c r="I1078" s="1" t="s">
        <v>221</v>
      </c>
      <c r="J1078" s="1" t="s">
        <v>222</v>
      </c>
      <c r="K1078" s="1">
        <v>1.25</v>
      </c>
      <c r="L1078" s="1">
        <v>120</v>
      </c>
      <c r="M1078" s="1" t="s">
        <v>14</v>
      </c>
      <c r="N1078" s="1" t="s">
        <v>95</v>
      </c>
      <c r="O1078" s="1" t="s">
        <v>96</v>
      </c>
      <c r="P1078" s="1"/>
      <c r="Q1078" s="1" t="s">
        <v>9</v>
      </c>
      <c r="R1078" s="1">
        <v>0</v>
      </c>
      <c r="S1078" s="1" t="s">
        <v>97</v>
      </c>
      <c r="T1078" s="1" t="s">
        <v>97</v>
      </c>
      <c r="U1078" s="1" t="b">
        <v>1</v>
      </c>
      <c r="V1078" s="1" t="b">
        <v>0</v>
      </c>
      <c r="W1078" s="1" t="b">
        <v>0</v>
      </c>
      <c r="X1078" s="1">
        <v>5</v>
      </c>
      <c r="Y1078" s="1" t="b">
        <v>1</v>
      </c>
      <c r="Z1078" s="1" t="b">
        <v>1</v>
      </c>
      <c r="AA1078" s="1"/>
      <c r="AB1078" s="1" t="b">
        <v>1</v>
      </c>
      <c r="AC1078" s="1">
        <v>170129893</v>
      </c>
      <c r="AD1078" s="1">
        <v>525851</v>
      </c>
      <c r="AE1078" s="1">
        <v>0</v>
      </c>
      <c r="AF1078" s="1" t="s">
        <v>4430</v>
      </c>
      <c r="AG1078" s="1" t="s">
        <v>4431</v>
      </c>
      <c r="AH1078" s="1">
        <v>75.2</v>
      </c>
      <c r="AI1078" s="1">
        <v>69.5</v>
      </c>
      <c r="AJ1078" s="1" t="s">
        <v>4432</v>
      </c>
      <c r="AK1078" s="1" t="s">
        <v>4433</v>
      </c>
      <c r="AL1078" s="1" t="s">
        <v>4434</v>
      </c>
    </row>
    <row r="1079" spans="1:38" x14ac:dyDescent="0.6">
      <c r="A1079" s="1">
        <v>762</v>
      </c>
      <c r="B1079" s="1" t="s">
        <v>88</v>
      </c>
      <c r="C1079" s="1">
        <v>52</v>
      </c>
      <c r="D1079" s="1" t="s">
        <v>89</v>
      </c>
      <c r="E1079" s="1" t="s">
        <v>108</v>
      </c>
      <c r="F1079" s="1"/>
      <c r="G1079" s="1"/>
      <c r="H1079" s="1" t="s">
        <v>220</v>
      </c>
      <c r="I1079" s="1" t="s">
        <v>221</v>
      </c>
      <c r="J1079" s="1" t="s">
        <v>222</v>
      </c>
      <c r="K1079" s="1">
        <v>1.25</v>
      </c>
      <c r="L1079" s="1">
        <v>120</v>
      </c>
      <c r="M1079" s="1" t="s">
        <v>94</v>
      </c>
      <c r="N1079" s="1" t="s">
        <v>95</v>
      </c>
      <c r="O1079" s="1"/>
      <c r="P1079" s="1" t="s">
        <v>96</v>
      </c>
      <c r="Q1079" s="1" t="s">
        <v>9</v>
      </c>
      <c r="R1079" s="1">
        <v>0</v>
      </c>
      <c r="S1079" s="1" t="s">
        <v>97</v>
      </c>
      <c r="T1079" s="1" t="s">
        <v>97</v>
      </c>
      <c r="U1079" s="1" t="b">
        <v>1</v>
      </c>
      <c r="V1079" s="1" t="b">
        <v>0</v>
      </c>
      <c r="W1079" s="1" t="b">
        <v>0</v>
      </c>
      <c r="X1079" s="1">
        <v>0</v>
      </c>
      <c r="Y1079" s="1" t="b">
        <v>1</v>
      </c>
      <c r="Z1079" s="1" t="b">
        <v>1</v>
      </c>
      <c r="AA1079" s="1">
        <v>74.400000000000006</v>
      </c>
      <c r="AB1079" s="1" t="b">
        <v>1</v>
      </c>
      <c r="AC1079" s="1">
        <v>152528660</v>
      </c>
      <c r="AD1079" s="1">
        <v>2398444</v>
      </c>
      <c r="AE1079" s="1">
        <v>0</v>
      </c>
      <c r="AF1079" s="1" t="s">
        <v>4435</v>
      </c>
      <c r="AG1079" s="1" t="s">
        <v>4436</v>
      </c>
      <c r="AH1079" s="1">
        <v>77</v>
      </c>
      <c r="AI1079" s="1">
        <v>72</v>
      </c>
      <c r="AJ1079" s="1" t="s">
        <v>4437</v>
      </c>
      <c r="AK1079" s="1" t="s">
        <v>4438</v>
      </c>
      <c r="AL1079" s="1" t="s">
        <v>4439</v>
      </c>
    </row>
    <row r="1080" spans="1:38" x14ac:dyDescent="0.6">
      <c r="A1080" s="1">
        <v>762</v>
      </c>
      <c r="B1080" s="1" t="s">
        <v>88</v>
      </c>
      <c r="C1080" s="1">
        <v>52</v>
      </c>
      <c r="D1080" s="1" t="s">
        <v>89</v>
      </c>
      <c r="E1080" s="1" t="s">
        <v>108</v>
      </c>
      <c r="F1080" s="1"/>
      <c r="G1080" s="1"/>
      <c r="H1080" s="1" t="s">
        <v>220</v>
      </c>
      <c r="I1080" s="1" t="s">
        <v>221</v>
      </c>
      <c r="J1080" s="1" t="s">
        <v>222</v>
      </c>
      <c r="K1080" s="1">
        <v>1.25</v>
      </c>
      <c r="L1080" s="1">
        <v>120</v>
      </c>
      <c r="M1080" s="1" t="s">
        <v>14</v>
      </c>
      <c r="N1080" s="1" t="s">
        <v>95</v>
      </c>
      <c r="O1080" s="1" t="s">
        <v>96</v>
      </c>
      <c r="P1080" s="1"/>
      <c r="Q1080" s="1" t="s">
        <v>9</v>
      </c>
      <c r="R1080" s="1">
        <v>0</v>
      </c>
      <c r="S1080" s="1" t="s">
        <v>97</v>
      </c>
      <c r="T1080" s="1" t="s">
        <v>97</v>
      </c>
      <c r="U1080" s="1" t="b">
        <v>1</v>
      </c>
      <c r="V1080" s="1" t="b">
        <v>0</v>
      </c>
      <c r="W1080" s="1" t="b">
        <v>0</v>
      </c>
      <c r="X1080" s="1">
        <v>5</v>
      </c>
      <c r="Y1080" s="1" t="b">
        <v>1</v>
      </c>
      <c r="Z1080" s="1" t="b">
        <v>1</v>
      </c>
      <c r="AA1080" s="1"/>
      <c r="AB1080" s="1" t="b">
        <v>1</v>
      </c>
      <c r="AC1080" s="1">
        <v>136483186</v>
      </c>
      <c r="AD1080" s="1">
        <v>880270</v>
      </c>
      <c r="AE1080" s="1">
        <v>0</v>
      </c>
      <c r="AF1080" s="1" t="s">
        <v>4435</v>
      </c>
      <c r="AG1080" s="1" t="s">
        <v>4436</v>
      </c>
      <c r="AH1080" s="1">
        <v>77</v>
      </c>
      <c r="AI1080" s="1">
        <v>72</v>
      </c>
      <c r="AJ1080" s="1" t="s">
        <v>4440</v>
      </c>
      <c r="AK1080" s="1" t="s">
        <v>4441</v>
      </c>
      <c r="AL1080" s="1" t="s">
        <v>4442</v>
      </c>
    </row>
    <row r="1081" spans="1:38" x14ac:dyDescent="0.6">
      <c r="A1081" s="1">
        <v>763</v>
      </c>
      <c r="B1081" s="1" t="s">
        <v>88</v>
      </c>
      <c r="C1081" s="1">
        <v>68</v>
      </c>
      <c r="D1081" s="1" t="s">
        <v>127</v>
      </c>
      <c r="E1081" s="1" t="s">
        <v>90</v>
      </c>
      <c r="F1081" s="1"/>
      <c r="G1081" s="1"/>
      <c r="H1081" s="1" t="s">
        <v>220</v>
      </c>
      <c r="I1081" s="1" t="s">
        <v>221</v>
      </c>
      <c r="J1081" s="1" t="s">
        <v>222</v>
      </c>
      <c r="K1081" s="1">
        <v>1.25</v>
      </c>
      <c r="L1081" s="1">
        <v>120</v>
      </c>
      <c r="M1081" s="1" t="s">
        <v>7</v>
      </c>
      <c r="N1081" s="1" t="s">
        <v>7</v>
      </c>
      <c r="O1081" s="1" t="s">
        <v>96</v>
      </c>
      <c r="P1081" s="1" t="s">
        <v>96</v>
      </c>
      <c r="Q1081" s="1" t="s">
        <v>9</v>
      </c>
      <c r="R1081" s="1">
        <v>0</v>
      </c>
      <c r="S1081" s="1" t="s">
        <v>97</v>
      </c>
      <c r="T1081" s="1" t="s">
        <v>97</v>
      </c>
      <c r="U1081" s="1" t="b">
        <v>1</v>
      </c>
      <c r="V1081" s="1" t="b">
        <v>0</v>
      </c>
      <c r="W1081" s="1" t="b">
        <v>0</v>
      </c>
      <c r="X1081" s="1">
        <v>5</v>
      </c>
      <c r="Y1081" s="1" t="b">
        <v>1</v>
      </c>
      <c r="Z1081" s="1" t="b">
        <v>1</v>
      </c>
      <c r="AA1081" s="1">
        <v>73.900000000000006</v>
      </c>
      <c r="AB1081" s="1" t="b">
        <v>0</v>
      </c>
      <c r="AC1081" s="1">
        <v>0</v>
      </c>
      <c r="AD1081" s="1">
        <v>2217311</v>
      </c>
      <c r="AE1081" s="1">
        <v>141175457</v>
      </c>
      <c r="AF1081" s="1" t="s">
        <v>4443</v>
      </c>
      <c r="AG1081" s="1" t="s">
        <v>4443</v>
      </c>
      <c r="AH1081" s="1">
        <v>67</v>
      </c>
      <c r="AI1081" s="1">
        <v>68.3</v>
      </c>
      <c r="AJ1081" s="1" t="s">
        <v>4444</v>
      </c>
      <c r="AK1081" s="1" t="s">
        <v>4445</v>
      </c>
      <c r="AL1081" s="1" t="s">
        <v>4446</v>
      </c>
    </row>
    <row r="1082" spans="1:38" x14ac:dyDescent="0.6">
      <c r="A1082" s="1">
        <v>761</v>
      </c>
      <c r="B1082" s="1" t="s">
        <v>103</v>
      </c>
      <c r="C1082" s="1">
        <v>77</v>
      </c>
      <c r="D1082" s="1" t="s">
        <v>119</v>
      </c>
      <c r="E1082" s="1" t="s">
        <v>90</v>
      </c>
      <c r="F1082" s="1">
        <v>10.5</v>
      </c>
      <c r="G1082" s="1"/>
      <c r="H1082" s="1" t="s">
        <v>120</v>
      </c>
      <c r="I1082" s="1" t="s">
        <v>121</v>
      </c>
      <c r="J1082" s="1" t="s">
        <v>122</v>
      </c>
      <c r="K1082" s="1">
        <v>1</v>
      </c>
      <c r="L1082" s="1">
        <v>120</v>
      </c>
      <c r="M1082" s="1" t="s">
        <v>7</v>
      </c>
      <c r="N1082" s="1" t="s">
        <v>7</v>
      </c>
      <c r="O1082" s="1" t="s">
        <v>96</v>
      </c>
      <c r="P1082" s="1" t="s">
        <v>96</v>
      </c>
      <c r="Q1082" s="1" t="s">
        <v>9</v>
      </c>
      <c r="R1082" s="1">
        <v>0</v>
      </c>
      <c r="S1082" s="1" t="s">
        <v>97</v>
      </c>
      <c r="T1082" s="1" t="s">
        <v>97</v>
      </c>
      <c r="U1082" s="1" t="b">
        <v>1</v>
      </c>
      <c r="V1082" s="1" t="b">
        <v>0</v>
      </c>
      <c r="W1082" s="1" t="b">
        <v>0</v>
      </c>
      <c r="X1082" s="1">
        <v>5</v>
      </c>
      <c r="Y1082" s="1" t="b">
        <v>1</v>
      </c>
      <c r="Z1082" s="1" t="b">
        <v>1</v>
      </c>
      <c r="AA1082" s="1">
        <v>67</v>
      </c>
      <c r="AB1082" s="1" t="b">
        <v>0</v>
      </c>
      <c r="AC1082" s="1">
        <v>0</v>
      </c>
      <c r="AD1082" s="1">
        <v>3797054</v>
      </c>
      <c r="AE1082" s="1">
        <v>151392194</v>
      </c>
      <c r="AF1082" s="1" t="s">
        <v>4447</v>
      </c>
      <c r="AG1082" s="1" t="s">
        <v>4447</v>
      </c>
      <c r="AH1082" s="1">
        <v>58.7</v>
      </c>
      <c r="AI1082" s="1">
        <v>62.7</v>
      </c>
      <c r="AJ1082" s="1" t="s">
        <v>4448</v>
      </c>
      <c r="AK1082" s="1" t="s">
        <v>4449</v>
      </c>
      <c r="AL1082" s="1" t="s">
        <v>4450</v>
      </c>
    </row>
    <row r="1083" spans="1:38" x14ac:dyDescent="0.6">
      <c r="A1083" s="1">
        <v>764</v>
      </c>
      <c r="B1083" s="1" t="s">
        <v>103</v>
      </c>
      <c r="C1083" s="1">
        <v>60</v>
      </c>
      <c r="D1083" s="1" t="s">
        <v>127</v>
      </c>
      <c r="E1083" s="1" t="s">
        <v>90</v>
      </c>
      <c r="F1083" s="1"/>
      <c r="G1083" s="1"/>
      <c r="H1083" s="1" t="s">
        <v>220</v>
      </c>
      <c r="I1083" s="1" t="s">
        <v>221</v>
      </c>
      <c r="J1083" s="1" t="s">
        <v>222</v>
      </c>
      <c r="K1083" s="1">
        <v>1.25</v>
      </c>
      <c r="L1083" s="1">
        <v>120</v>
      </c>
      <c r="M1083" s="1" t="s">
        <v>7</v>
      </c>
      <c r="N1083" s="1" t="s">
        <v>7</v>
      </c>
      <c r="O1083" s="1" t="s">
        <v>96</v>
      </c>
      <c r="P1083" s="1" t="s">
        <v>96</v>
      </c>
      <c r="Q1083" s="1" t="s">
        <v>9</v>
      </c>
      <c r="R1083" s="1">
        <v>0</v>
      </c>
      <c r="S1083" s="1" t="s">
        <v>97</v>
      </c>
      <c r="T1083" s="1" t="s">
        <v>97</v>
      </c>
      <c r="U1083" s="1" t="b">
        <v>1</v>
      </c>
      <c r="V1083" s="1" t="b">
        <v>0</v>
      </c>
      <c r="W1083" s="1" t="b">
        <v>0</v>
      </c>
      <c r="X1083" s="1">
        <v>5</v>
      </c>
      <c r="Y1083" s="1" t="b">
        <v>1</v>
      </c>
      <c r="Z1083" s="1" t="b">
        <v>1</v>
      </c>
      <c r="AA1083" s="1">
        <v>69.5</v>
      </c>
      <c r="AB1083" s="1" t="b">
        <v>0</v>
      </c>
      <c r="AC1083" s="1">
        <v>0</v>
      </c>
      <c r="AD1083" s="1">
        <v>2617744</v>
      </c>
      <c r="AE1083" s="1">
        <v>150998640</v>
      </c>
      <c r="AF1083" s="1" t="s">
        <v>4451</v>
      </c>
      <c r="AG1083" s="1" t="s">
        <v>4451</v>
      </c>
      <c r="AH1083" s="1">
        <v>70.8</v>
      </c>
      <c r="AI1083" s="1">
        <v>65.8</v>
      </c>
      <c r="AJ1083" s="1" t="s">
        <v>4452</v>
      </c>
      <c r="AK1083" s="1" t="s">
        <v>4453</v>
      </c>
      <c r="AL1083" s="1" t="s">
        <v>4454</v>
      </c>
    </row>
    <row r="1084" spans="1:38" x14ac:dyDescent="0.6">
      <c r="A1084" s="1">
        <v>766</v>
      </c>
      <c r="B1084" s="1" t="s">
        <v>88</v>
      </c>
      <c r="C1084" s="1">
        <v>58</v>
      </c>
      <c r="D1084" s="1" t="s">
        <v>89</v>
      </c>
      <c r="E1084" s="1" t="s">
        <v>108</v>
      </c>
      <c r="F1084" s="1"/>
      <c r="G1084" s="1"/>
      <c r="H1084" s="1" t="s">
        <v>220</v>
      </c>
      <c r="I1084" s="1" t="s">
        <v>221</v>
      </c>
      <c r="J1084" s="1" t="s">
        <v>222</v>
      </c>
      <c r="K1084" s="1">
        <v>1.25</v>
      </c>
      <c r="L1084" s="1">
        <v>120</v>
      </c>
      <c r="M1084" s="1" t="s">
        <v>14</v>
      </c>
      <c r="N1084" s="1" t="s">
        <v>95</v>
      </c>
      <c r="O1084" s="1" t="s">
        <v>96</v>
      </c>
      <c r="P1084" s="1"/>
      <c r="Q1084" s="1" t="s">
        <v>9</v>
      </c>
      <c r="R1084" s="1">
        <v>0</v>
      </c>
      <c r="S1084" s="1" t="s">
        <v>97</v>
      </c>
      <c r="T1084" s="1" t="s">
        <v>97</v>
      </c>
      <c r="U1084" s="1" t="b">
        <v>1</v>
      </c>
      <c r="V1084" s="1" t="b">
        <v>0</v>
      </c>
      <c r="W1084" s="1" t="b">
        <v>0</v>
      </c>
      <c r="X1084" s="1">
        <v>5</v>
      </c>
      <c r="Y1084" s="1" t="b">
        <v>1</v>
      </c>
      <c r="Z1084" s="1" t="b">
        <v>1</v>
      </c>
      <c r="AA1084" s="1"/>
      <c r="AB1084" s="1" t="b">
        <v>1</v>
      </c>
      <c r="AC1084" s="1">
        <v>124600778</v>
      </c>
      <c r="AD1084" s="1">
        <v>704054</v>
      </c>
      <c r="AE1084" s="1">
        <v>0</v>
      </c>
      <c r="AF1084" s="1" t="s">
        <v>4455</v>
      </c>
      <c r="AG1084" s="1" t="s">
        <v>4456</v>
      </c>
      <c r="AH1084" s="1">
        <v>41.4</v>
      </c>
      <c r="AI1084" s="1">
        <v>68.3</v>
      </c>
      <c r="AJ1084" s="1" t="s">
        <v>4457</v>
      </c>
      <c r="AK1084" s="1" t="s">
        <v>4458</v>
      </c>
      <c r="AL1084" s="1" t="s">
        <v>4459</v>
      </c>
    </row>
    <row r="1085" spans="1:38" x14ac:dyDescent="0.6">
      <c r="A1085" s="1">
        <v>765</v>
      </c>
      <c r="B1085" s="1" t="s">
        <v>88</v>
      </c>
      <c r="C1085" s="1">
        <v>59</v>
      </c>
      <c r="D1085" s="1" t="s">
        <v>89</v>
      </c>
      <c r="E1085" s="1" t="s">
        <v>108</v>
      </c>
      <c r="F1085" s="1"/>
      <c r="G1085" s="1"/>
      <c r="H1085" s="1" t="s">
        <v>220</v>
      </c>
      <c r="I1085" s="1" t="s">
        <v>221</v>
      </c>
      <c r="J1085" s="1" t="s">
        <v>222</v>
      </c>
      <c r="K1085" s="1">
        <v>1.25</v>
      </c>
      <c r="L1085" s="1">
        <v>120</v>
      </c>
      <c r="M1085" s="1" t="s">
        <v>7</v>
      </c>
      <c r="N1085" s="1" t="s">
        <v>7</v>
      </c>
      <c r="O1085" s="1" t="s">
        <v>96</v>
      </c>
      <c r="P1085" s="1" t="s">
        <v>96</v>
      </c>
      <c r="Q1085" s="1" t="s">
        <v>9</v>
      </c>
      <c r="R1085" s="1">
        <v>0</v>
      </c>
      <c r="S1085" s="1" t="s">
        <v>97</v>
      </c>
      <c r="T1085" s="1" t="s">
        <v>97</v>
      </c>
      <c r="U1085" s="1" t="b">
        <v>1</v>
      </c>
      <c r="V1085" s="1" t="b">
        <v>0</v>
      </c>
      <c r="W1085" s="1" t="b">
        <v>0</v>
      </c>
      <c r="X1085" s="1">
        <v>5</v>
      </c>
      <c r="Y1085" s="1" t="b">
        <v>1</v>
      </c>
      <c r="Z1085" s="1" t="b">
        <v>1</v>
      </c>
      <c r="AA1085" s="1">
        <v>69.8</v>
      </c>
      <c r="AB1085" s="1" t="b">
        <v>0</v>
      </c>
      <c r="AC1085" s="1">
        <v>0</v>
      </c>
      <c r="AD1085" s="1">
        <v>2151483</v>
      </c>
      <c r="AE1085" s="1">
        <v>152251333</v>
      </c>
      <c r="AF1085" s="1" t="s">
        <v>4460</v>
      </c>
      <c r="AG1085" s="1" t="s">
        <v>4460</v>
      </c>
      <c r="AH1085" s="1">
        <v>69.3</v>
      </c>
      <c r="AI1085" s="1">
        <v>67.7</v>
      </c>
      <c r="AJ1085" s="1" t="s">
        <v>4461</v>
      </c>
      <c r="AK1085" s="1" t="s">
        <v>4462</v>
      </c>
      <c r="AL1085" s="1" t="s">
        <v>4463</v>
      </c>
    </row>
    <row r="1086" spans="1:38" x14ac:dyDescent="0.6">
      <c r="A1086" s="1">
        <v>767</v>
      </c>
      <c r="B1086" s="1" t="s">
        <v>88</v>
      </c>
      <c r="C1086" s="1">
        <v>89</v>
      </c>
      <c r="D1086" s="1" t="s">
        <v>153</v>
      </c>
      <c r="E1086" s="1" t="s">
        <v>154</v>
      </c>
      <c r="F1086" s="1"/>
      <c r="G1086" s="1"/>
      <c r="H1086" s="1" t="s">
        <v>91</v>
      </c>
      <c r="I1086" s="1" t="s">
        <v>92</v>
      </c>
      <c r="J1086" s="1" t="s">
        <v>93</v>
      </c>
      <c r="K1086" s="1">
        <v>1</v>
      </c>
      <c r="L1086" s="1">
        <v>120</v>
      </c>
      <c r="M1086" s="1" t="s">
        <v>7</v>
      </c>
      <c r="N1086" s="1" t="s">
        <v>7</v>
      </c>
      <c r="O1086" s="1" t="s">
        <v>96</v>
      </c>
      <c r="P1086" s="1" t="s">
        <v>96</v>
      </c>
      <c r="Q1086" s="1" t="s">
        <v>9</v>
      </c>
      <c r="R1086" s="1">
        <v>0</v>
      </c>
      <c r="S1086" s="1" t="s">
        <v>97</v>
      </c>
      <c r="T1086" s="1" t="s">
        <v>97</v>
      </c>
      <c r="U1086" s="1" t="b">
        <v>1</v>
      </c>
      <c r="V1086" s="1" t="b">
        <v>0</v>
      </c>
      <c r="W1086" s="1" t="b">
        <v>0</v>
      </c>
      <c r="X1086" s="1">
        <v>5</v>
      </c>
      <c r="Y1086" s="1" t="b">
        <v>1</v>
      </c>
      <c r="Z1086" s="1" t="b">
        <v>1</v>
      </c>
      <c r="AA1086" s="1">
        <v>55.4</v>
      </c>
      <c r="AB1086" s="1" t="b">
        <v>0</v>
      </c>
      <c r="AC1086" s="1">
        <v>0</v>
      </c>
      <c r="AD1086" s="1">
        <v>3209775</v>
      </c>
      <c r="AE1086" s="1">
        <v>145163729</v>
      </c>
      <c r="AF1086" s="1" t="s">
        <v>4464</v>
      </c>
      <c r="AG1086" s="1" t="s">
        <v>4464</v>
      </c>
      <c r="AH1086" s="1">
        <v>59.9</v>
      </c>
      <c r="AI1086" s="1">
        <v>57.3</v>
      </c>
      <c r="AJ1086" s="1" t="s">
        <v>4465</v>
      </c>
      <c r="AK1086" s="1" t="s">
        <v>4466</v>
      </c>
      <c r="AL1086" s="1" t="s">
        <v>4467</v>
      </c>
    </row>
    <row r="1087" spans="1:38" x14ac:dyDescent="0.6">
      <c r="A1087" s="1">
        <v>770</v>
      </c>
      <c r="B1087" s="1" t="s">
        <v>103</v>
      </c>
      <c r="C1087" s="1">
        <v>52</v>
      </c>
      <c r="D1087" s="1" t="s">
        <v>89</v>
      </c>
      <c r="E1087" s="1" t="s">
        <v>108</v>
      </c>
      <c r="F1087" s="1"/>
      <c r="G1087" s="1"/>
      <c r="H1087" s="1" t="s">
        <v>220</v>
      </c>
      <c r="I1087" s="1" t="s">
        <v>221</v>
      </c>
      <c r="J1087" s="1" t="s">
        <v>222</v>
      </c>
      <c r="K1087" s="1">
        <v>1.25</v>
      </c>
      <c r="L1087" s="1">
        <v>120</v>
      </c>
      <c r="M1087" s="1" t="s">
        <v>14</v>
      </c>
      <c r="N1087" s="1" t="s">
        <v>95</v>
      </c>
      <c r="O1087" s="1" t="s">
        <v>96</v>
      </c>
      <c r="P1087" s="1"/>
      <c r="Q1087" s="1" t="s">
        <v>9</v>
      </c>
      <c r="R1087" s="1">
        <v>0</v>
      </c>
      <c r="S1087" s="1" t="s">
        <v>97</v>
      </c>
      <c r="T1087" s="1" t="s">
        <v>97</v>
      </c>
      <c r="U1087" s="1" t="b">
        <v>1</v>
      </c>
      <c r="V1087" s="1" t="b">
        <v>0</v>
      </c>
      <c r="W1087" s="1" t="b">
        <v>0</v>
      </c>
      <c r="X1087" s="1">
        <v>5</v>
      </c>
      <c r="Y1087" s="1" t="b">
        <v>1</v>
      </c>
      <c r="Z1087" s="1" t="b">
        <v>1</v>
      </c>
      <c r="AA1087" s="1"/>
      <c r="AB1087" s="1" t="b">
        <v>1</v>
      </c>
      <c r="AC1087" s="1">
        <v>143008074</v>
      </c>
      <c r="AD1087" s="1">
        <v>646838</v>
      </c>
      <c r="AE1087" s="1">
        <v>0</v>
      </c>
      <c r="AF1087" s="1" t="s">
        <v>4468</v>
      </c>
      <c r="AG1087" s="1" t="s">
        <v>4469</v>
      </c>
      <c r="AH1087" s="1">
        <v>68.2</v>
      </c>
      <c r="AI1087" s="1">
        <v>65.2</v>
      </c>
      <c r="AJ1087" s="1" t="s">
        <v>4470</v>
      </c>
      <c r="AK1087" s="1" t="s">
        <v>4471</v>
      </c>
      <c r="AL1087" s="1" t="s">
        <v>4472</v>
      </c>
    </row>
    <row r="1088" spans="1:38" x14ac:dyDescent="0.6">
      <c r="A1088" s="1">
        <v>769</v>
      </c>
      <c r="B1088" s="1" t="s">
        <v>103</v>
      </c>
      <c r="C1088" s="1">
        <v>71</v>
      </c>
      <c r="D1088" s="1" t="s">
        <v>119</v>
      </c>
      <c r="E1088" s="1" t="s">
        <v>90</v>
      </c>
      <c r="F1088" s="1"/>
      <c r="G1088" s="1"/>
      <c r="H1088" s="1" t="s">
        <v>220</v>
      </c>
      <c r="I1088" s="1" t="s">
        <v>221</v>
      </c>
      <c r="J1088" s="1" t="s">
        <v>222</v>
      </c>
      <c r="K1088" s="1">
        <v>1.25</v>
      </c>
      <c r="L1088" s="1">
        <v>120</v>
      </c>
      <c r="M1088" s="1" t="s">
        <v>14</v>
      </c>
      <c r="N1088" s="1" t="s">
        <v>95</v>
      </c>
      <c r="O1088" s="1" t="s">
        <v>96</v>
      </c>
      <c r="P1088" s="1"/>
      <c r="Q1088" s="1" t="s">
        <v>9</v>
      </c>
      <c r="R1088" s="1">
        <v>0</v>
      </c>
      <c r="S1088" s="1" t="s">
        <v>97</v>
      </c>
      <c r="T1088" s="1" t="s">
        <v>97</v>
      </c>
      <c r="U1088" s="1" t="b">
        <v>1</v>
      </c>
      <c r="V1088" s="1" t="b">
        <v>0</v>
      </c>
      <c r="W1088" s="1" t="b">
        <v>0</v>
      </c>
      <c r="X1088" s="1">
        <v>5</v>
      </c>
      <c r="Y1088" s="1" t="b">
        <v>1</v>
      </c>
      <c r="Z1088" s="1" t="b">
        <v>1</v>
      </c>
      <c r="AA1088" s="1"/>
      <c r="AB1088" s="1" t="b">
        <v>1</v>
      </c>
      <c r="AC1088" s="1">
        <v>143982676</v>
      </c>
      <c r="AD1088" s="1">
        <v>458668</v>
      </c>
      <c r="AE1088" s="1">
        <v>0</v>
      </c>
      <c r="AF1088" s="1" t="s">
        <v>4473</v>
      </c>
      <c r="AG1088" s="1" t="s">
        <v>4474</v>
      </c>
      <c r="AH1088" s="1">
        <v>60.2</v>
      </c>
      <c r="AI1088" s="1">
        <v>56.3</v>
      </c>
      <c r="AJ1088" s="1" t="s">
        <v>4475</v>
      </c>
      <c r="AK1088" s="1" t="s">
        <v>4476</v>
      </c>
      <c r="AL1088" s="1" t="s">
        <v>4477</v>
      </c>
    </row>
    <row r="1089" spans="1:38" x14ac:dyDescent="0.6">
      <c r="A1089" s="1">
        <v>760</v>
      </c>
      <c r="B1089" s="1" t="s">
        <v>88</v>
      </c>
      <c r="C1089" s="1">
        <v>52</v>
      </c>
      <c r="D1089" s="1" t="s">
        <v>89</v>
      </c>
      <c r="E1089" s="1" t="s">
        <v>108</v>
      </c>
      <c r="F1089" s="1"/>
      <c r="G1089" s="1"/>
      <c r="H1089" s="1" t="s">
        <v>91</v>
      </c>
      <c r="I1089" s="1" t="s">
        <v>92</v>
      </c>
      <c r="J1089" s="1" t="s">
        <v>109</v>
      </c>
      <c r="K1089" s="1">
        <v>1</v>
      </c>
      <c r="L1089" s="1">
        <v>120</v>
      </c>
      <c r="M1089" s="1" t="s">
        <v>94</v>
      </c>
      <c r="N1089" s="1" t="s">
        <v>95</v>
      </c>
      <c r="O1089" s="1"/>
      <c r="P1089" s="1" t="s">
        <v>96</v>
      </c>
      <c r="Q1089" s="1" t="s">
        <v>9</v>
      </c>
      <c r="R1089" s="1">
        <v>0</v>
      </c>
      <c r="S1089" s="1" t="s">
        <v>97</v>
      </c>
      <c r="T1089" s="1" t="s">
        <v>97</v>
      </c>
      <c r="U1089" s="1" t="b">
        <v>1</v>
      </c>
      <c r="V1089" s="1" t="b">
        <v>0</v>
      </c>
      <c r="W1089" s="1" t="b">
        <v>0</v>
      </c>
      <c r="X1089" s="1">
        <v>0</v>
      </c>
      <c r="Y1089" s="1" t="b">
        <v>1</v>
      </c>
      <c r="Z1089" s="1" t="b">
        <v>1</v>
      </c>
      <c r="AA1089" s="1">
        <v>71.900000000000006</v>
      </c>
      <c r="AB1089" s="1" t="b">
        <v>1</v>
      </c>
      <c r="AC1089" s="1">
        <v>143994681</v>
      </c>
      <c r="AD1089" s="1">
        <v>2805959</v>
      </c>
      <c r="AE1089" s="1">
        <v>0</v>
      </c>
      <c r="AF1089" s="1" t="s">
        <v>4478</v>
      </c>
      <c r="AG1089" s="1" t="s">
        <v>4479</v>
      </c>
      <c r="AH1089" s="1">
        <v>82.4</v>
      </c>
      <c r="AI1089" s="1">
        <v>71.400000000000006</v>
      </c>
      <c r="AJ1089" s="1" t="s">
        <v>4480</v>
      </c>
      <c r="AK1089" s="1" t="s">
        <v>4481</v>
      </c>
      <c r="AL1089" s="1" t="s">
        <v>4482</v>
      </c>
    </row>
    <row r="1090" spans="1:38" x14ac:dyDescent="0.6">
      <c r="A1090" s="1">
        <v>760</v>
      </c>
      <c r="B1090" s="1" t="s">
        <v>88</v>
      </c>
      <c r="C1090" s="1">
        <v>52</v>
      </c>
      <c r="D1090" s="1" t="s">
        <v>89</v>
      </c>
      <c r="E1090" s="1" t="s">
        <v>108</v>
      </c>
      <c r="F1090" s="1"/>
      <c r="G1090" s="1"/>
      <c r="H1090" s="1" t="s">
        <v>91</v>
      </c>
      <c r="I1090" s="1" t="s">
        <v>92</v>
      </c>
      <c r="J1090" s="1" t="s">
        <v>109</v>
      </c>
      <c r="K1090" s="1">
        <v>1</v>
      </c>
      <c r="L1090" s="1">
        <v>120</v>
      </c>
      <c r="M1090" s="1" t="s">
        <v>14</v>
      </c>
      <c r="N1090" s="1" t="s">
        <v>95</v>
      </c>
      <c r="O1090" s="1" t="s">
        <v>96</v>
      </c>
      <c r="P1090" s="1"/>
      <c r="Q1090" s="1" t="s">
        <v>9</v>
      </c>
      <c r="R1090" s="1">
        <v>0</v>
      </c>
      <c r="S1090" s="1" t="s">
        <v>97</v>
      </c>
      <c r="T1090" s="1" t="s">
        <v>97</v>
      </c>
      <c r="U1090" s="1" t="b">
        <v>1</v>
      </c>
      <c r="V1090" s="1" t="b">
        <v>0</v>
      </c>
      <c r="W1090" s="1" t="b">
        <v>0</v>
      </c>
      <c r="X1090" s="1">
        <v>5</v>
      </c>
      <c r="Y1090" s="1" t="b">
        <v>1</v>
      </c>
      <c r="Z1090" s="1" t="b">
        <v>1</v>
      </c>
      <c r="AA1090" s="1"/>
      <c r="AB1090" s="1" t="b">
        <v>1</v>
      </c>
      <c r="AC1090" s="1">
        <v>144040879</v>
      </c>
      <c r="AD1090" s="1">
        <v>924753</v>
      </c>
      <c r="AE1090" s="1">
        <v>0</v>
      </c>
      <c r="AF1090" s="1" t="s">
        <v>4478</v>
      </c>
      <c r="AG1090" s="1" t="s">
        <v>4479</v>
      </c>
      <c r="AH1090" s="1">
        <v>82.4</v>
      </c>
      <c r="AI1090" s="1">
        <v>71.400000000000006</v>
      </c>
      <c r="AJ1090" s="1" t="s">
        <v>4483</v>
      </c>
      <c r="AK1090" s="1" t="s">
        <v>4484</v>
      </c>
      <c r="AL1090" s="1" t="s">
        <v>4485</v>
      </c>
    </row>
    <row r="1091" spans="1:38" x14ac:dyDescent="0.6">
      <c r="A1091" s="1">
        <v>773</v>
      </c>
      <c r="B1091" s="1" t="s">
        <v>88</v>
      </c>
      <c r="C1091" s="1">
        <v>75</v>
      </c>
      <c r="D1091" s="1" t="s">
        <v>119</v>
      </c>
      <c r="E1091" s="1" t="s">
        <v>108</v>
      </c>
      <c r="F1091" s="1"/>
      <c r="G1091" s="1"/>
      <c r="H1091" s="1" t="s">
        <v>91</v>
      </c>
      <c r="I1091" s="1" t="s">
        <v>92</v>
      </c>
      <c r="J1091" s="1" t="s">
        <v>93</v>
      </c>
      <c r="K1091" s="1">
        <v>1</v>
      </c>
      <c r="L1091" s="1">
        <v>120</v>
      </c>
      <c r="M1091" s="1" t="s">
        <v>14</v>
      </c>
      <c r="N1091" s="1" t="s">
        <v>95</v>
      </c>
      <c r="O1091" s="1" t="s">
        <v>96</v>
      </c>
      <c r="P1091" s="1"/>
      <c r="Q1091" s="1" t="s">
        <v>9</v>
      </c>
      <c r="R1091" s="1">
        <v>0</v>
      </c>
      <c r="S1091" s="1" t="s">
        <v>97</v>
      </c>
      <c r="T1091" s="1" t="s">
        <v>97</v>
      </c>
      <c r="U1091" s="1" t="b">
        <v>1</v>
      </c>
      <c r="V1091" s="1" t="b">
        <v>0</v>
      </c>
      <c r="W1091" s="1" t="b">
        <v>0</v>
      </c>
      <c r="X1091" s="1">
        <v>5</v>
      </c>
      <c r="Y1091" s="1" t="b">
        <v>1</v>
      </c>
      <c r="Z1091" s="1" t="b">
        <v>1</v>
      </c>
      <c r="AA1091" s="1"/>
      <c r="AB1091" s="1" t="b">
        <v>1</v>
      </c>
      <c r="AC1091" s="1">
        <v>136625621</v>
      </c>
      <c r="AD1091" s="1">
        <v>737835</v>
      </c>
      <c r="AE1091" s="1">
        <v>0</v>
      </c>
      <c r="AF1091" s="1" t="s">
        <v>4486</v>
      </c>
      <c r="AG1091" s="1" t="s">
        <v>4487</v>
      </c>
      <c r="AH1091" s="1">
        <v>61.8</v>
      </c>
      <c r="AI1091" s="1">
        <v>64.8</v>
      </c>
      <c r="AJ1091" s="1" t="s">
        <v>4488</v>
      </c>
      <c r="AK1091" s="1" t="s">
        <v>4489</v>
      </c>
      <c r="AL1091" s="1" t="s">
        <v>4490</v>
      </c>
    </row>
    <row r="1092" spans="1:38" x14ac:dyDescent="0.6">
      <c r="A1092" s="1">
        <v>771</v>
      </c>
      <c r="B1092" s="1" t="s">
        <v>103</v>
      </c>
      <c r="C1092" s="1">
        <v>51</v>
      </c>
      <c r="D1092" s="1" t="s">
        <v>89</v>
      </c>
      <c r="E1092" s="1" t="s">
        <v>90</v>
      </c>
      <c r="F1092" s="1"/>
      <c r="G1092" s="1"/>
      <c r="H1092" s="1" t="s">
        <v>91</v>
      </c>
      <c r="I1092" s="1" t="s">
        <v>92</v>
      </c>
      <c r="J1092" s="1" t="s">
        <v>109</v>
      </c>
      <c r="K1092" s="1">
        <v>1</v>
      </c>
      <c r="L1092" s="1">
        <v>120</v>
      </c>
      <c r="M1092" s="1" t="s">
        <v>14</v>
      </c>
      <c r="N1092" s="1" t="s">
        <v>95</v>
      </c>
      <c r="O1092" s="1" t="s">
        <v>96</v>
      </c>
      <c r="P1092" s="1"/>
      <c r="Q1092" s="1" t="s">
        <v>9</v>
      </c>
      <c r="R1092" s="1">
        <v>0</v>
      </c>
      <c r="S1092" s="1" t="s">
        <v>97</v>
      </c>
      <c r="T1092" s="1" t="s">
        <v>97</v>
      </c>
      <c r="U1092" s="1" t="b">
        <v>1</v>
      </c>
      <c r="V1092" s="1" t="b">
        <v>0</v>
      </c>
      <c r="W1092" s="1" t="b">
        <v>0</v>
      </c>
      <c r="X1092" s="1">
        <v>5</v>
      </c>
      <c r="Y1092" s="1" t="b">
        <v>1</v>
      </c>
      <c r="Z1092" s="1" t="b">
        <v>1</v>
      </c>
      <c r="AA1092" s="1"/>
      <c r="AB1092" s="1" t="b">
        <v>1</v>
      </c>
      <c r="AC1092" s="1">
        <v>150989055</v>
      </c>
      <c r="AD1092" s="1">
        <v>530177</v>
      </c>
      <c r="AE1092" s="1">
        <v>0</v>
      </c>
      <c r="AF1092" s="1" t="s">
        <v>4491</v>
      </c>
      <c r="AG1092" s="1" t="s">
        <v>4492</v>
      </c>
      <c r="AH1092" s="1">
        <v>87</v>
      </c>
      <c r="AI1092" s="1">
        <v>89</v>
      </c>
      <c r="AJ1092" s="1" t="s">
        <v>4493</v>
      </c>
      <c r="AK1092" s="1" t="s">
        <v>4494</v>
      </c>
      <c r="AL1092" s="1" t="s">
        <v>4495</v>
      </c>
    </row>
    <row r="1093" spans="1:38" x14ac:dyDescent="0.6">
      <c r="A1093" s="1">
        <v>755</v>
      </c>
      <c r="B1093" s="1" t="s">
        <v>103</v>
      </c>
      <c r="C1093" s="1">
        <v>56</v>
      </c>
      <c r="D1093" s="1" t="s">
        <v>89</v>
      </c>
      <c r="E1093" s="1" t="s">
        <v>90</v>
      </c>
      <c r="F1093" s="1"/>
      <c r="G1093" s="1"/>
      <c r="H1093" s="1" t="s">
        <v>220</v>
      </c>
      <c r="I1093" s="1" t="s">
        <v>221</v>
      </c>
      <c r="J1093" s="1" t="s">
        <v>222</v>
      </c>
      <c r="K1093" s="1">
        <v>1.25</v>
      </c>
      <c r="L1093" s="1">
        <v>120</v>
      </c>
      <c r="M1093" s="1" t="s">
        <v>94</v>
      </c>
      <c r="N1093" s="1" t="s">
        <v>95</v>
      </c>
      <c r="O1093" s="1"/>
      <c r="P1093" s="1" t="s">
        <v>96</v>
      </c>
      <c r="Q1093" s="1" t="s">
        <v>9</v>
      </c>
      <c r="R1093" s="1">
        <v>0</v>
      </c>
      <c r="S1093" s="1" t="s">
        <v>97</v>
      </c>
      <c r="T1093" s="1" t="s">
        <v>97</v>
      </c>
      <c r="U1093" s="1" t="b">
        <v>1</v>
      </c>
      <c r="V1093" s="1" t="b">
        <v>0</v>
      </c>
      <c r="W1093" s="1" t="b">
        <v>0</v>
      </c>
      <c r="X1093" s="1">
        <v>0</v>
      </c>
      <c r="Y1093" s="1" t="b">
        <v>1</v>
      </c>
      <c r="Z1093" s="1" t="b">
        <v>1</v>
      </c>
      <c r="AA1093" s="1">
        <v>71.599999999999994</v>
      </c>
      <c r="AB1093" s="1" t="b">
        <v>1</v>
      </c>
      <c r="AC1093" s="1">
        <v>170826093</v>
      </c>
      <c r="AD1093" s="1">
        <v>1926803</v>
      </c>
      <c r="AE1093" s="1">
        <v>0</v>
      </c>
      <c r="AF1093" s="1" t="s">
        <v>4430</v>
      </c>
      <c r="AG1093" s="1" t="s">
        <v>4431</v>
      </c>
      <c r="AH1093" s="1">
        <v>75.2</v>
      </c>
      <c r="AI1093" s="1">
        <v>69.5</v>
      </c>
      <c r="AJ1093" s="1" t="s">
        <v>4496</v>
      </c>
      <c r="AK1093" s="1" t="s">
        <v>4497</v>
      </c>
      <c r="AL1093" s="1" t="s">
        <v>4498</v>
      </c>
    </row>
    <row r="1094" spans="1:38" x14ac:dyDescent="0.6">
      <c r="A1094" s="1">
        <v>773</v>
      </c>
      <c r="B1094" s="1" t="s">
        <v>88</v>
      </c>
      <c r="C1094" s="1">
        <v>75</v>
      </c>
      <c r="D1094" s="1" t="s">
        <v>119</v>
      </c>
      <c r="E1094" s="1" t="s">
        <v>108</v>
      </c>
      <c r="F1094" s="1"/>
      <c r="G1094" s="1"/>
      <c r="H1094" s="1" t="s">
        <v>91</v>
      </c>
      <c r="I1094" s="1" t="s">
        <v>92</v>
      </c>
      <c r="J1094" s="1" t="s">
        <v>93</v>
      </c>
      <c r="K1094" s="1">
        <v>1</v>
      </c>
      <c r="L1094" s="1">
        <v>120</v>
      </c>
      <c r="M1094" s="1" t="s">
        <v>94</v>
      </c>
      <c r="N1094" s="1" t="s">
        <v>95</v>
      </c>
      <c r="O1094" s="1"/>
      <c r="P1094" s="1" t="s">
        <v>96</v>
      </c>
      <c r="Q1094" s="1" t="s">
        <v>9</v>
      </c>
      <c r="R1094" s="1">
        <v>0</v>
      </c>
      <c r="S1094" s="1" t="s">
        <v>97</v>
      </c>
      <c r="T1094" s="1" t="s">
        <v>97</v>
      </c>
      <c r="U1094" s="1" t="b">
        <v>1</v>
      </c>
      <c r="V1094" s="1" t="b">
        <v>0</v>
      </c>
      <c r="W1094" s="1" t="b">
        <v>0</v>
      </c>
      <c r="X1094" s="1">
        <v>0</v>
      </c>
      <c r="Y1094" s="1" t="b">
        <v>1</v>
      </c>
      <c r="Z1094" s="1" t="b">
        <v>1</v>
      </c>
      <c r="AA1094" s="1">
        <v>69.599999999999994</v>
      </c>
      <c r="AB1094" s="1" t="b">
        <v>1</v>
      </c>
      <c r="AC1094" s="1">
        <v>143114698</v>
      </c>
      <c r="AD1094" s="1">
        <v>2113078</v>
      </c>
      <c r="AE1094" s="1">
        <v>0</v>
      </c>
      <c r="AF1094" s="1" t="s">
        <v>4486</v>
      </c>
      <c r="AG1094" s="1" t="s">
        <v>4487</v>
      </c>
      <c r="AH1094" s="1">
        <v>61.8</v>
      </c>
      <c r="AI1094" s="1">
        <v>64.8</v>
      </c>
      <c r="AJ1094" s="1" t="s">
        <v>4499</v>
      </c>
      <c r="AK1094" s="1" t="s">
        <v>4500</v>
      </c>
      <c r="AL1094" s="1" t="s">
        <v>4501</v>
      </c>
    </row>
    <row r="1095" spans="1:38" x14ac:dyDescent="0.6">
      <c r="A1095" s="1">
        <v>757</v>
      </c>
      <c r="B1095" s="1" t="s">
        <v>103</v>
      </c>
      <c r="C1095" s="1">
        <v>65</v>
      </c>
      <c r="D1095" s="1" t="s">
        <v>127</v>
      </c>
      <c r="E1095" s="1" t="s">
        <v>90</v>
      </c>
      <c r="F1095" s="1"/>
      <c r="G1095" s="1"/>
      <c r="H1095" s="1" t="s">
        <v>91</v>
      </c>
      <c r="I1095" s="1" t="s">
        <v>92</v>
      </c>
      <c r="J1095" s="1" t="s">
        <v>109</v>
      </c>
      <c r="K1095" s="1">
        <v>1</v>
      </c>
      <c r="L1095" s="1">
        <v>120</v>
      </c>
      <c r="M1095" s="1" t="s">
        <v>7</v>
      </c>
      <c r="N1095" s="1" t="s">
        <v>7</v>
      </c>
      <c r="O1095" s="1" t="s">
        <v>96</v>
      </c>
      <c r="P1095" s="1" t="s">
        <v>96</v>
      </c>
      <c r="Q1095" s="1" t="s">
        <v>9</v>
      </c>
      <c r="R1095" s="1">
        <v>0</v>
      </c>
      <c r="S1095" s="1" t="s">
        <v>97</v>
      </c>
      <c r="T1095" s="1" t="s">
        <v>97</v>
      </c>
      <c r="U1095" s="1" t="b">
        <v>1</v>
      </c>
      <c r="V1095" s="1" t="b">
        <v>0</v>
      </c>
      <c r="W1095" s="1" t="b">
        <v>0</v>
      </c>
      <c r="X1095" s="1">
        <v>5</v>
      </c>
      <c r="Y1095" s="1" t="b">
        <v>1</v>
      </c>
      <c r="Z1095" s="1" t="b">
        <v>1</v>
      </c>
      <c r="AA1095" s="1">
        <v>71.599999999999994</v>
      </c>
      <c r="AB1095" s="1" t="b">
        <v>0</v>
      </c>
      <c r="AC1095" s="1">
        <v>0</v>
      </c>
      <c r="AD1095" s="1">
        <v>1993274</v>
      </c>
      <c r="AE1095" s="1">
        <v>137991622</v>
      </c>
      <c r="AF1095" s="1" t="s">
        <v>4502</v>
      </c>
      <c r="AG1095" s="1" t="s">
        <v>4502</v>
      </c>
      <c r="AH1095" s="1">
        <v>77.099999999999994</v>
      </c>
      <c r="AI1095" s="1">
        <v>68</v>
      </c>
      <c r="AJ1095" s="1" t="s">
        <v>4503</v>
      </c>
      <c r="AK1095" s="1" t="s">
        <v>4504</v>
      </c>
      <c r="AL1095" s="1" t="s">
        <v>4505</v>
      </c>
    </row>
    <row r="1096" spans="1:38" x14ac:dyDescent="0.6">
      <c r="A1096" s="1">
        <v>775</v>
      </c>
      <c r="B1096" s="1" t="s">
        <v>103</v>
      </c>
      <c r="C1096" s="1">
        <v>62</v>
      </c>
      <c r="D1096" s="1" t="s">
        <v>127</v>
      </c>
      <c r="E1096" s="1" t="s">
        <v>108</v>
      </c>
      <c r="F1096" s="1"/>
      <c r="G1096" s="1"/>
      <c r="H1096" s="1" t="s">
        <v>220</v>
      </c>
      <c r="I1096" s="1" t="s">
        <v>221</v>
      </c>
      <c r="J1096" s="1" t="s">
        <v>222</v>
      </c>
      <c r="K1096" s="1">
        <v>1.25</v>
      </c>
      <c r="L1096" s="1">
        <v>120</v>
      </c>
      <c r="M1096" s="1" t="s">
        <v>14</v>
      </c>
      <c r="N1096" s="1" t="s">
        <v>95</v>
      </c>
      <c r="O1096" s="1" t="s">
        <v>96</v>
      </c>
      <c r="P1096" s="1"/>
      <c r="Q1096" s="1" t="s">
        <v>9</v>
      </c>
      <c r="R1096" s="1">
        <v>0</v>
      </c>
      <c r="S1096" s="1" t="s">
        <v>97</v>
      </c>
      <c r="T1096" s="1" t="s">
        <v>97</v>
      </c>
      <c r="U1096" s="1" t="b">
        <v>1</v>
      </c>
      <c r="V1096" s="1" t="b">
        <v>0</v>
      </c>
      <c r="W1096" s="1" t="b">
        <v>0</v>
      </c>
      <c r="X1096" s="1">
        <v>5</v>
      </c>
      <c r="Y1096" s="1" t="b">
        <v>1</v>
      </c>
      <c r="Z1096" s="1" t="b">
        <v>1</v>
      </c>
      <c r="AA1096" s="1"/>
      <c r="AB1096" s="1" t="b">
        <v>1</v>
      </c>
      <c r="AC1096" s="1">
        <v>134437952</v>
      </c>
      <c r="AD1096" s="1">
        <v>828352</v>
      </c>
      <c r="AE1096" s="1">
        <v>0</v>
      </c>
      <c r="AF1096" s="1" t="s">
        <v>4506</v>
      </c>
      <c r="AG1096" s="1" t="s">
        <v>4507</v>
      </c>
      <c r="AH1096" s="1">
        <v>66.900000000000006</v>
      </c>
      <c r="AI1096" s="1">
        <v>60</v>
      </c>
      <c r="AJ1096" s="1" t="s">
        <v>4508</v>
      </c>
      <c r="AK1096" s="1" t="s">
        <v>4509</v>
      </c>
      <c r="AL1096" s="1" t="s">
        <v>4510</v>
      </c>
    </row>
    <row r="1097" spans="1:38" x14ac:dyDescent="0.6">
      <c r="A1097" s="1">
        <v>776</v>
      </c>
      <c r="B1097" s="1" t="s">
        <v>103</v>
      </c>
      <c r="C1097" s="1">
        <v>60</v>
      </c>
      <c r="D1097" s="1" t="s">
        <v>127</v>
      </c>
      <c r="E1097" s="1" t="s">
        <v>90</v>
      </c>
      <c r="F1097" s="1">
        <v>10.5</v>
      </c>
      <c r="G1097" s="1"/>
      <c r="H1097" s="1" t="s">
        <v>120</v>
      </c>
      <c r="I1097" s="1" t="s">
        <v>121</v>
      </c>
      <c r="J1097" s="1" t="s">
        <v>122</v>
      </c>
      <c r="K1097" s="1">
        <v>1</v>
      </c>
      <c r="L1097" s="1">
        <v>120</v>
      </c>
      <c r="M1097" s="1" t="s">
        <v>7</v>
      </c>
      <c r="N1097" s="1" t="s">
        <v>7</v>
      </c>
      <c r="O1097" s="1" t="s">
        <v>96</v>
      </c>
      <c r="P1097" s="1" t="s">
        <v>96</v>
      </c>
      <c r="Q1097" s="1" t="s">
        <v>9</v>
      </c>
      <c r="R1097" s="1">
        <v>0</v>
      </c>
      <c r="S1097" s="1" t="s">
        <v>97</v>
      </c>
      <c r="T1097" s="1" t="s">
        <v>97</v>
      </c>
      <c r="U1097" s="1" t="b">
        <v>1</v>
      </c>
      <c r="V1097" s="1" t="b">
        <v>0</v>
      </c>
      <c r="W1097" s="1" t="b">
        <v>0</v>
      </c>
      <c r="X1097" s="1">
        <v>5</v>
      </c>
      <c r="Y1097" s="1" t="b">
        <v>1</v>
      </c>
      <c r="Z1097" s="1" t="b">
        <v>1</v>
      </c>
      <c r="AA1097" s="1">
        <v>75.7</v>
      </c>
      <c r="AB1097" s="1" t="b">
        <v>0</v>
      </c>
      <c r="AC1097" s="1">
        <v>0</v>
      </c>
      <c r="AD1097" s="1">
        <v>2688399</v>
      </c>
      <c r="AE1097" s="1">
        <v>105314929</v>
      </c>
      <c r="AF1097" s="1" t="s">
        <v>4511</v>
      </c>
      <c r="AG1097" s="1" t="s">
        <v>4511</v>
      </c>
      <c r="AH1097" s="1">
        <v>90.8</v>
      </c>
      <c r="AI1097" s="1">
        <v>74</v>
      </c>
      <c r="AJ1097" s="1" t="s">
        <v>4512</v>
      </c>
      <c r="AK1097" s="1" t="s">
        <v>4513</v>
      </c>
      <c r="AL1097" s="1" t="s">
        <v>4514</v>
      </c>
    </row>
    <row r="1098" spans="1:38" x14ac:dyDescent="0.6">
      <c r="A1098" s="1">
        <v>774</v>
      </c>
      <c r="B1098" s="1" t="s">
        <v>88</v>
      </c>
      <c r="C1098" s="1">
        <v>60</v>
      </c>
      <c r="D1098" s="1" t="s">
        <v>127</v>
      </c>
      <c r="E1098" s="1" t="s">
        <v>108</v>
      </c>
      <c r="F1098" s="1"/>
      <c r="G1098" s="1"/>
      <c r="H1098" s="1" t="s">
        <v>220</v>
      </c>
      <c r="I1098" s="1" t="s">
        <v>221</v>
      </c>
      <c r="J1098" s="1" t="s">
        <v>222</v>
      </c>
      <c r="K1098" s="1">
        <v>1.25</v>
      </c>
      <c r="L1098" s="1">
        <v>120</v>
      </c>
      <c r="M1098" s="1" t="s">
        <v>7</v>
      </c>
      <c r="N1098" s="1" t="s">
        <v>7</v>
      </c>
      <c r="O1098" s="1" t="s">
        <v>96</v>
      </c>
      <c r="P1098" s="1" t="s">
        <v>96</v>
      </c>
      <c r="Q1098" s="1" t="s">
        <v>9</v>
      </c>
      <c r="R1098" s="1">
        <v>0</v>
      </c>
      <c r="S1098" s="1" t="s">
        <v>97</v>
      </c>
      <c r="T1098" s="1" t="s">
        <v>97</v>
      </c>
      <c r="U1098" s="1" t="b">
        <v>1</v>
      </c>
      <c r="V1098" s="1" t="b">
        <v>0</v>
      </c>
      <c r="W1098" s="1" t="b">
        <v>0</v>
      </c>
      <c r="X1098" s="1">
        <v>5</v>
      </c>
      <c r="Y1098" s="1" t="b">
        <v>1</v>
      </c>
      <c r="Z1098" s="1" t="b">
        <v>1</v>
      </c>
      <c r="AA1098" s="1">
        <v>57.1</v>
      </c>
      <c r="AB1098" s="1" t="b">
        <v>0</v>
      </c>
      <c r="AC1098" s="1">
        <v>0</v>
      </c>
      <c r="AD1098" s="1">
        <v>2276333</v>
      </c>
      <c r="AE1098" s="1">
        <v>150815763</v>
      </c>
      <c r="AF1098" s="1" t="s">
        <v>4515</v>
      </c>
      <c r="AG1098" s="1" t="s">
        <v>4515</v>
      </c>
      <c r="AH1098" s="1">
        <v>60.7</v>
      </c>
      <c r="AI1098" s="1">
        <v>56.2</v>
      </c>
      <c r="AJ1098" s="1" t="s">
        <v>4516</v>
      </c>
      <c r="AK1098" s="1" t="s">
        <v>4517</v>
      </c>
      <c r="AL1098" s="1" t="s">
        <v>4518</v>
      </c>
    </row>
    <row r="1099" spans="1:38" x14ac:dyDescent="0.6">
      <c r="A1099" s="1">
        <v>771</v>
      </c>
      <c r="B1099" s="1" t="s">
        <v>103</v>
      </c>
      <c r="C1099" s="1">
        <v>51</v>
      </c>
      <c r="D1099" s="1" t="s">
        <v>89</v>
      </c>
      <c r="E1099" s="1" t="s">
        <v>90</v>
      </c>
      <c r="F1099" s="1"/>
      <c r="G1099" s="1"/>
      <c r="H1099" s="1" t="s">
        <v>91</v>
      </c>
      <c r="I1099" s="1" t="s">
        <v>92</v>
      </c>
      <c r="J1099" s="1" t="s">
        <v>109</v>
      </c>
      <c r="K1099" s="1">
        <v>1</v>
      </c>
      <c r="L1099" s="1">
        <v>120</v>
      </c>
      <c r="M1099" s="1" t="s">
        <v>94</v>
      </c>
      <c r="N1099" s="1" t="s">
        <v>95</v>
      </c>
      <c r="O1099" s="1"/>
      <c r="P1099" s="1" t="s">
        <v>96</v>
      </c>
      <c r="Q1099" s="1" t="s">
        <v>9</v>
      </c>
      <c r="R1099" s="1">
        <v>0</v>
      </c>
      <c r="S1099" s="1" t="s">
        <v>97</v>
      </c>
      <c r="T1099" s="1" t="s">
        <v>97</v>
      </c>
      <c r="U1099" s="1" t="b">
        <v>1</v>
      </c>
      <c r="V1099" s="1" t="b">
        <v>0</v>
      </c>
      <c r="W1099" s="1" t="b">
        <v>0</v>
      </c>
      <c r="X1099" s="1">
        <v>0</v>
      </c>
      <c r="Y1099" s="1" t="b">
        <v>1</v>
      </c>
      <c r="Z1099" s="1" t="b">
        <v>1</v>
      </c>
      <c r="AA1099" s="1">
        <v>93.2</v>
      </c>
      <c r="AB1099" s="1" t="b">
        <v>1</v>
      </c>
      <c r="AC1099" s="1">
        <v>163925756</v>
      </c>
      <c r="AD1099" s="1">
        <v>1487108</v>
      </c>
      <c r="AE1099" s="1">
        <v>0</v>
      </c>
      <c r="AF1099" s="1" t="s">
        <v>4491</v>
      </c>
      <c r="AG1099" s="1" t="s">
        <v>4492</v>
      </c>
      <c r="AH1099" s="1">
        <v>87</v>
      </c>
      <c r="AI1099" s="1">
        <v>89</v>
      </c>
      <c r="AJ1099" s="1" t="s">
        <v>4519</v>
      </c>
      <c r="AK1099" s="1" t="s">
        <v>4520</v>
      </c>
      <c r="AL1099" s="1" t="s">
        <v>4521</v>
      </c>
    </row>
    <row r="1100" spans="1:38" x14ac:dyDescent="0.6">
      <c r="A1100" s="1">
        <v>775</v>
      </c>
      <c r="B1100" s="1" t="s">
        <v>103</v>
      </c>
      <c r="C1100" s="1">
        <v>62</v>
      </c>
      <c r="D1100" s="1" t="s">
        <v>127</v>
      </c>
      <c r="E1100" s="1" t="s">
        <v>108</v>
      </c>
      <c r="F1100" s="1"/>
      <c r="G1100" s="1"/>
      <c r="H1100" s="1" t="s">
        <v>220</v>
      </c>
      <c r="I1100" s="1" t="s">
        <v>221</v>
      </c>
      <c r="J1100" s="1" t="s">
        <v>222</v>
      </c>
      <c r="K1100" s="1">
        <v>1.25</v>
      </c>
      <c r="L1100" s="1">
        <v>120</v>
      </c>
      <c r="M1100" s="1" t="s">
        <v>94</v>
      </c>
      <c r="N1100" s="1" t="s">
        <v>95</v>
      </c>
      <c r="O1100" s="1"/>
      <c r="P1100" s="1" t="s">
        <v>96</v>
      </c>
      <c r="Q1100" s="1" t="s">
        <v>9</v>
      </c>
      <c r="R1100" s="1">
        <v>0</v>
      </c>
      <c r="S1100" s="1" t="s">
        <v>97</v>
      </c>
      <c r="T1100" s="1" t="s">
        <v>97</v>
      </c>
      <c r="U1100" s="1" t="b">
        <v>1</v>
      </c>
      <c r="V1100" s="1" t="b">
        <v>0</v>
      </c>
      <c r="W1100" s="1" t="b">
        <v>0</v>
      </c>
      <c r="X1100" s="1">
        <v>0</v>
      </c>
      <c r="Y1100" s="1" t="b">
        <v>1</v>
      </c>
      <c r="Z1100" s="1" t="b">
        <v>1</v>
      </c>
      <c r="AA1100" s="1">
        <v>58.4</v>
      </c>
      <c r="AB1100" s="1" t="b">
        <v>1</v>
      </c>
      <c r="AC1100" s="1">
        <v>141942098</v>
      </c>
      <c r="AD1100" s="1">
        <v>2499246</v>
      </c>
      <c r="AE1100" s="1">
        <v>0</v>
      </c>
      <c r="AF1100" s="1" t="s">
        <v>4506</v>
      </c>
      <c r="AG1100" s="1" t="s">
        <v>4507</v>
      </c>
      <c r="AH1100" s="1">
        <v>66.900000000000006</v>
      </c>
      <c r="AI1100" s="1">
        <v>60</v>
      </c>
      <c r="AJ1100" s="1" t="s">
        <v>4522</v>
      </c>
      <c r="AK1100" s="1" t="s">
        <v>4523</v>
      </c>
      <c r="AL1100" s="1" t="s">
        <v>4524</v>
      </c>
    </row>
    <row r="1101" spans="1:38" x14ac:dyDescent="0.6">
      <c r="A1101" s="1">
        <v>756</v>
      </c>
      <c r="B1101" s="1" t="s">
        <v>88</v>
      </c>
      <c r="C1101" s="1">
        <v>50</v>
      </c>
      <c r="D1101" s="1" t="s">
        <v>89</v>
      </c>
      <c r="E1101" s="1" t="s">
        <v>108</v>
      </c>
      <c r="F1101" s="1"/>
      <c r="G1101" s="1"/>
      <c r="H1101" s="1" t="s">
        <v>91</v>
      </c>
      <c r="I1101" s="1" t="s">
        <v>92</v>
      </c>
      <c r="J1101" s="1" t="s">
        <v>93</v>
      </c>
      <c r="K1101" s="1">
        <v>1</v>
      </c>
      <c r="L1101" s="1">
        <v>120</v>
      </c>
      <c r="M1101" s="1" t="s">
        <v>7</v>
      </c>
      <c r="N1101" s="1" t="s">
        <v>7</v>
      </c>
      <c r="O1101" s="1" t="s">
        <v>96</v>
      </c>
      <c r="P1101" s="1" t="s">
        <v>96</v>
      </c>
      <c r="Q1101" s="1" t="s">
        <v>9</v>
      </c>
      <c r="R1101" s="1">
        <v>0</v>
      </c>
      <c r="S1101" s="1" t="s">
        <v>97</v>
      </c>
      <c r="T1101" s="1" t="s">
        <v>97</v>
      </c>
      <c r="U1101" s="1" t="b">
        <v>1</v>
      </c>
      <c r="V1101" s="1" t="b">
        <v>0</v>
      </c>
      <c r="W1101" s="1" t="b">
        <v>0</v>
      </c>
      <c r="X1101" s="1">
        <v>5</v>
      </c>
      <c r="Y1101" s="1" t="b">
        <v>1</v>
      </c>
      <c r="Z1101" s="1" t="b">
        <v>1</v>
      </c>
      <c r="AA1101" s="1">
        <v>79.599999999999994</v>
      </c>
      <c r="AB1101" s="1" t="b">
        <v>0</v>
      </c>
      <c r="AC1101" s="1">
        <v>0</v>
      </c>
      <c r="AD1101" s="1">
        <v>2669715</v>
      </c>
      <c r="AE1101" s="1">
        <v>151208813</v>
      </c>
      <c r="AF1101" s="1" t="s">
        <v>4525</v>
      </c>
      <c r="AG1101" s="1" t="s">
        <v>4525</v>
      </c>
      <c r="AH1101" s="1">
        <v>80.5</v>
      </c>
      <c r="AI1101" s="1">
        <v>77.2</v>
      </c>
      <c r="AJ1101" s="1" t="s">
        <v>4526</v>
      </c>
      <c r="AK1101" s="1" t="s">
        <v>4527</v>
      </c>
      <c r="AL1101" s="1" t="s">
        <v>4528</v>
      </c>
    </row>
    <row r="1102" spans="1:38" x14ac:dyDescent="0.6">
      <c r="A1102" s="1">
        <v>769</v>
      </c>
      <c r="B1102" s="1" t="s">
        <v>103</v>
      </c>
      <c r="C1102" s="1">
        <v>71</v>
      </c>
      <c r="D1102" s="1" t="s">
        <v>119</v>
      </c>
      <c r="E1102" s="1" t="s">
        <v>90</v>
      </c>
      <c r="F1102" s="1"/>
      <c r="G1102" s="1"/>
      <c r="H1102" s="1" t="s">
        <v>220</v>
      </c>
      <c r="I1102" s="1" t="s">
        <v>221</v>
      </c>
      <c r="J1102" s="1" t="s">
        <v>222</v>
      </c>
      <c r="K1102" s="1">
        <v>1.25</v>
      </c>
      <c r="L1102" s="1">
        <v>120</v>
      </c>
      <c r="M1102" s="1" t="s">
        <v>94</v>
      </c>
      <c r="N1102" s="1" t="s">
        <v>95</v>
      </c>
      <c r="O1102" s="1"/>
      <c r="P1102" s="1" t="s">
        <v>96</v>
      </c>
      <c r="Q1102" s="1" t="s">
        <v>9</v>
      </c>
      <c r="R1102" s="1">
        <v>0</v>
      </c>
      <c r="S1102" s="1" t="s">
        <v>97</v>
      </c>
      <c r="T1102" s="1" t="s">
        <v>97</v>
      </c>
      <c r="U1102" s="1" t="b">
        <v>1</v>
      </c>
      <c r="V1102" s="1" t="b">
        <v>0</v>
      </c>
      <c r="W1102" s="1" t="b">
        <v>0</v>
      </c>
      <c r="X1102" s="1">
        <v>0</v>
      </c>
      <c r="Y1102" s="1" t="b">
        <v>1</v>
      </c>
      <c r="Z1102" s="1" t="b">
        <v>1</v>
      </c>
      <c r="AA1102" s="1">
        <v>56.8</v>
      </c>
      <c r="AB1102" s="1" t="b">
        <v>1</v>
      </c>
      <c r="AC1102" s="1">
        <v>143768144</v>
      </c>
      <c r="AD1102" s="1">
        <v>1459632</v>
      </c>
      <c r="AE1102" s="1">
        <v>0</v>
      </c>
      <c r="AF1102" s="1" t="s">
        <v>4473</v>
      </c>
      <c r="AG1102" s="1" t="s">
        <v>4474</v>
      </c>
      <c r="AH1102" s="1">
        <v>60.2</v>
      </c>
      <c r="AI1102" s="1">
        <v>56.3</v>
      </c>
      <c r="AJ1102" s="1" t="s">
        <v>4529</v>
      </c>
      <c r="AK1102" s="1" t="s">
        <v>4530</v>
      </c>
      <c r="AL1102" s="1" t="s">
        <v>4531</v>
      </c>
    </row>
    <row r="1103" spans="1:38" x14ac:dyDescent="0.6">
      <c r="A1103" s="1">
        <v>766</v>
      </c>
      <c r="B1103" s="1" t="s">
        <v>88</v>
      </c>
      <c r="C1103" s="1">
        <v>58</v>
      </c>
      <c r="D1103" s="1" t="s">
        <v>89</v>
      </c>
      <c r="E1103" s="1" t="s">
        <v>108</v>
      </c>
      <c r="F1103" s="1"/>
      <c r="G1103" s="1"/>
      <c r="H1103" s="1" t="s">
        <v>220</v>
      </c>
      <c r="I1103" s="1" t="s">
        <v>221</v>
      </c>
      <c r="J1103" s="1" t="s">
        <v>222</v>
      </c>
      <c r="K1103" s="1">
        <v>1.25</v>
      </c>
      <c r="L1103" s="1">
        <v>120</v>
      </c>
      <c r="M1103" s="1" t="s">
        <v>94</v>
      </c>
      <c r="N1103" s="1" t="s">
        <v>95</v>
      </c>
      <c r="O1103" s="1"/>
      <c r="P1103" s="1" t="s">
        <v>96</v>
      </c>
      <c r="Q1103" s="1" t="s">
        <v>9</v>
      </c>
      <c r="R1103" s="1">
        <v>0</v>
      </c>
      <c r="S1103" s="1" t="s">
        <v>97</v>
      </c>
      <c r="T1103" s="1" t="s">
        <v>97</v>
      </c>
      <c r="U1103" s="1" t="b">
        <v>1</v>
      </c>
      <c r="V1103" s="1" t="b">
        <v>0</v>
      </c>
      <c r="W1103" s="1" t="b">
        <v>0</v>
      </c>
      <c r="X1103" s="1">
        <v>0</v>
      </c>
      <c r="Y1103" s="1" t="b">
        <v>1</v>
      </c>
      <c r="Z1103" s="1" t="b">
        <v>1</v>
      </c>
      <c r="AA1103" s="1">
        <v>71.2</v>
      </c>
      <c r="AB1103" s="1" t="b">
        <v>1</v>
      </c>
      <c r="AC1103" s="1">
        <v>123269110</v>
      </c>
      <c r="AD1103" s="1">
        <v>1511434</v>
      </c>
      <c r="AE1103" s="1">
        <v>0</v>
      </c>
      <c r="AF1103" s="1" t="s">
        <v>4455</v>
      </c>
      <c r="AG1103" s="1" t="s">
        <v>4456</v>
      </c>
      <c r="AH1103" s="1">
        <v>41.4</v>
      </c>
      <c r="AI1103" s="1">
        <v>68.3</v>
      </c>
      <c r="AJ1103" s="1" t="s">
        <v>4532</v>
      </c>
      <c r="AK1103" s="1" t="s">
        <v>4533</v>
      </c>
      <c r="AL1103" s="1" t="s">
        <v>4534</v>
      </c>
    </row>
    <row r="1104" spans="1:38" x14ac:dyDescent="0.6">
      <c r="A1104" s="1">
        <v>777</v>
      </c>
      <c r="B1104" s="1" t="s">
        <v>103</v>
      </c>
      <c r="C1104" s="1">
        <v>57</v>
      </c>
      <c r="D1104" s="1" t="s">
        <v>89</v>
      </c>
      <c r="E1104" s="1" t="s">
        <v>90</v>
      </c>
      <c r="F1104" s="1">
        <v>10.5</v>
      </c>
      <c r="G1104" s="1"/>
      <c r="H1104" s="1" t="s">
        <v>120</v>
      </c>
      <c r="I1104" s="1" t="s">
        <v>121</v>
      </c>
      <c r="J1104" s="1" t="s">
        <v>122</v>
      </c>
      <c r="K1104" s="1">
        <v>1</v>
      </c>
      <c r="L1104" s="1">
        <v>120</v>
      </c>
      <c r="M1104" s="1" t="s">
        <v>7</v>
      </c>
      <c r="N1104" s="1" t="s">
        <v>7</v>
      </c>
      <c r="O1104" s="1" t="s">
        <v>96</v>
      </c>
      <c r="P1104" s="1" t="s">
        <v>96</v>
      </c>
      <c r="Q1104" s="1" t="s">
        <v>9</v>
      </c>
      <c r="R1104" s="1">
        <v>0</v>
      </c>
      <c r="S1104" s="1" t="s">
        <v>97</v>
      </c>
      <c r="T1104" s="1" t="s">
        <v>97</v>
      </c>
      <c r="U1104" s="1" t="b">
        <v>1</v>
      </c>
      <c r="V1104" s="1" t="b">
        <v>0</v>
      </c>
      <c r="W1104" s="1" t="b">
        <v>0</v>
      </c>
      <c r="X1104" s="1">
        <v>5</v>
      </c>
      <c r="Y1104" s="1" t="b">
        <v>1</v>
      </c>
      <c r="Z1104" s="1" t="b">
        <v>1</v>
      </c>
      <c r="AA1104" s="1">
        <v>76.099999999999994</v>
      </c>
      <c r="AB1104" s="1" t="b">
        <v>0</v>
      </c>
      <c r="AC1104" s="1">
        <v>0</v>
      </c>
      <c r="AD1104" s="1">
        <v>2920196</v>
      </c>
      <c r="AE1104" s="1">
        <v>125268220</v>
      </c>
      <c r="AF1104" s="1" t="s">
        <v>4535</v>
      </c>
      <c r="AG1104" s="1" t="s">
        <v>4535</v>
      </c>
      <c r="AH1104" s="1">
        <v>62.8</v>
      </c>
      <c r="AI1104" s="1">
        <v>70.900000000000006</v>
      </c>
      <c r="AJ1104" s="1" t="s">
        <v>4536</v>
      </c>
      <c r="AK1104" s="1" t="s">
        <v>4537</v>
      </c>
      <c r="AL1104" s="1" t="s">
        <v>4538</v>
      </c>
    </row>
    <row r="1105" spans="1:38" x14ac:dyDescent="0.6">
      <c r="A1105" s="1">
        <v>781</v>
      </c>
      <c r="B1105" s="1" t="s">
        <v>103</v>
      </c>
      <c r="C1105" s="1">
        <v>68</v>
      </c>
      <c r="D1105" s="1" t="s">
        <v>127</v>
      </c>
      <c r="E1105" s="1" t="s">
        <v>90</v>
      </c>
      <c r="F1105" s="1"/>
      <c r="G1105" s="1"/>
      <c r="H1105" s="1" t="s">
        <v>91</v>
      </c>
      <c r="I1105" s="1" t="s">
        <v>92</v>
      </c>
      <c r="J1105" s="1" t="s">
        <v>93</v>
      </c>
      <c r="K1105" s="1">
        <v>1</v>
      </c>
      <c r="L1105" s="1">
        <v>120</v>
      </c>
      <c r="M1105" s="1" t="s">
        <v>94</v>
      </c>
      <c r="N1105" s="1" t="s">
        <v>95</v>
      </c>
      <c r="O1105" s="1"/>
      <c r="P1105" s="1" t="s">
        <v>96</v>
      </c>
      <c r="Q1105" s="1" t="s">
        <v>9</v>
      </c>
      <c r="R1105" s="1">
        <v>0</v>
      </c>
      <c r="S1105" s="1" t="s">
        <v>97</v>
      </c>
      <c r="T1105" s="1" t="s">
        <v>97</v>
      </c>
      <c r="U1105" s="1" t="b">
        <v>1</v>
      </c>
      <c r="V1105" s="1" t="b">
        <v>0</v>
      </c>
      <c r="W1105" s="1" t="b">
        <v>0</v>
      </c>
      <c r="X1105" s="1">
        <v>0</v>
      </c>
      <c r="Y1105" s="1" t="b">
        <v>1</v>
      </c>
      <c r="Z1105" s="1" t="b">
        <v>1</v>
      </c>
      <c r="AA1105" s="1">
        <v>64.8</v>
      </c>
      <c r="AB1105" s="1" t="b">
        <v>1</v>
      </c>
      <c r="AC1105" s="1">
        <v>117635530</v>
      </c>
      <c r="AD1105" s="1">
        <v>2950710</v>
      </c>
      <c r="AE1105" s="1">
        <v>0</v>
      </c>
      <c r="AF1105" s="1" t="s">
        <v>4539</v>
      </c>
      <c r="AG1105" s="1" t="s">
        <v>4540</v>
      </c>
      <c r="AH1105" s="1">
        <v>57.9</v>
      </c>
      <c r="AI1105" s="1">
        <v>60.8</v>
      </c>
      <c r="AJ1105" s="1" t="s">
        <v>4541</v>
      </c>
      <c r="AK1105" s="1" t="s">
        <v>4542</v>
      </c>
      <c r="AL1105" s="1" t="s">
        <v>4543</v>
      </c>
    </row>
    <row r="1106" spans="1:38" x14ac:dyDescent="0.6">
      <c r="A1106" s="1">
        <v>781</v>
      </c>
      <c r="B1106" s="1" t="s">
        <v>103</v>
      </c>
      <c r="C1106" s="1">
        <v>68</v>
      </c>
      <c r="D1106" s="1" t="s">
        <v>127</v>
      </c>
      <c r="E1106" s="1" t="s">
        <v>90</v>
      </c>
      <c r="F1106" s="1"/>
      <c r="G1106" s="1"/>
      <c r="H1106" s="1" t="s">
        <v>91</v>
      </c>
      <c r="I1106" s="1" t="s">
        <v>92</v>
      </c>
      <c r="J1106" s="1" t="s">
        <v>93</v>
      </c>
      <c r="K1106" s="1">
        <v>1</v>
      </c>
      <c r="L1106" s="1">
        <v>120</v>
      </c>
      <c r="M1106" s="1" t="s">
        <v>14</v>
      </c>
      <c r="N1106" s="1" t="s">
        <v>95</v>
      </c>
      <c r="O1106" s="1" t="s">
        <v>96</v>
      </c>
      <c r="P1106" s="1"/>
      <c r="Q1106" s="1" t="s">
        <v>9</v>
      </c>
      <c r="R1106" s="1">
        <v>0</v>
      </c>
      <c r="S1106" s="1" t="s">
        <v>97</v>
      </c>
      <c r="T1106" s="1" t="s">
        <v>97</v>
      </c>
      <c r="U1106" s="1" t="b">
        <v>1</v>
      </c>
      <c r="V1106" s="1" t="b">
        <v>0</v>
      </c>
      <c r="W1106" s="1" t="b">
        <v>0</v>
      </c>
      <c r="X1106" s="1">
        <v>5</v>
      </c>
      <c r="Y1106" s="1" t="b">
        <v>1</v>
      </c>
      <c r="Z1106" s="1" t="b">
        <v>1</v>
      </c>
      <c r="AA1106" s="1"/>
      <c r="AB1106" s="1" t="b">
        <v>1</v>
      </c>
      <c r="AC1106" s="1">
        <v>119351944</v>
      </c>
      <c r="AD1106" s="1">
        <v>972152</v>
      </c>
      <c r="AE1106" s="1">
        <v>0</v>
      </c>
      <c r="AF1106" s="1" t="s">
        <v>4539</v>
      </c>
      <c r="AG1106" s="1" t="s">
        <v>4540</v>
      </c>
      <c r="AH1106" s="1">
        <v>57.9</v>
      </c>
      <c r="AI1106" s="1">
        <v>60.8</v>
      </c>
      <c r="AJ1106" s="1" t="s">
        <v>4544</v>
      </c>
      <c r="AK1106" s="1" t="s">
        <v>4545</v>
      </c>
      <c r="AL1106" s="1" t="s">
        <v>4546</v>
      </c>
    </row>
    <row r="1107" spans="1:38" x14ac:dyDescent="0.6">
      <c r="A1107" s="1">
        <v>778</v>
      </c>
      <c r="B1107" s="1" t="s">
        <v>103</v>
      </c>
      <c r="C1107" s="1">
        <v>62</v>
      </c>
      <c r="D1107" s="1" t="s">
        <v>127</v>
      </c>
      <c r="E1107" s="1" t="s">
        <v>108</v>
      </c>
      <c r="F1107" s="1"/>
      <c r="G1107" s="1"/>
      <c r="H1107" s="1" t="s">
        <v>91</v>
      </c>
      <c r="I1107" s="1" t="s">
        <v>92</v>
      </c>
      <c r="J1107" s="1" t="s">
        <v>109</v>
      </c>
      <c r="K1107" s="1">
        <v>1</v>
      </c>
      <c r="L1107" s="1">
        <v>120</v>
      </c>
      <c r="M1107" s="1" t="s">
        <v>14</v>
      </c>
      <c r="N1107" s="1" t="s">
        <v>95</v>
      </c>
      <c r="O1107" s="1" t="s">
        <v>96</v>
      </c>
      <c r="P1107" s="1"/>
      <c r="Q1107" s="1" t="s">
        <v>9</v>
      </c>
      <c r="R1107" s="1">
        <v>0</v>
      </c>
      <c r="S1107" s="1" t="s">
        <v>97</v>
      </c>
      <c r="T1107" s="1" t="s">
        <v>97</v>
      </c>
      <c r="U1107" s="1" t="b">
        <v>1</v>
      </c>
      <c r="V1107" s="1" t="b">
        <v>0</v>
      </c>
      <c r="W1107" s="1" t="b">
        <v>0</v>
      </c>
      <c r="X1107" s="1">
        <v>5</v>
      </c>
      <c r="Y1107" s="1" t="b">
        <v>1</v>
      </c>
      <c r="Z1107" s="1" t="b">
        <v>1</v>
      </c>
      <c r="AA1107" s="1"/>
      <c r="AB1107" s="1" t="b">
        <v>1</v>
      </c>
      <c r="AC1107" s="1">
        <v>164801631</v>
      </c>
      <c r="AD1107" s="1">
        <v>611233</v>
      </c>
      <c r="AE1107" s="1">
        <v>0</v>
      </c>
      <c r="AF1107" s="1" t="s">
        <v>4547</v>
      </c>
      <c r="AG1107" s="1" t="s">
        <v>4548</v>
      </c>
      <c r="AH1107" s="1">
        <v>71.8</v>
      </c>
      <c r="AI1107" s="1">
        <v>63.2</v>
      </c>
      <c r="AJ1107" s="1" t="s">
        <v>4549</v>
      </c>
      <c r="AK1107" s="1" t="s">
        <v>4550</v>
      </c>
      <c r="AL1107" s="1" t="s">
        <v>4551</v>
      </c>
    </row>
    <row r="1108" spans="1:38" x14ac:dyDescent="0.6">
      <c r="A1108" s="1">
        <v>778</v>
      </c>
      <c r="B1108" s="1" t="s">
        <v>103</v>
      </c>
      <c r="C1108" s="1">
        <v>62</v>
      </c>
      <c r="D1108" s="1" t="s">
        <v>127</v>
      </c>
      <c r="E1108" s="1" t="s">
        <v>108</v>
      </c>
      <c r="F1108" s="1"/>
      <c r="G1108" s="1"/>
      <c r="H1108" s="1" t="s">
        <v>91</v>
      </c>
      <c r="I1108" s="1" t="s">
        <v>92</v>
      </c>
      <c r="J1108" s="1" t="s">
        <v>109</v>
      </c>
      <c r="K1108" s="1">
        <v>1</v>
      </c>
      <c r="L1108" s="1">
        <v>120</v>
      </c>
      <c r="M1108" s="1" t="s">
        <v>94</v>
      </c>
      <c r="N1108" s="1" t="s">
        <v>95</v>
      </c>
      <c r="O1108" s="1"/>
      <c r="P1108" s="1" t="s">
        <v>96</v>
      </c>
      <c r="Q1108" s="1" t="s">
        <v>9</v>
      </c>
      <c r="R1108" s="1">
        <v>0</v>
      </c>
      <c r="S1108" s="1" t="s">
        <v>97</v>
      </c>
      <c r="T1108" s="1" t="s">
        <v>97</v>
      </c>
      <c r="U1108" s="1" t="b">
        <v>1</v>
      </c>
      <c r="V1108" s="1" t="b">
        <v>0</v>
      </c>
      <c r="W1108" s="1" t="b">
        <v>0</v>
      </c>
      <c r="X1108" s="1">
        <v>0</v>
      </c>
      <c r="Y1108" s="1" t="b">
        <v>1</v>
      </c>
      <c r="Z1108" s="1" t="b">
        <v>1</v>
      </c>
      <c r="AA1108" s="1">
        <v>62.4</v>
      </c>
      <c r="AB1108" s="1" t="b">
        <v>1</v>
      </c>
      <c r="AC1108" s="1">
        <v>174312344</v>
      </c>
      <c r="AD1108" s="1">
        <v>1586280</v>
      </c>
      <c r="AE1108" s="1">
        <v>0</v>
      </c>
      <c r="AF1108" s="1" t="s">
        <v>4547</v>
      </c>
      <c r="AG1108" s="1" t="s">
        <v>4548</v>
      </c>
      <c r="AH1108" s="1">
        <v>71.8</v>
      </c>
      <c r="AI1108" s="1">
        <v>63.2</v>
      </c>
      <c r="AJ1108" s="1" t="s">
        <v>4552</v>
      </c>
      <c r="AK1108" s="1" t="s">
        <v>4553</v>
      </c>
      <c r="AL1108" s="1" t="s">
        <v>4554</v>
      </c>
    </row>
    <row r="1109" spans="1:38" x14ac:dyDescent="0.6">
      <c r="A1109" s="1">
        <v>780</v>
      </c>
      <c r="B1109" s="1" t="s">
        <v>88</v>
      </c>
      <c r="C1109" s="1">
        <v>75</v>
      </c>
      <c r="D1109" s="1" t="s">
        <v>119</v>
      </c>
      <c r="E1109" s="1" t="s">
        <v>90</v>
      </c>
      <c r="F1109" s="1"/>
      <c r="G1109" s="1"/>
      <c r="H1109" s="1" t="s">
        <v>91</v>
      </c>
      <c r="I1109" s="1" t="s">
        <v>92</v>
      </c>
      <c r="J1109" s="1" t="s">
        <v>93</v>
      </c>
      <c r="K1109" s="1">
        <v>1</v>
      </c>
      <c r="L1109" s="1">
        <v>120</v>
      </c>
      <c r="M1109" s="1" t="s">
        <v>7</v>
      </c>
      <c r="N1109" s="1" t="s">
        <v>7</v>
      </c>
      <c r="O1109" s="1" t="s">
        <v>96</v>
      </c>
      <c r="P1109" s="1" t="s">
        <v>96</v>
      </c>
      <c r="Q1109" s="1" t="s">
        <v>9</v>
      </c>
      <c r="R1109" s="1">
        <v>0</v>
      </c>
      <c r="S1109" s="1" t="s">
        <v>97</v>
      </c>
      <c r="T1109" s="1" t="s">
        <v>97</v>
      </c>
      <c r="U1109" s="1" t="b">
        <v>1</v>
      </c>
      <c r="V1109" s="1" t="b">
        <v>0</v>
      </c>
      <c r="W1109" s="1" t="b">
        <v>0</v>
      </c>
      <c r="X1109" s="1">
        <v>5</v>
      </c>
      <c r="Y1109" s="1" t="b">
        <v>1</v>
      </c>
      <c r="Z1109" s="1" t="b">
        <v>1</v>
      </c>
      <c r="AA1109" s="1">
        <v>92.2</v>
      </c>
      <c r="AB1109" s="1" t="b">
        <v>0</v>
      </c>
      <c r="AC1109" s="1">
        <v>0</v>
      </c>
      <c r="AD1109" s="1">
        <v>3202878</v>
      </c>
      <c r="AE1109" s="1">
        <v>117645506</v>
      </c>
      <c r="AF1109" s="1" t="s">
        <v>4555</v>
      </c>
      <c r="AG1109" s="1" t="s">
        <v>4555</v>
      </c>
      <c r="AH1109" s="1">
        <v>89.1</v>
      </c>
      <c r="AI1109" s="1">
        <v>87.3</v>
      </c>
      <c r="AJ1109" s="1" t="s">
        <v>4556</v>
      </c>
      <c r="AK1109" s="1" t="s">
        <v>4557</v>
      </c>
      <c r="AL1109" s="1" t="s">
        <v>4558</v>
      </c>
    </row>
    <row r="1110" spans="1:38" x14ac:dyDescent="0.6">
      <c r="A1110" s="1">
        <v>770</v>
      </c>
      <c r="B1110" s="1" t="s">
        <v>103</v>
      </c>
      <c r="C1110" s="1">
        <v>52</v>
      </c>
      <c r="D1110" s="1" t="s">
        <v>89</v>
      </c>
      <c r="E1110" s="1" t="s">
        <v>108</v>
      </c>
      <c r="F1110" s="1"/>
      <c r="G1110" s="1"/>
      <c r="H1110" s="1" t="s">
        <v>220</v>
      </c>
      <c r="I1110" s="1" t="s">
        <v>221</v>
      </c>
      <c r="J1110" s="1" t="s">
        <v>222</v>
      </c>
      <c r="K1110" s="1">
        <v>1.25</v>
      </c>
      <c r="L1110" s="1">
        <v>120</v>
      </c>
      <c r="M1110" s="1" t="s">
        <v>94</v>
      </c>
      <c r="N1110" s="1" t="s">
        <v>95</v>
      </c>
      <c r="O1110" s="1"/>
      <c r="P1110" s="1" t="s">
        <v>96</v>
      </c>
      <c r="Q1110" s="1" t="s">
        <v>9</v>
      </c>
      <c r="R1110" s="1">
        <v>0</v>
      </c>
      <c r="S1110" s="1" t="s">
        <v>97</v>
      </c>
      <c r="T1110" s="1" t="s">
        <v>97</v>
      </c>
      <c r="U1110" s="1" t="b">
        <v>1</v>
      </c>
      <c r="V1110" s="1" t="b">
        <v>0</v>
      </c>
      <c r="W1110" s="1" t="b">
        <v>0</v>
      </c>
      <c r="X1110" s="1">
        <v>0</v>
      </c>
      <c r="Y1110" s="1" t="b">
        <v>1</v>
      </c>
      <c r="Z1110" s="1" t="b">
        <v>1</v>
      </c>
      <c r="AA1110" s="1">
        <v>68.3</v>
      </c>
      <c r="AB1110" s="1" t="b">
        <v>1</v>
      </c>
      <c r="AC1110" s="1">
        <v>142963872</v>
      </c>
      <c r="AD1110" s="1">
        <v>1739616</v>
      </c>
      <c r="AE1110" s="1">
        <v>0</v>
      </c>
      <c r="AF1110" s="1" t="s">
        <v>4468</v>
      </c>
      <c r="AG1110" s="1" t="s">
        <v>4469</v>
      </c>
      <c r="AH1110" s="1">
        <v>68.2</v>
      </c>
      <c r="AI1110" s="1">
        <v>65.2</v>
      </c>
      <c r="AJ1110" s="1" t="s">
        <v>4559</v>
      </c>
      <c r="AK1110" s="1" t="s">
        <v>4560</v>
      </c>
      <c r="AL1110" s="1" t="s">
        <v>4561</v>
      </c>
    </row>
    <row r="1111" spans="1:38" x14ac:dyDescent="0.6">
      <c r="A1111" s="1">
        <v>783</v>
      </c>
      <c r="B1111" s="1" t="s">
        <v>103</v>
      </c>
      <c r="C1111" s="1">
        <v>60</v>
      </c>
      <c r="D1111" s="1" t="s">
        <v>127</v>
      </c>
      <c r="E1111" s="1" t="s">
        <v>108</v>
      </c>
      <c r="F1111" s="1"/>
      <c r="G1111" s="1"/>
      <c r="H1111" s="1" t="s">
        <v>220</v>
      </c>
      <c r="I1111" s="1" t="s">
        <v>221</v>
      </c>
      <c r="J1111" s="1" t="s">
        <v>222</v>
      </c>
      <c r="K1111" s="1">
        <v>1.25</v>
      </c>
      <c r="L1111" s="1">
        <v>120</v>
      </c>
      <c r="M1111" s="1" t="s">
        <v>94</v>
      </c>
      <c r="N1111" s="1" t="s">
        <v>95</v>
      </c>
      <c r="O1111" s="1"/>
      <c r="P1111" s="1" t="s">
        <v>96</v>
      </c>
      <c r="Q1111" s="1" t="s">
        <v>9</v>
      </c>
      <c r="R1111" s="1">
        <v>0</v>
      </c>
      <c r="S1111" s="1" t="s">
        <v>97</v>
      </c>
      <c r="T1111" s="1" t="s">
        <v>97</v>
      </c>
      <c r="U1111" s="1" t="b">
        <v>1</v>
      </c>
      <c r="V1111" s="1" t="b">
        <v>0</v>
      </c>
      <c r="W1111" s="1" t="b">
        <v>0</v>
      </c>
      <c r="X1111" s="1">
        <v>0</v>
      </c>
      <c r="Y1111" s="1" t="b">
        <v>1</v>
      </c>
      <c r="Z1111" s="1" t="b">
        <v>1</v>
      </c>
      <c r="AA1111" s="1">
        <v>75.5</v>
      </c>
      <c r="AB1111" s="1" t="b">
        <v>1</v>
      </c>
      <c r="AC1111" s="1">
        <v>150291454</v>
      </c>
      <c r="AD1111" s="1">
        <v>1752066</v>
      </c>
      <c r="AE1111" s="1">
        <v>0</v>
      </c>
      <c r="AF1111" s="1" t="s">
        <v>4562</v>
      </c>
      <c r="AG1111" s="1" t="s">
        <v>4563</v>
      </c>
      <c r="AH1111" s="1">
        <v>71.599999999999994</v>
      </c>
      <c r="AI1111" s="1">
        <v>71.3</v>
      </c>
      <c r="AJ1111" s="1" t="s">
        <v>4564</v>
      </c>
      <c r="AK1111" s="1" t="s">
        <v>4565</v>
      </c>
      <c r="AL1111" s="1" t="s">
        <v>4566</v>
      </c>
    </row>
    <row r="1112" spans="1:38" x14ac:dyDescent="0.6">
      <c r="A1112" s="1">
        <v>784</v>
      </c>
      <c r="B1112" s="1" t="s">
        <v>88</v>
      </c>
      <c r="C1112" s="1">
        <v>50</v>
      </c>
      <c r="D1112" s="1" t="s">
        <v>89</v>
      </c>
      <c r="E1112" s="1" t="s">
        <v>90</v>
      </c>
      <c r="F1112" s="1"/>
      <c r="G1112" s="1"/>
      <c r="H1112" s="1" t="s">
        <v>91</v>
      </c>
      <c r="I1112" s="1" t="s">
        <v>92</v>
      </c>
      <c r="J1112" s="1" t="s">
        <v>93</v>
      </c>
      <c r="K1112" s="1">
        <v>1</v>
      </c>
      <c r="L1112" s="1">
        <v>120</v>
      </c>
      <c r="M1112" s="1" t="s">
        <v>14</v>
      </c>
      <c r="N1112" s="1" t="s">
        <v>95</v>
      </c>
      <c r="O1112" s="1" t="s">
        <v>96</v>
      </c>
      <c r="P1112" s="1"/>
      <c r="Q1112" s="1" t="s">
        <v>9</v>
      </c>
      <c r="R1112" s="1">
        <v>0</v>
      </c>
      <c r="S1112" s="1" t="s">
        <v>97</v>
      </c>
      <c r="T1112" s="1" t="s">
        <v>97</v>
      </c>
      <c r="U1112" s="1" t="b">
        <v>1</v>
      </c>
      <c r="V1112" s="1" t="b">
        <v>0</v>
      </c>
      <c r="W1112" s="1" t="b">
        <v>0</v>
      </c>
      <c r="X1112" s="1">
        <v>5</v>
      </c>
      <c r="Y1112" s="1" t="b">
        <v>1</v>
      </c>
      <c r="Z1112" s="1" t="b">
        <v>1</v>
      </c>
      <c r="AA1112" s="1"/>
      <c r="AB1112" s="1" t="b">
        <v>1</v>
      </c>
      <c r="AC1112" s="1">
        <v>148521729</v>
      </c>
      <c r="AD1112" s="1">
        <v>638207</v>
      </c>
      <c r="AE1112" s="1">
        <v>0</v>
      </c>
      <c r="AF1112" s="1" t="s">
        <v>4567</v>
      </c>
      <c r="AG1112" s="1" t="s">
        <v>4568</v>
      </c>
      <c r="AH1112" s="1">
        <v>68.599999999999994</v>
      </c>
      <c r="AI1112" s="1">
        <v>66.3</v>
      </c>
      <c r="AJ1112" s="1" t="s">
        <v>4569</v>
      </c>
      <c r="AK1112" s="1" t="s">
        <v>4570</v>
      </c>
      <c r="AL1112" s="1" t="s">
        <v>4571</v>
      </c>
    </row>
    <row r="1113" spans="1:38" x14ac:dyDescent="0.6">
      <c r="A1113" s="1" t="s">
        <v>25</v>
      </c>
      <c r="B1113" s="1" t="s">
        <v>88</v>
      </c>
      <c r="C1113" s="1"/>
      <c r="D1113" s="1"/>
      <c r="E1113" s="1"/>
      <c r="F1113" s="1"/>
      <c r="G1113" s="1"/>
      <c r="H1113" s="1" t="s">
        <v>220</v>
      </c>
      <c r="I1113" s="1"/>
      <c r="J1113" s="1"/>
      <c r="K1113" s="1">
        <v>1.25</v>
      </c>
      <c r="L1113" s="1">
        <v>120</v>
      </c>
      <c r="M1113" s="1" t="s">
        <v>14</v>
      </c>
      <c r="N1113" s="1" t="s">
        <v>14</v>
      </c>
      <c r="O1113" s="1" t="s">
        <v>96</v>
      </c>
      <c r="P1113" s="1"/>
      <c r="Q1113" s="1" t="s">
        <v>9</v>
      </c>
      <c r="R1113" s="1">
        <v>0</v>
      </c>
      <c r="S1113" s="1"/>
      <c r="T1113" s="1" t="s">
        <v>97</v>
      </c>
      <c r="U1113" s="1"/>
      <c r="V1113" s="1" t="b">
        <v>0</v>
      </c>
      <c r="W1113" s="1" t="b">
        <v>0</v>
      </c>
      <c r="X1113" s="1">
        <v>5</v>
      </c>
      <c r="Y1113" s="1" t="b">
        <v>1</v>
      </c>
      <c r="Z1113" s="1" t="b">
        <v>1</v>
      </c>
      <c r="AA1113" s="1"/>
      <c r="AB1113" s="1" t="b">
        <v>1</v>
      </c>
      <c r="AC1113" s="1">
        <v>140475935</v>
      </c>
      <c r="AD1113" s="1">
        <v>557537</v>
      </c>
      <c r="AE1113" s="1">
        <v>0</v>
      </c>
      <c r="AF1113" s="1" t="s">
        <v>4572</v>
      </c>
      <c r="AG1113" s="1"/>
      <c r="AH1113" s="1">
        <v>74.8</v>
      </c>
      <c r="AI1113" s="1"/>
      <c r="AJ1113" s="1" t="s">
        <v>4573</v>
      </c>
      <c r="AK1113" s="1" t="s">
        <v>4574</v>
      </c>
      <c r="AL1113" s="1" t="s">
        <v>4575</v>
      </c>
    </row>
    <row r="1114" spans="1:38" x14ac:dyDescent="0.6">
      <c r="A1114" s="1">
        <v>768</v>
      </c>
      <c r="B1114" s="1" t="s">
        <v>88</v>
      </c>
      <c r="C1114" s="1"/>
      <c r="D1114" s="1"/>
      <c r="E1114" s="1" t="s">
        <v>108</v>
      </c>
      <c r="F1114" s="1"/>
      <c r="G1114" s="1"/>
      <c r="H1114" s="1" t="s">
        <v>91</v>
      </c>
      <c r="I1114" s="1" t="s">
        <v>92</v>
      </c>
      <c r="J1114" s="1" t="s">
        <v>109</v>
      </c>
      <c r="K1114" s="1">
        <v>1</v>
      </c>
      <c r="L1114" s="1">
        <v>120</v>
      </c>
      <c r="M1114" s="1" t="s">
        <v>7</v>
      </c>
      <c r="N1114" s="1" t="s">
        <v>7</v>
      </c>
      <c r="O1114" s="1" t="s">
        <v>96</v>
      </c>
      <c r="P1114" s="1" t="s">
        <v>96</v>
      </c>
      <c r="Q1114" s="1" t="s">
        <v>9</v>
      </c>
      <c r="R1114" s="1">
        <v>0</v>
      </c>
      <c r="S1114" s="1" t="s">
        <v>97</v>
      </c>
      <c r="T1114" s="1" t="s">
        <v>97</v>
      </c>
      <c r="U1114" s="1" t="b">
        <v>1</v>
      </c>
      <c r="V1114" s="1" t="b">
        <v>0</v>
      </c>
      <c r="W1114" s="1" t="b">
        <v>0</v>
      </c>
      <c r="X1114" s="1">
        <v>5</v>
      </c>
      <c r="Y1114" s="1" t="b">
        <v>1</v>
      </c>
      <c r="Z1114" s="1" t="b">
        <v>1</v>
      </c>
      <c r="AA1114" s="1">
        <v>68.3</v>
      </c>
      <c r="AB1114" s="1" t="b">
        <v>0</v>
      </c>
      <c r="AC1114" s="1">
        <v>0</v>
      </c>
      <c r="AD1114" s="1">
        <v>3205906</v>
      </c>
      <c r="AE1114" s="1">
        <v>160634094</v>
      </c>
      <c r="AF1114" s="1" t="s">
        <v>4576</v>
      </c>
      <c r="AG1114" s="1" t="s">
        <v>4576</v>
      </c>
      <c r="AH1114" s="1">
        <v>63.8</v>
      </c>
      <c r="AI1114" s="1">
        <v>65.099999999999994</v>
      </c>
      <c r="AJ1114" s="1" t="s">
        <v>4577</v>
      </c>
      <c r="AK1114" s="1" t="s">
        <v>4578</v>
      </c>
      <c r="AL1114" s="1" t="s">
        <v>4579</v>
      </c>
    </row>
    <row r="1115" spans="1:38" x14ac:dyDescent="0.6">
      <c r="A1115" s="1">
        <v>785</v>
      </c>
      <c r="B1115" s="1" t="s">
        <v>103</v>
      </c>
      <c r="C1115" s="1">
        <v>50</v>
      </c>
      <c r="D1115" s="1" t="s">
        <v>89</v>
      </c>
      <c r="E1115" s="1" t="s">
        <v>90</v>
      </c>
      <c r="F1115" s="1"/>
      <c r="G1115" s="1"/>
      <c r="H1115" s="1" t="s">
        <v>578</v>
      </c>
      <c r="I1115" s="1" t="s">
        <v>190</v>
      </c>
      <c r="J1115" s="1" t="s">
        <v>191</v>
      </c>
      <c r="K1115" s="1">
        <v>1</v>
      </c>
      <c r="L1115" s="1">
        <v>120</v>
      </c>
      <c r="M1115" s="1" t="s">
        <v>7</v>
      </c>
      <c r="N1115" s="1" t="s">
        <v>7</v>
      </c>
      <c r="O1115" s="1" t="s">
        <v>96</v>
      </c>
      <c r="P1115" s="1" t="s">
        <v>96</v>
      </c>
      <c r="Q1115" s="1" t="s">
        <v>9</v>
      </c>
      <c r="R1115" s="1">
        <v>0</v>
      </c>
      <c r="S1115" s="1" t="s">
        <v>97</v>
      </c>
      <c r="T1115" s="1" t="s">
        <v>97</v>
      </c>
      <c r="U1115" s="1" t="b">
        <v>1</v>
      </c>
      <c r="V1115" s="1" t="b">
        <v>0</v>
      </c>
      <c r="W1115" s="1" t="b">
        <v>0</v>
      </c>
      <c r="X1115" s="1">
        <v>5</v>
      </c>
      <c r="Y1115" s="1" t="b">
        <v>1</v>
      </c>
      <c r="Z1115" s="1" t="b">
        <v>1</v>
      </c>
      <c r="AA1115" s="1">
        <v>81.7</v>
      </c>
      <c r="AB1115" s="1" t="b">
        <v>0</v>
      </c>
      <c r="AC1115" s="1">
        <v>0</v>
      </c>
      <c r="AD1115" s="1">
        <v>2023141</v>
      </c>
      <c r="AE1115" s="1">
        <v>137175323</v>
      </c>
      <c r="AF1115" s="1" t="s">
        <v>4580</v>
      </c>
      <c r="AG1115" s="1" t="s">
        <v>4580</v>
      </c>
      <c r="AH1115" s="1">
        <v>77.2</v>
      </c>
      <c r="AI1115" s="1">
        <v>75.099999999999994</v>
      </c>
      <c r="AJ1115" s="1" t="s">
        <v>4581</v>
      </c>
      <c r="AK1115" s="1" t="s">
        <v>4582</v>
      </c>
      <c r="AL1115" s="1" t="s">
        <v>4583</v>
      </c>
    </row>
    <row r="1116" spans="1:38" x14ac:dyDescent="0.6">
      <c r="A1116" s="1">
        <v>772</v>
      </c>
      <c r="B1116" s="1" t="s">
        <v>88</v>
      </c>
      <c r="C1116" s="1">
        <v>67</v>
      </c>
      <c r="D1116" s="1" t="s">
        <v>127</v>
      </c>
      <c r="E1116" s="1" t="s">
        <v>108</v>
      </c>
      <c r="F1116" s="1"/>
      <c r="G1116" s="1"/>
      <c r="H1116" s="1" t="s">
        <v>220</v>
      </c>
      <c r="I1116" s="1" t="s">
        <v>221</v>
      </c>
      <c r="J1116" s="1" t="s">
        <v>222</v>
      </c>
      <c r="K1116" s="1">
        <v>1.25</v>
      </c>
      <c r="L1116" s="1">
        <v>120</v>
      </c>
      <c r="M1116" s="1" t="s">
        <v>7</v>
      </c>
      <c r="N1116" s="1" t="s">
        <v>7</v>
      </c>
      <c r="O1116" s="1" t="s">
        <v>96</v>
      </c>
      <c r="P1116" s="1" t="s">
        <v>96</v>
      </c>
      <c r="Q1116" s="1" t="s">
        <v>9</v>
      </c>
      <c r="R1116" s="1">
        <v>0</v>
      </c>
      <c r="S1116" s="1" t="s">
        <v>97</v>
      </c>
      <c r="T1116" s="1" t="s">
        <v>97</v>
      </c>
      <c r="U1116" s="1" t="b">
        <v>1</v>
      </c>
      <c r="V1116" s="1" t="b">
        <v>0</v>
      </c>
      <c r="W1116" s="1" t="b">
        <v>0</v>
      </c>
      <c r="X1116" s="1">
        <v>5</v>
      </c>
      <c r="Y1116" s="1" t="b">
        <v>1</v>
      </c>
      <c r="Z1116" s="1" t="b">
        <v>1</v>
      </c>
      <c r="AA1116" s="1">
        <v>59.3</v>
      </c>
      <c r="AB1116" s="1" t="b">
        <v>0</v>
      </c>
      <c r="AC1116" s="1">
        <v>0</v>
      </c>
      <c r="AD1116" s="1">
        <v>2470173</v>
      </c>
      <c r="AE1116" s="1">
        <v>141184739</v>
      </c>
      <c r="AF1116" s="1" t="s">
        <v>4584</v>
      </c>
      <c r="AG1116" s="1" t="s">
        <v>4584</v>
      </c>
      <c r="AH1116" s="1">
        <v>67</v>
      </c>
      <c r="AI1116" s="1">
        <v>59.1</v>
      </c>
      <c r="AJ1116" s="1" t="s">
        <v>4585</v>
      </c>
      <c r="AK1116" s="1" t="s">
        <v>4586</v>
      </c>
      <c r="AL1116" s="1" t="s">
        <v>4587</v>
      </c>
    </row>
    <row r="1117" spans="1:38" x14ac:dyDescent="0.6">
      <c r="A1117" s="1" t="s">
        <v>28</v>
      </c>
      <c r="B1117" s="1" t="s">
        <v>103</v>
      </c>
      <c r="C1117" s="1"/>
      <c r="D1117" s="1"/>
      <c r="E1117" s="1"/>
      <c r="F1117" s="1"/>
      <c r="G1117" s="1"/>
      <c r="H1117" s="1" t="s">
        <v>91</v>
      </c>
      <c r="I1117" s="1"/>
      <c r="J1117" s="1"/>
      <c r="K1117" s="1">
        <v>1</v>
      </c>
      <c r="L1117" s="1">
        <v>120</v>
      </c>
      <c r="M1117" s="1" t="s">
        <v>14</v>
      </c>
      <c r="N1117" s="1" t="s">
        <v>14</v>
      </c>
      <c r="O1117" s="1" t="s">
        <v>96</v>
      </c>
      <c r="P1117" s="1"/>
      <c r="Q1117" s="1" t="s">
        <v>9</v>
      </c>
      <c r="R1117" s="1">
        <v>0</v>
      </c>
      <c r="S1117" s="1"/>
      <c r="T1117" s="1" t="s">
        <v>97</v>
      </c>
      <c r="U1117" s="1"/>
      <c r="V1117" s="1" t="b">
        <v>0</v>
      </c>
      <c r="W1117" s="1" t="b">
        <v>0</v>
      </c>
      <c r="X1117" s="1">
        <v>5</v>
      </c>
      <c r="Y1117" s="1" t="b">
        <v>1</v>
      </c>
      <c r="Z1117" s="1" t="b">
        <v>1</v>
      </c>
      <c r="AA1117" s="1"/>
      <c r="AB1117" s="1" t="b">
        <v>1</v>
      </c>
      <c r="AC1117" s="1">
        <v>141755735</v>
      </c>
      <c r="AD1117" s="1">
        <v>588457</v>
      </c>
      <c r="AE1117" s="1">
        <v>0</v>
      </c>
      <c r="AF1117" s="1" t="s">
        <v>4588</v>
      </c>
      <c r="AG1117" s="1"/>
      <c r="AH1117" s="1">
        <v>69.599999999999994</v>
      </c>
      <c r="AI1117" s="1"/>
      <c r="AJ1117" s="1" t="s">
        <v>4589</v>
      </c>
      <c r="AK1117" s="1" t="s">
        <v>4590</v>
      </c>
      <c r="AL1117" s="1" t="s">
        <v>4591</v>
      </c>
    </row>
    <row r="1118" spans="1:38" x14ac:dyDescent="0.6">
      <c r="A1118" s="1" t="s">
        <v>23</v>
      </c>
      <c r="B1118" s="1" t="s">
        <v>88</v>
      </c>
      <c r="C1118" s="1"/>
      <c r="D1118" s="1"/>
      <c r="E1118" s="1"/>
      <c r="F1118" s="1"/>
      <c r="G1118" s="1"/>
      <c r="H1118" s="1" t="s">
        <v>91</v>
      </c>
      <c r="I1118" s="1"/>
      <c r="J1118" s="1"/>
      <c r="K1118" s="1">
        <v>1</v>
      </c>
      <c r="L1118" s="1">
        <v>120</v>
      </c>
      <c r="M1118" s="1" t="s">
        <v>14</v>
      </c>
      <c r="N1118" s="1" t="s">
        <v>14</v>
      </c>
      <c r="O1118" s="1" t="s">
        <v>96</v>
      </c>
      <c r="P1118" s="1"/>
      <c r="Q1118" s="1" t="s">
        <v>9</v>
      </c>
      <c r="R1118" s="1">
        <v>0</v>
      </c>
      <c r="S1118" s="1"/>
      <c r="T1118" s="1" t="s">
        <v>97</v>
      </c>
      <c r="U1118" s="1"/>
      <c r="V1118" s="1" t="b">
        <v>0</v>
      </c>
      <c r="W1118" s="1" t="b">
        <v>0</v>
      </c>
      <c r="X1118" s="1">
        <v>5</v>
      </c>
      <c r="Y1118" s="1" t="b">
        <v>1</v>
      </c>
      <c r="Z1118" s="1" t="b">
        <v>1</v>
      </c>
      <c r="AA1118" s="1"/>
      <c r="AB1118" s="1" t="b">
        <v>1</v>
      </c>
      <c r="AC1118" s="1">
        <v>142413088</v>
      </c>
      <c r="AD1118" s="1">
        <v>717536</v>
      </c>
      <c r="AE1118" s="1">
        <v>0</v>
      </c>
      <c r="AF1118" s="1" t="s">
        <v>4592</v>
      </c>
      <c r="AG1118" s="1"/>
      <c r="AH1118" s="1">
        <v>69.7</v>
      </c>
      <c r="AI1118" s="1"/>
      <c r="AJ1118" s="1" t="s">
        <v>4593</v>
      </c>
      <c r="AK1118" s="1" t="s">
        <v>4594</v>
      </c>
      <c r="AL1118" s="1" t="s">
        <v>4595</v>
      </c>
    </row>
    <row r="1119" spans="1:38" x14ac:dyDescent="0.6">
      <c r="A1119" s="1" t="s">
        <v>24</v>
      </c>
      <c r="B1119" s="1" t="s">
        <v>88</v>
      </c>
      <c r="C1119" s="1"/>
      <c r="D1119" s="1"/>
      <c r="E1119" s="1"/>
      <c r="F1119" s="1"/>
      <c r="G1119" s="1"/>
      <c r="H1119" s="1" t="s">
        <v>220</v>
      </c>
      <c r="I1119" s="1"/>
      <c r="J1119" s="1"/>
      <c r="K1119" s="1">
        <v>1.25</v>
      </c>
      <c r="L1119" s="1">
        <v>120</v>
      </c>
      <c r="M1119" s="1" t="s">
        <v>14</v>
      </c>
      <c r="N1119" s="1" t="s">
        <v>14</v>
      </c>
      <c r="O1119" s="1" t="s">
        <v>96</v>
      </c>
      <c r="P1119" s="1"/>
      <c r="Q1119" s="1" t="s">
        <v>9</v>
      </c>
      <c r="R1119" s="1">
        <v>0</v>
      </c>
      <c r="S1119" s="1"/>
      <c r="T1119" s="1" t="s">
        <v>97</v>
      </c>
      <c r="U1119" s="1"/>
      <c r="V1119" s="1" t="b">
        <v>0</v>
      </c>
      <c r="W1119" s="1" t="b">
        <v>0</v>
      </c>
      <c r="X1119" s="1">
        <v>5</v>
      </c>
      <c r="Y1119" s="1" t="b">
        <v>1</v>
      </c>
      <c r="Z1119" s="1" t="b">
        <v>1</v>
      </c>
      <c r="AA1119" s="1"/>
      <c r="AB1119" s="1" t="b">
        <v>1</v>
      </c>
      <c r="AC1119" s="1">
        <v>135190702</v>
      </c>
      <c r="AD1119" s="1">
        <v>599890</v>
      </c>
      <c r="AE1119" s="1">
        <v>0</v>
      </c>
      <c r="AF1119" s="1" t="s">
        <v>4596</v>
      </c>
      <c r="AG1119" s="1"/>
      <c r="AH1119" s="1">
        <v>62.2</v>
      </c>
      <c r="AI1119" s="1"/>
      <c r="AJ1119" s="1" t="s">
        <v>4597</v>
      </c>
      <c r="AK1119" s="1" t="s">
        <v>4598</v>
      </c>
      <c r="AL1119" s="1" t="s">
        <v>4599</v>
      </c>
    </row>
    <row r="1120" spans="1:38" x14ac:dyDescent="0.6">
      <c r="A1120" s="1">
        <v>787</v>
      </c>
      <c r="B1120" s="1" t="s">
        <v>103</v>
      </c>
      <c r="C1120" s="1"/>
      <c r="D1120" s="1"/>
      <c r="E1120" s="1" t="s">
        <v>108</v>
      </c>
      <c r="F1120" s="1"/>
      <c r="G1120" s="1"/>
      <c r="H1120" s="1" t="s">
        <v>91</v>
      </c>
      <c r="I1120" s="1" t="s">
        <v>92</v>
      </c>
      <c r="J1120" s="1" t="s">
        <v>109</v>
      </c>
      <c r="K1120" s="1">
        <v>1</v>
      </c>
      <c r="L1120" s="1">
        <v>120</v>
      </c>
      <c r="M1120" s="1" t="s">
        <v>7</v>
      </c>
      <c r="N1120" s="1" t="s">
        <v>7</v>
      </c>
      <c r="O1120" s="1" t="s">
        <v>96</v>
      </c>
      <c r="P1120" s="1" t="s">
        <v>96</v>
      </c>
      <c r="Q1120" s="1" t="s">
        <v>9</v>
      </c>
      <c r="R1120" s="1">
        <v>0</v>
      </c>
      <c r="S1120" s="1" t="s">
        <v>97</v>
      </c>
      <c r="T1120" s="1" t="s">
        <v>97</v>
      </c>
      <c r="U1120" s="1" t="b">
        <v>1</v>
      </c>
      <c r="V1120" s="1" t="b">
        <v>0</v>
      </c>
      <c r="W1120" s="1" t="b">
        <v>0</v>
      </c>
      <c r="X1120" s="1">
        <v>5</v>
      </c>
      <c r="Y1120" s="1" t="b">
        <v>1</v>
      </c>
      <c r="Z1120" s="1" t="b">
        <v>1</v>
      </c>
      <c r="AA1120" s="1">
        <v>72</v>
      </c>
      <c r="AB1120" s="1" t="b">
        <v>0</v>
      </c>
      <c r="AC1120" s="1">
        <v>0</v>
      </c>
      <c r="AD1120" s="1">
        <v>3544016</v>
      </c>
      <c r="AE1120" s="1">
        <v>131722288</v>
      </c>
      <c r="AF1120" s="1" t="s">
        <v>4600</v>
      </c>
      <c r="AG1120" s="1" t="s">
        <v>4600</v>
      </c>
      <c r="AH1120" s="1">
        <v>67.599999999999994</v>
      </c>
      <c r="AI1120" s="1">
        <v>68.5</v>
      </c>
      <c r="AJ1120" s="1" t="s">
        <v>4601</v>
      </c>
      <c r="AK1120" s="1" t="s">
        <v>4602</v>
      </c>
      <c r="AL1120" s="1" t="s">
        <v>4603</v>
      </c>
    </row>
    <row r="1121" spans="1:38" x14ac:dyDescent="0.6">
      <c r="A1121" s="1" t="s">
        <v>27</v>
      </c>
      <c r="B1121" s="1" t="s">
        <v>88</v>
      </c>
      <c r="C1121" s="1"/>
      <c r="D1121" s="1"/>
      <c r="E1121" s="1"/>
      <c r="F1121" s="1"/>
      <c r="G1121" s="1"/>
      <c r="H1121" s="1" t="s">
        <v>220</v>
      </c>
      <c r="I1121" s="1"/>
      <c r="J1121" s="1"/>
      <c r="K1121" s="1">
        <v>1.25</v>
      </c>
      <c r="L1121" s="1">
        <v>120</v>
      </c>
      <c r="M1121" s="1" t="s">
        <v>14</v>
      </c>
      <c r="N1121" s="1" t="s">
        <v>14</v>
      </c>
      <c r="O1121" s="1" t="s">
        <v>96</v>
      </c>
      <c r="P1121" s="1"/>
      <c r="Q1121" s="1" t="s">
        <v>9</v>
      </c>
      <c r="R1121" s="1">
        <v>0</v>
      </c>
      <c r="S1121" s="1"/>
      <c r="T1121" s="1" t="s">
        <v>97</v>
      </c>
      <c r="U1121" s="1"/>
      <c r="V1121" s="1" t="b">
        <v>0</v>
      </c>
      <c r="W1121" s="1" t="b">
        <v>0</v>
      </c>
      <c r="X1121" s="1">
        <v>5</v>
      </c>
      <c r="Y1121" s="1" t="b">
        <v>1</v>
      </c>
      <c r="Z1121" s="1" t="b">
        <v>1</v>
      </c>
      <c r="AA1121" s="1"/>
      <c r="AB1121" s="1" t="b">
        <v>1</v>
      </c>
      <c r="AC1121" s="1">
        <v>174348997</v>
      </c>
      <c r="AD1121" s="1">
        <v>763195</v>
      </c>
      <c r="AE1121" s="1">
        <v>0</v>
      </c>
      <c r="AF1121" s="1" t="s">
        <v>4604</v>
      </c>
      <c r="AG1121" s="1"/>
      <c r="AH1121" s="1">
        <v>62.7</v>
      </c>
      <c r="AI1121" s="1"/>
      <c r="AJ1121" s="1" t="s">
        <v>4605</v>
      </c>
      <c r="AK1121" s="1" t="s">
        <v>4606</v>
      </c>
      <c r="AL1121" s="1" t="s">
        <v>4607</v>
      </c>
    </row>
    <row r="1122" spans="1:38" x14ac:dyDescent="0.6">
      <c r="A1122" s="1">
        <v>784</v>
      </c>
      <c r="B1122" s="1" t="s">
        <v>88</v>
      </c>
      <c r="C1122" s="1">
        <v>50</v>
      </c>
      <c r="D1122" s="1" t="s">
        <v>89</v>
      </c>
      <c r="E1122" s="1" t="s">
        <v>90</v>
      </c>
      <c r="F1122" s="1"/>
      <c r="G1122" s="1"/>
      <c r="H1122" s="1" t="s">
        <v>91</v>
      </c>
      <c r="I1122" s="1" t="s">
        <v>92</v>
      </c>
      <c r="J1122" s="1" t="s">
        <v>93</v>
      </c>
      <c r="K1122" s="1">
        <v>1</v>
      </c>
      <c r="L1122" s="1">
        <v>120</v>
      </c>
      <c r="M1122" s="1" t="s">
        <v>94</v>
      </c>
      <c r="N1122" s="1" t="s">
        <v>95</v>
      </c>
      <c r="O1122" s="1"/>
      <c r="P1122" s="1" t="s">
        <v>96</v>
      </c>
      <c r="Q1122" s="1" t="s">
        <v>9</v>
      </c>
      <c r="R1122" s="1">
        <v>0</v>
      </c>
      <c r="S1122" s="1" t="s">
        <v>97</v>
      </c>
      <c r="T1122" s="1" t="s">
        <v>97</v>
      </c>
      <c r="U1122" s="1" t="b">
        <v>1</v>
      </c>
      <c r="V1122" s="1" t="b">
        <v>0</v>
      </c>
      <c r="W1122" s="1" t="b">
        <v>0</v>
      </c>
      <c r="X1122" s="1">
        <v>0</v>
      </c>
      <c r="Y1122" s="1" t="b">
        <v>1</v>
      </c>
      <c r="Z1122" s="1" t="b">
        <v>1</v>
      </c>
      <c r="AA1122" s="1">
        <v>70.2</v>
      </c>
      <c r="AB1122" s="1" t="b">
        <v>1</v>
      </c>
      <c r="AC1122" s="1">
        <v>140122811</v>
      </c>
      <c r="AD1122" s="1">
        <v>1697093</v>
      </c>
      <c r="AE1122" s="1">
        <v>0</v>
      </c>
      <c r="AF1122" s="1" t="s">
        <v>4567</v>
      </c>
      <c r="AG1122" s="1" t="s">
        <v>4568</v>
      </c>
      <c r="AH1122" s="1">
        <v>68.599999999999994</v>
      </c>
      <c r="AI1122" s="1">
        <v>66.3</v>
      </c>
      <c r="AJ1122" s="1" t="s">
        <v>4608</v>
      </c>
      <c r="AK1122" s="1" t="s">
        <v>4609</v>
      </c>
      <c r="AL1122" s="1" t="s">
        <v>4610</v>
      </c>
    </row>
    <row r="1123" spans="1:38" x14ac:dyDescent="0.6">
      <c r="A1123" s="1">
        <v>783</v>
      </c>
      <c r="B1123" s="1" t="s">
        <v>103</v>
      </c>
      <c r="C1123" s="1">
        <v>60</v>
      </c>
      <c r="D1123" s="1" t="s">
        <v>127</v>
      </c>
      <c r="E1123" s="1" t="s">
        <v>108</v>
      </c>
      <c r="F1123" s="1"/>
      <c r="G1123" s="1"/>
      <c r="H1123" s="1" t="s">
        <v>220</v>
      </c>
      <c r="I1123" s="1" t="s">
        <v>221</v>
      </c>
      <c r="J1123" s="1" t="s">
        <v>222</v>
      </c>
      <c r="K1123" s="1">
        <v>1.25</v>
      </c>
      <c r="L1123" s="1">
        <v>120</v>
      </c>
      <c r="M1123" s="1" t="s">
        <v>14</v>
      </c>
      <c r="N1123" s="1" t="s">
        <v>95</v>
      </c>
      <c r="O1123" s="1" t="s">
        <v>96</v>
      </c>
      <c r="P1123" s="1"/>
      <c r="Q1123" s="1" t="s">
        <v>9</v>
      </c>
      <c r="R1123" s="1">
        <v>0</v>
      </c>
      <c r="S1123" s="1" t="s">
        <v>97</v>
      </c>
      <c r="T1123" s="1" t="s">
        <v>97</v>
      </c>
      <c r="U1123" s="1" t="b">
        <v>1</v>
      </c>
      <c r="V1123" s="1" t="b">
        <v>0</v>
      </c>
      <c r="W1123" s="1" t="b">
        <v>0</v>
      </c>
      <c r="X1123" s="1">
        <v>5</v>
      </c>
      <c r="Y1123" s="1" t="b">
        <v>1</v>
      </c>
      <c r="Z1123" s="1" t="b">
        <v>1</v>
      </c>
      <c r="AA1123" s="1"/>
      <c r="AB1123" s="1" t="b">
        <v>1</v>
      </c>
      <c r="AC1123" s="1">
        <v>130379133</v>
      </c>
      <c r="AD1123" s="1">
        <v>692867</v>
      </c>
      <c r="AE1123" s="1">
        <v>0</v>
      </c>
      <c r="AF1123" s="1" t="s">
        <v>4562</v>
      </c>
      <c r="AG1123" s="1" t="s">
        <v>4563</v>
      </c>
      <c r="AH1123" s="1">
        <v>71.599999999999994</v>
      </c>
      <c r="AI1123" s="1">
        <v>71.3</v>
      </c>
      <c r="AJ1123" s="1" t="s">
        <v>4611</v>
      </c>
      <c r="AK1123" s="1" t="s">
        <v>4612</v>
      </c>
      <c r="AL1123" s="1" t="s">
        <v>4613</v>
      </c>
    </row>
    <row r="1124" spans="1:38" x14ac:dyDescent="0.6">
      <c r="A1124" s="1" t="s">
        <v>20</v>
      </c>
      <c r="B1124" s="1" t="s">
        <v>103</v>
      </c>
      <c r="C1124" s="1"/>
      <c r="D1124" s="1"/>
      <c r="E1124" s="1"/>
      <c r="F1124" s="1"/>
      <c r="G1124" s="1"/>
      <c r="H1124" s="1" t="s">
        <v>220</v>
      </c>
      <c r="I1124" s="1"/>
      <c r="J1124" s="1"/>
      <c r="K1124" s="1">
        <v>1.25</v>
      </c>
      <c r="L1124" s="1">
        <v>120</v>
      </c>
      <c r="M1124" s="1" t="s">
        <v>14</v>
      </c>
      <c r="N1124" s="1" t="s">
        <v>14</v>
      </c>
      <c r="O1124" s="1" t="s">
        <v>96</v>
      </c>
      <c r="P1124" s="1"/>
      <c r="Q1124" s="1" t="s">
        <v>9</v>
      </c>
      <c r="R1124" s="1">
        <v>0</v>
      </c>
      <c r="S1124" s="1"/>
      <c r="T1124" s="1" t="s">
        <v>97</v>
      </c>
      <c r="U1124" s="1"/>
      <c r="V1124" s="1" t="b">
        <v>0</v>
      </c>
      <c r="W1124" s="1" t="b">
        <v>0</v>
      </c>
      <c r="X1124" s="1">
        <v>5</v>
      </c>
      <c r="Y1124" s="1" t="b">
        <v>1</v>
      </c>
      <c r="Z1124" s="1" t="b">
        <v>1</v>
      </c>
      <c r="AA1124" s="1"/>
      <c r="AB1124" s="1" t="b">
        <v>1</v>
      </c>
      <c r="AC1124" s="1">
        <v>127550166</v>
      </c>
      <c r="AD1124" s="1">
        <v>900394</v>
      </c>
      <c r="AE1124" s="1">
        <v>0</v>
      </c>
      <c r="AF1124" s="1" t="s">
        <v>4614</v>
      </c>
      <c r="AG1124" s="1"/>
      <c r="AH1124" s="1">
        <v>63.2</v>
      </c>
      <c r="AI1124" s="1"/>
      <c r="AJ1124" s="1" t="s">
        <v>4615</v>
      </c>
      <c r="AK1124" s="1" t="s">
        <v>4616</v>
      </c>
      <c r="AL1124" s="1" t="s">
        <v>4617</v>
      </c>
    </row>
    <row r="1125" spans="1:38" x14ac:dyDescent="0.6">
      <c r="A1125" s="1">
        <v>782</v>
      </c>
      <c r="B1125" s="1" t="s">
        <v>103</v>
      </c>
      <c r="C1125" s="1">
        <v>50</v>
      </c>
      <c r="D1125" s="1" t="s">
        <v>89</v>
      </c>
      <c r="E1125" s="1" t="s">
        <v>108</v>
      </c>
      <c r="F1125" s="1"/>
      <c r="G1125" s="1"/>
      <c r="H1125" s="1" t="s">
        <v>91</v>
      </c>
      <c r="I1125" s="1" t="s">
        <v>92</v>
      </c>
      <c r="J1125" s="1" t="s">
        <v>93</v>
      </c>
      <c r="K1125" s="1">
        <v>1</v>
      </c>
      <c r="L1125" s="1">
        <v>120</v>
      </c>
      <c r="M1125" s="1" t="s">
        <v>7</v>
      </c>
      <c r="N1125" s="1" t="s">
        <v>7</v>
      </c>
      <c r="O1125" s="1" t="s">
        <v>96</v>
      </c>
      <c r="P1125" s="1" t="s">
        <v>96</v>
      </c>
      <c r="Q1125" s="1" t="s">
        <v>9</v>
      </c>
      <c r="R1125" s="1">
        <v>0</v>
      </c>
      <c r="S1125" s="1" t="s">
        <v>97</v>
      </c>
      <c r="T1125" s="1" t="s">
        <v>97</v>
      </c>
      <c r="U1125" s="1" t="b">
        <v>1</v>
      </c>
      <c r="V1125" s="1" t="b">
        <v>0</v>
      </c>
      <c r="W1125" s="1" t="b">
        <v>0</v>
      </c>
      <c r="X1125" s="1">
        <v>5</v>
      </c>
      <c r="Y1125" s="1" t="b">
        <v>1</v>
      </c>
      <c r="Z1125" s="1" t="b">
        <v>1</v>
      </c>
      <c r="AA1125" s="1">
        <v>73</v>
      </c>
      <c r="AB1125" s="1" t="b">
        <v>0</v>
      </c>
      <c r="AC1125" s="1">
        <v>0</v>
      </c>
      <c r="AD1125" s="1">
        <v>1877196</v>
      </c>
      <c r="AE1125" s="1">
        <v>143088436</v>
      </c>
      <c r="AF1125" s="1" t="s">
        <v>4618</v>
      </c>
      <c r="AG1125" s="1" t="s">
        <v>4618</v>
      </c>
      <c r="AH1125" s="1">
        <v>62.3</v>
      </c>
      <c r="AI1125" s="1">
        <v>67.8</v>
      </c>
      <c r="AJ1125" s="1" t="s">
        <v>4619</v>
      </c>
      <c r="AK1125" s="1" t="s">
        <v>4620</v>
      </c>
      <c r="AL1125" s="1" t="s">
        <v>4621</v>
      </c>
    </row>
    <row r="1126" spans="1:38" x14ac:dyDescent="0.6">
      <c r="A1126" s="1" t="s">
        <v>18</v>
      </c>
      <c r="B1126" s="1" t="s">
        <v>88</v>
      </c>
      <c r="C1126" s="1"/>
      <c r="D1126" s="1"/>
      <c r="E1126" s="1"/>
      <c r="F1126" s="1"/>
      <c r="G1126" s="1"/>
      <c r="H1126" s="1" t="s">
        <v>91</v>
      </c>
      <c r="I1126" s="1"/>
      <c r="J1126" s="1"/>
      <c r="K1126" s="1">
        <v>1</v>
      </c>
      <c r="L1126" s="1">
        <v>120</v>
      </c>
      <c r="M1126" s="1" t="s">
        <v>14</v>
      </c>
      <c r="N1126" s="1" t="s">
        <v>14</v>
      </c>
      <c r="O1126" s="1" t="s">
        <v>96</v>
      </c>
      <c r="P1126" s="1"/>
      <c r="Q1126" s="1" t="s">
        <v>9</v>
      </c>
      <c r="R1126" s="1">
        <v>0</v>
      </c>
      <c r="S1126" s="1"/>
      <c r="T1126" s="1" t="s">
        <v>97</v>
      </c>
      <c r="U1126" s="1"/>
      <c r="V1126" s="1" t="b">
        <v>0</v>
      </c>
      <c r="W1126" s="1" t="b">
        <v>0</v>
      </c>
      <c r="X1126" s="1">
        <v>5</v>
      </c>
      <c r="Y1126" s="1" t="b">
        <v>1</v>
      </c>
      <c r="Z1126" s="1" t="b">
        <v>1</v>
      </c>
      <c r="AA1126" s="1"/>
      <c r="AB1126" s="1" t="b">
        <v>1</v>
      </c>
      <c r="AC1126" s="1">
        <v>134767102</v>
      </c>
      <c r="AD1126" s="1">
        <v>761346</v>
      </c>
      <c r="AE1126" s="1">
        <v>0</v>
      </c>
      <c r="AF1126" s="1" t="s">
        <v>4622</v>
      </c>
      <c r="AG1126" s="1"/>
      <c r="AH1126" s="1">
        <v>65.7</v>
      </c>
      <c r="AI1126" s="1"/>
      <c r="AJ1126" s="1" t="s">
        <v>4623</v>
      </c>
      <c r="AK1126" s="1" t="s">
        <v>4624</v>
      </c>
      <c r="AL1126" s="1" t="s">
        <v>4625</v>
      </c>
    </row>
    <row r="1127" spans="1:38" x14ac:dyDescent="0.6">
      <c r="A1127" s="1">
        <v>786</v>
      </c>
      <c r="B1127" s="1" t="s">
        <v>103</v>
      </c>
      <c r="C1127" s="1">
        <v>59</v>
      </c>
      <c r="D1127" s="1" t="s">
        <v>89</v>
      </c>
      <c r="E1127" s="1" t="s">
        <v>108</v>
      </c>
      <c r="F1127" s="1"/>
      <c r="G1127" s="1"/>
      <c r="H1127" s="1" t="s">
        <v>220</v>
      </c>
      <c r="I1127" s="1" t="s">
        <v>221</v>
      </c>
      <c r="J1127" s="1" t="s">
        <v>222</v>
      </c>
      <c r="K1127" s="1">
        <v>1.25</v>
      </c>
      <c r="L1127" s="1">
        <v>120</v>
      </c>
      <c r="M1127" s="1" t="s">
        <v>7</v>
      </c>
      <c r="N1127" s="1" t="s">
        <v>7</v>
      </c>
      <c r="O1127" s="1" t="s">
        <v>96</v>
      </c>
      <c r="P1127" s="1" t="s">
        <v>96</v>
      </c>
      <c r="Q1127" s="1" t="s">
        <v>9</v>
      </c>
      <c r="R1127" s="1">
        <v>0</v>
      </c>
      <c r="S1127" s="1" t="s">
        <v>97</v>
      </c>
      <c r="T1127" s="1" t="s">
        <v>97</v>
      </c>
      <c r="U1127" s="1" t="b">
        <v>1</v>
      </c>
      <c r="V1127" s="1" t="b">
        <v>0</v>
      </c>
      <c r="W1127" s="1" t="b">
        <v>0</v>
      </c>
      <c r="X1127" s="1">
        <v>5</v>
      </c>
      <c r="Y1127" s="1" t="b">
        <v>1</v>
      </c>
      <c r="Z1127" s="1" t="b">
        <v>1</v>
      </c>
      <c r="AA1127" s="1">
        <v>50.7</v>
      </c>
      <c r="AB1127" s="1" t="b">
        <v>0</v>
      </c>
      <c r="AC1127" s="1">
        <v>0</v>
      </c>
      <c r="AD1127" s="1">
        <v>2931551</v>
      </c>
      <c r="AE1127" s="1">
        <v>142558369</v>
      </c>
      <c r="AF1127" s="1" t="s">
        <v>4626</v>
      </c>
      <c r="AG1127" s="1" t="s">
        <v>4626</v>
      </c>
      <c r="AH1127" s="1">
        <v>48.9</v>
      </c>
      <c r="AI1127" s="1">
        <v>48.6</v>
      </c>
      <c r="AJ1127" s="1" t="s">
        <v>4627</v>
      </c>
      <c r="AK1127" s="1" t="s">
        <v>4628</v>
      </c>
      <c r="AL1127" s="1" t="s">
        <v>4629</v>
      </c>
    </row>
    <row r="1128" spans="1:38" x14ac:dyDescent="0.6">
      <c r="A1128" s="1" t="s">
        <v>40</v>
      </c>
      <c r="B1128" s="1" t="s">
        <v>103</v>
      </c>
      <c r="C1128" s="1"/>
      <c r="D1128" s="1"/>
      <c r="E1128" s="1"/>
      <c r="F1128" s="1"/>
      <c r="G1128" s="1"/>
      <c r="H1128" s="1" t="s">
        <v>220</v>
      </c>
      <c r="I1128" s="1"/>
      <c r="J1128" s="1"/>
      <c r="K1128" s="1">
        <v>1.25</v>
      </c>
      <c r="L1128" s="1">
        <v>120</v>
      </c>
      <c r="M1128" s="1" t="s">
        <v>14</v>
      </c>
      <c r="N1128" s="1" t="s">
        <v>14</v>
      </c>
      <c r="O1128" s="1" t="s">
        <v>96</v>
      </c>
      <c r="P1128" s="1"/>
      <c r="Q1128" s="1" t="s">
        <v>9</v>
      </c>
      <c r="R1128" s="1">
        <v>0</v>
      </c>
      <c r="S1128" s="1"/>
      <c r="T1128" s="1" t="s">
        <v>97</v>
      </c>
      <c r="U1128" s="1"/>
      <c r="V1128" s="1" t="b">
        <v>0</v>
      </c>
      <c r="W1128" s="1" t="b">
        <v>0</v>
      </c>
      <c r="X1128" s="1">
        <v>5</v>
      </c>
      <c r="Y1128" s="1" t="b">
        <v>1</v>
      </c>
      <c r="Z1128" s="1" t="b">
        <v>1</v>
      </c>
      <c r="AA1128" s="1"/>
      <c r="AB1128" s="1" t="b">
        <v>1</v>
      </c>
      <c r="AC1128" s="1">
        <v>151526148</v>
      </c>
      <c r="AD1128" s="1">
        <v>779516</v>
      </c>
      <c r="AE1128" s="1">
        <v>0</v>
      </c>
      <c r="AF1128" s="1" t="s">
        <v>4630</v>
      </c>
      <c r="AG1128" s="1"/>
      <c r="AH1128" s="1">
        <v>69.599999999999994</v>
      </c>
      <c r="AI1128" s="1"/>
      <c r="AJ1128" s="1" t="s">
        <v>4631</v>
      </c>
      <c r="AK1128" s="1" t="s">
        <v>4632</v>
      </c>
      <c r="AL1128" s="1" t="s">
        <v>4633</v>
      </c>
    </row>
    <row r="1129" spans="1:38" x14ac:dyDescent="0.6">
      <c r="A1129" s="1" t="s">
        <v>38</v>
      </c>
      <c r="B1129" s="1" t="s">
        <v>88</v>
      </c>
      <c r="C1129" s="1"/>
      <c r="D1129" s="1"/>
      <c r="E1129" s="1"/>
      <c r="F1129" s="1"/>
      <c r="G1129" s="1"/>
      <c r="H1129" s="1" t="s">
        <v>91</v>
      </c>
      <c r="I1129" s="1"/>
      <c r="J1129" s="1"/>
      <c r="K1129" s="1">
        <v>1</v>
      </c>
      <c r="L1129" s="1">
        <v>120</v>
      </c>
      <c r="M1129" s="1" t="s">
        <v>14</v>
      </c>
      <c r="N1129" s="1" t="s">
        <v>14</v>
      </c>
      <c r="O1129" s="1" t="s">
        <v>96</v>
      </c>
      <c r="P1129" s="1"/>
      <c r="Q1129" s="1" t="s">
        <v>9</v>
      </c>
      <c r="R1129" s="1">
        <v>0</v>
      </c>
      <c r="S1129" s="1"/>
      <c r="T1129" s="1" t="s">
        <v>97</v>
      </c>
      <c r="U1129" s="1"/>
      <c r="V1129" s="1" t="b">
        <v>0</v>
      </c>
      <c r="W1129" s="1" t="b">
        <v>0</v>
      </c>
      <c r="X1129" s="1">
        <v>5</v>
      </c>
      <c r="Y1129" s="1" t="b">
        <v>1</v>
      </c>
      <c r="Z1129" s="1" t="b">
        <v>1</v>
      </c>
      <c r="AA1129" s="1"/>
      <c r="AB1129" s="1" t="b">
        <v>1</v>
      </c>
      <c r="AC1129" s="1">
        <v>140236585</v>
      </c>
      <c r="AD1129" s="1">
        <v>1059031</v>
      </c>
      <c r="AE1129" s="1">
        <v>0</v>
      </c>
      <c r="AF1129" s="1" t="s">
        <v>4634</v>
      </c>
      <c r="AG1129" s="1"/>
      <c r="AH1129" s="1">
        <v>71.5</v>
      </c>
      <c r="AI1129" s="1"/>
      <c r="AJ1129" s="1" t="s">
        <v>4635</v>
      </c>
      <c r="AK1129" s="1" t="s">
        <v>4636</v>
      </c>
      <c r="AL1129" s="1" t="s">
        <v>4637</v>
      </c>
    </row>
    <row r="1130" spans="1:38" x14ac:dyDescent="0.6">
      <c r="A1130" s="1" t="s">
        <v>29</v>
      </c>
      <c r="B1130" s="1" t="s">
        <v>103</v>
      </c>
      <c r="C1130" s="1"/>
      <c r="D1130" s="1"/>
      <c r="E1130" s="1"/>
      <c r="F1130" s="1"/>
      <c r="G1130" s="1"/>
      <c r="H1130" s="1" t="s">
        <v>91</v>
      </c>
      <c r="I1130" s="1"/>
      <c r="J1130" s="1"/>
      <c r="K1130" s="1">
        <v>1</v>
      </c>
      <c r="L1130" s="1">
        <v>120</v>
      </c>
      <c r="M1130" s="1" t="s">
        <v>14</v>
      </c>
      <c r="N1130" s="1" t="s">
        <v>14</v>
      </c>
      <c r="O1130" s="1" t="s">
        <v>96</v>
      </c>
      <c r="P1130" s="1"/>
      <c r="Q1130" s="1" t="s">
        <v>9</v>
      </c>
      <c r="R1130" s="1">
        <v>0</v>
      </c>
      <c r="S1130" s="1"/>
      <c r="T1130" s="1" t="s">
        <v>97</v>
      </c>
      <c r="U1130" s="1"/>
      <c r="V1130" s="1" t="b">
        <v>0</v>
      </c>
      <c r="W1130" s="1" t="b">
        <v>0</v>
      </c>
      <c r="X1130" s="1">
        <v>5</v>
      </c>
      <c r="Y1130" s="1" t="b">
        <v>1</v>
      </c>
      <c r="Z1130" s="1" t="b">
        <v>1</v>
      </c>
      <c r="AA1130" s="1"/>
      <c r="AB1130" s="1" t="b">
        <v>1</v>
      </c>
      <c r="AC1130" s="1">
        <v>147660169</v>
      </c>
      <c r="AD1130" s="1">
        <v>713335</v>
      </c>
      <c r="AE1130" s="1">
        <v>0</v>
      </c>
      <c r="AF1130" s="1" t="s">
        <v>4638</v>
      </c>
      <c r="AG1130" s="1"/>
      <c r="AH1130" s="1">
        <v>60.1</v>
      </c>
      <c r="AI1130" s="1"/>
      <c r="AJ1130" s="1" t="s">
        <v>4639</v>
      </c>
      <c r="AK1130" s="1" t="s">
        <v>4640</v>
      </c>
      <c r="AL1130" s="1" t="s">
        <v>4641</v>
      </c>
    </row>
    <row r="1131" spans="1:38" x14ac:dyDescent="0.6">
      <c r="A1131" s="1" t="s">
        <v>35</v>
      </c>
      <c r="B1131" s="1" t="s">
        <v>88</v>
      </c>
      <c r="C1131" s="1"/>
      <c r="D1131" s="1"/>
      <c r="E1131" s="1"/>
      <c r="F1131" s="1"/>
      <c r="G1131" s="1"/>
      <c r="H1131" s="1" t="s">
        <v>220</v>
      </c>
      <c r="I1131" s="1"/>
      <c r="J1131" s="1"/>
      <c r="K1131" s="1">
        <v>1.25</v>
      </c>
      <c r="L1131" s="1">
        <v>120</v>
      </c>
      <c r="M1131" s="1" t="s">
        <v>14</v>
      </c>
      <c r="N1131" s="1" t="s">
        <v>14</v>
      </c>
      <c r="O1131" s="1" t="s">
        <v>96</v>
      </c>
      <c r="P1131" s="1"/>
      <c r="Q1131" s="1" t="s">
        <v>9</v>
      </c>
      <c r="R1131" s="1">
        <v>0</v>
      </c>
      <c r="S1131" s="1"/>
      <c r="T1131" s="1" t="s">
        <v>97</v>
      </c>
      <c r="U1131" s="1"/>
      <c r="V1131" s="1" t="b">
        <v>0</v>
      </c>
      <c r="W1131" s="1" t="b">
        <v>0</v>
      </c>
      <c r="X1131" s="1">
        <v>5</v>
      </c>
      <c r="Y1131" s="1" t="b">
        <v>1</v>
      </c>
      <c r="Z1131" s="1" t="b">
        <v>1</v>
      </c>
      <c r="AA1131" s="1"/>
      <c r="AB1131" s="1" t="b">
        <v>1</v>
      </c>
      <c r="AC1131" s="1">
        <v>152448903</v>
      </c>
      <c r="AD1131" s="1">
        <v>643193</v>
      </c>
      <c r="AE1131" s="1">
        <v>0</v>
      </c>
      <c r="AF1131" s="1" t="s">
        <v>4642</v>
      </c>
      <c r="AG1131" s="1"/>
      <c r="AH1131" s="1">
        <v>54</v>
      </c>
      <c r="AI1131" s="1"/>
      <c r="AJ1131" s="1" t="s">
        <v>4643</v>
      </c>
      <c r="AK1131" s="1" t="s">
        <v>4644</v>
      </c>
      <c r="AL1131" s="1" t="s">
        <v>4645</v>
      </c>
    </row>
    <row r="1132" spans="1:38" x14ac:dyDescent="0.6">
      <c r="A1132" s="1" t="s">
        <v>31</v>
      </c>
      <c r="B1132" s="1" t="s">
        <v>103</v>
      </c>
      <c r="C1132" s="1"/>
      <c r="D1132" s="1"/>
      <c r="E1132" s="1"/>
      <c r="F1132" s="1"/>
      <c r="G1132" s="1"/>
      <c r="H1132" s="1" t="s">
        <v>220</v>
      </c>
      <c r="I1132" s="1"/>
      <c r="J1132" s="1"/>
      <c r="K1132" s="1">
        <v>1.25</v>
      </c>
      <c r="L1132" s="1">
        <v>120</v>
      </c>
      <c r="M1132" s="1" t="s">
        <v>14</v>
      </c>
      <c r="N1132" s="1" t="s">
        <v>14</v>
      </c>
      <c r="O1132" s="1" t="s">
        <v>96</v>
      </c>
      <c r="P1132" s="1"/>
      <c r="Q1132" s="1" t="s">
        <v>9</v>
      </c>
      <c r="R1132" s="1">
        <v>0</v>
      </c>
      <c r="S1132" s="1"/>
      <c r="T1132" s="1" t="s">
        <v>97</v>
      </c>
      <c r="U1132" s="1"/>
      <c r="V1132" s="1" t="b">
        <v>0</v>
      </c>
      <c r="W1132" s="1" t="b">
        <v>0</v>
      </c>
      <c r="X1132" s="1">
        <v>5</v>
      </c>
      <c r="Y1132" s="1" t="b">
        <v>1</v>
      </c>
      <c r="Z1132" s="1" t="b">
        <v>1</v>
      </c>
      <c r="AA1132" s="1"/>
      <c r="AB1132" s="1" t="b">
        <v>1</v>
      </c>
      <c r="AC1132" s="1">
        <v>151533461</v>
      </c>
      <c r="AD1132" s="1">
        <v>510059</v>
      </c>
      <c r="AE1132" s="1">
        <v>0</v>
      </c>
      <c r="AF1132" s="1" t="s">
        <v>4646</v>
      </c>
      <c r="AG1132" s="1"/>
      <c r="AH1132" s="1">
        <v>53.3</v>
      </c>
      <c r="AI1132" s="1"/>
      <c r="AJ1132" s="1" t="s">
        <v>4647</v>
      </c>
      <c r="AK1132" s="1" t="s">
        <v>4648</v>
      </c>
      <c r="AL1132" s="1" t="s">
        <v>4649</v>
      </c>
    </row>
    <row r="1133" spans="1:38" x14ac:dyDescent="0.6">
      <c r="A1133" s="1" t="s">
        <v>33</v>
      </c>
      <c r="B1133" s="1" t="s">
        <v>103</v>
      </c>
      <c r="C1133" s="1"/>
      <c r="D1133" s="1"/>
      <c r="E1133" s="1"/>
      <c r="F1133" s="1"/>
      <c r="G1133" s="1"/>
      <c r="H1133" s="1" t="s">
        <v>91</v>
      </c>
      <c r="I1133" s="1"/>
      <c r="J1133" s="1"/>
      <c r="K1133" s="1">
        <v>1</v>
      </c>
      <c r="L1133" s="1">
        <v>120</v>
      </c>
      <c r="M1133" s="1" t="s">
        <v>14</v>
      </c>
      <c r="N1133" s="1" t="s">
        <v>14</v>
      </c>
      <c r="O1133" s="1" t="s">
        <v>96</v>
      </c>
      <c r="P1133" s="1"/>
      <c r="Q1133" s="1" t="s">
        <v>9</v>
      </c>
      <c r="R1133" s="1">
        <v>0</v>
      </c>
      <c r="S1133" s="1"/>
      <c r="T1133" s="1" t="s">
        <v>97</v>
      </c>
      <c r="U1133" s="1"/>
      <c r="V1133" s="1" t="b">
        <v>0</v>
      </c>
      <c r="W1133" s="1" t="b">
        <v>0</v>
      </c>
      <c r="X1133" s="1">
        <v>5</v>
      </c>
      <c r="Y1133" s="1" t="b">
        <v>1</v>
      </c>
      <c r="Z1133" s="1" t="b">
        <v>1</v>
      </c>
      <c r="AA1133" s="1"/>
      <c r="AB1133" s="1" t="b">
        <v>1</v>
      </c>
      <c r="AC1133" s="1">
        <v>144508430</v>
      </c>
      <c r="AD1133" s="1">
        <v>719346</v>
      </c>
      <c r="AE1133" s="1">
        <v>0</v>
      </c>
      <c r="AF1133" s="1" t="s">
        <v>4650</v>
      </c>
      <c r="AG1133" s="1"/>
      <c r="AH1133" s="1">
        <v>81.8</v>
      </c>
      <c r="AI1133" s="1"/>
      <c r="AJ1133" s="1" t="s">
        <v>4651</v>
      </c>
      <c r="AK1133" s="1" t="s">
        <v>4652</v>
      </c>
      <c r="AL1133" s="1" t="s">
        <v>4653</v>
      </c>
    </row>
    <row r="1134" spans="1:38" x14ac:dyDescent="0.6">
      <c r="A1134" s="1" t="s">
        <v>32</v>
      </c>
      <c r="B1134" s="1" t="s">
        <v>88</v>
      </c>
      <c r="C1134" s="1"/>
      <c r="D1134" s="1"/>
      <c r="E1134" s="1"/>
      <c r="F1134" s="1"/>
      <c r="G1134" s="1"/>
      <c r="H1134" s="1" t="s">
        <v>91</v>
      </c>
      <c r="I1134" s="1"/>
      <c r="J1134" s="1"/>
      <c r="K1134" s="1">
        <v>1</v>
      </c>
      <c r="L1134" s="1">
        <v>120</v>
      </c>
      <c r="M1134" s="1" t="s">
        <v>14</v>
      </c>
      <c r="N1134" s="1" t="s">
        <v>14</v>
      </c>
      <c r="O1134" s="1" t="s">
        <v>96</v>
      </c>
      <c r="P1134" s="1"/>
      <c r="Q1134" s="1" t="s">
        <v>9</v>
      </c>
      <c r="R1134" s="1">
        <v>0</v>
      </c>
      <c r="S1134" s="1"/>
      <c r="T1134" s="1" t="s">
        <v>97</v>
      </c>
      <c r="U1134" s="1"/>
      <c r="V1134" s="1" t="b">
        <v>0</v>
      </c>
      <c r="W1134" s="1" t="b">
        <v>0</v>
      </c>
      <c r="X1134" s="1">
        <v>5</v>
      </c>
      <c r="Y1134" s="1" t="b">
        <v>1</v>
      </c>
      <c r="Z1134" s="1" t="b">
        <v>1</v>
      </c>
      <c r="AA1134" s="1"/>
      <c r="AB1134" s="1" t="b">
        <v>1</v>
      </c>
      <c r="AC1134" s="1">
        <v>138941511</v>
      </c>
      <c r="AD1134" s="1">
        <v>519097</v>
      </c>
      <c r="AE1134" s="1">
        <v>0</v>
      </c>
      <c r="AF1134" s="1" t="s">
        <v>4654</v>
      </c>
      <c r="AG1134" s="1"/>
      <c r="AH1134" s="1">
        <v>86.7</v>
      </c>
      <c r="AI1134" s="1"/>
      <c r="AJ1134" s="1" t="s">
        <v>4655</v>
      </c>
      <c r="AK1134" s="1" t="s">
        <v>4656</v>
      </c>
      <c r="AL1134" s="1" t="s">
        <v>4657</v>
      </c>
    </row>
    <row r="1135" spans="1:38" x14ac:dyDescent="0.6">
      <c r="A1135" s="1" t="s">
        <v>44</v>
      </c>
      <c r="B1135" s="1" t="s">
        <v>188</v>
      </c>
      <c r="C1135" s="1"/>
      <c r="D1135" s="1"/>
      <c r="E1135" s="1"/>
      <c r="F1135" s="1"/>
      <c r="G1135" s="1"/>
      <c r="H1135" s="1" t="s">
        <v>91</v>
      </c>
      <c r="I1135" s="1"/>
      <c r="J1135" s="1"/>
      <c r="K1135" s="1">
        <v>1</v>
      </c>
      <c r="L1135" s="1">
        <v>120</v>
      </c>
      <c r="M1135" s="1" t="s">
        <v>14</v>
      </c>
      <c r="N1135" s="1" t="s">
        <v>14</v>
      </c>
      <c r="O1135" s="1" t="s">
        <v>96</v>
      </c>
      <c r="P1135" s="1"/>
      <c r="Q1135" s="1" t="s">
        <v>9</v>
      </c>
      <c r="R1135" s="1">
        <v>0</v>
      </c>
      <c r="S1135" s="1"/>
      <c r="T1135" s="1" t="s">
        <v>97</v>
      </c>
      <c r="U1135" s="1"/>
      <c r="V1135" s="1" t="b">
        <v>0</v>
      </c>
      <c r="W1135" s="1" t="b">
        <v>0</v>
      </c>
      <c r="X1135" s="1">
        <v>5</v>
      </c>
      <c r="Y1135" s="1" t="b">
        <v>1</v>
      </c>
      <c r="Z1135" s="1" t="b">
        <v>1</v>
      </c>
      <c r="AA1135" s="1"/>
      <c r="AB1135" s="1" t="b">
        <v>1</v>
      </c>
      <c r="AC1135" s="1">
        <v>134595620</v>
      </c>
      <c r="AD1135" s="1">
        <v>932828</v>
      </c>
      <c r="AE1135" s="1">
        <v>0</v>
      </c>
      <c r="AF1135" s="1" t="s">
        <v>4658</v>
      </c>
      <c r="AG1135" s="1"/>
      <c r="AH1135" s="1">
        <v>58.8</v>
      </c>
      <c r="AI1135" s="1"/>
      <c r="AJ1135" s="1" t="s">
        <v>4659</v>
      </c>
      <c r="AK1135" s="1" t="s">
        <v>4660</v>
      </c>
      <c r="AL1135" s="1" t="s">
        <v>4661</v>
      </c>
    </row>
    <row r="1136" spans="1:38" x14ac:dyDescent="0.6">
      <c r="A1136" s="1" t="s">
        <v>26</v>
      </c>
      <c r="B1136" s="1" t="s">
        <v>88</v>
      </c>
      <c r="C1136" s="1"/>
      <c r="D1136" s="1"/>
      <c r="E1136" s="1"/>
      <c r="F1136" s="1"/>
      <c r="G1136" s="1"/>
      <c r="H1136" s="1" t="s">
        <v>91</v>
      </c>
      <c r="I1136" s="1"/>
      <c r="J1136" s="1"/>
      <c r="K1136" s="1">
        <v>1</v>
      </c>
      <c r="L1136" s="1">
        <v>120</v>
      </c>
      <c r="M1136" s="1" t="s">
        <v>14</v>
      </c>
      <c r="N1136" s="1" t="s">
        <v>14</v>
      </c>
      <c r="O1136" s="1" t="s">
        <v>96</v>
      </c>
      <c r="P1136" s="1"/>
      <c r="Q1136" s="1" t="s">
        <v>9</v>
      </c>
      <c r="R1136" s="1">
        <v>0</v>
      </c>
      <c r="S1136" s="1"/>
      <c r="T1136" s="1" t="s">
        <v>97</v>
      </c>
      <c r="U1136" s="1"/>
      <c r="V1136" s="1" t="b">
        <v>0</v>
      </c>
      <c r="W1136" s="1" t="b">
        <v>0</v>
      </c>
      <c r="X1136" s="1">
        <v>5</v>
      </c>
      <c r="Y1136" s="1" t="b">
        <v>1</v>
      </c>
      <c r="Z1136" s="1" t="b">
        <v>1</v>
      </c>
      <c r="AA1136" s="1"/>
      <c r="AB1136" s="1" t="b">
        <v>1</v>
      </c>
      <c r="AC1136" s="1">
        <v>138207411</v>
      </c>
      <c r="AD1136" s="1">
        <v>728909</v>
      </c>
      <c r="AE1136" s="1">
        <v>0</v>
      </c>
      <c r="AF1136" s="1" t="s">
        <v>4662</v>
      </c>
      <c r="AG1136" s="1"/>
      <c r="AH1136" s="1">
        <v>69.099999999999994</v>
      </c>
      <c r="AI1136" s="1"/>
      <c r="AJ1136" s="1" t="s">
        <v>4663</v>
      </c>
      <c r="AK1136" s="1" t="s">
        <v>4664</v>
      </c>
      <c r="AL1136" s="1" t="s">
        <v>4665</v>
      </c>
    </row>
    <row r="1137" spans="1:38" x14ac:dyDescent="0.6">
      <c r="A1137" s="1" t="s">
        <v>43</v>
      </c>
      <c r="B1137" s="1" t="s">
        <v>103</v>
      </c>
      <c r="C1137" s="1"/>
      <c r="D1137" s="1"/>
      <c r="E1137" s="1"/>
      <c r="F1137" s="1"/>
      <c r="G1137" s="1"/>
      <c r="H1137" s="1" t="s">
        <v>91</v>
      </c>
      <c r="I1137" s="1"/>
      <c r="J1137" s="1"/>
      <c r="K1137" s="1">
        <v>1</v>
      </c>
      <c r="L1137" s="1">
        <v>120</v>
      </c>
      <c r="M1137" s="1" t="s">
        <v>14</v>
      </c>
      <c r="N1137" s="1" t="s">
        <v>14</v>
      </c>
      <c r="O1137" s="1" t="s">
        <v>96</v>
      </c>
      <c r="P1137" s="1"/>
      <c r="Q1137" s="1" t="s">
        <v>9</v>
      </c>
      <c r="R1137" s="1">
        <v>0</v>
      </c>
      <c r="S1137" s="1"/>
      <c r="T1137" s="1" t="s">
        <v>97</v>
      </c>
      <c r="U1137" s="1"/>
      <c r="V1137" s="1" t="b">
        <v>0</v>
      </c>
      <c r="W1137" s="1" t="b">
        <v>0</v>
      </c>
      <c r="X1137" s="1">
        <v>5</v>
      </c>
      <c r="Y1137" s="1" t="b">
        <v>1</v>
      </c>
      <c r="Z1137" s="1" t="b">
        <v>1</v>
      </c>
      <c r="AA1137" s="1"/>
      <c r="AB1137" s="1" t="b">
        <v>1</v>
      </c>
      <c r="AC1137" s="1">
        <v>130828822</v>
      </c>
      <c r="AD1137" s="1">
        <v>505322</v>
      </c>
      <c r="AE1137" s="1">
        <v>0</v>
      </c>
      <c r="AF1137" s="1" t="s">
        <v>4666</v>
      </c>
      <c r="AG1137" s="1"/>
      <c r="AH1137" s="1">
        <v>68.7</v>
      </c>
      <c r="AI1137" s="1"/>
      <c r="AJ1137" s="1" t="s">
        <v>4667</v>
      </c>
      <c r="AK1137" s="1" t="s">
        <v>4668</v>
      </c>
      <c r="AL1137" s="1" t="s">
        <v>4669</v>
      </c>
    </row>
    <row r="1138" spans="1:38" x14ac:dyDescent="0.6">
      <c r="A1138" s="1" t="s">
        <v>42</v>
      </c>
      <c r="B1138" s="1" t="s">
        <v>88</v>
      </c>
      <c r="C1138" s="1"/>
      <c r="D1138" s="1"/>
      <c r="E1138" s="1"/>
      <c r="F1138" s="1"/>
      <c r="G1138" s="1"/>
      <c r="H1138" s="1" t="s">
        <v>91</v>
      </c>
      <c r="I1138" s="1"/>
      <c r="J1138" s="1"/>
      <c r="K1138" s="1">
        <v>1</v>
      </c>
      <c r="L1138" s="1">
        <v>120</v>
      </c>
      <c r="M1138" s="1" t="s">
        <v>14</v>
      </c>
      <c r="N1138" s="1" t="s">
        <v>14</v>
      </c>
      <c r="O1138" s="1" t="s">
        <v>96</v>
      </c>
      <c r="P1138" s="1"/>
      <c r="Q1138" s="1" t="s">
        <v>9</v>
      </c>
      <c r="R1138" s="1">
        <v>0</v>
      </c>
      <c r="S1138" s="1"/>
      <c r="T1138" s="1" t="s">
        <v>97</v>
      </c>
      <c r="U1138" s="1"/>
      <c r="V1138" s="1" t="b">
        <v>0</v>
      </c>
      <c r="W1138" s="1" t="b">
        <v>0</v>
      </c>
      <c r="X1138" s="1">
        <v>5</v>
      </c>
      <c r="Y1138" s="1" t="b">
        <v>1</v>
      </c>
      <c r="Z1138" s="1" t="b">
        <v>1</v>
      </c>
      <c r="AA1138" s="1"/>
      <c r="AB1138" s="1" t="b">
        <v>1</v>
      </c>
      <c r="AC1138" s="1">
        <v>169812859</v>
      </c>
      <c r="AD1138" s="1">
        <v>842885</v>
      </c>
      <c r="AE1138" s="1">
        <v>0</v>
      </c>
      <c r="AF1138" s="1" t="s">
        <v>4670</v>
      </c>
      <c r="AG1138" s="1"/>
      <c r="AH1138" s="1">
        <v>68.3</v>
      </c>
      <c r="AI1138" s="1"/>
      <c r="AJ1138" s="1" t="s">
        <v>4671</v>
      </c>
      <c r="AK1138" s="1" t="s">
        <v>4672</v>
      </c>
      <c r="AL1138" s="1" t="s">
        <v>4673</v>
      </c>
    </row>
    <row r="1139" spans="1:38" x14ac:dyDescent="0.6">
      <c r="A1139" s="1" t="s">
        <v>48</v>
      </c>
      <c r="B1139" s="1" t="s">
        <v>88</v>
      </c>
      <c r="C1139" s="1"/>
      <c r="D1139" s="1"/>
      <c r="E1139" s="1"/>
      <c r="F1139" s="1"/>
      <c r="G1139" s="1"/>
      <c r="H1139" s="1" t="s">
        <v>91</v>
      </c>
      <c r="I1139" s="1"/>
      <c r="J1139" s="1"/>
      <c r="K1139" s="1">
        <v>1</v>
      </c>
      <c r="L1139" s="1">
        <v>120</v>
      </c>
      <c r="M1139" s="1" t="s">
        <v>14</v>
      </c>
      <c r="N1139" s="1" t="s">
        <v>14</v>
      </c>
      <c r="O1139" s="1" t="s">
        <v>96</v>
      </c>
      <c r="P1139" s="1"/>
      <c r="Q1139" s="1" t="s">
        <v>9</v>
      </c>
      <c r="R1139" s="1">
        <v>0</v>
      </c>
      <c r="S1139" s="1"/>
      <c r="T1139" s="1" t="s">
        <v>97</v>
      </c>
      <c r="U1139" s="1"/>
      <c r="V1139" s="1" t="b">
        <v>0</v>
      </c>
      <c r="W1139" s="1" t="b">
        <v>0</v>
      </c>
      <c r="X1139" s="1">
        <v>5</v>
      </c>
      <c r="Y1139" s="1" t="b">
        <v>1</v>
      </c>
      <c r="Z1139" s="1" t="b">
        <v>1</v>
      </c>
      <c r="AA1139" s="1"/>
      <c r="AB1139" s="1" t="b">
        <v>1</v>
      </c>
      <c r="AC1139" s="1">
        <v>145173537</v>
      </c>
      <c r="AD1139" s="1">
        <v>840671</v>
      </c>
      <c r="AE1139" s="1">
        <v>0</v>
      </c>
      <c r="AF1139" s="1" t="s">
        <v>4674</v>
      </c>
      <c r="AG1139" s="1"/>
      <c r="AH1139" s="1">
        <v>73.900000000000006</v>
      </c>
      <c r="AI1139" s="1"/>
      <c r="AJ1139" s="1" t="s">
        <v>3473</v>
      </c>
      <c r="AK1139" s="1" t="s">
        <v>3474</v>
      </c>
      <c r="AL1139" s="1" t="s">
        <v>3475</v>
      </c>
    </row>
    <row r="1140" spans="1:38" x14ac:dyDescent="0.6">
      <c r="A1140" s="1" t="s">
        <v>22</v>
      </c>
      <c r="B1140" s="1" t="s">
        <v>103</v>
      </c>
      <c r="C1140" s="1"/>
      <c r="D1140" s="1"/>
      <c r="E1140" s="1"/>
      <c r="F1140" s="1"/>
      <c r="G1140" s="1"/>
      <c r="H1140" s="1" t="s">
        <v>91</v>
      </c>
      <c r="I1140" s="1"/>
      <c r="J1140" s="1"/>
      <c r="K1140" s="1">
        <v>1</v>
      </c>
      <c r="L1140" s="1">
        <v>120</v>
      </c>
      <c r="M1140" s="1" t="s">
        <v>14</v>
      </c>
      <c r="N1140" s="1" t="s">
        <v>14</v>
      </c>
      <c r="O1140" s="1" t="s">
        <v>96</v>
      </c>
      <c r="P1140" s="1"/>
      <c r="Q1140" s="1" t="s">
        <v>9</v>
      </c>
      <c r="R1140" s="1">
        <v>0</v>
      </c>
      <c r="S1140" s="1"/>
      <c r="T1140" s="1" t="s">
        <v>97</v>
      </c>
      <c r="U1140" s="1"/>
      <c r="V1140" s="1" t="b">
        <v>0</v>
      </c>
      <c r="W1140" s="1" t="b">
        <v>0</v>
      </c>
      <c r="X1140" s="1">
        <v>5</v>
      </c>
      <c r="Y1140" s="1" t="b">
        <v>1</v>
      </c>
      <c r="Z1140" s="1" t="b">
        <v>1</v>
      </c>
      <c r="AA1140" s="1"/>
      <c r="AB1140" s="1" t="b">
        <v>1</v>
      </c>
      <c r="AC1140" s="1">
        <v>142675830</v>
      </c>
      <c r="AD1140" s="1">
        <v>716938</v>
      </c>
      <c r="AE1140" s="1">
        <v>0</v>
      </c>
      <c r="AF1140" s="1" t="s">
        <v>4675</v>
      </c>
      <c r="AG1140" s="1"/>
      <c r="AH1140" s="1">
        <v>51.6</v>
      </c>
      <c r="AI1140" s="1"/>
      <c r="AJ1140" s="1" t="s">
        <v>4676</v>
      </c>
      <c r="AK1140" s="1" t="s">
        <v>4677</v>
      </c>
      <c r="AL1140" s="1" t="s">
        <v>4678</v>
      </c>
    </row>
    <row r="1141" spans="1:38" x14ac:dyDescent="0.6">
      <c r="A1141" s="1" t="s">
        <v>50</v>
      </c>
      <c r="B1141" s="1" t="s">
        <v>88</v>
      </c>
      <c r="C1141" s="1"/>
      <c r="D1141" s="1"/>
      <c r="E1141" s="1"/>
      <c r="F1141" s="1"/>
      <c r="G1141" s="1"/>
      <c r="H1141" s="1" t="s">
        <v>220</v>
      </c>
      <c r="I1141" s="1"/>
      <c r="J1141" s="1"/>
      <c r="K1141" s="1">
        <v>1.25</v>
      </c>
      <c r="L1141" s="1">
        <v>120</v>
      </c>
      <c r="M1141" s="1" t="s">
        <v>14</v>
      </c>
      <c r="N1141" s="1" t="s">
        <v>14</v>
      </c>
      <c r="O1141" s="1" t="s">
        <v>96</v>
      </c>
      <c r="P1141" s="1"/>
      <c r="Q1141" s="1" t="s">
        <v>9</v>
      </c>
      <c r="R1141" s="1">
        <v>0</v>
      </c>
      <c r="S1141" s="1"/>
      <c r="T1141" s="1" t="s">
        <v>97</v>
      </c>
      <c r="U1141" s="1"/>
      <c r="V1141" s="1" t="b">
        <v>0</v>
      </c>
      <c r="W1141" s="1" t="b">
        <v>0</v>
      </c>
      <c r="X1141" s="1">
        <v>5</v>
      </c>
      <c r="Y1141" s="1" t="b">
        <v>1</v>
      </c>
      <c r="Z1141" s="1" t="b">
        <v>1</v>
      </c>
      <c r="AA1141" s="1"/>
      <c r="AB1141" s="1" t="b">
        <v>1</v>
      </c>
      <c r="AC1141" s="1">
        <v>156852311</v>
      </c>
      <c r="AD1141" s="1">
        <v>696233</v>
      </c>
      <c r="AE1141" s="1">
        <v>0</v>
      </c>
      <c r="AF1141" s="1" t="s">
        <v>4679</v>
      </c>
      <c r="AG1141" s="1"/>
      <c r="AH1141" s="1">
        <v>58.3</v>
      </c>
      <c r="AI1141" s="1"/>
      <c r="AJ1141" s="1" t="s">
        <v>4680</v>
      </c>
      <c r="AK1141" s="1" t="s">
        <v>4681</v>
      </c>
      <c r="AL1141" s="1" t="s">
        <v>4682</v>
      </c>
    </row>
    <row r="1142" spans="1:38" x14ac:dyDescent="0.6">
      <c r="A1142" s="1" t="s">
        <v>19</v>
      </c>
      <c r="B1142" s="1" t="s">
        <v>103</v>
      </c>
      <c r="C1142" s="1"/>
      <c r="D1142" s="1"/>
      <c r="E1142" s="1"/>
      <c r="F1142" s="1"/>
      <c r="G1142" s="1"/>
      <c r="H1142" s="1" t="s">
        <v>91</v>
      </c>
      <c r="I1142" s="1"/>
      <c r="J1142" s="1"/>
      <c r="K1142" s="1">
        <v>1</v>
      </c>
      <c r="L1142" s="1">
        <v>120</v>
      </c>
      <c r="M1142" s="1" t="s">
        <v>14</v>
      </c>
      <c r="N1142" s="1" t="s">
        <v>14</v>
      </c>
      <c r="O1142" s="1" t="s">
        <v>96</v>
      </c>
      <c r="P1142" s="1"/>
      <c r="Q1142" s="1" t="s">
        <v>9</v>
      </c>
      <c r="R1142" s="1">
        <v>0</v>
      </c>
      <c r="S1142" s="1"/>
      <c r="T1142" s="1" t="s">
        <v>97</v>
      </c>
      <c r="U1142" s="1"/>
      <c r="V1142" s="1" t="b">
        <v>0</v>
      </c>
      <c r="W1142" s="1" t="b">
        <v>0</v>
      </c>
      <c r="X1142" s="1">
        <v>5</v>
      </c>
      <c r="Y1142" s="1" t="b">
        <v>1</v>
      </c>
      <c r="Z1142" s="1" t="b">
        <v>1</v>
      </c>
      <c r="AA1142" s="1"/>
      <c r="AB1142" s="1" t="b">
        <v>1</v>
      </c>
      <c r="AC1142" s="1">
        <v>144131595</v>
      </c>
      <c r="AD1142" s="1">
        <v>834037</v>
      </c>
      <c r="AE1142" s="1">
        <v>0</v>
      </c>
      <c r="AF1142" s="1" t="s">
        <v>4683</v>
      </c>
      <c r="AG1142" s="1"/>
      <c r="AH1142" s="1">
        <v>68.3</v>
      </c>
      <c r="AI1142" s="1"/>
      <c r="AJ1142" s="1" t="s">
        <v>4684</v>
      </c>
      <c r="AK1142" s="1" t="s">
        <v>4685</v>
      </c>
      <c r="AL1142" s="1" t="s">
        <v>4686</v>
      </c>
    </row>
    <row r="1143" spans="1:38" x14ac:dyDescent="0.6">
      <c r="A1143" s="1" t="s">
        <v>37</v>
      </c>
      <c r="B1143" s="1" t="s">
        <v>103</v>
      </c>
      <c r="C1143" s="1"/>
      <c r="D1143" s="1"/>
      <c r="E1143" s="1"/>
      <c r="F1143" s="1"/>
      <c r="G1143" s="1"/>
      <c r="H1143" s="1" t="s">
        <v>220</v>
      </c>
      <c r="I1143" s="1"/>
      <c r="J1143" s="1"/>
      <c r="K1143" s="1">
        <v>1.25</v>
      </c>
      <c r="L1143" s="1">
        <v>120</v>
      </c>
      <c r="M1143" s="1" t="s">
        <v>14</v>
      </c>
      <c r="N1143" s="1" t="s">
        <v>14</v>
      </c>
      <c r="O1143" s="1" t="s">
        <v>96</v>
      </c>
      <c r="P1143" s="1"/>
      <c r="Q1143" s="1" t="s">
        <v>9</v>
      </c>
      <c r="R1143" s="1">
        <v>0</v>
      </c>
      <c r="S1143" s="1"/>
      <c r="T1143" s="1" t="s">
        <v>97</v>
      </c>
      <c r="U1143" s="1"/>
      <c r="V1143" s="1" t="b">
        <v>0</v>
      </c>
      <c r="W1143" s="1" t="b">
        <v>0</v>
      </c>
      <c r="X1143" s="1">
        <v>5</v>
      </c>
      <c r="Y1143" s="1" t="b">
        <v>1</v>
      </c>
      <c r="Z1143" s="1" t="b">
        <v>1</v>
      </c>
      <c r="AA1143" s="1"/>
      <c r="AB1143" s="1" t="b">
        <v>1</v>
      </c>
      <c r="AC1143" s="1">
        <v>136270980</v>
      </c>
      <c r="AD1143" s="1">
        <v>568188</v>
      </c>
      <c r="AE1143" s="1">
        <v>0</v>
      </c>
      <c r="AF1143" s="1" t="s">
        <v>4687</v>
      </c>
      <c r="AG1143" s="1"/>
      <c r="AH1143" s="1">
        <v>61.3</v>
      </c>
      <c r="AI1143" s="1"/>
      <c r="AJ1143" s="1" t="s">
        <v>4688</v>
      </c>
      <c r="AK1143" s="1" t="s">
        <v>4689</v>
      </c>
      <c r="AL1143" s="1" t="s">
        <v>4690</v>
      </c>
    </row>
    <row r="1144" spans="1:38" x14ac:dyDescent="0.6">
      <c r="A1144" s="1" t="s">
        <v>39</v>
      </c>
      <c r="B1144" s="1" t="s">
        <v>103</v>
      </c>
      <c r="C1144" s="1"/>
      <c r="D1144" s="1"/>
      <c r="E1144" s="1"/>
      <c r="F1144" s="1"/>
      <c r="G1144" s="1"/>
      <c r="H1144" s="1" t="s">
        <v>91</v>
      </c>
      <c r="I1144" s="1"/>
      <c r="J1144" s="1"/>
      <c r="K1144" s="1">
        <v>1</v>
      </c>
      <c r="L1144" s="1">
        <v>120</v>
      </c>
      <c r="M1144" s="1" t="s">
        <v>14</v>
      </c>
      <c r="N1144" s="1" t="s">
        <v>14</v>
      </c>
      <c r="O1144" s="1" t="s">
        <v>96</v>
      </c>
      <c r="P1144" s="1"/>
      <c r="Q1144" s="1" t="s">
        <v>9</v>
      </c>
      <c r="R1144" s="1">
        <v>0</v>
      </c>
      <c r="S1144" s="1"/>
      <c r="T1144" s="1" t="s">
        <v>97</v>
      </c>
      <c r="U1144" s="1"/>
      <c r="V1144" s="1" t="b">
        <v>0</v>
      </c>
      <c r="W1144" s="1" t="b">
        <v>0</v>
      </c>
      <c r="X1144" s="1">
        <v>5</v>
      </c>
      <c r="Y1144" s="1" t="b">
        <v>1</v>
      </c>
      <c r="Z1144" s="1" t="b">
        <v>1</v>
      </c>
      <c r="AA1144" s="1"/>
      <c r="AB1144" s="1" t="b">
        <v>1</v>
      </c>
      <c r="AC1144" s="1">
        <v>148064542</v>
      </c>
      <c r="AD1144" s="1">
        <v>571106</v>
      </c>
      <c r="AE1144" s="1">
        <v>0</v>
      </c>
      <c r="AF1144" s="1" t="s">
        <v>4691</v>
      </c>
      <c r="AG1144" s="1"/>
      <c r="AH1144" s="1">
        <v>80</v>
      </c>
      <c r="AI1144" s="1"/>
      <c r="AJ1144" s="1" t="s">
        <v>4692</v>
      </c>
      <c r="AK1144" s="1" t="s">
        <v>4693</v>
      </c>
      <c r="AL1144" s="1" t="s">
        <v>4694</v>
      </c>
    </row>
    <row r="1145" spans="1:38" x14ac:dyDescent="0.6">
      <c r="A1145" s="1" t="s">
        <v>34</v>
      </c>
      <c r="B1145" s="1" t="s">
        <v>88</v>
      </c>
      <c r="C1145" s="1"/>
      <c r="D1145" s="1"/>
      <c r="E1145" s="1"/>
      <c r="F1145" s="1"/>
      <c r="G1145" s="1"/>
      <c r="H1145" s="1" t="s">
        <v>91</v>
      </c>
      <c r="I1145" s="1"/>
      <c r="J1145" s="1"/>
      <c r="K1145" s="1">
        <v>1</v>
      </c>
      <c r="L1145" s="1">
        <v>120</v>
      </c>
      <c r="M1145" s="1" t="s">
        <v>14</v>
      </c>
      <c r="N1145" s="1" t="s">
        <v>14</v>
      </c>
      <c r="O1145" s="1" t="s">
        <v>96</v>
      </c>
      <c r="P1145" s="1"/>
      <c r="Q1145" s="1" t="s">
        <v>9</v>
      </c>
      <c r="R1145" s="1">
        <v>0</v>
      </c>
      <c r="S1145" s="1"/>
      <c r="T1145" s="1" t="s">
        <v>97</v>
      </c>
      <c r="U1145" s="1"/>
      <c r="V1145" s="1" t="b">
        <v>0</v>
      </c>
      <c r="W1145" s="1" t="b">
        <v>0</v>
      </c>
      <c r="X1145" s="1">
        <v>5</v>
      </c>
      <c r="Y1145" s="1" t="b">
        <v>1</v>
      </c>
      <c r="Z1145" s="1" t="b">
        <v>1</v>
      </c>
      <c r="AA1145" s="1"/>
      <c r="AB1145" s="1" t="b">
        <v>1</v>
      </c>
      <c r="AC1145" s="1">
        <v>150118187</v>
      </c>
      <c r="AD1145" s="1">
        <v>614613</v>
      </c>
      <c r="AE1145" s="1">
        <v>0</v>
      </c>
      <c r="AF1145" s="1" t="s">
        <v>4695</v>
      </c>
      <c r="AG1145" s="1"/>
      <c r="AH1145" s="1">
        <v>56.3</v>
      </c>
      <c r="AI1145" s="1"/>
      <c r="AJ1145" s="1" t="s">
        <v>4696</v>
      </c>
      <c r="AK1145" s="1" t="s">
        <v>4697</v>
      </c>
      <c r="AL1145" s="1" t="s">
        <v>4698</v>
      </c>
    </row>
    <row r="1146" spans="1:38" x14ac:dyDescent="0.6">
      <c r="A1146" s="1" t="s">
        <v>30</v>
      </c>
      <c r="B1146" s="1" t="s">
        <v>88</v>
      </c>
      <c r="C1146" s="1"/>
      <c r="D1146" s="1"/>
      <c r="E1146" s="1"/>
      <c r="F1146" s="1"/>
      <c r="G1146" s="1"/>
      <c r="H1146" s="1" t="s">
        <v>220</v>
      </c>
      <c r="I1146" s="1"/>
      <c r="J1146" s="1"/>
      <c r="K1146" s="1">
        <v>1.25</v>
      </c>
      <c r="L1146" s="1">
        <v>120</v>
      </c>
      <c r="M1146" s="1" t="s">
        <v>14</v>
      </c>
      <c r="N1146" s="1" t="s">
        <v>14</v>
      </c>
      <c r="O1146" s="1" t="s">
        <v>96</v>
      </c>
      <c r="P1146" s="1"/>
      <c r="Q1146" s="1" t="s">
        <v>9</v>
      </c>
      <c r="R1146" s="1">
        <v>0</v>
      </c>
      <c r="S1146" s="1"/>
      <c r="T1146" s="1" t="s">
        <v>97</v>
      </c>
      <c r="U1146" s="1"/>
      <c r="V1146" s="1" t="b">
        <v>0</v>
      </c>
      <c r="W1146" s="1" t="b">
        <v>0</v>
      </c>
      <c r="X1146" s="1">
        <v>5</v>
      </c>
      <c r="Y1146" s="1" t="b">
        <v>1</v>
      </c>
      <c r="Z1146" s="1" t="b">
        <v>1</v>
      </c>
      <c r="AA1146" s="1"/>
      <c r="AB1146" s="1" t="b">
        <v>1</v>
      </c>
      <c r="AC1146" s="1">
        <v>122842348</v>
      </c>
      <c r="AD1146" s="1">
        <v>627476</v>
      </c>
      <c r="AE1146" s="1">
        <v>0</v>
      </c>
      <c r="AF1146" s="1" t="s">
        <v>4699</v>
      </c>
      <c r="AG1146" s="1"/>
      <c r="AH1146" s="1">
        <v>82.4</v>
      </c>
      <c r="AI1146" s="1"/>
      <c r="AJ1146" s="1" t="s">
        <v>4700</v>
      </c>
      <c r="AK1146" s="1" t="s">
        <v>4701</v>
      </c>
      <c r="AL1146" s="1" t="s">
        <v>4702</v>
      </c>
    </row>
    <row r="1147" spans="1:38" x14ac:dyDescent="0.6">
      <c r="A1147" s="1" t="s">
        <v>41</v>
      </c>
      <c r="B1147" s="1" t="s">
        <v>88</v>
      </c>
      <c r="C1147" s="1"/>
      <c r="D1147" s="1"/>
      <c r="E1147" s="1"/>
      <c r="F1147" s="1"/>
      <c r="G1147" s="1"/>
      <c r="H1147" s="1" t="s">
        <v>91</v>
      </c>
      <c r="I1147" s="1"/>
      <c r="J1147" s="1"/>
      <c r="K1147" s="1">
        <v>1</v>
      </c>
      <c r="L1147" s="1">
        <v>120</v>
      </c>
      <c r="M1147" s="1" t="s">
        <v>14</v>
      </c>
      <c r="N1147" s="1" t="s">
        <v>14</v>
      </c>
      <c r="O1147" s="1" t="s">
        <v>96</v>
      </c>
      <c r="P1147" s="1"/>
      <c r="Q1147" s="1" t="s">
        <v>9</v>
      </c>
      <c r="R1147" s="1">
        <v>0</v>
      </c>
      <c r="S1147" s="1"/>
      <c r="T1147" s="1" t="s">
        <v>97</v>
      </c>
      <c r="U1147" s="1"/>
      <c r="V1147" s="1" t="b">
        <v>0</v>
      </c>
      <c r="W1147" s="1" t="b">
        <v>0</v>
      </c>
      <c r="X1147" s="1">
        <v>5</v>
      </c>
      <c r="Y1147" s="1" t="b">
        <v>1</v>
      </c>
      <c r="Z1147" s="1" t="b">
        <v>1</v>
      </c>
      <c r="AA1147" s="1"/>
      <c r="AB1147" s="1" t="b">
        <v>1</v>
      </c>
      <c r="AC1147" s="1">
        <v>152614191</v>
      </c>
      <c r="AD1147" s="1">
        <v>740049</v>
      </c>
      <c r="AE1147" s="1">
        <v>0</v>
      </c>
      <c r="AF1147" s="1" t="s">
        <v>4703</v>
      </c>
      <c r="AG1147" s="1"/>
      <c r="AH1147" s="1">
        <v>59.2</v>
      </c>
      <c r="AI1147" s="1"/>
      <c r="AJ1147" s="1" t="s">
        <v>217</v>
      </c>
      <c r="AK1147" s="1" t="s">
        <v>218</v>
      </c>
      <c r="AL1147" s="1" t="s">
        <v>219</v>
      </c>
    </row>
    <row r="1148" spans="1:38" x14ac:dyDescent="0.6">
      <c r="A1148" s="1" t="s">
        <v>45</v>
      </c>
      <c r="B1148" s="1" t="s">
        <v>88</v>
      </c>
      <c r="C1148" s="1"/>
      <c r="D1148" s="1"/>
      <c r="E1148" s="1"/>
      <c r="F1148" s="1"/>
      <c r="G1148" s="1"/>
      <c r="H1148" s="1" t="s">
        <v>91</v>
      </c>
      <c r="I1148" s="1"/>
      <c r="J1148" s="1"/>
      <c r="K1148" s="1">
        <v>1</v>
      </c>
      <c r="L1148" s="1">
        <v>120</v>
      </c>
      <c r="M1148" s="1" t="s">
        <v>14</v>
      </c>
      <c r="N1148" s="1" t="s">
        <v>14</v>
      </c>
      <c r="O1148" s="1" t="s">
        <v>96</v>
      </c>
      <c r="P1148" s="1"/>
      <c r="Q1148" s="1" t="s">
        <v>9</v>
      </c>
      <c r="R1148" s="1">
        <v>0</v>
      </c>
      <c r="S1148" s="1"/>
      <c r="T1148" s="1" t="s">
        <v>97</v>
      </c>
      <c r="U1148" s="1"/>
      <c r="V1148" s="1" t="b">
        <v>0</v>
      </c>
      <c r="W1148" s="1" t="b">
        <v>0</v>
      </c>
      <c r="X1148" s="1">
        <v>5</v>
      </c>
      <c r="Y1148" s="1" t="b">
        <v>1</v>
      </c>
      <c r="Z1148" s="1" t="b">
        <v>1</v>
      </c>
      <c r="AA1148" s="1"/>
      <c r="AB1148" s="1" t="b">
        <v>1</v>
      </c>
      <c r="AC1148" s="1">
        <v>161407318</v>
      </c>
      <c r="AD1148" s="1">
        <v>597674</v>
      </c>
      <c r="AE1148" s="1">
        <v>0</v>
      </c>
      <c r="AF1148" s="1" t="s">
        <v>4704</v>
      </c>
      <c r="AG1148" s="1"/>
      <c r="AH1148" s="1">
        <v>64.900000000000006</v>
      </c>
      <c r="AI1148" s="1"/>
      <c r="AJ1148" s="1" t="s">
        <v>4705</v>
      </c>
      <c r="AK1148" s="1" t="s">
        <v>4706</v>
      </c>
      <c r="AL1148" s="1" t="s">
        <v>4707</v>
      </c>
    </row>
    <row r="1149" spans="1:38" x14ac:dyDescent="0.6">
      <c r="A1149" s="1" t="s">
        <v>36</v>
      </c>
      <c r="B1149" s="1" t="s">
        <v>88</v>
      </c>
      <c r="C1149" s="1"/>
      <c r="D1149" s="1"/>
      <c r="E1149" s="1"/>
      <c r="F1149" s="1"/>
      <c r="G1149" s="1"/>
      <c r="H1149" s="1" t="s">
        <v>91</v>
      </c>
      <c r="I1149" s="1"/>
      <c r="J1149" s="1"/>
      <c r="K1149" s="1">
        <v>1</v>
      </c>
      <c r="L1149" s="1">
        <v>120</v>
      </c>
      <c r="M1149" s="1" t="s">
        <v>14</v>
      </c>
      <c r="N1149" s="1" t="s">
        <v>14</v>
      </c>
      <c r="O1149" s="1" t="s">
        <v>96</v>
      </c>
      <c r="P1149" s="1"/>
      <c r="Q1149" s="1" t="s">
        <v>9</v>
      </c>
      <c r="R1149" s="1">
        <v>0</v>
      </c>
      <c r="S1149" s="1"/>
      <c r="T1149" s="1" t="s">
        <v>97</v>
      </c>
      <c r="U1149" s="1"/>
      <c r="V1149" s="1" t="b">
        <v>0</v>
      </c>
      <c r="W1149" s="1" t="b">
        <v>0</v>
      </c>
      <c r="X1149" s="1">
        <v>5</v>
      </c>
      <c r="Y1149" s="1" t="b">
        <v>1</v>
      </c>
      <c r="Z1149" s="1" t="b">
        <v>1</v>
      </c>
      <c r="AA1149" s="1"/>
      <c r="AB1149" s="1" t="b">
        <v>1</v>
      </c>
      <c r="AC1149" s="1">
        <v>141077275</v>
      </c>
      <c r="AD1149" s="1">
        <v>1004773</v>
      </c>
      <c r="AE1149" s="1">
        <v>0</v>
      </c>
      <c r="AF1149" s="1" t="s">
        <v>4708</v>
      </c>
      <c r="AG1149" s="1"/>
      <c r="AH1149" s="1">
        <v>63</v>
      </c>
      <c r="AI1149" s="1"/>
      <c r="AJ1149" s="1" t="s">
        <v>4709</v>
      </c>
      <c r="AK1149" s="1" t="s">
        <v>4710</v>
      </c>
      <c r="AL1149" s="1" t="s">
        <v>4711</v>
      </c>
    </row>
    <row r="1150" spans="1:38" x14ac:dyDescent="0.6">
      <c r="A1150" s="1" t="s">
        <v>49</v>
      </c>
      <c r="B1150" s="1" t="s">
        <v>88</v>
      </c>
      <c r="C1150" s="1"/>
      <c r="D1150" s="1"/>
      <c r="E1150" s="1"/>
      <c r="F1150" s="1"/>
      <c r="G1150" s="1"/>
      <c r="H1150" s="1" t="s">
        <v>91</v>
      </c>
      <c r="I1150" s="1"/>
      <c r="J1150" s="1"/>
      <c r="K1150" s="1">
        <v>1</v>
      </c>
      <c r="L1150" s="1">
        <v>120</v>
      </c>
      <c r="M1150" s="1" t="s">
        <v>14</v>
      </c>
      <c r="N1150" s="1" t="s">
        <v>14</v>
      </c>
      <c r="O1150" s="1" t="s">
        <v>96</v>
      </c>
      <c r="P1150" s="1"/>
      <c r="Q1150" s="1" t="s">
        <v>9</v>
      </c>
      <c r="R1150" s="1">
        <v>0</v>
      </c>
      <c r="S1150" s="1"/>
      <c r="T1150" s="1" t="s">
        <v>97</v>
      </c>
      <c r="U1150" s="1"/>
      <c r="V1150" s="1" t="b">
        <v>0</v>
      </c>
      <c r="W1150" s="1" t="b">
        <v>0</v>
      </c>
      <c r="X1150" s="1">
        <v>5</v>
      </c>
      <c r="Y1150" s="1" t="b">
        <v>1</v>
      </c>
      <c r="Z1150" s="1" t="b">
        <v>1</v>
      </c>
      <c r="AA1150" s="1"/>
      <c r="AB1150" s="1" t="b">
        <v>1</v>
      </c>
      <c r="AC1150" s="1">
        <v>148599874</v>
      </c>
      <c r="AD1150" s="1">
        <v>560062</v>
      </c>
      <c r="AE1150" s="1">
        <v>0</v>
      </c>
      <c r="AF1150" s="1" t="s">
        <v>4712</v>
      </c>
      <c r="AG1150" s="1"/>
      <c r="AH1150" s="1">
        <v>73.3</v>
      </c>
      <c r="AI1150" s="1"/>
      <c r="AJ1150" s="1" t="s">
        <v>4713</v>
      </c>
      <c r="AK1150" s="1" t="s">
        <v>4714</v>
      </c>
      <c r="AL1150" s="1" t="s">
        <v>4715</v>
      </c>
    </row>
    <row r="1151" spans="1:38" x14ac:dyDescent="0.6">
      <c r="A1151" s="1" t="s">
        <v>46</v>
      </c>
      <c r="B1151" s="1" t="s">
        <v>103</v>
      </c>
      <c r="C1151" s="1"/>
      <c r="D1151" s="1"/>
      <c r="E1151" s="1"/>
      <c r="F1151" s="1"/>
      <c r="G1151" s="1"/>
      <c r="H1151" s="1" t="s">
        <v>91</v>
      </c>
      <c r="I1151" s="1"/>
      <c r="J1151" s="1"/>
      <c r="K1151" s="1">
        <v>1</v>
      </c>
      <c r="L1151" s="1">
        <v>120</v>
      </c>
      <c r="M1151" s="1" t="s">
        <v>14</v>
      </c>
      <c r="N1151" s="1" t="s">
        <v>14</v>
      </c>
      <c r="O1151" s="1" t="s">
        <v>96</v>
      </c>
      <c r="P1151" s="1"/>
      <c r="Q1151" s="1" t="s">
        <v>9</v>
      </c>
      <c r="R1151" s="1">
        <v>0</v>
      </c>
      <c r="S1151" s="1"/>
      <c r="T1151" s="1" t="s">
        <v>97</v>
      </c>
      <c r="U1151" s="1"/>
      <c r="V1151" s="1" t="b">
        <v>0</v>
      </c>
      <c r="W1151" s="1" t="b">
        <v>0</v>
      </c>
      <c r="X1151" s="1">
        <v>5</v>
      </c>
      <c r="Y1151" s="1" t="b">
        <v>1</v>
      </c>
      <c r="Z1151" s="1" t="b">
        <v>1</v>
      </c>
      <c r="AA1151" s="1"/>
      <c r="AB1151" s="1" t="b">
        <v>1</v>
      </c>
      <c r="AC1151" s="1">
        <v>128211880</v>
      </c>
      <c r="AD1151" s="1">
        <v>762968</v>
      </c>
      <c r="AE1151" s="1">
        <v>0</v>
      </c>
      <c r="AF1151" s="1" t="s">
        <v>4716</v>
      </c>
      <c r="AG1151" s="1"/>
      <c r="AH1151" s="1">
        <v>87.5</v>
      </c>
      <c r="AI1151" s="1"/>
      <c r="AJ1151" s="1" t="s">
        <v>4717</v>
      </c>
      <c r="AK1151" s="1" t="s">
        <v>4718</v>
      </c>
      <c r="AL1151" s="1" t="s">
        <v>4719</v>
      </c>
    </row>
    <row r="1152" spans="1:38" x14ac:dyDescent="0.6">
      <c r="A1152" s="1" t="s">
        <v>21</v>
      </c>
      <c r="B1152" s="1" t="s">
        <v>88</v>
      </c>
      <c r="C1152" s="1"/>
      <c r="D1152" s="1"/>
      <c r="E1152" s="1"/>
      <c r="F1152" s="1"/>
      <c r="G1152" s="1"/>
      <c r="H1152" s="1" t="s">
        <v>220</v>
      </c>
      <c r="I1152" s="1"/>
      <c r="J1152" s="1"/>
      <c r="K1152" s="1">
        <v>1.25</v>
      </c>
      <c r="L1152" s="1">
        <v>120</v>
      </c>
      <c r="M1152" s="1" t="s">
        <v>14</v>
      </c>
      <c r="N1152" s="1" t="s">
        <v>14</v>
      </c>
      <c r="O1152" s="1" t="s">
        <v>96</v>
      </c>
      <c r="P1152" s="1"/>
      <c r="Q1152" s="1" t="s">
        <v>9</v>
      </c>
      <c r="R1152" s="1">
        <v>0</v>
      </c>
      <c r="S1152" s="1"/>
      <c r="T1152" s="1" t="s">
        <v>97</v>
      </c>
      <c r="U1152" s="1"/>
      <c r="V1152" s="1" t="b">
        <v>0</v>
      </c>
      <c r="W1152" s="1" t="b">
        <v>0</v>
      </c>
      <c r="X1152" s="1">
        <v>5</v>
      </c>
      <c r="Y1152" s="1" t="b">
        <v>1</v>
      </c>
      <c r="Z1152" s="1" t="b">
        <v>1</v>
      </c>
      <c r="AA1152" s="1"/>
      <c r="AB1152" s="1" t="b">
        <v>1</v>
      </c>
      <c r="AC1152" s="1">
        <v>152738554</v>
      </c>
      <c r="AD1152" s="1">
        <v>877830</v>
      </c>
      <c r="AE1152" s="1">
        <v>0</v>
      </c>
      <c r="AF1152" s="1" t="s">
        <v>4720</v>
      </c>
      <c r="AG1152" s="1"/>
      <c r="AH1152" s="1">
        <v>63.6</v>
      </c>
      <c r="AI1152" s="1"/>
      <c r="AJ1152" s="1" t="s">
        <v>4721</v>
      </c>
      <c r="AK1152" s="1" t="s">
        <v>4722</v>
      </c>
      <c r="AL1152" s="1" t="s">
        <v>4723</v>
      </c>
    </row>
    <row r="1153" spans="1:38" x14ac:dyDescent="0.6">
      <c r="A1153" s="1" t="s">
        <v>47</v>
      </c>
      <c r="B1153" s="1" t="s">
        <v>103</v>
      </c>
      <c r="C1153" s="1"/>
      <c r="D1153" s="1"/>
      <c r="E1153" s="1"/>
      <c r="F1153" s="1"/>
      <c r="G1153" s="1"/>
      <c r="H1153" s="1" t="s">
        <v>91</v>
      </c>
      <c r="I1153" s="1"/>
      <c r="J1153" s="1"/>
      <c r="K1153" s="1">
        <v>1</v>
      </c>
      <c r="L1153" s="1">
        <v>120</v>
      </c>
      <c r="M1153" s="1" t="s">
        <v>14</v>
      </c>
      <c r="N1153" s="1" t="s">
        <v>14</v>
      </c>
      <c r="O1153" s="1" t="s">
        <v>96</v>
      </c>
      <c r="P1153" s="1"/>
      <c r="Q1153" s="1" t="s">
        <v>9</v>
      </c>
      <c r="R1153" s="1">
        <v>0</v>
      </c>
      <c r="S1153" s="1"/>
      <c r="T1153" s="1" t="s">
        <v>97</v>
      </c>
      <c r="U1153" s="1"/>
      <c r="V1153" s="1" t="b">
        <v>0</v>
      </c>
      <c r="W1153" s="1" t="b">
        <v>0</v>
      </c>
      <c r="X1153" s="1">
        <v>5</v>
      </c>
      <c r="Y1153" s="1" t="b">
        <v>1</v>
      </c>
      <c r="Z1153" s="1" t="b">
        <v>1</v>
      </c>
      <c r="AA1153" s="1"/>
      <c r="AB1153" s="1" t="b">
        <v>1</v>
      </c>
      <c r="AC1153" s="1">
        <v>130876659</v>
      </c>
      <c r="AD1153" s="1">
        <v>719629</v>
      </c>
      <c r="AE1153" s="1">
        <v>0</v>
      </c>
      <c r="AF1153" s="1" t="s">
        <v>4724</v>
      </c>
      <c r="AG1153" s="1"/>
      <c r="AH1153" s="1">
        <v>64.900000000000006</v>
      </c>
      <c r="AI1153" s="1"/>
      <c r="AJ1153" s="1" t="s">
        <v>4725</v>
      </c>
      <c r="AK1153" s="1" t="s">
        <v>4726</v>
      </c>
      <c r="AL1153" s="1" t="s">
        <v>4727</v>
      </c>
    </row>
    <row r="1154" spans="1:38" x14ac:dyDescent="0.6">
      <c r="A1154" s="1" t="s">
        <v>51</v>
      </c>
      <c r="B1154" s="1" t="s">
        <v>103</v>
      </c>
      <c r="C1154" s="1"/>
      <c r="D1154" s="1"/>
      <c r="E1154" s="1"/>
      <c r="F1154" s="1"/>
      <c r="G1154" s="1"/>
      <c r="H1154" s="1" t="s">
        <v>220</v>
      </c>
      <c r="I1154" s="1"/>
      <c r="J1154" s="1"/>
      <c r="K1154" s="1">
        <v>1.25</v>
      </c>
      <c r="L1154" s="1">
        <v>120</v>
      </c>
      <c r="M1154" s="1" t="s">
        <v>14</v>
      </c>
      <c r="N1154" s="1" t="s">
        <v>14</v>
      </c>
      <c r="O1154" s="1" t="s">
        <v>96</v>
      </c>
      <c r="P1154" s="1"/>
      <c r="Q1154" s="1" t="s">
        <v>9</v>
      </c>
      <c r="R1154" s="1">
        <v>0</v>
      </c>
      <c r="S1154" s="1"/>
      <c r="T1154" s="1" t="s">
        <v>97</v>
      </c>
      <c r="U1154" s="1"/>
      <c r="V1154" s="1" t="b">
        <v>0</v>
      </c>
      <c r="W1154" s="1" t="b">
        <v>0</v>
      </c>
      <c r="X1154" s="1">
        <v>5</v>
      </c>
      <c r="Y1154" s="1" t="b">
        <v>1</v>
      </c>
      <c r="Z1154" s="1" t="b">
        <v>1</v>
      </c>
      <c r="AA1154" s="1"/>
      <c r="AB1154" s="1" t="b">
        <v>1</v>
      </c>
      <c r="AC1154" s="1">
        <v>159252998</v>
      </c>
      <c r="AD1154" s="1">
        <v>654842</v>
      </c>
      <c r="AE1154" s="1">
        <v>0</v>
      </c>
      <c r="AF1154" s="1" t="s">
        <v>4728</v>
      </c>
      <c r="AG1154" s="1"/>
      <c r="AH1154" s="1">
        <v>71.599999999999994</v>
      </c>
      <c r="AI1154" s="1"/>
      <c r="AJ1154" s="1" t="s">
        <v>4729</v>
      </c>
      <c r="AK1154" s="1" t="s">
        <v>4730</v>
      </c>
      <c r="AL1154" s="1" t="s">
        <v>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hu_per_vertebra</vt:lpstr>
      <vt:lpstr>demographics</vt:lpstr>
      <vt:lpstr>manifest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Gregory Schwing</cp:lastModifiedBy>
  <cp:revision/>
  <dcterms:created xsi:type="dcterms:W3CDTF">2026-05-14T13:12:53Z</dcterms:created>
  <dcterms:modified xsi:type="dcterms:W3CDTF">2026-05-17T15:19:11Z</dcterms:modified>
  <cp:category/>
  <cp:contentStatus/>
</cp:coreProperties>
</file>